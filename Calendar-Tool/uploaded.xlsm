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anamersfoortracingbv.sharepoint.com/sites/VARCompanyTravel/Shared Documents/03_FIA F2 &amp; F3/FIA F2/2026/Events/R03 Montreal/"/>
    </mc:Choice>
  </mc:AlternateContent>
  <xr:revisionPtr revIDLastSave="15852" documentId="8_{F6E6446B-0FC5-443E-86B5-C13364FECD23}" xr6:coauthVersionLast="47" xr6:coauthVersionMax="47" xr10:uidLastSave="{450BFD3D-F2CD-470B-9EFD-F201F7B3E323}"/>
  <bookViews>
    <workbookView xWindow="-96" yWindow="-96" windowWidth="23232" windowHeight="12432" tabRatio="900" firstSheet="9" activeTab="9" xr2:uid="{66635A35-E921-42E9-83A3-31B7E93D5D18}"/>
  </bookViews>
  <sheets>
    <sheet name="Master" sheetId="26" state="hidden" r:id="rId1"/>
    <sheet name="Event Info" sheetId="1" r:id="rId2"/>
    <sheet name="Transport TO" sheetId="2" r:id="rId3"/>
    <sheet name="Transport FROM" sheetId="65" r:id="rId4"/>
    <sheet name="Hotel Plan" sheetId="23" r:id="rId5"/>
    <sheet name="Flights TO" sheetId="3" r:id="rId6"/>
    <sheet name="Flights FROM" sheetId="66" r:id="rId7"/>
    <sheet name="Rental Car Plan" sheetId="73" r:id="rId8"/>
    <sheet name="Mini Timetables" sheetId="11" state="hidden" r:id="rId9"/>
    <sheet name="F2 Master Schedule" sheetId="75" r:id="rId10"/>
    <sheet name="F3 Master Schedule" sheetId="74" r:id="rId11"/>
    <sheet name="Test schedule" sheetId="70" r:id="rId12"/>
    <sheet name="Personel" sheetId="15" r:id="rId13"/>
    <sheet name="Date Calculators" sheetId="22" r:id="rId14"/>
    <sheet name="Reference Data" sheetId="5" r:id="rId15"/>
    <sheet name="Version History" sheetId="8" r:id="rId16"/>
    <sheet name="ICS4Master" sheetId="56" r:id="rId17"/>
    <sheet name="ICS4Test" sheetId="72" r:id="rId18"/>
    <sheet name="VAR_Master" sheetId="59" r:id="rId19"/>
    <sheet name="VAR_Test" sheetId="58" r:id="rId20"/>
    <sheet name="OT4Test" sheetId="52" r:id="rId21"/>
    <sheet name="OT4Master" sheetId="55" r:id="rId22"/>
  </sheets>
  <externalReferences>
    <externalReference r:id="rId23"/>
    <externalReference r:id="rId24"/>
    <externalReference r:id="rId25"/>
    <externalReference r:id="rId26"/>
  </externalReferences>
  <definedNames>
    <definedName name="_xleta.SUM" hidden="1" xlm="1">#NAME?</definedName>
    <definedName name="_xlnm.Print_Area" localSheetId="9">'F2 Master Schedule'!$A$1:$AB$153</definedName>
    <definedName name="_xlnm.Print_Area" localSheetId="10">'F3 Master Schedule'!$A$1:$AB$147</definedName>
    <definedName name="_xlnm.Print_Area" localSheetId="4">'Hotel Plan'!$A$2:$AH$22</definedName>
    <definedName name="_xlnm.Print_Area" localSheetId="8">'Mini Timetables'!$A$1:$AK$41</definedName>
    <definedName name="_xlnm.Print_Area" localSheetId="7">'Rental Car Plan'!$A$1:$Y$1</definedName>
    <definedName name="_xlnm.Print_Area" localSheetId="11">'Test schedule'!$A$1:$AB$173</definedName>
    <definedName name="_xlnm.Print_Area" localSheetId="3">'Transport FROM'!$A$1:$Y$82</definedName>
    <definedName name="_xlnm.Print_Area" localSheetId="2">'Transport TO'!$A$1:$Y$84</definedName>
    <definedName name="Airports" localSheetId="10">'[1]Reference Data'!$Q$2:$Q$100</definedName>
    <definedName name="Airports" localSheetId="7">'[2]Reference Data'!$Q$2:$Q$100</definedName>
    <definedName name="Airports">'Reference Data'!$Q$2:$Q$100</definedName>
    <definedName name="all" localSheetId="9">[3]Personel!$F$2:$F$67</definedName>
    <definedName name="all" localSheetId="10">[1]Personel!$F$2:$F$67</definedName>
    <definedName name="all" localSheetId="7">[2]Personel!$F$2:$F$67</definedName>
    <definedName name="all">Personel!$F$2:$F$67</definedName>
    <definedName name="CalendarData" localSheetId="16">ICS4Master!$A$2:$D$500</definedName>
    <definedName name="CalendarData" localSheetId="17">ICS4Test!$A$2:$D$500</definedName>
    <definedName name="CalendarData">#REF!</definedName>
    <definedName name="Driver" localSheetId="9">[3]Personel!$B$1:$B$6</definedName>
    <definedName name="Driver" localSheetId="10">[1]Personel!$B$1:$B$6</definedName>
    <definedName name="Driver" localSheetId="7">[2]Personel!$B$1:$B$6</definedName>
    <definedName name="Driver">Personel!$B$1:$B$6</definedName>
    <definedName name="Engineer" localSheetId="9">[3]Personel!$B$7:$B$16</definedName>
    <definedName name="Engineer" localSheetId="10">[1]Personel!$B$7:$B$16</definedName>
    <definedName name="Engineer" localSheetId="7">[2]Personel!$B$7:$B$16</definedName>
    <definedName name="Engineer">Personel!$B$7:$B$16</definedName>
    <definedName name="Event" localSheetId="9">'[3]Reference Data'!$C$2:$C$20</definedName>
    <definedName name="Event" localSheetId="10">'[1]Reference Data'!$C$2:$C$20</definedName>
    <definedName name="Event" localSheetId="7">'[2]Reference Data'!$C$2:$C$20</definedName>
    <definedName name="Event">'Reference Data'!$C$2:$C$20</definedName>
    <definedName name="hotel" localSheetId="9">'[3]Reference Data'!$AA$2:$AA$100</definedName>
    <definedName name="hotel" localSheetId="10">'[1]Reference Data'!$AA$2:$AA$100</definedName>
    <definedName name="hotel" localSheetId="7">'[2]Reference Data'!$AA$2:$AA$100</definedName>
    <definedName name="hotel">'Reference Data'!$AA$2:$AA$100</definedName>
    <definedName name="Manager" localSheetId="9">[3]Personel!$B$47:$B$58</definedName>
    <definedName name="Manager" localSheetId="10">[1]Personel!$B$47:$B$58</definedName>
    <definedName name="Manager" localSheetId="7">[2]Personel!$B$47:$B$58</definedName>
    <definedName name="Manager">Personel!$B$47:$B$58</definedName>
    <definedName name="Mechanic" localSheetId="9">[3]Personel!$B$17:$B$39</definedName>
    <definedName name="Mechanic" localSheetId="10">[1]Personel!$B$17:$B$39</definedName>
    <definedName name="Mechanic" localSheetId="7">[2]Personel!$B$17:$B$39</definedName>
    <definedName name="Mechanic">Personel!$B$17:$B$39</definedName>
    <definedName name="Other" localSheetId="9">[3]Personel!$B$59:$B$67</definedName>
    <definedName name="Other" localSheetId="10">[1]Personel!$B$59:$B$67</definedName>
    <definedName name="Other" localSheetId="7">[2]Personel!$B$59:$B$67</definedName>
    <definedName name="Other">Personel!$B$59:$B$67</definedName>
    <definedName name="Radio">'Reference Data'!$Y$2:$Y$20</definedName>
    <definedName name="Rental">'Reference Data'!$U$2:$U$30</definedName>
    <definedName name="Room">'Reference Data'!$M$2:$M$20</definedName>
    <definedName name="Save" localSheetId="16">ICS4Master!$K$5</definedName>
    <definedName name="Save" localSheetId="17">ICS4Test!$K$5</definedName>
    <definedName name="Save">#REF!</definedName>
    <definedName name="sheetNames">REPLACE(GET.WORKBOOK(1),1,FIND("]",GET.WORKBOOK(1)),"")</definedName>
    <definedName name="timezone" localSheetId="9">'[3]Reference Data'!$AH$2:$AH$82</definedName>
    <definedName name="timezone" localSheetId="10">'[1]Reference Data'!$AH$2:$AH$82</definedName>
    <definedName name="timezone" localSheetId="7">'[2]Reference Data'!$AH$2:$AH$82</definedName>
    <definedName name="timezone">'Reference Data'!$AH$2:$AH$82</definedName>
    <definedName name="Track" localSheetId="9">'[3]Reference Data'!$A$2:$A$200</definedName>
    <definedName name="Track" localSheetId="10">'[1]Reference Data'!$A$2:$A$200</definedName>
    <definedName name="Track" localSheetId="7">'[2]Reference Data'!$A$2:$A$200</definedName>
    <definedName name="Track">'Reference Data'!$A$2:$A$200</definedName>
    <definedName name="vehicle" localSheetId="9">'[3]Reference Data'!$O$2:$O$20</definedName>
    <definedName name="vehicle" localSheetId="10">'[1]Reference Data'!$O$2:$O$20</definedName>
    <definedName name="vehicle" localSheetId="7">'[2]Reference Data'!$O$2:$O$20</definedName>
    <definedName name="vehicle">'Reference Data'!$O$2:$O$20</definedName>
    <definedName name="Zone" localSheetId="17">ICS4Test!$J$20</definedName>
    <definedName name="Zone">ICS4Master!$J$20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75" l="1"/>
  <c r="H86" i="75"/>
  <c r="H149" i="75"/>
  <c r="H147" i="75"/>
  <c r="B132" i="75"/>
  <c r="B133" i="75"/>
  <c r="B134" i="75"/>
  <c r="B135" i="75"/>
  <c r="B136" i="75"/>
  <c r="B137" i="75"/>
  <c r="B138" i="75"/>
  <c r="B139" i="75"/>
  <c r="B140" i="75"/>
  <c r="B141" i="75"/>
  <c r="B142" i="75"/>
  <c r="B143" i="75"/>
  <c r="B144" i="75"/>
  <c r="B145" i="75"/>
  <c r="B146" i="75"/>
  <c r="H117" i="75"/>
  <c r="H102" i="75"/>
  <c r="H99" i="75"/>
  <c r="B101" i="75"/>
  <c r="B103" i="75"/>
  <c r="B104" i="75"/>
  <c r="B105" i="75"/>
  <c r="B106" i="75"/>
  <c r="B107" i="75"/>
  <c r="B108" i="75"/>
  <c r="B109" i="75"/>
  <c r="B110" i="75"/>
  <c r="B111" i="75"/>
  <c r="B112" i="75"/>
  <c r="B113" i="75"/>
  <c r="B114" i="75"/>
  <c r="B115" i="75"/>
  <c r="B72" i="75"/>
  <c r="B73" i="75"/>
  <c r="B74" i="75"/>
  <c r="B75" i="75"/>
  <c r="B76" i="75"/>
  <c r="B77" i="75"/>
  <c r="B78" i="75"/>
  <c r="B79" i="75"/>
  <c r="B80" i="75"/>
  <c r="B81" i="75"/>
  <c r="B82" i="75"/>
  <c r="B8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H37" i="75"/>
  <c r="H31" i="75"/>
  <c r="H46" i="75"/>
  <c r="H45" i="75"/>
  <c r="H44" i="75"/>
  <c r="H43" i="75"/>
  <c r="H41" i="75"/>
  <c r="H40" i="75"/>
  <c r="H39" i="75"/>
  <c r="H38" i="75"/>
  <c r="H35" i="75"/>
  <c r="H33" i="75"/>
  <c r="H32" i="75"/>
  <c r="H30" i="75"/>
  <c r="H29" i="75"/>
  <c r="H28" i="75"/>
  <c r="H27" i="75"/>
  <c r="H26" i="75"/>
  <c r="H25" i="75"/>
  <c r="H22" i="75"/>
  <c r="H21" i="75"/>
  <c r="H20" i="75"/>
  <c r="H19" i="75"/>
  <c r="H15" i="75"/>
  <c r="T10" i="23" l="1"/>
  <c r="T16" i="23"/>
  <c r="T32" i="23"/>
  <c r="T31" i="23"/>
  <c r="T30" i="23"/>
  <c r="T29" i="23"/>
  <c r="T22" i="23"/>
  <c r="T23" i="23"/>
  <c r="H127" i="75"/>
  <c r="H97" i="75"/>
  <c r="H96" i="75"/>
  <c r="H94" i="74"/>
  <c r="AK81" i="23"/>
  <c r="AL81" i="23" s="1"/>
  <c r="AK80" i="23"/>
  <c r="AL80" i="23" s="1"/>
  <c r="H112" i="74"/>
  <c r="H45" i="74"/>
  <c r="H44" i="74"/>
  <c r="B43" i="74"/>
  <c r="H43" i="74" s="1"/>
  <c r="B46" i="74"/>
  <c r="H46" i="74"/>
  <c r="H31" i="74"/>
  <c r="H33" i="74"/>
  <c r="H38" i="74"/>
  <c r="H74" i="74"/>
  <c r="H50" i="74"/>
  <c r="H42" i="74"/>
  <c r="H51" i="74"/>
  <c r="H35" i="74"/>
  <c r="H39" i="74"/>
  <c r="H139" i="74"/>
  <c r="H141" i="74"/>
  <c r="H142" i="74"/>
  <c r="H120" i="74"/>
  <c r="H113" i="74"/>
  <c r="H110" i="74"/>
  <c r="B97" i="74"/>
  <c r="B98" i="74"/>
  <c r="B99" i="74"/>
  <c r="B100" i="74"/>
  <c r="B101" i="74"/>
  <c r="B102" i="74"/>
  <c r="B104" i="74"/>
  <c r="H41" i="74"/>
  <c r="H49" i="74"/>
  <c r="H21" i="74"/>
  <c r="B75" i="74"/>
  <c r="B76" i="74"/>
  <c r="B77" i="74"/>
  <c r="B79" i="74"/>
  <c r="B80" i="74"/>
  <c r="B60" i="74"/>
  <c r="B61" i="74"/>
  <c r="B62" i="74"/>
  <c r="B63" i="74"/>
  <c r="B64" i="74"/>
  <c r="B65" i="74"/>
  <c r="B67" i="74"/>
  <c r="H52" i="74"/>
  <c r="H48" i="74"/>
  <c r="H47" i="74"/>
  <c r="H40" i="74"/>
  <c r="H37" i="74"/>
  <c r="H36" i="74"/>
  <c r="H34" i="74"/>
  <c r="H32" i="74"/>
  <c r="H30" i="74"/>
  <c r="H29" i="74"/>
  <c r="H22" i="74"/>
  <c r="H26" i="74"/>
  <c r="H25" i="74"/>
  <c r="H24" i="74"/>
  <c r="H23" i="74"/>
  <c r="H20" i="74"/>
  <c r="H19" i="74"/>
  <c r="H18" i="74"/>
  <c r="H17" i="74"/>
  <c r="H13" i="74"/>
  <c r="H12" i="74"/>
  <c r="H11" i="74"/>
  <c r="H103" i="75"/>
  <c r="H13" i="75"/>
  <c r="AK53" i="23"/>
  <c r="AL53" i="23" s="1"/>
  <c r="AK52" i="23"/>
  <c r="AL52" i="23" s="1"/>
  <c r="AK50" i="23"/>
  <c r="AL50" i="23" s="1"/>
  <c r="AK46" i="23"/>
  <c r="AL46" i="23" s="1"/>
  <c r="AK45" i="23"/>
  <c r="AL45" i="23" s="1"/>
  <c r="AK44" i="23"/>
  <c r="AL44" i="23" s="1"/>
  <c r="AK42" i="23"/>
  <c r="AL42" i="23" s="1"/>
  <c r="AK41" i="23"/>
  <c r="AL41" i="23" s="1"/>
  <c r="AK40" i="23"/>
  <c r="AL40" i="23" s="1"/>
  <c r="AK70" i="23"/>
  <c r="AL70" i="23" s="1"/>
  <c r="AK69" i="23"/>
  <c r="AL69" i="23" s="1"/>
  <c r="AK68" i="23"/>
  <c r="AL68" i="23" s="1"/>
  <c r="T28" i="23"/>
  <c r="T27" i="23"/>
  <c r="T26" i="23"/>
  <c r="T25" i="23"/>
  <c r="T24" i="23"/>
  <c r="T21" i="23"/>
  <c r="T20" i="23"/>
  <c r="T19" i="23"/>
  <c r="T18" i="23"/>
  <c r="T17" i="23"/>
  <c r="T15" i="23"/>
  <c r="T14" i="23"/>
  <c r="T13" i="23"/>
  <c r="T12" i="23"/>
  <c r="T11" i="23"/>
  <c r="T9" i="23"/>
  <c r="H141" i="75"/>
  <c r="H52" i="75" l="1"/>
  <c r="H109" i="75"/>
  <c r="H79" i="75"/>
  <c r="H63" i="75"/>
  <c r="B108" i="74" l="1"/>
  <c r="AK15" i="23" l="1"/>
  <c r="AL15" i="23" s="1"/>
  <c r="H53" i="75" l="1"/>
  <c r="B125" i="74" l="1"/>
  <c r="B126" i="74"/>
  <c r="B127" i="74"/>
  <c r="B128" i="74"/>
  <c r="B129" i="74"/>
  <c r="B130" i="74"/>
  <c r="B132" i="74"/>
  <c r="B133" i="74"/>
  <c r="B136" i="74"/>
  <c r="H140" i="75" l="1"/>
  <c r="H122" i="74"/>
  <c r="H139" i="75"/>
  <c r="H121" i="74" l="1"/>
  <c r="H110" i="75" l="1"/>
  <c r="H92" i="74" l="1"/>
  <c r="H131" i="74" l="1"/>
  <c r="H103" i="74"/>
  <c r="AK17" i="23" l="1"/>
  <c r="AL17" i="23" s="1"/>
  <c r="H14" i="75"/>
  <c r="H12" i="75"/>
  <c r="H135" i="75"/>
  <c r="H153" i="75" l="1"/>
  <c r="H151" i="75"/>
  <c r="H148" i="75"/>
  <c r="H146" i="75"/>
  <c r="H145" i="75"/>
  <c r="H144" i="75"/>
  <c r="H143" i="75"/>
  <c r="H142" i="75"/>
  <c r="H138" i="75"/>
  <c r="H137" i="75"/>
  <c r="H136" i="75"/>
  <c r="H134" i="75"/>
  <c r="H133" i="75"/>
  <c r="H132" i="75"/>
  <c r="H131" i="75"/>
  <c r="H130" i="75"/>
  <c r="H128" i="75"/>
  <c r="H126" i="75"/>
  <c r="H125" i="75"/>
  <c r="H122" i="75"/>
  <c r="H121" i="75"/>
  <c r="H120" i="75"/>
  <c r="H119" i="75"/>
  <c r="H116" i="75"/>
  <c r="H115" i="75"/>
  <c r="H114" i="75"/>
  <c r="H113" i="75"/>
  <c r="H112" i="75"/>
  <c r="H111" i="75"/>
  <c r="H108" i="75"/>
  <c r="H107" i="75"/>
  <c r="H106" i="75"/>
  <c r="H105" i="75"/>
  <c r="H101" i="75"/>
  <c r="H100" i="75"/>
  <c r="H95" i="75"/>
  <c r="H94" i="75"/>
  <c r="H91" i="75"/>
  <c r="H89" i="75"/>
  <c r="H88" i="75"/>
  <c r="H87" i="75"/>
  <c r="H84" i="75"/>
  <c r="H83" i="75"/>
  <c r="H82" i="75"/>
  <c r="H81" i="75"/>
  <c r="H80" i="75"/>
  <c r="H77" i="75"/>
  <c r="H76" i="75"/>
  <c r="H75" i="75"/>
  <c r="H74" i="75"/>
  <c r="H73" i="75"/>
  <c r="H72" i="75"/>
  <c r="H70" i="75"/>
  <c r="H68" i="75"/>
  <c r="H67" i="75"/>
  <c r="H66" i="75"/>
  <c r="H65" i="75"/>
  <c r="H64" i="75"/>
  <c r="H62" i="75"/>
  <c r="H61" i="75"/>
  <c r="H60" i="75"/>
  <c r="H59" i="75"/>
  <c r="H58" i="75"/>
  <c r="H57" i="75"/>
  <c r="H55" i="75"/>
  <c r="H54" i="75"/>
  <c r="H51" i="75"/>
  <c r="H50" i="75"/>
  <c r="H49" i="75"/>
  <c r="AC14" i="73" l="1"/>
  <c r="H140" i="74"/>
  <c r="H138" i="74"/>
  <c r="H137" i="74"/>
  <c r="H136" i="74"/>
  <c r="H135" i="74"/>
  <c r="H134" i="74"/>
  <c r="H133" i="74"/>
  <c r="H132" i="74"/>
  <c r="H130" i="74"/>
  <c r="H129" i="74"/>
  <c r="H128" i="74"/>
  <c r="H127" i="74"/>
  <c r="H126" i="74"/>
  <c r="H125" i="74"/>
  <c r="H124" i="74"/>
  <c r="H123" i="74"/>
  <c r="H117" i="74"/>
  <c r="H115" i="74"/>
  <c r="H114" i="74"/>
  <c r="H111" i="74"/>
  <c r="H109" i="74"/>
  <c r="H108" i="74"/>
  <c r="H107" i="74"/>
  <c r="H106" i="74"/>
  <c r="H105" i="74"/>
  <c r="H104" i="74"/>
  <c r="H102" i="74"/>
  <c r="H101" i="74"/>
  <c r="H100" i="74"/>
  <c r="H99" i="74"/>
  <c r="H98" i="74"/>
  <c r="H97" i="74"/>
  <c r="H96" i="74"/>
  <c r="H95" i="74"/>
  <c r="H93" i="74"/>
  <c r="H89" i="74"/>
  <c r="H87" i="74"/>
  <c r="H86" i="74"/>
  <c r="H85" i="74"/>
  <c r="H84" i="74"/>
  <c r="H83" i="74"/>
  <c r="H82" i="74"/>
  <c r="H81" i="74"/>
  <c r="H80" i="74"/>
  <c r="H79" i="74"/>
  <c r="H78" i="74"/>
  <c r="H77" i="74"/>
  <c r="H76" i="74"/>
  <c r="H75" i="74"/>
  <c r="H73" i="74"/>
  <c r="H72" i="74"/>
  <c r="H71" i="74"/>
  <c r="H70" i="74"/>
  <c r="H69" i="74"/>
  <c r="H68" i="74"/>
  <c r="H67" i="74"/>
  <c r="H66" i="74"/>
  <c r="H65" i="74"/>
  <c r="H64" i="74"/>
  <c r="H63" i="74"/>
  <c r="H62" i="74"/>
  <c r="H61" i="74"/>
  <c r="H60" i="74"/>
  <c r="H59" i="74"/>
  <c r="H58" i="74"/>
  <c r="H57" i="74"/>
  <c r="H56" i="74"/>
  <c r="E7" i="74"/>
  <c r="B61" i="70" l="1"/>
  <c r="H61" i="70" s="1"/>
  <c r="H67" i="70"/>
  <c r="H42" i="70"/>
  <c r="H91" i="70" l="1"/>
  <c r="H66" i="70"/>
  <c r="H41" i="70"/>
  <c r="H28" i="70" l="1"/>
  <c r="H25" i="70" l="1"/>
  <c r="H23" i="70"/>
  <c r="H27" i="70"/>
  <c r="H87" i="70" l="1"/>
  <c r="H62" i="70"/>
  <c r="H37" i="70"/>
  <c r="H22" i="70"/>
  <c r="H14" i="70" l="1"/>
  <c r="H15" i="70"/>
  <c r="H12" i="70"/>
  <c r="H58" i="70"/>
  <c r="H56" i="70"/>
  <c r="H55" i="70"/>
  <c r="B55" i="70"/>
  <c r="H54" i="70"/>
  <c r="B54" i="70"/>
  <c r="B53" i="70"/>
  <c r="H52" i="70"/>
  <c r="H51" i="70"/>
  <c r="B51" i="70"/>
  <c r="H50" i="70"/>
  <c r="B50" i="70"/>
  <c r="H49" i="70"/>
  <c r="B49" i="70"/>
  <c r="B48" i="70"/>
  <c r="H48" i="70" s="1"/>
  <c r="H46" i="70"/>
  <c r="H45" i="70"/>
  <c r="B45" i="70"/>
  <c r="H44" i="70"/>
  <c r="B44" i="70"/>
  <c r="B43" i="70"/>
  <c r="H40" i="70"/>
  <c r="B40" i="70"/>
  <c r="H39" i="70"/>
  <c r="B39" i="70"/>
  <c r="H38" i="70"/>
  <c r="B38" i="70"/>
  <c r="B36" i="70"/>
  <c r="H36" i="70" s="1"/>
  <c r="H35" i="70"/>
  <c r="H108" i="70"/>
  <c r="H106" i="70"/>
  <c r="H105" i="70"/>
  <c r="B105" i="70"/>
  <c r="H104" i="70"/>
  <c r="B104" i="70"/>
  <c r="B103" i="70"/>
  <c r="H102" i="70"/>
  <c r="H101" i="70"/>
  <c r="B101" i="70"/>
  <c r="H100" i="70"/>
  <c r="B100" i="70"/>
  <c r="H99" i="70"/>
  <c r="B99" i="70"/>
  <c r="B98" i="70"/>
  <c r="H98" i="70" s="1"/>
  <c r="H96" i="70"/>
  <c r="H95" i="70"/>
  <c r="B95" i="70"/>
  <c r="H94" i="70"/>
  <c r="B94" i="70"/>
  <c r="B93" i="70"/>
  <c r="H90" i="70"/>
  <c r="B90" i="70"/>
  <c r="H89" i="70"/>
  <c r="B89" i="70"/>
  <c r="H88" i="70"/>
  <c r="B88" i="70"/>
  <c r="B86" i="70"/>
  <c r="H86" i="70" s="1"/>
  <c r="H77" i="70"/>
  <c r="H81" i="70"/>
  <c r="H80" i="70"/>
  <c r="B80" i="70"/>
  <c r="H79" i="70"/>
  <c r="B79" i="70"/>
  <c r="B78" i="70"/>
  <c r="H76" i="70"/>
  <c r="B76" i="70"/>
  <c r="H75" i="70"/>
  <c r="B75" i="70"/>
  <c r="H74" i="70"/>
  <c r="B74" i="70"/>
  <c r="B73" i="70"/>
  <c r="H73" i="70" s="1"/>
  <c r="B63" i="70"/>
  <c r="B64" i="70"/>
  <c r="B65" i="70"/>
  <c r="B68" i="70"/>
  <c r="B69" i="70"/>
  <c r="B70" i="70"/>
  <c r="H70" i="70"/>
  <c r="H69" i="70"/>
  <c r="H65" i="70"/>
  <c r="H64" i="70"/>
  <c r="H63" i="70"/>
  <c r="H17" i="70"/>
  <c r="H16" i="70"/>
  <c r="H13" i="70"/>
  <c r="H9" i="70"/>
  <c r="AK13" i="23" l="1"/>
  <c r="AL13" i="23" s="1"/>
  <c r="AK25" i="23" l="1"/>
  <c r="AL25" i="23" s="1"/>
  <c r="AK24" i="23"/>
  <c r="AL24" i="23" s="1"/>
  <c r="AK23" i="23"/>
  <c r="AL23" i="23" s="1"/>
  <c r="AK19" i="23"/>
  <c r="AL19" i="23" s="1"/>
  <c r="AK14" i="23"/>
  <c r="AL14" i="23" s="1"/>
  <c r="AK12" i="23"/>
  <c r="AL12" i="23" s="1"/>
  <c r="AK11" i="23"/>
  <c r="AL11" i="23" s="1"/>
  <c r="A269" i="56" l="1" a="1"/>
  <c r="A269" i="56" s="1"/>
  <c r="A268" i="56" a="1"/>
  <c r="A268" i="56" s="1"/>
  <c r="B268" i="56" s="1" a="1"/>
  <c r="B268" i="56" s="1"/>
  <c r="A267" i="56" a="1"/>
  <c r="A267" i="56" s="1"/>
  <c r="A266" i="56" a="1"/>
  <c r="A266" i="56" s="1"/>
  <c r="B266" i="56" s="1" a="1"/>
  <c r="B266" i="56" s="1"/>
  <c r="A265" i="56" a="1"/>
  <c r="A265" i="56" s="1"/>
  <c r="C265" i="56" s="1" a="1"/>
  <c r="C265" i="56" s="1"/>
  <c r="A264" i="56" a="1"/>
  <c r="A264" i="56" s="1"/>
  <c r="C264" i="56" s="1" a="1"/>
  <c r="C264" i="56" s="1"/>
  <c r="A263" i="56" a="1"/>
  <c r="A263" i="56" s="1"/>
  <c r="B263" i="56" s="1" a="1"/>
  <c r="B263" i="56" s="1"/>
  <c r="A262" i="56" a="1"/>
  <c r="A262" i="56" s="1"/>
  <c r="C262" i="56" s="1" a="1"/>
  <c r="C262" i="56" s="1"/>
  <c r="A261" i="56" a="1"/>
  <c r="A261" i="56" s="1"/>
  <c r="A260" i="56" a="1"/>
  <c r="A260" i="56" s="1"/>
  <c r="C260" i="56" s="1" a="1"/>
  <c r="C260" i="56" s="1"/>
  <c r="A259" i="56" a="1"/>
  <c r="A259" i="56" s="1"/>
  <c r="C259" i="56" s="1" a="1"/>
  <c r="C259" i="56" s="1"/>
  <c r="A258" i="56" a="1"/>
  <c r="A258" i="56" s="1"/>
  <c r="C258" i="56" s="1" a="1"/>
  <c r="C258" i="56" s="1"/>
  <c r="A257" i="56" a="1"/>
  <c r="A257" i="56" s="1"/>
  <c r="B257" i="56" s="1" a="1"/>
  <c r="B257" i="56" s="1"/>
  <c r="A256" i="56" a="1"/>
  <c r="A256" i="56" s="1"/>
  <c r="A255" i="56" a="1"/>
  <c r="A255" i="56" s="1"/>
  <c r="A254" i="56" a="1"/>
  <c r="A254" i="56" s="1"/>
  <c r="A253" i="56" a="1"/>
  <c r="A253" i="56" s="1"/>
  <c r="A252" i="56" a="1"/>
  <c r="A252" i="56" s="1"/>
  <c r="A251" i="56" a="1"/>
  <c r="A251" i="56" s="1"/>
  <c r="A250" i="56" a="1"/>
  <c r="A250" i="56" s="1"/>
  <c r="A249" i="56" a="1"/>
  <c r="A249" i="56" s="1"/>
  <c r="A248" i="56" a="1"/>
  <c r="A248" i="56" s="1"/>
  <c r="C248" i="56" s="1" a="1"/>
  <c r="C248" i="56" s="1"/>
  <c r="A247" i="56" a="1"/>
  <c r="A247" i="56" s="1"/>
  <c r="A246" i="56" a="1"/>
  <c r="A246" i="56" s="1"/>
  <c r="C246" i="56" s="1" a="1"/>
  <c r="C246" i="56" s="1"/>
  <c r="A245" i="56" a="1"/>
  <c r="A245" i="56" s="1"/>
  <c r="A244" i="56" a="1"/>
  <c r="A244" i="56" s="1"/>
  <c r="A243" i="56" a="1"/>
  <c r="A243" i="56" s="1"/>
  <c r="A242" i="56" a="1"/>
  <c r="A242" i="56" s="1"/>
  <c r="A241" i="56" a="1"/>
  <c r="A241" i="56" s="1"/>
  <c r="A240" i="56" a="1"/>
  <c r="A240" i="56" s="1"/>
  <c r="A239" i="56" a="1"/>
  <c r="A239" i="56" s="1"/>
  <c r="B239" i="56" s="1" a="1"/>
  <c r="B239" i="56" s="1"/>
  <c r="A238" i="56" a="1"/>
  <c r="A238" i="56" s="1"/>
  <c r="C238" i="56" s="1" a="1"/>
  <c r="C238" i="56" s="1"/>
  <c r="A237" i="56" a="1"/>
  <c r="A237" i="56" s="1"/>
  <c r="A236" i="56" a="1"/>
  <c r="A236" i="56" s="1"/>
  <c r="A235" i="56" a="1"/>
  <c r="A235" i="56" s="1"/>
  <c r="A234" i="56" a="1"/>
  <c r="A234" i="56" s="1"/>
  <c r="A233" i="56" a="1"/>
  <c r="A233" i="56" s="1"/>
  <c r="C233" i="56" s="1" a="1"/>
  <c r="C233" i="56" s="1"/>
  <c r="A232" i="56" a="1"/>
  <c r="A232" i="56" s="1"/>
  <c r="B232" i="56" s="1" a="1"/>
  <c r="B232" i="56" s="1"/>
  <c r="A231" i="56" a="1"/>
  <c r="A231" i="56" s="1"/>
  <c r="A230" i="56" a="1"/>
  <c r="A230" i="56" s="1"/>
  <c r="A229" i="56" a="1"/>
  <c r="A229" i="56" s="1"/>
  <c r="B229" i="56" s="1" a="1"/>
  <c r="B229" i="56" s="1"/>
  <c r="A228" i="56" a="1"/>
  <c r="A228" i="56" s="1"/>
  <c r="C228" i="56" s="1" a="1"/>
  <c r="C228" i="56" s="1"/>
  <c r="A312" i="56" a="1"/>
  <c r="A312" i="56" s="1"/>
  <c r="B312" i="56" s="1" a="1"/>
  <c r="B312" i="56" s="1"/>
  <c r="A311" i="56" a="1"/>
  <c r="A311" i="56" s="1"/>
  <c r="A310" i="56" a="1"/>
  <c r="A310" i="56" s="1"/>
  <c r="A309" i="56" a="1"/>
  <c r="A309" i="56" s="1"/>
  <c r="A308" i="56" a="1"/>
  <c r="A308" i="56" s="1"/>
  <c r="A307" i="56" a="1"/>
  <c r="A307" i="56" s="1"/>
  <c r="A306" i="56" a="1"/>
  <c r="A306" i="56" s="1"/>
  <c r="A305" i="56" a="1"/>
  <c r="A305" i="56" s="1"/>
  <c r="A304" i="56" a="1"/>
  <c r="A304" i="56" s="1"/>
  <c r="A303" i="56" a="1"/>
  <c r="A303" i="56" s="1"/>
  <c r="A302" i="56" a="1"/>
  <c r="A302" i="56" s="1"/>
  <c r="A301" i="56" a="1"/>
  <c r="A301" i="56" s="1"/>
  <c r="A300" i="56" a="1"/>
  <c r="A300" i="56" s="1"/>
  <c r="C300" i="56" s="1" a="1"/>
  <c r="C300" i="56" s="1"/>
  <c r="A299" i="56" a="1"/>
  <c r="A299" i="56" s="1"/>
  <c r="A298" i="56" a="1"/>
  <c r="A298" i="56" s="1"/>
  <c r="C298" i="56" s="1" a="1"/>
  <c r="C298" i="56" s="1"/>
  <c r="A297" i="56" a="1"/>
  <c r="A297" i="56" s="1"/>
  <c r="A296" i="56" a="1"/>
  <c r="A296" i="56" s="1"/>
  <c r="A295" i="56" a="1"/>
  <c r="A295" i="56" s="1"/>
  <c r="A294" i="56" a="1"/>
  <c r="A294" i="56" s="1"/>
  <c r="B294" i="56" s="1" a="1"/>
  <c r="B294" i="56" s="1"/>
  <c r="A293" i="56" a="1"/>
  <c r="A293" i="56" s="1"/>
  <c r="A292" i="56" a="1"/>
  <c r="A292" i="56" s="1"/>
  <c r="C292" i="56" s="1" a="1"/>
  <c r="C292" i="56" s="1"/>
  <c r="A291" i="56" a="1"/>
  <c r="A291" i="56" s="1"/>
  <c r="A290" i="56" a="1"/>
  <c r="A290" i="56" s="1"/>
  <c r="A289" i="56" a="1"/>
  <c r="A289" i="56" s="1"/>
  <c r="B289" i="56" s="1" a="1"/>
  <c r="B289" i="56" s="1"/>
  <c r="A288" i="56" a="1"/>
  <c r="A288" i="56" s="1"/>
  <c r="A287" i="56" a="1"/>
  <c r="A287" i="56" s="1"/>
  <c r="C287" i="56" s="1" a="1"/>
  <c r="C287" i="56" s="1"/>
  <c r="A286" i="56" a="1"/>
  <c r="A286" i="56" s="1"/>
  <c r="C286" i="56" s="1" a="1"/>
  <c r="C286" i="56" s="1"/>
  <c r="A285" i="56" a="1"/>
  <c r="A285" i="56" s="1"/>
  <c r="C285" i="56" s="1" a="1"/>
  <c r="C285" i="56" s="1"/>
  <c r="A284" i="56" a="1"/>
  <c r="A284" i="56" s="1"/>
  <c r="A283" i="56" a="1"/>
  <c r="A283" i="56" s="1"/>
  <c r="A282" i="56" a="1"/>
  <c r="A282" i="56" s="1"/>
  <c r="B282" i="56" s="1" a="1"/>
  <c r="B282" i="56" s="1"/>
  <c r="A281" i="56" a="1"/>
  <c r="A281" i="56" s="1"/>
  <c r="A280" i="56" a="1"/>
  <c r="A280" i="56" s="1"/>
  <c r="C280" i="56" s="1" a="1"/>
  <c r="C280" i="56" s="1"/>
  <c r="A279" i="56" a="1"/>
  <c r="A279" i="56" s="1"/>
  <c r="A278" i="56" a="1"/>
  <c r="A278" i="56" s="1"/>
  <c r="A277" i="56" a="1"/>
  <c r="A277" i="56" s="1"/>
  <c r="B277" i="56" s="1" a="1"/>
  <c r="B277" i="56" s="1"/>
  <c r="A276" i="56" a="1"/>
  <c r="A276" i="56" s="1"/>
  <c r="A275" i="56" a="1"/>
  <c r="A275" i="56" s="1"/>
  <c r="A274" i="56" a="1"/>
  <c r="A274" i="56" s="1"/>
  <c r="A273" i="56" a="1"/>
  <c r="A273" i="56" s="1"/>
  <c r="A272" i="56" a="1"/>
  <c r="A272" i="56" s="1"/>
  <c r="B272" i="56" s="1" a="1"/>
  <c r="B272" i="56" s="1"/>
  <c r="A271" i="56" a="1"/>
  <c r="A271" i="56" s="1"/>
  <c r="A270" i="56" a="1"/>
  <c r="A270" i="56" s="1"/>
  <c r="C270" i="56" s="1" a="1"/>
  <c r="C270" i="56" s="1"/>
  <c r="A354" i="56" a="1"/>
  <c r="A354" i="56" s="1"/>
  <c r="A353" i="56" a="1"/>
  <c r="A353" i="56" s="1"/>
  <c r="A352" i="56" a="1"/>
  <c r="A352" i="56" s="1"/>
  <c r="A351" i="56" a="1"/>
  <c r="A351" i="56" s="1"/>
  <c r="A350" i="56" a="1"/>
  <c r="A350" i="56" s="1"/>
  <c r="A349" i="56" a="1"/>
  <c r="A349" i="56" s="1"/>
  <c r="B349" i="56" s="1" a="1"/>
  <c r="B349" i="56" s="1"/>
  <c r="A348" i="56" a="1"/>
  <c r="A348" i="56" s="1"/>
  <c r="A347" i="56" a="1"/>
  <c r="A347" i="56" s="1"/>
  <c r="C347" i="56" s="1" a="1"/>
  <c r="C347" i="56" s="1"/>
  <c r="A346" i="56" a="1"/>
  <c r="A346" i="56" s="1"/>
  <c r="A345" i="56" a="1"/>
  <c r="A345" i="56" s="1"/>
  <c r="C345" i="56" s="1" a="1"/>
  <c r="C345" i="56" s="1"/>
  <c r="A344" i="56" a="1"/>
  <c r="A344" i="56" s="1"/>
  <c r="A343" i="56" a="1"/>
  <c r="A343" i="56" s="1"/>
  <c r="A342" i="56" a="1"/>
  <c r="A342" i="56" s="1"/>
  <c r="C342" i="56" s="1" a="1"/>
  <c r="C342" i="56" s="1"/>
  <c r="A341" i="56" a="1"/>
  <c r="A341" i="56" s="1"/>
  <c r="C341" i="56" s="1" a="1"/>
  <c r="C341" i="56" s="1"/>
  <c r="A340" i="56" a="1"/>
  <c r="A340" i="56" s="1"/>
  <c r="C340" i="56" s="1" a="1"/>
  <c r="C340" i="56" s="1"/>
  <c r="A339" i="56" a="1"/>
  <c r="A339" i="56" s="1"/>
  <c r="A338" i="56" a="1"/>
  <c r="A338" i="56" s="1"/>
  <c r="A337" i="56" a="1"/>
  <c r="A337" i="56" s="1"/>
  <c r="B337" i="56" s="1" a="1"/>
  <c r="B337" i="56" s="1"/>
  <c r="A336" i="56" a="1"/>
  <c r="A336" i="56" s="1"/>
  <c r="A335" i="56" a="1"/>
  <c r="A335" i="56" s="1"/>
  <c r="C335" i="56" s="1" a="1"/>
  <c r="C335" i="56" s="1"/>
  <c r="A334" i="56" a="1"/>
  <c r="A334" i="56" s="1"/>
  <c r="C334" i="56" s="1" a="1"/>
  <c r="C334" i="56" s="1"/>
  <c r="A333" i="56" a="1"/>
  <c r="A333" i="56" s="1"/>
  <c r="A332" i="56" a="1"/>
  <c r="A332" i="56" s="1"/>
  <c r="A331" i="56" a="1"/>
  <c r="A331" i="56" s="1"/>
  <c r="B331" i="56" s="1" a="1"/>
  <c r="B331" i="56" s="1"/>
  <c r="A330" i="56" a="1"/>
  <c r="A330" i="56" s="1"/>
  <c r="B330" i="56" s="1" a="1"/>
  <c r="B330" i="56" s="1"/>
  <c r="A329" i="56" a="1"/>
  <c r="A329" i="56" s="1"/>
  <c r="A328" i="56" a="1"/>
  <c r="A328" i="56" s="1"/>
  <c r="A327" i="56" a="1"/>
  <c r="A327" i="56" s="1"/>
  <c r="C327" i="56" s="1" a="1"/>
  <c r="C327" i="56" s="1"/>
  <c r="A326" i="56" a="1"/>
  <c r="A326" i="56" s="1"/>
  <c r="C326" i="56" s="1" a="1"/>
  <c r="C326" i="56" s="1"/>
  <c r="A325" i="56" a="1"/>
  <c r="A325" i="56" s="1"/>
  <c r="A324" i="56" a="1"/>
  <c r="A324" i="56" s="1"/>
  <c r="B324" i="56" s="1" a="1"/>
  <c r="B324" i="56" s="1"/>
  <c r="A323" i="56" a="1"/>
  <c r="A323" i="56" s="1"/>
  <c r="A322" i="56" a="1"/>
  <c r="A322" i="56" s="1"/>
  <c r="B322" i="56" s="1" a="1"/>
  <c r="B322" i="56" s="1"/>
  <c r="A321" i="56" a="1"/>
  <c r="A321" i="56" s="1"/>
  <c r="B321" i="56" s="1" a="1"/>
  <c r="B321" i="56" s="1"/>
  <c r="A320" i="56" a="1"/>
  <c r="A320" i="56" s="1"/>
  <c r="A319" i="56" a="1"/>
  <c r="A319" i="56" s="1"/>
  <c r="B319" i="56" s="1" a="1"/>
  <c r="B319" i="56" s="1"/>
  <c r="A318" i="56" a="1"/>
  <c r="A318" i="56" s="1"/>
  <c r="C318" i="56" s="1" a="1"/>
  <c r="C318" i="56" s="1"/>
  <c r="A317" i="56" a="1"/>
  <c r="A317" i="56" s="1"/>
  <c r="C317" i="56" s="1" a="1"/>
  <c r="C317" i="56" s="1"/>
  <c r="A316" i="56" a="1"/>
  <c r="A316" i="56" s="1"/>
  <c r="A315" i="56" a="1"/>
  <c r="A315" i="56" s="1"/>
  <c r="C315" i="56" s="1" a="1"/>
  <c r="C315" i="56" s="1"/>
  <c r="A314" i="56" a="1"/>
  <c r="A314" i="56" s="1"/>
  <c r="A313" i="56" a="1"/>
  <c r="A313" i="56" s="1"/>
  <c r="C313" i="56" s="1" a="1"/>
  <c r="C313" i="56" s="1"/>
  <c r="A396" i="56" a="1"/>
  <c r="A396" i="56" s="1"/>
  <c r="A395" i="56" a="1"/>
  <c r="A395" i="56" s="1"/>
  <c r="A394" i="56" a="1"/>
  <c r="A394" i="56" s="1"/>
  <c r="A393" i="56" a="1"/>
  <c r="A393" i="56" s="1"/>
  <c r="B393" i="56" s="1" a="1"/>
  <c r="B393" i="56" s="1"/>
  <c r="A392" i="56" a="1"/>
  <c r="A392" i="56" s="1"/>
  <c r="C392" i="56" s="1" a="1"/>
  <c r="C392" i="56" s="1"/>
  <c r="A391" i="56" a="1"/>
  <c r="A391" i="56" s="1"/>
  <c r="A390" i="56" a="1"/>
  <c r="A390" i="56" s="1"/>
  <c r="A389" i="56" a="1"/>
  <c r="A389" i="56" s="1"/>
  <c r="A388" i="56" a="1"/>
  <c r="A388" i="56" s="1"/>
  <c r="A387" i="56" a="1"/>
  <c r="A387" i="56" s="1"/>
  <c r="B387" i="56" s="1" a="1"/>
  <c r="B387" i="56" s="1"/>
  <c r="A386" i="56" a="1"/>
  <c r="A386" i="56" s="1"/>
  <c r="C386" i="56" s="1" a="1"/>
  <c r="C386" i="56" s="1"/>
  <c r="A385" i="56" a="1"/>
  <c r="A385" i="56" s="1"/>
  <c r="C385" i="56" s="1" a="1"/>
  <c r="C385" i="56" s="1"/>
  <c r="A384" i="56" a="1"/>
  <c r="A384" i="56" s="1"/>
  <c r="A383" i="56" a="1"/>
  <c r="A383" i="56" s="1"/>
  <c r="C383" i="56" s="1" a="1"/>
  <c r="C383" i="56" s="1"/>
  <c r="A382" i="56" a="1"/>
  <c r="A382" i="56" s="1"/>
  <c r="A381" i="56" a="1"/>
  <c r="A381" i="56" s="1"/>
  <c r="C381" i="56" s="1" a="1"/>
  <c r="C381" i="56" s="1"/>
  <c r="A380" i="56" a="1"/>
  <c r="A380" i="56" s="1"/>
  <c r="A379" i="56" a="1"/>
  <c r="A379" i="56" s="1"/>
  <c r="C379" i="56" s="1" a="1"/>
  <c r="C379" i="56" s="1"/>
  <c r="A378" i="56" a="1"/>
  <c r="A378" i="56" s="1"/>
  <c r="C378" i="56" s="1" a="1"/>
  <c r="C378" i="56" s="1"/>
  <c r="A377" i="56" a="1"/>
  <c r="A377" i="56" s="1"/>
  <c r="A376" i="56" a="1"/>
  <c r="A376" i="56" s="1"/>
  <c r="B376" i="56" s="1" a="1"/>
  <c r="B376" i="56" s="1"/>
  <c r="A375" i="56" a="1"/>
  <c r="A375" i="56" s="1"/>
  <c r="A374" i="56" a="1"/>
  <c r="A374" i="56" s="1"/>
  <c r="A373" i="56" a="1"/>
  <c r="A373" i="56" s="1"/>
  <c r="A372" i="56" a="1"/>
  <c r="A372" i="56" s="1"/>
  <c r="A371" i="56" a="1"/>
  <c r="A371" i="56" s="1"/>
  <c r="B371" i="56" s="1" a="1"/>
  <c r="B371" i="56" s="1"/>
  <c r="A370" i="56" a="1"/>
  <c r="A370" i="56" s="1"/>
  <c r="A369" i="56" a="1"/>
  <c r="A369" i="56" s="1"/>
  <c r="C369" i="56" s="1" a="1"/>
  <c r="C369" i="56" s="1"/>
  <c r="A368" i="56" a="1"/>
  <c r="A368" i="56" s="1"/>
  <c r="A367" i="56" a="1"/>
  <c r="A367" i="56" s="1"/>
  <c r="A366" i="56" a="1"/>
  <c r="A366" i="56" s="1"/>
  <c r="A365" i="56" a="1"/>
  <c r="A365" i="56" s="1"/>
  <c r="C365" i="56" s="1" a="1"/>
  <c r="C365" i="56" s="1"/>
  <c r="A364" i="56" a="1"/>
  <c r="A364" i="56" s="1"/>
  <c r="B364" i="56" s="1" a="1"/>
  <c r="B364" i="56" s="1"/>
  <c r="A363" i="56" a="1"/>
  <c r="A363" i="56" s="1"/>
  <c r="A362" i="56" a="1"/>
  <c r="A362" i="56" s="1"/>
  <c r="A361" i="56" a="1"/>
  <c r="A361" i="56" s="1"/>
  <c r="B361" i="56" s="1" a="1"/>
  <c r="B361" i="56" s="1"/>
  <c r="A360" i="56" a="1"/>
  <c r="A360" i="56" s="1"/>
  <c r="A359" i="56" a="1"/>
  <c r="A359" i="56" s="1"/>
  <c r="C359" i="56" s="1" a="1"/>
  <c r="C359" i="56" s="1"/>
  <c r="A358" i="56" a="1"/>
  <c r="A358" i="56" s="1"/>
  <c r="A357" i="56" a="1"/>
  <c r="A357" i="56" s="1"/>
  <c r="A356" i="56" a="1"/>
  <c r="A356" i="56" s="1"/>
  <c r="A355" i="56" a="1"/>
  <c r="A355" i="56" s="1"/>
  <c r="B355" i="56" s="1" a="1"/>
  <c r="B355" i="56" s="1"/>
  <c r="A185" i="56" a="1"/>
  <c r="A185" i="56" s="1"/>
  <c r="A184" i="56" a="1"/>
  <c r="A184" i="56" s="1"/>
  <c r="A183" i="56" a="1"/>
  <c r="A183" i="56" s="1"/>
  <c r="B183" i="56" s="1" a="1"/>
  <c r="B183" i="56" s="1"/>
  <c r="A182" i="56" a="1"/>
  <c r="A182" i="56" s="1"/>
  <c r="C182" i="56" s="1" a="1"/>
  <c r="C182" i="56" s="1"/>
  <c r="A181" i="56" a="1"/>
  <c r="A181" i="56" s="1"/>
  <c r="C181" i="56" s="1" a="1"/>
  <c r="C181" i="56" s="1"/>
  <c r="A180" i="56" a="1"/>
  <c r="A180" i="56" s="1"/>
  <c r="C180" i="56" s="1" a="1"/>
  <c r="C180" i="56" s="1"/>
  <c r="A179" i="56" a="1"/>
  <c r="A179" i="56" s="1"/>
  <c r="A178" i="56" a="1"/>
  <c r="A178" i="56" s="1"/>
  <c r="A177" i="56" a="1"/>
  <c r="A177" i="56" s="1"/>
  <c r="A176" i="56" a="1"/>
  <c r="A176" i="56" s="1"/>
  <c r="A175" i="56" a="1"/>
  <c r="A175" i="56" s="1"/>
  <c r="A174" i="56" a="1"/>
  <c r="A174" i="56" s="1"/>
  <c r="C174" i="56" s="1" a="1"/>
  <c r="C174" i="56" s="1"/>
  <c r="A173" i="56" a="1"/>
  <c r="A173" i="56" s="1"/>
  <c r="A172" i="56" a="1"/>
  <c r="A172" i="56" s="1"/>
  <c r="C172" i="56" s="1" a="1"/>
  <c r="C172" i="56" s="1"/>
  <c r="A171" i="56" a="1"/>
  <c r="A171" i="56" s="1"/>
  <c r="A170" i="56" a="1"/>
  <c r="A170" i="56" s="1"/>
  <c r="A169" i="56" a="1"/>
  <c r="A169" i="56" s="1"/>
  <c r="A168" i="56" a="1"/>
  <c r="A168" i="56" s="1"/>
  <c r="A167" i="56" a="1"/>
  <c r="A167" i="56" s="1"/>
  <c r="B167" i="56" s="1" a="1"/>
  <c r="B167" i="56" s="1"/>
  <c r="A166" i="56" a="1"/>
  <c r="A166" i="56" s="1"/>
  <c r="A165" i="56" a="1"/>
  <c r="A165" i="56" s="1"/>
  <c r="B165" i="56" s="1" a="1"/>
  <c r="B165" i="56" s="1"/>
  <c r="A164" i="56" a="1"/>
  <c r="A164" i="56" s="1"/>
  <c r="A163" i="56" a="1"/>
  <c r="A163" i="56" s="1"/>
  <c r="A162" i="56" a="1"/>
  <c r="A162" i="56" s="1"/>
  <c r="A161" i="56" a="1"/>
  <c r="A161" i="56" s="1"/>
  <c r="A160" i="56" a="1"/>
  <c r="A160" i="56" s="1"/>
  <c r="A159" i="56" a="1"/>
  <c r="A159" i="56" s="1"/>
  <c r="A158" i="56" a="1"/>
  <c r="A158" i="56" s="1"/>
  <c r="A157" i="56" a="1"/>
  <c r="A157" i="56" s="1"/>
  <c r="C157" i="56" s="1" a="1"/>
  <c r="C157" i="56" s="1"/>
  <c r="A156" i="56" a="1"/>
  <c r="A156" i="56" s="1"/>
  <c r="A155" i="56" a="1"/>
  <c r="A155" i="56" s="1"/>
  <c r="A154" i="56" a="1"/>
  <c r="A154" i="56" s="1"/>
  <c r="C154" i="56" s="1" a="1"/>
  <c r="C154" i="56" s="1"/>
  <c r="A153" i="56" a="1"/>
  <c r="A153" i="56" s="1"/>
  <c r="C153" i="56" s="1" a="1"/>
  <c r="C153" i="56" s="1"/>
  <c r="A152" i="56" a="1"/>
  <c r="A152" i="56" s="1"/>
  <c r="A227" i="56" a="1"/>
  <c r="A227" i="56" s="1"/>
  <c r="B227" i="56" s="1" a="1"/>
  <c r="B227" i="56" s="1"/>
  <c r="A226" i="56" a="1"/>
  <c r="A226" i="56" s="1"/>
  <c r="A225" i="56" a="1"/>
  <c r="A225" i="56" s="1"/>
  <c r="A224" i="56" a="1"/>
  <c r="A224" i="56" s="1"/>
  <c r="A223" i="56" a="1"/>
  <c r="A223" i="56" s="1"/>
  <c r="C223" i="56" s="1" a="1"/>
  <c r="C223" i="56" s="1"/>
  <c r="A222" i="56" a="1"/>
  <c r="A222" i="56" s="1"/>
  <c r="A221" i="56" a="1"/>
  <c r="A221" i="56" s="1"/>
  <c r="A220" i="56" a="1"/>
  <c r="A220" i="56" s="1"/>
  <c r="A219" i="56" a="1"/>
  <c r="A219" i="56" s="1"/>
  <c r="B219" i="56" s="1" a="1"/>
  <c r="B219" i="56" s="1"/>
  <c r="A218" i="56" a="1"/>
  <c r="A218" i="56" s="1"/>
  <c r="A217" i="56" a="1"/>
  <c r="A217" i="56" s="1"/>
  <c r="B217" i="56" s="1" a="1"/>
  <c r="B217" i="56" s="1"/>
  <c r="A216" i="56" a="1"/>
  <c r="A216" i="56" s="1"/>
  <c r="A215" i="56" a="1"/>
  <c r="A215" i="56" s="1"/>
  <c r="A214" i="56" a="1"/>
  <c r="A214" i="56" s="1"/>
  <c r="C214" i="56" s="1" a="1"/>
  <c r="C214" i="56" s="1"/>
  <c r="A213" i="56" a="1"/>
  <c r="A213" i="56" s="1"/>
  <c r="B213" i="56" s="1" a="1"/>
  <c r="B213" i="56" s="1"/>
  <c r="A212" i="56" a="1"/>
  <c r="A212" i="56" s="1"/>
  <c r="A211" i="56" a="1"/>
  <c r="A211" i="56" s="1"/>
  <c r="A210" i="56" a="1"/>
  <c r="A210" i="56" s="1"/>
  <c r="A209" i="56" a="1"/>
  <c r="A209" i="56" s="1"/>
  <c r="A208" i="56" a="1"/>
  <c r="A208" i="56" s="1"/>
  <c r="A207" i="56" a="1"/>
  <c r="A207" i="56" s="1"/>
  <c r="A206" i="56" a="1"/>
  <c r="A206" i="56" s="1"/>
  <c r="A205" i="56" a="1"/>
  <c r="A205" i="56" s="1"/>
  <c r="A204" i="56" a="1"/>
  <c r="A204" i="56" s="1"/>
  <c r="A203" i="56" a="1"/>
  <c r="A203" i="56" s="1"/>
  <c r="C203" i="56" s="1" a="1"/>
  <c r="C203" i="56" s="1"/>
  <c r="A202" i="56" a="1"/>
  <c r="A202" i="56" s="1"/>
  <c r="C202" i="56" s="1" a="1"/>
  <c r="C202" i="56" s="1"/>
  <c r="A201" i="56" a="1"/>
  <c r="A201" i="56" s="1"/>
  <c r="C201" i="56" s="1" a="1"/>
  <c r="C201" i="56" s="1"/>
  <c r="A200" i="56" a="1"/>
  <c r="A200" i="56" s="1"/>
  <c r="C200" i="56" s="1" a="1"/>
  <c r="C200" i="56" s="1"/>
  <c r="A199" i="56" a="1"/>
  <c r="A199" i="56" s="1"/>
  <c r="B199" i="56" s="1" a="1"/>
  <c r="B199" i="56" s="1"/>
  <c r="A198" i="56" a="1"/>
  <c r="A198" i="56" s="1"/>
  <c r="A197" i="56" a="1"/>
  <c r="A197" i="56" s="1"/>
  <c r="B197" i="56" s="1" a="1"/>
  <c r="B197" i="56" s="1"/>
  <c r="A196" i="56" a="1"/>
  <c r="A196" i="56" s="1"/>
  <c r="C196" i="56" s="1" a="1"/>
  <c r="C196" i="56" s="1"/>
  <c r="A195" i="56" a="1"/>
  <c r="A195" i="56" s="1"/>
  <c r="B195" i="56" s="1" a="1"/>
  <c r="B195" i="56" s="1"/>
  <c r="A194" i="56" a="1"/>
  <c r="A194" i="56" s="1"/>
  <c r="A193" i="56" a="1"/>
  <c r="A193" i="56" s="1"/>
  <c r="A192" i="56" a="1"/>
  <c r="A192" i="56" s="1"/>
  <c r="A191" i="56" a="1"/>
  <c r="A191" i="56" s="1"/>
  <c r="A190" i="56" a="1"/>
  <c r="A190" i="56" s="1"/>
  <c r="C190" i="56" s="1" a="1"/>
  <c r="C190" i="56" s="1"/>
  <c r="A189" i="56" a="1"/>
  <c r="A189" i="56" s="1"/>
  <c r="A188" i="56" a="1"/>
  <c r="A188" i="56" s="1"/>
  <c r="A187" i="56" a="1"/>
  <c r="A187" i="56" s="1"/>
  <c r="C187" i="56" s="1" a="1"/>
  <c r="C187" i="56" s="1"/>
  <c r="A186" i="56" a="1"/>
  <c r="A186" i="56" s="1"/>
  <c r="A6" i="56" a="1"/>
  <c r="A6" i="56" s="1"/>
  <c r="B6" i="56" s="1" a="1"/>
  <c r="B6" i="56" s="1"/>
  <c r="E2" i="56" a="1"/>
  <c r="E2" i="56" s="1"/>
  <c r="A439" i="56" a="1"/>
  <c r="A439" i="56" s="1"/>
  <c r="B439" i="56" s="1" a="1"/>
  <c r="B439" i="56" s="1"/>
  <c r="A438" i="56" a="1"/>
  <c r="A438" i="56" s="1"/>
  <c r="C438" i="56" s="1" a="1"/>
  <c r="C438" i="56" s="1"/>
  <c r="A437" i="56" a="1"/>
  <c r="A437" i="56" s="1"/>
  <c r="A436" i="56" a="1"/>
  <c r="A436" i="56" s="1"/>
  <c r="A435" i="56" a="1"/>
  <c r="A435" i="56" s="1"/>
  <c r="A434" i="56" a="1"/>
  <c r="A434" i="56" s="1"/>
  <c r="C434" i="56" s="1" a="1"/>
  <c r="C434" i="56" s="1"/>
  <c r="A433" i="56" a="1"/>
  <c r="A433" i="56" s="1"/>
  <c r="A432" i="56" a="1"/>
  <c r="A432" i="56" s="1"/>
  <c r="A431" i="56" a="1"/>
  <c r="A431" i="56" s="1"/>
  <c r="C431" i="56" s="1" a="1"/>
  <c r="C431" i="56" s="1"/>
  <c r="A430" i="56" a="1"/>
  <c r="A430" i="56" s="1"/>
  <c r="A429" i="56" a="1"/>
  <c r="A429" i="56" s="1"/>
  <c r="A428" i="56" a="1"/>
  <c r="A428" i="56" s="1"/>
  <c r="A427" i="56" a="1"/>
  <c r="A427" i="56" s="1"/>
  <c r="A426" i="56" a="1"/>
  <c r="A426" i="56" s="1"/>
  <c r="A425" i="56" a="1"/>
  <c r="A425" i="56" s="1"/>
  <c r="A424" i="56" a="1"/>
  <c r="A424" i="56" s="1"/>
  <c r="A423" i="56" a="1"/>
  <c r="A423" i="56" s="1"/>
  <c r="A422" i="56" a="1"/>
  <c r="A422" i="56" s="1"/>
  <c r="A421" i="56" a="1"/>
  <c r="A421" i="56" s="1"/>
  <c r="A420" i="56" a="1"/>
  <c r="A420" i="56" s="1"/>
  <c r="C420" i="56" s="1" a="1"/>
  <c r="C420" i="56" s="1"/>
  <c r="A419" i="56" a="1"/>
  <c r="A419" i="56" s="1"/>
  <c r="A418" i="56" a="1"/>
  <c r="A418" i="56" s="1"/>
  <c r="A417" i="56" a="1"/>
  <c r="A417" i="56" s="1"/>
  <c r="C417" i="56" s="1" a="1"/>
  <c r="C417" i="56" s="1"/>
  <c r="A416" i="56" a="1"/>
  <c r="A416" i="56" s="1"/>
  <c r="A415" i="56" a="1"/>
  <c r="A415" i="56" s="1"/>
  <c r="B415" i="56" s="1" a="1"/>
  <c r="B415" i="56" s="1"/>
  <c r="A414" i="56" a="1"/>
  <c r="A414" i="56" s="1"/>
  <c r="A413" i="56" a="1"/>
  <c r="A413" i="56" s="1"/>
  <c r="A412" i="56" a="1"/>
  <c r="A412" i="56" s="1"/>
  <c r="A411" i="56" a="1"/>
  <c r="A411" i="56" s="1"/>
  <c r="B411" i="56" s="1" a="1"/>
  <c r="B411" i="56" s="1"/>
  <c r="A410" i="56" a="1"/>
  <c r="A410" i="56" s="1"/>
  <c r="A409" i="56" a="1"/>
  <c r="A409" i="56" s="1"/>
  <c r="A408" i="56" a="1"/>
  <c r="A408" i="56" s="1"/>
  <c r="A407" i="56" a="1"/>
  <c r="A407" i="56" s="1"/>
  <c r="A406" i="56" a="1"/>
  <c r="A406" i="56" s="1"/>
  <c r="C406" i="56" s="1" a="1"/>
  <c r="C406" i="56" s="1"/>
  <c r="A405" i="56" a="1"/>
  <c r="A405" i="56" s="1"/>
  <c r="A404" i="56" a="1"/>
  <c r="A404" i="56" s="1"/>
  <c r="A403" i="56" a="1"/>
  <c r="A403" i="56" s="1"/>
  <c r="B403" i="56" s="1" a="1"/>
  <c r="B403" i="56" s="1"/>
  <c r="A402" i="56" a="1"/>
  <c r="A402" i="56" s="1"/>
  <c r="A401" i="56" a="1"/>
  <c r="A401" i="56" s="1"/>
  <c r="A400" i="56" a="1"/>
  <c r="A400" i="56" s="1"/>
  <c r="A399" i="56" a="1"/>
  <c r="A399" i="56" s="1"/>
  <c r="A398" i="56" a="1"/>
  <c r="A398" i="56" s="1"/>
  <c r="C398" i="56" s="1" a="1"/>
  <c r="C398" i="56" s="1"/>
  <c r="A397" i="56" a="1"/>
  <c r="A397" i="56" s="1"/>
  <c r="A481" i="56" a="1"/>
  <c r="A481" i="56" s="1"/>
  <c r="A480" i="56" a="1"/>
  <c r="A480" i="56" s="1"/>
  <c r="A479" i="56" a="1"/>
  <c r="A479" i="56" s="1"/>
  <c r="A478" i="56" a="1"/>
  <c r="A478" i="56" s="1"/>
  <c r="C478" i="56" s="1" a="1"/>
  <c r="C478" i="56" s="1"/>
  <c r="A477" i="56" a="1"/>
  <c r="A477" i="56" s="1"/>
  <c r="A476" i="56" a="1"/>
  <c r="A476" i="56" s="1"/>
  <c r="C476" i="56" s="1" a="1"/>
  <c r="C476" i="56" s="1"/>
  <c r="A475" i="56" a="1"/>
  <c r="A475" i="56" s="1"/>
  <c r="A474" i="56" a="1"/>
  <c r="A474" i="56" s="1"/>
  <c r="A473" i="56" a="1"/>
  <c r="A473" i="56" s="1"/>
  <c r="C473" i="56" s="1" a="1"/>
  <c r="C473" i="56" s="1"/>
  <c r="A472" i="56" a="1"/>
  <c r="A472" i="56" s="1"/>
  <c r="A471" i="56" a="1"/>
  <c r="A471" i="56" s="1"/>
  <c r="A470" i="56" a="1"/>
  <c r="A470" i="56" s="1"/>
  <c r="A469" i="56" a="1"/>
  <c r="A469" i="56" s="1"/>
  <c r="A468" i="56" a="1"/>
  <c r="A468" i="56" s="1"/>
  <c r="A467" i="56" a="1"/>
  <c r="A467" i="56" s="1"/>
  <c r="A466" i="56" a="1"/>
  <c r="A466" i="56" s="1"/>
  <c r="C466" i="56" s="1" a="1"/>
  <c r="C466" i="56" s="1"/>
  <c r="A465" i="56" a="1"/>
  <c r="A465" i="56" s="1"/>
  <c r="A464" i="56" a="1"/>
  <c r="A464" i="56" s="1"/>
  <c r="C464" i="56" s="1" a="1"/>
  <c r="C464" i="56" s="1"/>
  <c r="A463" i="56" a="1"/>
  <c r="A463" i="56" s="1"/>
  <c r="C463" i="56" s="1" a="1"/>
  <c r="C463" i="56" s="1"/>
  <c r="A462" i="56" a="1"/>
  <c r="A462" i="56" s="1"/>
  <c r="C462" i="56" s="1" a="1"/>
  <c r="C462" i="56" s="1"/>
  <c r="A461" i="56" a="1"/>
  <c r="A461" i="56" s="1"/>
  <c r="A460" i="56" a="1"/>
  <c r="A460" i="56" s="1"/>
  <c r="B460" i="56" s="1" a="1"/>
  <c r="B460" i="56" s="1"/>
  <c r="A459" i="56" a="1"/>
  <c r="A459" i="56" s="1"/>
  <c r="A458" i="56" a="1"/>
  <c r="A458" i="56" s="1"/>
  <c r="A457" i="56" a="1"/>
  <c r="A457" i="56" s="1"/>
  <c r="A456" i="56" a="1"/>
  <c r="A456" i="56" s="1"/>
  <c r="B456" i="56" s="1" a="1"/>
  <c r="B456" i="56" s="1"/>
  <c r="A455" i="56" a="1"/>
  <c r="A455" i="56" s="1"/>
  <c r="C455" i="56" s="1" a="1"/>
  <c r="C455" i="56" s="1"/>
  <c r="A454" i="56" a="1"/>
  <c r="A454" i="56" s="1"/>
  <c r="B454" i="56" s="1" a="1"/>
  <c r="B454" i="56" s="1"/>
  <c r="A453" i="56" a="1"/>
  <c r="A453" i="56" s="1"/>
  <c r="A452" i="56" a="1"/>
  <c r="A452" i="56" s="1"/>
  <c r="C452" i="56" s="1" a="1"/>
  <c r="C452" i="56" s="1"/>
  <c r="A451" i="56" a="1"/>
  <c r="A451" i="56" s="1"/>
  <c r="C451" i="56" s="1" a="1"/>
  <c r="C451" i="56" s="1"/>
  <c r="A450" i="56" a="1"/>
  <c r="A450" i="56" s="1"/>
  <c r="A449" i="56" a="1"/>
  <c r="A449" i="56" s="1"/>
  <c r="A448" i="56" a="1"/>
  <c r="A448" i="56" s="1"/>
  <c r="A447" i="56" a="1"/>
  <c r="A447" i="56" s="1"/>
  <c r="A446" i="56" a="1"/>
  <c r="A446" i="56" s="1"/>
  <c r="A445" i="56" a="1"/>
  <c r="A445" i="56" s="1"/>
  <c r="A444" i="56" a="1"/>
  <c r="A444" i="56" s="1"/>
  <c r="A443" i="56" a="1"/>
  <c r="A443" i="56" s="1"/>
  <c r="A442" i="56" a="1"/>
  <c r="A442" i="56" s="1"/>
  <c r="A441" i="56" a="1"/>
  <c r="A441" i="56" s="1"/>
  <c r="A440" i="56" a="1"/>
  <c r="A440" i="56" s="1"/>
  <c r="A500" i="56" a="1"/>
  <c r="A500" i="56" s="1"/>
  <c r="A499" i="56" a="1"/>
  <c r="A499" i="56" s="1"/>
  <c r="C499" i="56" s="1" a="1"/>
  <c r="C499" i="56" s="1"/>
  <c r="A498" i="56" a="1"/>
  <c r="A498" i="56" s="1"/>
  <c r="A497" i="56" a="1"/>
  <c r="A497" i="56" s="1"/>
  <c r="C497" i="56" s="1" a="1"/>
  <c r="C497" i="56" s="1"/>
  <c r="A496" i="56" a="1"/>
  <c r="A496" i="56" s="1"/>
  <c r="A495" i="56" a="1"/>
  <c r="A495" i="56" s="1"/>
  <c r="C495" i="56" s="1" a="1"/>
  <c r="C495" i="56" s="1"/>
  <c r="A494" i="56" a="1"/>
  <c r="A494" i="56" s="1"/>
  <c r="A493" i="56" a="1"/>
  <c r="A493" i="56" s="1"/>
  <c r="B493" i="56" s="1" a="1"/>
  <c r="B493" i="56" s="1"/>
  <c r="A492" i="56" a="1"/>
  <c r="A492" i="56" s="1"/>
  <c r="B492" i="56" s="1" a="1"/>
  <c r="B492" i="56" s="1"/>
  <c r="A491" i="56" a="1"/>
  <c r="A491" i="56" s="1"/>
  <c r="A490" i="56" a="1"/>
  <c r="A490" i="56" s="1"/>
  <c r="B490" i="56" s="1" a="1"/>
  <c r="B490" i="56" s="1"/>
  <c r="A489" i="56" a="1"/>
  <c r="A489" i="56" s="1"/>
  <c r="A488" i="56" a="1"/>
  <c r="A488" i="56" s="1"/>
  <c r="A487" i="56" a="1"/>
  <c r="A487" i="56" s="1"/>
  <c r="C487" i="56" s="1" a="1"/>
  <c r="C487" i="56" s="1"/>
  <c r="A486" i="56" a="1"/>
  <c r="A486" i="56" s="1"/>
  <c r="C486" i="56" s="1" a="1"/>
  <c r="C486" i="56" s="1"/>
  <c r="A485" i="56" a="1"/>
  <c r="A485" i="56" s="1"/>
  <c r="B485" i="56" s="1" a="1"/>
  <c r="B485" i="56" s="1"/>
  <c r="A484" i="56" a="1"/>
  <c r="A484" i="56" s="1"/>
  <c r="A483" i="56" a="1"/>
  <c r="A483" i="56" s="1"/>
  <c r="A482" i="56" a="1"/>
  <c r="A482" i="56" s="1"/>
  <c r="I205" i="59" a="1"/>
  <c r="I205" i="59" s="1"/>
  <c r="I208" i="59" a="1"/>
  <c r="I208" i="59" s="1"/>
  <c r="K208" i="59" s="1" a="1"/>
  <c r="K208" i="59" s="1"/>
  <c r="I206" i="59" a="1"/>
  <c r="I206" i="59" s="1"/>
  <c r="L206" i="59" s="1" a="1"/>
  <c r="L206" i="59" s="1"/>
  <c r="I207" i="59" a="1"/>
  <c r="I207" i="59" s="1"/>
  <c r="I399" i="59" a="1"/>
  <c r="I399" i="59" s="1"/>
  <c r="L399" i="59" s="1" a="1"/>
  <c r="L399" i="59" s="1"/>
  <c r="I397" i="59" a="1"/>
  <c r="I397" i="59" s="1"/>
  <c r="I398" i="59" a="1"/>
  <c r="I398" i="59" s="1"/>
  <c r="J398" i="59" s="1" a="1"/>
  <c r="J398" i="59" s="1"/>
  <c r="I402" i="59" a="1"/>
  <c r="I402" i="59" s="1"/>
  <c r="L402" i="59" s="1" a="1"/>
  <c r="L402" i="59" s="1"/>
  <c r="I404" i="59" a="1"/>
  <c r="I404" i="59" s="1"/>
  <c r="I401" i="59" a="1"/>
  <c r="I401" i="59" s="1"/>
  <c r="I403" i="59" a="1"/>
  <c r="I403" i="59" s="1"/>
  <c r="L403" i="59" s="1" a="1"/>
  <c r="L403" i="59" s="1"/>
  <c r="I400" i="59" a="1"/>
  <c r="I400" i="59" s="1"/>
  <c r="L400" i="59" s="1" a="1"/>
  <c r="L400" i="59" s="1"/>
  <c r="I396" i="59" a="1"/>
  <c r="I396" i="59" s="1"/>
  <c r="I395" i="59" a="1"/>
  <c r="I395" i="59" s="1"/>
  <c r="I394" i="59" a="1"/>
  <c r="I394" i="59" s="1"/>
  <c r="I393" i="59" a="1"/>
  <c r="I393" i="59" s="1"/>
  <c r="J393" i="59" s="1" a="1"/>
  <c r="J393" i="59" s="1"/>
  <c r="I391" i="59" a="1"/>
  <c r="I391" i="59" s="1"/>
  <c r="K391" i="59" s="1" a="1"/>
  <c r="K391" i="59" s="1"/>
  <c r="I392" i="59" a="1"/>
  <c r="I392" i="59" s="1"/>
  <c r="L392" i="59" s="1" a="1"/>
  <c r="L392" i="59" s="1"/>
  <c r="I390" i="59" a="1"/>
  <c r="I390" i="59" s="1"/>
  <c r="L390" i="59" s="1" a="1"/>
  <c r="L390" i="59" s="1"/>
  <c r="I221" i="59" a="1"/>
  <c r="I221" i="59" s="1"/>
  <c r="I220" i="59" a="1"/>
  <c r="I220" i="59" s="1"/>
  <c r="I219" i="59" a="1"/>
  <c r="I219" i="59" s="1"/>
  <c r="I223" i="59" a="1"/>
  <c r="I223" i="59" s="1"/>
  <c r="J223" i="59" s="1" a="1"/>
  <c r="J223" i="59" s="1"/>
  <c r="I222" i="59" a="1"/>
  <c r="I222" i="59" s="1"/>
  <c r="L222" i="59" s="1" a="1"/>
  <c r="L222" i="59" s="1"/>
  <c r="I210" i="59" a="1"/>
  <c r="I210" i="59" s="1"/>
  <c r="I209" i="59" a="1"/>
  <c r="I209" i="59" s="1"/>
  <c r="I218" i="59" a="1"/>
  <c r="I218" i="59" s="1"/>
  <c r="I217" i="59" a="1"/>
  <c r="I217" i="59" s="1"/>
  <c r="L217" i="59" s="1" a="1"/>
  <c r="L217" i="59" s="1"/>
  <c r="I216" i="59" a="1"/>
  <c r="I216" i="59" s="1"/>
  <c r="I215" i="59" a="1"/>
  <c r="I215" i="59" s="1"/>
  <c r="I212" i="59" a="1"/>
  <c r="I212" i="59" s="1"/>
  <c r="I213" i="59" a="1"/>
  <c r="I213" i="59" s="1"/>
  <c r="K213" i="59" s="1" a="1"/>
  <c r="K213" i="59" s="1"/>
  <c r="I211" i="59" a="1"/>
  <c r="I211" i="59" s="1"/>
  <c r="I214" i="59" a="1"/>
  <c r="I214" i="59" s="1"/>
  <c r="J214" i="59" s="1" a="1"/>
  <c r="J214" i="59" s="1"/>
  <c r="I389" i="59" a="1"/>
  <c r="I389" i="59" s="1"/>
  <c r="K389" i="59" s="1" a="1"/>
  <c r="K389" i="59" s="1"/>
  <c r="I388" i="59" a="1"/>
  <c r="I388" i="59" s="1"/>
  <c r="I387" i="59" a="1"/>
  <c r="I387" i="59" s="1"/>
  <c r="J387" i="59" s="1" a="1"/>
  <c r="J387" i="59" s="1"/>
  <c r="I386" i="59" a="1"/>
  <c r="I386" i="59" s="1"/>
  <c r="L386" i="59" s="1" a="1"/>
  <c r="L386" i="59" s="1"/>
  <c r="I385" i="59" a="1"/>
  <c r="I385" i="59" s="1"/>
  <c r="L385" i="59" s="1" a="1"/>
  <c r="L385" i="59" s="1"/>
  <c r="I384" i="59" a="1"/>
  <c r="I384" i="59" s="1"/>
  <c r="J384" i="59" s="1" a="1"/>
  <c r="J384" i="59" s="1"/>
  <c r="I383" i="59" a="1"/>
  <c r="I383" i="59" s="1"/>
  <c r="L383" i="59" s="1" a="1"/>
  <c r="L383" i="59" s="1"/>
  <c r="I382" i="59" a="1"/>
  <c r="I382" i="59" s="1"/>
  <c r="L382" i="59" s="1" a="1"/>
  <c r="L382" i="59" s="1"/>
  <c r="I381" i="59" a="1"/>
  <c r="I381" i="59" s="1"/>
  <c r="L381" i="59" s="1" a="1"/>
  <c r="L381" i="59" s="1"/>
  <c r="I380" i="59" a="1"/>
  <c r="I380" i="59" s="1"/>
  <c r="I379" i="59" a="1"/>
  <c r="I379" i="59" s="1"/>
  <c r="J379" i="59" s="1" a="1"/>
  <c r="J379" i="59" s="1"/>
  <c r="I378" i="59" a="1"/>
  <c r="I378" i="59" s="1"/>
  <c r="I377" i="59" a="1"/>
  <c r="I377" i="59" s="1"/>
  <c r="L377" i="59" s="1" a="1"/>
  <c r="L377" i="59" s="1"/>
  <c r="I376" i="59" a="1"/>
  <c r="I376" i="59" s="1"/>
  <c r="I375" i="59" a="1"/>
  <c r="I375" i="59" s="1"/>
  <c r="K375" i="59" s="1" a="1"/>
  <c r="K375" i="59" s="1"/>
  <c r="I374" i="59" a="1"/>
  <c r="I374" i="59" s="1"/>
  <c r="K374" i="59" s="1" a="1"/>
  <c r="K374" i="59" s="1"/>
  <c r="I373" i="59" a="1"/>
  <c r="I373" i="59" s="1"/>
  <c r="L373" i="59" s="1" a="1"/>
  <c r="L373" i="59" s="1"/>
  <c r="I372" i="59" a="1"/>
  <c r="I372" i="59" s="1"/>
  <c r="I371" i="59" a="1"/>
  <c r="I371" i="59" s="1"/>
  <c r="J371" i="59" s="1" a="1"/>
  <c r="J371" i="59" s="1"/>
  <c r="I370" i="59" a="1"/>
  <c r="I370" i="59" s="1"/>
  <c r="J370" i="59" s="1" a="1"/>
  <c r="J370" i="59" s="1"/>
  <c r="I369" i="59" a="1"/>
  <c r="I369" i="59" s="1"/>
  <c r="I368" i="59" a="1"/>
  <c r="I368" i="59" s="1"/>
  <c r="I367" i="59" a="1"/>
  <c r="I367" i="59" s="1"/>
  <c r="L367" i="59" s="1" a="1"/>
  <c r="L367" i="59" s="1"/>
  <c r="I366" i="59" a="1"/>
  <c r="I366" i="59" s="1"/>
  <c r="L366" i="59" s="1" a="1"/>
  <c r="L366" i="59" s="1"/>
  <c r="I365" i="59" a="1"/>
  <c r="I365" i="59" s="1"/>
  <c r="J365" i="59" s="1" a="1"/>
  <c r="J365" i="59" s="1"/>
  <c r="I364" i="59" a="1"/>
  <c r="I364" i="59" s="1"/>
  <c r="I363" i="59" a="1"/>
  <c r="I363" i="59" s="1"/>
  <c r="J363" i="59" s="1" a="1"/>
  <c r="J363" i="59" s="1"/>
  <c r="I362" i="59" a="1"/>
  <c r="I362" i="59" s="1"/>
  <c r="I361" i="59" a="1"/>
  <c r="I361" i="59" s="1"/>
  <c r="I360" i="59" a="1"/>
  <c r="I360" i="59" s="1"/>
  <c r="L360" i="59" s="1" a="1"/>
  <c r="L360" i="59" s="1"/>
  <c r="I359" i="59" a="1"/>
  <c r="I359" i="59" s="1"/>
  <c r="I358" i="59" a="1"/>
  <c r="I358" i="59" s="1"/>
  <c r="I357" i="59" a="1"/>
  <c r="I357" i="59" s="1"/>
  <c r="I356" i="59" a="1"/>
  <c r="I356" i="59" s="1"/>
  <c r="K356" i="59" s="1" a="1"/>
  <c r="K356" i="59" s="1"/>
  <c r="I355" i="59" a="1"/>
  <c r="I355" i="59" s="1"/>
  <c r="J355" i="59" s="1" a="1"/>
  <c r="J355" i="59" s="1"/>
  <c r="I354" i="59" a="1"/>
  <c r="I354" i="59" s="1"/>
  <c r="I353" i="59" a="1"/>
  <c r="I353" i="59" s="1"/>
  <c r="I352" i="59" a="1"/>
  <c r="I352" i="59" s="1"/>
  <c r="I351" i="59" a="1"/>
  <c r="I351" i="59" s="1"/>
  <c r="J351" i="59" s="1" a="1"/>
  <c r="J351" i="59" s="1"/>
  <c r="I350" i="59" a="1"/>
  <c r="I350" i="59" s="1"/>
  <c r="J350" i="59" s="1" a="1"/>
  <c r="J350" i="59" s="1"/>
  <c r="I349" i="59" a="1"/>
  <c r="I349" i="59" s="1"/>
  <c r="J349" i="59" s="1" a="1"/>
  <c r="J349" i="59" s="1"/>
  <c r="I447" i="59" a="1"/>
  <c r="I447" i="59" s="1"/>
  <c r="K447" i="59" s="1" a="1"/>
  <c r="K447" i="59" s="1"/>
  <c r="I446" i="59" a="1"/>
  <c r="I446" i="59" s="1"/>
  <c r="I445" i="59" a="1"/>
  <c r="I445" i="59" s="1"/>
  <c r="I444" i="59" a="1"/>
  <c r="I444" i="59" s="1"/>
  <c r="J444" i="59" s="1" a="1"/>
  <c r="J444" i="59" s="1"/>
  <c r="I443" i="59" a="1"/>
  <c r="I443" i="59" s="1"/>
  <c r="J443" i="59" s="1" a="1"/>
  <c r="J443" i="59" s="1"/>
  <c r="I442" i="59" a="1"/>
  <c r="I442" i="59" s="1"/>
  <c r="I441" i="59" a="1"/>
  <c r="I441" i="59" s="1"/>
  <c r="I440" i="59" a="1"/>
  <c r="I440" i="59" s="1"/>
  <c r="I439" i="59" a="1"/>
  <c r="I439" i="59" s="1"/>
  <c r="I438" i="59" a="1"/>
  <c r="I438" i="59" s="1"/>
  <c r="I437" i="59" a="1"/>
  <c r="I437" i="59" s="1"/>
  <c r="J437" i="59" s="1" a="1"/>
  <c r="J437" i="59" s="1"/>
  <c r="I436" i="59" a="1"/>
  <c r="I436" i="59" s="1"/>
  <c r="I435" i="59" a="1"/>
  <c r="I435" i="59" s="1"/>
  <c r="I434" i="59" a="1"/>
  <c r="I434" i="59" s="1"/>
  <c r="L434" i="59" s="1" a="1"/>
  <c r="L434" i="59" s="1"/>
  <c r="I433" i="59" a="1"/>
  <c r="I433" i="59" s="1"/>
  <c r="I432" i="59" a="1"/>
  <c r="I432" i="59" s="1"/>
  <c r="I431" i="59" a="1"/>
  <c r="I431" i="59" s="1"/>
  <c r="I430" i="59" a="1"/>
  <c r="I430" i="59" s="1"/>
  <c r="I429" i="59" a="1"/>
  <c r="I429" i="59" s="1"/>
  <c r="I428" i="59" a="1"/>
  <c r="I428" i="59" s="1"/>
  <c r="I427" i="59" a="1"/>
  <c r="I427" i="59" s="1"/>
  <c r="I426" i="59" a="1"/>
  <c r="I426" i="59" s="1"/>
  <c r="I425" i="59" a="1"/>
  <c r="I425" i="59" s="1"/>
  <c r="I424" i="59" a="1"/>
  <c r="I424" i="59" s="1"/>
  <c r="I423" i="59" a="1"/>
  <c r="I423" i="59" s="1"/>
  <c r="I422" i="59" a="1"/>
  <c r="I422" i="59" s="1"/>
  <c r="I421" i="59" a="1"/>
  <c r="I421" i="59" s="1"/>
  <c r="I420" i="59" a="1"/>
  <c r="I420" i="59" s="1"/>
  <c r="L420" i="59" s="1" a="1"/>
  <c r="L420" i="59" s="1"/>
  <c r="I419" i="59" a="1"/>
  <c r="I419" i="59" s="1"/>
  <c r="I418" i="59" a="1"/>
  <c r="I418" i="59" s="1"/>
  <c r="L418" i="59" s="1" a="1"/>
  <c r="L418" i="59" s="1"/>
  <c r="I417" i="59" a="1"/>
  <c r="I417" i="59" s="1"/>
  <c r="J417" i="59" s="1" a="1"/>
  <c r="J417" i="59" s="1"/>
  <c r="I416" i="59" a="1"/>
  <c r="I416" i="59" s="1"/>
  <c r="J416" i="59" s="1" a="1"/>
  <c r="J416" i="59" s="1"/>
  <c r="I415" i="59" a="1"/>
  <c r="I415" i="59" s="1"/>
  <c r="J415" i="59" s="1" a="1"/>
  <c r="J415" i="59" s="1"/>
  <c r="I414" i="59" a="1"/>
  <c r="I414" i="59" s="1"/>
  <c r="I413" i="59" a="1"/>
  <c r="I413" i="59" s="1"/>
  <c r="I412" i="59" a="1"/>
  <c r="I412" i="59" s="1"/>
  <c r="I411" i="59" a="1"/>
  <c r="I411" i="59" s="1"/>
  <c r="J411" i="59" s="1" a="1"/>
  <c r="J411" i="59" s="1"/>
  <c r="I410" i="59" a="1"/>
  <c r="I410" i="59" s="1"/>
  <c r="I409" i="59" a="1"/>
  <c r="I409" i="59" s="1"/>
  <c r="I408" i="59" a="1"/>
  <c r="I408" i="59" s="1"/>
  <c r="I407" i="59" a="1"/>
  <c r="I407" i="59" s="1"/>
  <c r="I406" i="59" a="1"/>
  <c r="I406" i="59" s="1"/>
  <c r="I405" i="59" a="1"/>
  <c r="I405" i="59" s="1"/>
  <c r="K405" i="59" s="1" a="1"/>
  <c r="K405" i="59" s="1"/>
  <c r="I264" i="59" a="1"/>
  <c r="I264" i="59" s="1"/>
  <c r="I263" i="59" a="1"/>
  <c r="I263" i="59" s="1"/>
  <c r="I262" i="59" a="1"/>
  <c r="I262" i="59" s="1"/>
  <c r="I261" i="59" a="1"/>
  <c r="I261" i="59" s="1"/>
  <c r="I260" i="59" a="1"/>
  <c r="I260" i="59" s="1"/>
  <c r="L260" i="59" s="1" a="1"/>
  <c r="L260" i="59" s="1"/>
  <c r="I259" i="59" a="1"/>
  <c r="I259" i="59" s="1"/>
  <c r="I258" i="59" a="1"/>
  <c r="I258" i="59" s="1"/>
  <c r="I257" i="59" a="1"/>
  <c r="I257" i="59" s="1"/>
  <c r="I256" i="59" a="1"/>
  <c r="I256" i="59" s="1"/>
  <c r="K256" i="59" s="1" a="1"/>
  <c r="K256" i="59" s="1"/>
  <c r="I255" i="59" a="1"/>
  <c r="I255" i="59" s="1"/>
  <c r="K255" i="59" s="1" a="1"/>
  <c r="K255" i="59" s="1"/>
  <c r="I254" i="59" a="1"/>
  <c r="I254" i="59" s="1"/>
  <c r="I253" i="59" a="1"/>
  <c r="I253" i="59" s="1"/>
  <c r="I252" i="59" a="1"/>
  <c r="I252" i="59" s="1"/>
  <c r="L252" i="59" s="1" a="1"/>
  <c r="L252" i="59" s="1"/>
  <c r="I251" i="59" a="1"/>
  <c r="I251" i="59" s="1"/>
  <c r="I250" i="59" a="1"/>
  <c r="I250" i="59" s="1"/>
  <c r="K250" i="59" s="1" a="1"/>
  <c r="K250" i="59" s="1"/>
  <c r="I249" i="59" a="1"/>
  <c r="I249" i="59" s="1"/>
  <c r="J249" i="59" s="1" a="1"/>
  <c r="J249" i="59" s="1"/>
  <c r="I248" i="59" a="1"/>
  <c r="I248" i="59" s="1"/>
  <c r="I247" i="59" a="1"/>
  <c r="I247" i="59" s="1"/>
  <c r="I246" i="59" a="1"/>
  <c r="I246" i="59" s="1"/>
  <c r="I245" i="59" a="1"/>
  <c r="I245" i="59" s="1"/>
  <c r="L245" i="59" s="1" a="1"/>
  <c r="L245" i="59" s="1"/>
  <c r="I244" i="59" a="1"/>
  <c r="I244" i="59" s="1"/>
  <c r="I243" i="59" a="1"/>
  <c r="I243" i="59" s="1"/>
  <c r="I242" i="59" a="1"/>
  <c r="I242" i="59" s="1"/>
  <c r="K242" i="59" s="1" a="1"/>
  <c r="K242" i="59" s="1"/>
  <c r="I241" i="59" a="1"/>
  <c r="I241" i="59" s="1"/>
  <c r="J241" i="59" s="1" a="1"/>
  <c r="J241" i="59" s="1"/>
  <c r="I240" i="59" a="1"/>
  <c r="I240" i="59" s="1"/>
  <c r="I239" i="59" a="1"/>
  <c r="I239" i="59" s="1"/>
  <c r="J239" i="59" s="1" a="1"/>
  <c r="J239" i="59" s="1"/>
  <c r="I238" i="59" a="1"/>
  <c r="I238" i="59" s="1"/>
  <c r="K238" i="59" s="1" a="1"/>
  <c r="K238" i="59" s="1"/>
  <c r="I237" i="59" a="1"/>
  <c r="I237" i="59" s="1"/>
  <c r="I236" i="59" a="1"/>
  <c r="I236" i="59" s="1"/>
  <c r="I235" i="59" a="1"/>
  <c r="I235" i="59" s="1"/>
  <c r="I234" i="59" a="1"/>
  <c r="I234" i="59" s="1"/>
  <c r="I233" i="59" a="1"/>
  <c r="I233" i="59" s="1"/>
  <c r="I232" i="59" a="1"/>
  <c r="I232" i="59" s="1"/>
  <c r="I231" i="59" a="1"/>
  <c r="I231" i="59" s="1"/>
  <c r="J231" i="59" s="1" a="1"/>
  <c r="J231" i="59" s="1"/>
  <c r="I230" i="59" a="1"/>
  <c r="I230" i="59" s="1"/>
  <c r="K230" i="59" s="1" a="1"/>
  <c r="K230" i="59" s="1"/>
  <c r="I229" i="59" a="1"/>
  <c r="I229" i="59" s="1"/>
  <c r="I228" i="59" a="1"/>
  <c r="I228" i="59" s="1"/>
  <c r="J228" i="59" s="1" a="1"/>
  <c r="J228" i="59" s="1"/>
  <c r="I227" i="59" a="1"/>
  <c r="I227" i="59" s="1"/>
  <c r="J227" i="59" s="1" a="1"/>
  <c r="J227" i="59" s="1"/>
  <c r="I226" i="59" a="1"/>
  <c r="I226" i="59" s="1"/>
  <c r="I225" i="59" a="1"/>
  <c r="I225" i="59" s="1"/>
  <c r="I307" i="59" a="1"/>
  <c r="I307" i="59" s="1"/>
  <c r="I306" i="59" a="1"/>
  <c r="I306" i="59" s="1"/>
  <c r="J306" i="59" s="1" a="1"/>
  <c r="J306" i="59" s="1"/>
  <c r="I305" i="59" a="1"/>
  <c r="I305" i="59" s="1"/>
  <c r="L305" i="59" s="1" a="1"/>
  <c r="L305" i="59" s="1"/>
  <c r="I304" i="59" a="1"/>
  <c r="I304" i="59" s="1"/>
  <c r="L304" i="59" s="1" a="1"/>
  <c r="L304" i="59" s="1"/>
  <c r="I303" i="59" a="1"/>
  <c r="I303" i="59" s="1"/>
  <c r="J303" i="59" s="1" a="1"/>
  <c r="J303" i="59" s="1"/>
  <c r="I302" i="59" a="1"/>
  <c r="I302" i="59" s="1"/>
  <c r="I301" i="59" a="1"/>
  <c r="I301" i="59" s="1"/>
  <c r="L301" i="59" s="1" a="1"/>
  <c r="L301" i="59" s="1"/>
  <c r="I300" i="59" a="1"/>
  <c r="I300" i="59" s="1"/>
  <c r="L300" i="59" s="1" a="1"/>
  <c r="L300" i="59" s="1"/>
  <c r="I299" i="59" a="1"/>
  <c r="I299" i="59" s="1"/>
  <c r="I298" i="59" a="1"/>
  <c r="I298" i="59" s="1"/>
  <c r="J298" i="59" s="1" a="1"/>
  <c r="J298" i="59" s="1"/>
  <c r="I297" i="59" a="1"/>
  <c r="I297" i="59" s="1"/>
  <c r="L297" i="59" s="1" a="1"/>
  <c r="L297" i="59" s="1"/>
  <c r="I296" i="59" a="1"/>
  <c r="I296" i="59" s="1"/>
  <c r="I295" i="59" a="1"/>
  <c r="I295" i="59" s="1"/>
  <c r="I294" i="59" a="1"/>
  <c r="I294" i="59" s="1"/>
  <c r="I293" i="59" a="1"/>
  <c r="I293" i="59" s="1"/>
  <c r="J293" i="59" s="1" a="1"/>
  <c r="J293" i="59" s="1"/>
  <c r="I292" i="59" a="1"/>
  <c r="I292" i="59" s="1"/>
  <c r="J292" i="59" s="1" a="1"/>
  <c r="J292" i="59" s="1"/>
  <c r="I291" i="59" a="1"/>
  <c r="I291" i="59" s="1"/>
  <c r="I290" i="59" a="1"/>
  <c r="I290" i="59" s="1"/>
  <c r="J290" i="59" s="1" a="1"/>
  <c r="J290" i="59" s="1"/>
  <c r="I289" i="59" a="1"/>
  <c r="I289" i="59" s="1"/>
  <c r="I288" i="59" a="1"/>
  <c r="I288" i="59" s="1"/>
  <c r="K288" i="59" s="1" a="1"/>
  <c r="K288" i="59" s="1"/>
  <c r="I287" i="59" a="1"/>
  <c r="I287" i="59" s="1"/>
  <c r="I286" i="59" a="1"/>
  <c r="I286" i="59" s="1"/>
  <c r="K286" i="59" s="1" a="1"/>
  <c r="K286" i="59" s="1"/>
  <c r="I285" i="59" a="1"/>
  <c r="I285" i="59" s="1"/>
  <c r="K285" i="59" s="1" a="1"/>
  <c r="K285" i="59" s="1"/>
  <c r="I284" i="59" a="1"/>
  <c r="I284" i="59" s="1"/>
  <c r="I283" i="59" a="1"/>
  <c r="I283" i="59" s="1"/>
  <c r="I282" i="59" a="1"/>
  <c r="I282" i="59" s="1"/>
  <c r="K282" i="59" s="1" a="1"/>
  <c r="K282" i="59" s="1"/>
  <c r="I281" i="59" a="1"/>
  <c r="I281" i="59" s="1"/>
  <c r="I280" i="59" a="1"/>
  <c r="I280" i="59" s="1"/>
  <c r="J280" i="59" s="1" a="1"/>
  <c r="J280" i="59" s="1"/>
  <c r="I279" i="59" a="1"/>
  <c r="I279" i="59" s="1"/>
  <c r="J279" i="59" s="1" a="1"/>
  <c r="J279" i="59" s="1"/>
  <c r="I278" i="59" a="1"/>
  <c r="I278" i="59" s="1"/>
  <c r="L278" i="59" s="1" a="1"/>
  <c r="L278" i="59" s="1"/>
  <c r="I277" i="59" a="1"/>
  <c r="I277" i="59" s="1"/>
  <c r="K277" i="59" s="1" a="1"/>
  <c r="K277" i="59" s="1"/>
  <c r="I276" i="59" a="1"/>
  <c r="I276" i="59" s="1"/>
  <c r="I275" i="59" a="1"/>
  <c r="I275" i="59" s="1"/>
  <c r="K275" i="59" s="1" a="1"/>
  <c r="K275" i="59" s="1"/>
  <c r="I274" i="59" a="1"/>
  <c r="I274" i="59" s="1"/>
  <c r="I273" i="59" a="1"/>
  <c r="I273" i="59" s="1"/>
  <c r="J273" i="59" s="1" a="1"/>
  <c r="J273" i="59" s="1"/>
  <c r="I272" i="59" a="1"/>
  <c r="I272" i="59" s="1"/>
  <c r="J272" i="59" s="1" a="1"/>
  <c r="J272" i="59" s="1"/>
  <c r="I271" i="59" a="1"/>
  <c r="I271" i="59" s="1"/>
  <c r="J271" i="59" s="1" a="1"/>
  <c r="J271" i="59" s="1"/>
  <c r="I270" i="59" a="1"/>
  <c r="I270" i="59" s="1"/>
  <c r="I269" i="59" a="1"/>
  <c r="I269" i="59" s="1"/>
  <c r="I268" i="59" a="1"/>
  <c r="I268" i="59" s="1"/>
  <c r="I267" i="59" a="1"/>
  <c r="I267" i="59" s="1"/>
  <c r="K267" i="59" s="1" a="1"/>
  <c r="K267" i="59" s="1"/>
  <c r="I266" i="59" a="1"/>
  <c r="I266" i="59" s="1"/>
  <c r="I265" i="59" a="1"/>
  <c r="I265" i="59" s="1"/>
  <c r="K265" i="59" s="1" a="1"/>
  <c r="K265" i="59" s="1"/>
  <c r="I348" i="59" a="1"/>
  <c r="I348" i="59" s="1"/>
  <c r="I347" i="59" a="1"/>
  <c r="I347" i="59" s="1"/>
  <c r="I346" i="59" a="1"/>
  <c r="I346" i="59" s="1"/>
  <c r="I345" i="59" a="1"/>
  <c r="I345" i="59" s="1"/>
  <c r="I344" i="59" a="1"/>
  <c r="I344" i="59" s="1"/>
  <c r="I343" i="59" a="1"/>
  <c r="I343" i="59" s="1"/>
  <c r="I342" i="59" a="1"/>
  <c r="I342" i="59" s="1"/>
  <c r="J342" i="59" s="1" a="1"/>
  <c r="J342" i="59" s="1"/>
  <c r="I341" i="59" a="1"/>
  <c r="I341" i="59" s="1"/>
  <c r="I340" i="59" a="1"/>
  <c r="I340" i="59" s="1"/>
  <c r="I339" i="59" a="1"/>
  <c r="I339" i="59" s="1"/>
  <c r="K339" i="59" s="1" a="1"/>
  <c r="K339" i="59" s="1"/>
  <c r="I338" i="59" a="1"/>
  <c r="I338" i="59" s="1"/>
  <c r="K338" i="59" s="1" a="1"/>
  <c r="K338" i="59" s="1"/>
  <c r="I337" i="59" a="1"/>
  <c r="I337" i="59" s="1"/>
  <c r="I336" i="59" a="1"/>
  <c r="I336" i="59" s="1"/>
  <c r="I335" i="59" a="1"/>
  <c r="I335" i="59" s="1"/>
  <c r="K335" i="59" s="1" a="1"/>
  <c r="K335" i="59" s="1"/>
  <c r="I334" i="59" a="1"/>
  <c r="I334" i="59" s="1"/>
  <c r="I333" i="59" a="1"/>
  <c r="I333" i="59" s="1"/>
  <c r="L333" i="59" s="1" a="1"/>
  <c r="L333" i="59" s="1"/>
  <c r="I332" i="59" a="1"/>
  <c r="I332" i="59" s="1"/>
  <c r="I331" i="59" a="1"/>
  <c r="I331" i="59" s="1"/>
  <c r="K331" i="59" s="1" a="1"/>
  <c r="K331" i="59" s="1"/>
  <c r="I330" i="59" a="1"/>
  <c r="I330" i="59" s="1"/>
  <c r="K330" i="59" s="1" a="1"/>
  <c r="K330" i="59" s="1"/>
  <c r="I329" i="59" a="1"/>
  <c r="I329" i="59" s="1"/>
  <c r="L329" i="59" s="1" a="1"/>
  <c r="L329" i="59" s="1"/>
  <c r="I328" i="59" a="1"/>
  <c r="I328" i="59" s="1"/>
  <c r="I327" i="59" a="1"/>
  <c r="I327" i="59" s="1"/>
  <c r="I326" i="59" a="1"/>
  <c r="I326" i="59" s="1"/>
  <c r="J326" i="59" s="1" a="1"/>
  <c r="J326" i="59" s="1"/>
  <c r="I325" i="59" a="1"/>
  <c r="I325" i="59" s="1"/>
  <c r="I324" i="59" a="1"/>
  <c r="I324" i="59" s="1"/>
  <c r="K324" i="59" s="1" a="1"/>
  <c r="K324" i="59" s="1"/>
  <c r="I323" i="59" a="1"/>
  <c r="I323" i="59" s="1"/>
  <c r="I322" i="59" a="1"/>
  <c r="I322" i="59" s="1"/>
  <c r="I321" i="59" a="1"/>
  <c r="I321" i="59" s="1"/>
  <c r="I320" i="59" a="1"/>
  <c r="I320" i="59" s="1"/>
  <c r="L320" i="59" s="1" a="1"/>
  <c r="L320" i="59" s="1"/>
  <c r="I319" i="59" a="1"/>
  <c r="I319" i="59" s="1"/>
  <c r="L319" i="59" s="1" a="1"/>
  <c r="L319" i="59" s="1"/>
  <c r="I318" i="59" a="1"/>
  <c r="I318" i="59" s="1"/>
  <c r="J318" i="59" s="1" a="1"/>
  <c r="J318" i="59" s="1"/>
  <c r="I317" i="59" a="1"/>
  <c r="I317" i="59" s="1"/>
  <c r="I316" i="59" a="1"/>
  <c r="I316" i="59" s="1"/>
  <c r="J316" i="59" s="1" a="1"/>
  <c r="J316" i="59" s="1"/>
  <c r="I315" i="59" a="1"/>
  <c r="I315" i="59" s="1"/>
  <c r="K315" i="59" s="1" a="1"/>
  <c r="K315" i="59" s="1"/>
  <c r="I314" i="59" a="1"/>
  <c r="I314" i="59" s="1"/>
  <c r="I313" i="59" a="1"/>
  <c r="I313" i="59" s="1"/>
  <c r="K313" i="59" s="1" a="1"/>
  <c r="K313" i="59" s="1"/>
  <c r="I312" i="59" a="1"/>
  <c r="I312" i="59" s="1"/>
  <c r="I311" i="59" a="1"/>
  <c r="I311" i="59" s="1"/>
  <c r="J311" i="59" s="1" a="1"/>
  <c r="J311" i="59" s="1"/>
  <c r="I310" i="59" a="1"/>
  <c r="I310" i="59" s="1"/>
  <c r="J310" i="59" s="1" a="1"/>
  <c r="J310" i="59" s="1"/>
  <c r="I309" i="59" a="1"/>
  <c r="I309" i="59" s="1"/>
  <c r="I308" i="59" a="1"/>
  <c r="I308" i="59" s="1"/>
  <c r="I163" i="59" a="1"/>
  <c r="I163" i="59" s="1"/>
  <c r="J163" i="59" s="1" a="1"/>
  <c r="J163" i="59" s="1"/>
  <c r="I162" i="59" a="1"/>
  <c r="I162" i="59" s="1"/>
  <c r="I161" i="59" a="1"/>
  <c r="I161" i="59" s="1"/>
  <c r="J161" i="59" s="1" a="1"/>
  <c r="J161" i="59" s="1"/>
  <c r="I160" i="59" a="1"/>
  <c r="I160" i="59" s="1"/>
  <c r="J160" i="59" s="1" a="1"/>
  <c r="J160" i="59" s="1"/>
  <c r="I159" i="59" a="1"/>
  <c r="I159" i="59" s="1"/>
  <c r="I158" i="59" a="1"/>
  <c r="I158" i="59" s="1"/>
  <c r="K158" i="59" s="1" a="1"/>
  <c r="K158" i="59" s="1"/>
  <c r="I157" i="59" a="1"/>
  <c r="I157" i="59" s="1"/>
  <c r="I156" i="59" a="1"/>
  <c r="I156" i="59" s="1"/>
  <c r="I155" i="59" a="1"/>
  <c r="I155" i="59" s="1"/>
  <c r="K155" i="59" s="1" a="1"/>
  <c r="K155" i="59" s="1"/>
  <c r="I154" i="59" a="1"/>
  <c r="I154" i="59" s="1"/>
  <c r="I204" i="59" a="1"/>
  <c r="I204" i="59" s="1"/>
  <c r="I203" i="59" a="1"/>
  <c r="I203" i="59" s="1"/>
  <c r="I202" i="59" a="1"/>
  <c r="I202" i="59" s="1"/>
  <c r="I201" i="59" a="1"/>
  <c r="I201" i="59" s="1"/>
  <c r="L201" i="59" s="1" a="1"/>
  <c r="L201" i="59" s="1"/>
  <c r="I200" i="59" a="1"/>
  <c r="I200" i="59" s="1"/>
  <c r="L200" i="59" s="1" a="1"/>
  <c r="L200" i="59" s="1"/>
  <c r="I199" i="59" a="1"/>
  <c r="I199" i="59" s="1"/>
  <c r="J199" i="59" s="1" a="1"/>
  <c r="J199" i="59" s="1"/>
  <c r="I198" i="59" a="1"/>
  <c r="I198" i="59" s="1"/>
  <c r="L198" i="59" s="1" a="1"/>
  <c r="L198" i="59" s="1"/>
  <c r="I197" i="59" a="1"/>
  <c r="I197" i="59" s="1"/>
  <c r="I196" i="59" a="1"/>
  <c r="I196" i="59" s="1"/>
  <c r="J196" i="59" s="1" a="1"/>
  <c r="J196" i="59" s="1"/>
  <c r="I195" i="59" a="1"/>
  <c r="I195" i="59" s="1"/>
  <c r="L195" i="59" s="1" a="1"/>
  <c r="L195" i="59" s="1"/>
  <c r="I194" i="59" a="1"/>
  <c r="I194" i="59" s="1"/>
  <c r="L194" i="59" s="1" a="1"/>
  <c r="L194" i="59" s="1"/>
  <c r="I193" i="59" a="1"/>
  <c r="I193" i="59" s="1"/>
  <c r="K193" i="59" s="1" a="1"/>
  <c r="K193" i="59" s="1"/>
  <c r="I192" i="59" a="1"/>
  <c r="I192" i="59" s="1"/>
  <c r="L192" i="59" s="1" a="1"/>
  <c r="L192" i="59" s="1"/>
  <c r="I191" i="59" a="1"/>
  <c r="I191" i="59" s="1"/>
  <c r="J191" i="59" s="1" a="1"/>
  <c r="J191" i="59" s="1"/>
  <c r="I190" i="59" a="1"/>
  <c r="I190" i="59" s="1"/>
  <c r="J190" i="59" s="1" a="1"/>
  <c r="J190" i="59" s="1"/>
  <c r="I189" i="59" a="1"/>
  <c r="I189" i="59" s="1"/>
  <c r="I188" i="59" a="1"/>
  <c r="I188" i="59" s="1"/>
  <c r="I187" i="59" a="1"/>
  <c r="I187" i="59" s="1"/>
  <c r="L187" i="59" s="1" a="1"/>
  <c r="L187" i="59" s="1"/>
  <c r="I186" i="59" a="1"/>
  <c r="I186" i="59" s="1"/>
  <c r="K186" i="59" s="1" a="1"/>
  <c r="K186" i="59" s="1"/>
  <c r="I185" i="59" a="1"/>
  <c r="I185" i="59" s="1"/>
  <c r="I184" i="59" a="1"/>
  <c r="I184" i="59" s="1"/>
  <c r="L184" i="59" s="1" a="1"/>
  <c r="L184" i="59" s="1"/>
  <c r="I183" i="59" a="1"/>
  <c r="I183" i="59" s="1"/>
  <c r="I182" i="59" a="1"/>
  <c r="I182" i="59" s="1"/>
  <c r="J182" i="59" s="1" a="1"/>
  <c r="J182" i="59" s="1"/>
  <c r="I181" i="59" a="1"/>
  <c r="I181" i="59" s="1"/>
  <c r="I180" i="59" a="1"/>
  <c r="I180" i="59" s="1"/>
  <c r="L180" i="59" s="1" a="1"/>
  <c r="L180" i="59" s="1"/>
  <c r="I179" i="59" a="1"/>
  <c r="I179" i="59" s="1"/>
  <c r="L179" i="59" s="1" a="1"/>
  <c r="L179" i="59" s="1"/>
  <c r="I178" i="59" a="1"/>
  <c r="I178" i="59" s="1"/>
  <c r="L178" i="59" s="1" a="1"/>
  <c r="L178" i="59" s="1"/>
  <c r="I177" i="59" a="1"/>
  <c r="I177" i="59" s="1"/>
  <c r="I176" i="59" a="1"/>
  <c r="I176" i="59" s="1"/>
  <c r="L176" i="59" s="1" a="1"/>
  <c r="L176" i="59" s="1"/>
  <c r="I175" i="59" a="1"/>
  <c r="I175" i="59" s="1"/>
  <c r="I174" i="59" a="1"/>
  <c r="I174" i="59" s="1"/>
  <c r="I173" i="59" a="1"/>
  <c r="I173" i="59" s="1"/>
  <c r="L173" i="59" s="1" a="1"/>
  <c r="L173" i="59" s="1"/>
  <c r="I172" i="59" a="1"/>
  <c r="I172" i="59" s="1"/>
  <c r="I171" i="59" a="1"/>
  <c r="I171" i="59" s="1"/>
  <c r="I170" i="59" a="1"/>
  <c r="I170" i="59" s="1"/>
  <c r="I169" i="59" a="1"/>
  <c r="I169" i="59" s="1"/>
  <c r="L169" i="59" s="1" a="1"/>
  <c r="L169" i="59" s="1"/>
  <c r="I168" i="59" a="1"/>
  <c r="I168" i="59" s="1"/>
  <c r="I167" i="59" a="1"/>
  <c r="I167" i="59" s="1"/>
  <c r="I166" i="59" a="1"/>
  <c r="I166" i="59" s="1"/>
  <c r="L166" i="59" s="1" a="1"/>
  <c r="L166" i="59" s="1"/>
  <c r="I165" i="59" a="1"/>
  <c r="I165" i="59" s="1"/>
  <c r="I164" i="59" a="1"/>
  <c r="I164" i="59" s="1"/>
  <c r="L164" i="59" s="1" a="1"/>
  <c r="L164" i="59" s="1"/>
  <c r="I16" i="59" a="1"/>
  <c r="I16" i="59" s="1"/>
  <c r="I15" i="59" a="1"/>
  <c r="I15" i="59" s="1"/>
  <c r="J15" i="59" s="1" a="1"/>
  <c r="J15" i="59" s="1"/>
  <c r="I11" i="59" a="1"/>
  <c r="I11" i="59" s="1"/>
  <c r="I10" i="59" a="1"/>
  <c r="I10" i="59" s="1"/>
  <c r="K10" i="59" s="1" a="1"/>
  <c r="K10" i="59" s="1"/>
  <c r="I9" i="59" a="1"/>
  <c r="I9" i="59" s="1"/>
  <c r="L9" i="59" s="1" a="1"/>
  <c r="L9" i="59" s="1"/>
  <c r="I8" i="59" a="1"/>
  <c r="I8" i="59" s="1"/>
  <c r="L8" i="59" s="1" a="1"/>
  <c r="L8" i="59" s="1"/>
  <c r="I7" i="59" a="1"/>
  <c r="I7" i="59" s="1"/>
  <c r="J7" i="59" s="1" a="1"/>
  <c r="J7" i="59" s="1"/>
  <c r="I6" i="59" a="1"/>
  <c r="I6" i="59" s="1"/>
  <c r="L6" i="59" s="1" a="1"/>
  <c r="L6" i="59" s="1"/>
  <c r="I5" i="59" a="1"/>
  <c r="I5" i="59" s="1"/>
  <c r="I4" i="59" a="1"/>
  <c r="I4" i="59" s="1"/>
  <c r="L4" i="59" s="1" a="1"/>
  <c r="L4" i="59" s="1"/>
  <c r="I487" i="59" a="1"/>
  <c r="I487" i="59" s="1"/>
  <c r="I486" i="59" a="1"/>
  <c r="I486" i="59" s="1"/>
  <c r="K486" i="59" s="1" a="1"/>
  <c r="K486" i="59" s="1"/>
  <c r="I485" i="59" a="1"/>
  <c r="I485" i="59" s="1"/>
  <c r="I484" i="59" a="1"/>
  <c r="I484" i="59" s="1"/>
  <c r="L484" i="59" s="1" a="1"/>
  <c r="L484" i="59" s="1"/>
  <c r="I483" i="59" a="1"/>
  <c r="I483" i="59" s="1"/>
  <c r="K483" i="59" s="1" a="1"/>
  <c r="K483" i="59" s="1"/>
  <c r="I482" i="59" a="1"/>
  <c r="I482" i="59" s="1"/>
  <c r="I481" i="59" a="1"/>
  <c r="I481" i="59" s="1"/>
  <c r="K481" i="59" s="1" a="1"/>
  <c r="K481" i="59" s="1"/>
  <c r="I480" i="59" a="1"/>
  <c r="I480" i="59" s="1"/>
  <c r="I479" i="59" a="1"/>
  <c r="I479" i="59" s="1"/>
  <c r="I478" i="59" a="1"/>
  <c r="I478" i="59" s="1"/>
  <c r="K478" i="59" s="1" a="1"/>
  <c r="K478" i="59" s="1"/>
  <c r="I477" i="59" a="1"/>
  <c r="I477" i="59" s="1"/>
  <c r="L477" i="59" s="1" a="1"/>
  <c r="L477" i="59" s="1"/>
  <c r="I476" i="59" a="1"/>
  <c r="I476" i="59" s="1"/>
  <c r="I475" i="59" a="1"/>
  <c r="I475" i="59" s="1"/>
  <c r="I474" i="59" a="1"/>
  <c r="I474" i="59" s="1"/>
  <c r="K474" i="59" s="1" a="1"/>
  <c r="K474" i="59" s="1"/>
  <c r="I473" i="59" a="1"/>
  <c r="I473" i="59" s="1"/>
  <c r="I472" i="59" a="1"/>
  <c r="I472" i="59" s="1"/>
  <c r="J472" i="59" s="1" a="1"/>
  <c r="J472" i="59" s="1"/>
  <c r="I471" i="59" a="1"/>
  <c r="I471" i="59" s="1"/>
  <c r="I470" i="59" a="1"/>
  <c r="I470" i="59" s="1"/>
  <c r="L470" i="59" s="1" a="1"/>
  <c r="L470" i="59" s="1"/>
  <c r="I469" i="59" a="1"/>
  <c r="I469" i="59" s="1"/>
  <c r="J469" i="59" s="1" a="1"/>
  <c r="J469" i="59" s="1"/>
  <c r="I468" i="59" a="1"/>
  <c r="I468" i="59" s="1"/>
  <c r="L468" i="59" s="1" a="1"/>
  <c r="L468" i="59" s="1"/>
  <c r="I467" i="59" a="1"/>
  <c r="I467" i="59" s="1"/>
  <c r="L467" i="59" s="1" a="1"/>
  <c r="L467" i="59" s="1"/>
  <c r="I466" i="59" a="1"/>
  <c r="I466" i="59" s="1"/>
  <c r="J466" i="59" s="1" a="1"/>
  <c r="J466" i="59" s="1"/>
  <c r="I465" i="59" a="1"/>
  <c r="I465" i="59" s="1"/>
  <c r="J465" i="59" s="1" a="1"/>
  <c r="J465" i="59" s="1"/>
  <c r="I464" i="59" a="1"/>
  <c r="I464" i="59" s="1"/>
  <c r="I463" i="59" a="1"/>
  <c r="I463" i="59" s="1"/>
  <c r="L463" i="59" s="1" a="1"/>
  <c r="L463" i="59" s="1"/>
  <c r="I462" i="59" a="1"/>
  <c r="I462" i="59" s="1"/>
  <c r="K462" i="59" s="1" a="1"/>
  <c r="K462" i="59" s="1"/>
  <c r="I461" i="59" a="1"/>
  <c r="I461" i="59" s="1"/>
  <c r="I460" i="59" a="1"/>
  <c r="I460" i="59" s="1"/>
  <c r="L460" i="59" s="1" a="1"/>
  <c r="L460" i="59" s="1"/>
  <c r="I459" i="59" a="1"/>
  <c r="I459" i="59" s="1"/>
  <c r="I458" i="59" a="1"/>
  <c r="I458" i="59" s="1"/>
  <c r="L458" i="59" s="1" a="1"/>
  <c r="L458" i="59" s="1"/>
  <c r="I457" i="59" a="1"/>
  <c r="I457" i="59" s="1"/>
  <c r="I456" i="59" a="1"/>
  <c r="I456" i="59" s="1"/>
  <c r="I455" i="59" a="1"/>
  <c r="I455" i="59" s="1"/>
  <c r="L455" i="59" s="1" a="1"/>
  <c r="L455" i="59" s="1"/>
  <c r="I454" i="59" a="1"/>
  <c r="I454" i="59" s="1"/>
  <c r="K454" i="59" s="1" a="1"/>
  <c r="K454" i="59" s="1"/>
  <c r="I453" i="59" a="1"/>
  <c r="I453" i="59" s="1"/>
  <c r="K453" i="59" s="1" a="1"/>
  <c r="K453" i="59" s="1"/>
  <c r="I452" i="59" a="1"/>
  <c r="I452" i="59" s="1"/>
  <c r="J452" i="59" s="1" a="1"/>
  <c r="J452" i="59" s="1"/>
  <c r="I451" i="59" a="1"/>
  <c r="I451" i="59" s="1"/>
  <c r="I450" i="59" a="1"/>
  <c r="I450" i="59" s="1"/>
  <c r="J450" i="59" s="1" a="1"/>
  <c r="J450" i="59" s="1"/>
  <c r="I449" i="59" a="1"/>
  <c r="I449" i="59" s="1"/>
  <c r="K449" i="59" s="1" a="1"/>
  <c r="K449" i="59" s="1"/>
  <c r="I448" i="59" a="1"/>
  <c r="I448" i="59" s="1"/>
  <c r="L448" i="59" s="1" a="1"/>
  <c r="L448" i="59" s="1"/>
  <c r="I500" i="59" a="1"/>
  <c r="I500" i="59" s="1"/>
  <c r="I499" i="59" a="1"/>
  <c r="I499" i="59" s="1"/>
  <c r="I498" i="59" a="1"/>
  <c r="I498" i="59" s="1"/>
  <c r="J498" i="59" s="1" a="1"/>
  <c r="J498" i="59" s="1"/>
  <c r="I497" i="59" a="1"/>
  <c r="I497" i="59" s="1"/>
  <c r="L497" i="59" s="1" a="1"/>
  <c r="L497" i="59" s="1"/>
  <c r="I496" i="59" a="1"/>
  <c r="I496" i="59" s="1"/>
  <c r="L496" i="59" s="1" a="1"/>
  <c r="L496" i="59" s="1"/>
  <c r="I495" i="59" a="1"/>
  <c r="I495" i="59" s="1"/>
  <c r="I494" i="59" a="1"/>
  <c r="I494" i="59" s="1"/>
  <c r="L494" i="59" s="1" a="1"/>
  <c r="L494" i="59" s="1"/>
  <c r="I493" i="59" a="1"/>
  <c r="I493" i="59" s="1"/>
  <c r="J493" i="59" s="1" a="1"/>
  <c r="J493" i="59" s="1"/>
  <c r="I492" i="59" a="1"/>
  <c r="I492" i="59" s="1"/>
  <c r="I491" i="59" a="1"/>
  <c r="I491" i="59" s="1"/>
  <c r="I490" i="59" a="1"/>
  <c r="I490" i="59" s="1"/>
  <c r="J490" i="59" s="1" a="1"/>
  <c r="J490" i="59" s="1"/>
  <c r="I489" i="59" a="1"/>
  <c r="I489" i="59" s="1"/>
  <c r="J489" i="59" s="1" a="1"/>
  <c r="J489" i="59" s="1"/>
  <c r="I488" i="59" a="1"/>
  <c r="I488" i="59" s="1"/>
  <c r="L488" i="59" s="1" a="1"/>
  <c r="L488" i="59" s="1"/>
  <c r="I224" i="59" a="1"/>
  <c r="I224" i="59" s="1"/>
  <c r="C439" i="56" l="1" a="1"/>
  <c r="C439" i="56" s="1"/>
  <c r="K223" i="59" a="1"/>
  <c r="K223" i="59" s="1"/>
  <c r="L223" i="59" a="1"/>
  <c r="L223" i="59" s="1"/>
  <c r="J192" i="59" a="1"/>
  <c r="J192" i="59" s="1"/>
  <c r="K192" i="59" a="1"/>
  <c r="K192" i="59" s="1"/>
  <c r="L238" i="59" a="1"/>
  <c r="L238" i="59" s="1"/>
  <c r="B434" i="56" a="1"/>
  <c r="B434" i="56" s="1"/>
  <c r="L158" i="59" a="1"/>
  <c r="L158" i="59" s="1"/>
  <c r="J408" i="59" a="1"/>
  <c r="J408" i="59" s="1"/>
  <c r="L408" i="59" a="1"/>
  <c r="L408" i="59" s="1"/>
  <c r="K408" i="59" a="1"/>
  <c r="K408" i="59" s="1"/>
  <c r="B234" i="56" a="1"/>
  <c r="B234" i="56" s="1"/>
  <c r="C234" i="56" a="1"/>
  <c r="C234" i="56" s="1"/>
  <c r="J209" i="59" a="1"/>
  <c r="J209" i="59" s="1"/>
  <c r="L209" i="59" a="1"/>
  <c r="L209" i="59" s="1"/>
  <c r="B253" i="56" a="1"/>
  <c r="B253" i="56" s="1"/>
  <c r="C253" i="56" a="1"/>
  <c r="C253" i="56" s="1"/>
  <c r="J485" i="59" a="1"/>
  <c r="J485" i="59" s="1"/>
  <c r="L485" i="59" a="1"/>
  <c r="L485" i="59" s="1"/>
  <c r="K485" i="59" a="1"/>
  <c r="K485" i="59" s="1"/>
  <c r="C207" i="56" a="1"/>
  <c r="C207" i="56" s="1"/>
  <c r="B207" i="56" a="1"/>
  <c r="B207" i="56" s="1"/>
  <c r="C456" i="56" a="1"/>
  <c r="C456" i="56" s="1"/>
  <c r="J158" i="59" a="1"/>
  <c r="J158" i="59" s="1"/>
  <c r="L313" i="59" a="1"/>
  <c r="L313" i="59" s="1"/>
  <c r="K319" i="59" a="1"/>
  <c r="K319" i="59" s="1"/>
  <c r="L280" i="59" a="1"/>
  <c r="L280" i="59" s="1"/>
  <c r="K300" i="59" a="1"/>
  <c r="K300" i="59" s="1"/>
  <c r="L241" i="59" a="1"/>
  <c r="L241" i="59" s="1"/>
  <c r="K443" i="59" a="1"/>
  <c r="K443" i="59" s="1"/>
  <c r="B466" i="56" a="1"/>
  <c r="B466" i="56" s="1"/>
  <c r="B473" i="56" a="1"/>
  <c r="B473" i="56" s="1"/>
  <c r="C227" i="56" a="1"/>
  <c r="C227" i="56" s="1"/>
  <c r="J230" i="59" a="1"/>
  <c r="J230" i="59" s="1"/>
  <c r="K365" i="59" a="1"/>
  <c r="K365" i="59" s="1"/>
  <c r="C167" i="56" a="1"/>
  <c r="C167" i="56" s="1"/>
  <c r="L365" i="59" a="1"/>
  <c r="L365" i="59" s="1"/>
  <c r="J217" i="59" a="1"/>
  <c r="J217" i="59" s="1"/>
  <c r="K217" i="59" a="1"/>
  <c r="K217" i="59" s="1"/>
  <c r="C493" i="56" a="1"/>
  <c r="C493" i="56" s="1"/>
  <c r="B452" i="56" a="1"/>
  <c r="B452" i="56" s="1"/>
  <c r="C217" i="56" a="1"/>
  <c r="C217" i="56" s="1"/>
  <c r="B182" i="56" a="1"/>
  <c r="B182" i="56" s="1"/>
  <c r="B486" i="56" a="1"/>
  <c r="B486" i="56" s="1"/>
  <c r="B464" i="56" a="1"/>
  <c r="B464" i="56" s="1"/>
  <c r="B365" i="56" a="1"/>
  <c r="B365" i="56" s="1"/>
  <c r="C376" i="56" a="1"/>
  <c r="C376" i="56" s="1"/>
  <c r="B327" i="56" a="1"/>
  <c r="B327" i="56" s="1"/>
  <c r="L469" i="59" a="1"/>
  <c r="L469" i="59" s="1"/>
  <c r="J275" i="59" a="1"/>
  <c r="J275" i="59" s="1"/>
  <c r="K280" i="59" a="1"/>
  <c r="K280" i="59" s="1"/>
  <c r="J245" i="59" a="1"/>
  <c r="J245" i="59" s="1"/>
  <c r="J381" i="59" a="1"/>
  <c r="J381" i="59" s="1"/>
  <c r="C199" i="56" a="1"/>
  <c r="C199" i="56" s="1"/>
  <c r="C371" i="56" a="1"/>
  <c r="C371" i="56" s="1"/>
  <c r="C322" i="56" a="1"/>
  <c r="C322" i="56" s="1"/>
  <c r="L474" i="59" a="1"/>
  <c r="L474" i="59" s="1"/>
  <c r="J313" i="59" a="1"/>
  <c r="J313" i="59" s="1"/>
  <c r="L342" i="59" a="1"/>
  <c r="L342" i="59" s="1"/>
  <c r="K245" i="59" a="1"/>
  <c r="K245" i="59" s="1"/>
  <c r="K349" i="59" a="1"/>
  <c r="K349" i="59" s="1"/>
  <c r="K381" i="59" a="1"/>
  <c r="K381" i="59" s="1"/>
  <c r="B478" i="56" a="1"/>
  <c r="B478" i="56" s="1"/>
  <c r="C361" i="56" a="1"/>
  <c r="C361" i="56" s="1"/>
  <c r="K347" i="59" a="1"/>
  <c r="K347" i="59" s="1"/>
  <c r="L347" i="59" a="1"/>
  <c r="L347" i="59" s="1"/>
  <c r="J347" i="59" a="1"/>
  <c r="J347" i="59" s="1"/>
  <c r="J495" i="59" a="1"/>
  <c r="J495" i="59" s="1"/>
  <c r="L495" i="59" a="1"/>
  <c r="L495" i="59" s="1"/>
  <c r="K495" i="59" a="1"/>
  <c r="K495" i="59" s="1"/>
  <c r="L500" i="59" a="1"/>
  <c r="L500" i="59" s="1"/>
  <c r="K500" i="59" a="1"/>
  <c r="K500" i="59" s="1"/>
  <c r="K246" i="59" a="1"/>
  <c r="K246" i="59" s="1"/>
  <c r="L246" i="59" a="1"/>
  <c r="L246" i="59" s="1"/>
  <c r="L412" i="59" a="1"/>
  <c r="L412" i="59" s="1"/>
  <c r="J412" i="59" a="1"/>
  <c r="J412" i="59" s="1"/>
  <c r="K412" i="59" a="1"/>
  <c r="K412" i="59" s="1"/>
  <c r="B496" i="56" a="1"/>
  <c r="B496" i="56" s="1"/>
  <c r="C496" i="56" a="1"/>
  <c r="C496" i="56" s="1"/>
  <c r="C188" i="56" a="1"/>
  <c r="C188" i="56" s="1"/>
  <c r="B188" i="56" a="1"/>
  <c r="B188" i="56" s="1"/>
  <c r="C208" i="56" a="1"/>
  <c r="C208" i="56" s="1"/>
  <c r="B208" i="56" a="1"/>
  <c r="B208" i="56" s="1"/>
  <c r="J295" i="59" a="1"/>
  <c r="J295" i="59" s="1"/>
  <c r="L295" i="59" a="1"/>
  <c r="L295" i="59" s="1"/>
  <c r="J435" i="59" a="1"/>
  <c r="J435" i="59" s="1"/>
  <c r="L435" i="59" a="1"/>
  <c r="L435" i="59" s="1"/>
  <c r="K435" i="59" a="1"/>
  <c r="K435" i="59" s="1"/>
  <c r="C191" i="56" a="1"/>
  <c r="C191" i="56" s="1"/>
  <c r="B191" i="56" a="1"/>
  <c r="B191" i="56" s="1"/>
  <c r="C204" i="56" a="1"/>
  <c r="C204" i="56" s="1"/>
  <c r="B204" i="56" a="1"/>
  <c r="B204" i="56" s="1"/>
  <c r="C192" i="56" a="1"/>
  <c r="C192" i="56" s="1"/>
  <c r="B192" i="56" a="1"/>
  <c r="B192" i="56" s="1"/>
  <c r="C170" i="56" a="1"/>
  <c r="C170" i="56" s="1"/>
  <c r="B170" i="56" a="1"/>
  <c r="B170" i="56" s="1"/>
  <c r="B261" i="56" a="1"/>
  <c r="B261" i="56" s="1"/>
  <c r="C261" i="56" a="1"/>
  <c r="C261" i="56" s="1"/>
  <c r="J410" i="59" a="1"/>
  <c r="J410" i="59" s="1"/>
  <c r="K410" i="59" a="1"/>
  <c r="K410" i="59" s="1"/>
  <c r="C430" i="56" a="1"/>
  <c r="C430" i="56" s="1"/>
  <c r="B430" i="56" a="1"/>
  <c r="B430" i="56" s="1"/>
  <c r="C184" i="56" a="1"/>
  <c r="C184" i="56" s="1"/>
  <c r="B184" i="56" a="1"/>
  <c r="B184" i="56" s="1"/>
  <c r="C251" i="56" a="1"/>
  <c r="C251" i="56" s="1"/>
  <c r="B251" i="56" a="1"/>
  <c r="B251" i="56" s="1"/>
  <c r="K170" i="59" a="1"/>
  <c r="K170" i="59" s="1"/>
  <c r="L170" i="59" a="1"/>
  <c r="L170" i="59" s="1"/>
  <c r="K460" i="59" a="1"/>
  <c r="K460" i="59" s="1"/>
  <c r="K209" i="59" a="1"/>
  <c r="K209" i="59" s="1"/>
  <c r="L391" i="59" a="1"/>
  <c r="L391" i="59" s="1"/>
  <c r="C239" i="56" a="1"/>
  <c r="C239" i="56" s="1"/>
  <c r="C257" i="56" a="1"/>
  <c r="C257" i="56" s="1"/>
  <c r="L465" i="59" a="1"/>
  <c r="L465" i="59" s="1"/>
  <c r="L286" i="59" a="1"/>
  <c r="L286" i="59" s="1"/>
  <c r="J164" i="59" a="1"/>
  <c r="J164" i="59" s="1"/>
  <c r="K271" i="59" a="1"/>
  <c r="K271" i="59" s="1"/>
  <c r="L249" i="59" a="1"/>
  <c r="L249" i="59" s="1"/>
  <c r="K351" i="59" a="1"/>
  <c r="K351" i="59" s="1"/>
  <c r="L356" i="59" a="1"/>
  <c r="L356" i="59" s="1"/>
  <c r="C197" i="56" a="1"/>
  <c r="C197" i="56" s="1"/>
  <c r="C165" i="56" a="1"/>
  <c r="C165" i="56" s="1"/>
  <c r="B180" i="56" a="1"/>
  <c r="B180" i="56" s="1"/>
  <c r="L447" i="59" a="1"/>
  <c r="L447" i="59" s="1"/>
  <c r="K249" i="59" a="1"/>
  <c r="K249" i="59" s="1"/>
  <c r="K239" i="59" a="1"/>
  <c r="K239" i="59" s="1"/>
  <c r="L351" i="59" a="1"/>
  <c r="L351" i="59" s="1"/>
  <c r="J222" i="59" a="1"/>
  <c r="J222" i="59" s="1"/>
  <c r="J391" i="59" a="1"/>
  <c r="J391" i="59" s="1"/>
  <c r="C485" i="56" a="1"/>
  <c r="C485" i="56" s="1"/>
  <c r="B347" i="56" a="1"/>
  <c r="B347" i="56" s="1"/>
  <c r="B259" i="56" a="1"/>
  <c r="B259" i="56" s="1"/>
  <c r="L214" i="59" a="1"/>
  <c r="L214" i="59" s="1"/>
  <c r="J178" i="59" a="1"/>
  <c r="J178" i="59" s="1"/>
  <c r="K163" i="59" a="1"/>
  <c r="K163" i="59" s="1"/>
  <c r="K178" i="59" a="1"/>
  <c r="K178" i="59" s="1"/>
  <c r="L493" i="59" a="1"/>
  <c r="L493" i="59" s="1"/>
  <c r="L160" i="59" a="1"/>
  <c r="L160" i="59" s="1"/>
  <c r="K367" i="59" a="1"/>
  <c r="K367" i="59" s="1"/>
  <c r="J403" i="59" a="1"/>
  <c r="J403" i="59" s="1"/>
  <c r="K403" i="59" a="1"/>
  <c r="K403" i="59" s="1"/>
  <c r="C490" i="56" a="1"/>
  <c r="C490" i="56" s="1"/>
  <c r="B495" i="56" a="1"/>
  <c r="B495" i="56" s="1"/>
  <c r="C460" i="56" a="1"/>
  <c r="C460" i="56" s="1"/>
  <c r="B190" i="56" a="1"/>
  <c r="B190" i="56" s="1"/>
  <c r="B202" i="56" a="1"/>
  <c r="B202" i="56" s="1"/>
  <c r="C319" i="56" a="1"/>
  <c r="C319" i="56" s="1"/>
  <c r="C289" i="56" a="1"/>
  <c r="C289" i="56" s="1"/>
  <c r="L186" i="59" a="1"/>
  <c r="L186" i="59" s="1"/>
  <c r="K191" i="59" a="1"/>
  <c r="K191" i="59" s="1"/>
  <c r="L193" i="59" a="1"/>
  <c r="L193" i="59" s="1"/>
  <c r="K164" i="59" a="1"/>
  <c r="K164" i="59" s="1"/>
  <c r="L191" i="59" a="1"/>
  <c r="L191" i="59" s="1"/>
  <c r="L267" i="59" a="1"/>
  <c r="L267" i="59" s="1"/>
  <c r="L478" i="59" a="1"/>
  <c r="L478" i="59" s="1"/>
  <c r="J458" i="59" a="1"/>
  <c r="J458" i="59" s="1"/>
  <c r="J300" i="59" a="1"/>
  <c r="J300" i="59" s="1"/>
  <c r="L239" i="59" a="1"/>
  <c r="L239" i="59" s="1"/>
  <c r="L256" i="59" a="1"/>
  <c r="L256" i="59" s="1"/>
  <c r="L349" i="59" a="1"/>
  <c r="L349" i="59" s="1"/>
  <c r="K214" i="59" a="1"/>
  <c r="K214" i="59" s="1"/>
  <c r="C411" i="56" a="1"/>
  <c r="C411" i="56" s="1"/>
  <c r="B187" i="56" a="1"/>
  <c r="B187" i="56" s="1"/>
  <c r="C387" i="56" a="1"/>
  <c r="C387" i="56" s="1"/>
  <c r="C337" i="56" a="1"/>
  <c r="C337" i="56" s="1"/>
  <c r="B342" i="56" a="1"/>
  <c r="B342" i="56" s="1"/>
  <c r="B228" i="56" a="1"/>
  <c r="B228" i="56" s="1"/>
  <c r="L345" i="59" a="1"/>
  <c r="L345" i="59" s="1"/>
  <c r="J345" i="59" a="1"/>
  <c r="J345" i="59" s="1"/>
  <c r="K202" i="59" a="1"/>
  <c r="K202" i="59" s="1"/>
  <c r="L202" i="59" a="1"/>
  <c r="L202" i="59" s="1"/>
  <c r="K317" i="59" a="1"/>
  <c r="K317" i="59" s="1"/>
  <c r="L317" i="59" a="1"/>
  <c r="L317" i="59" s="1"/>
  <c r="J317" i="59" a="1"/>
  <c r="J317" i="59" s="1"/>
  <c r="K283" i="59" a="1"/>
  <c r="K283" i="59" s="1"/>
  <c r="L283" i="59" a="1"/>
  <c r="L283" i="59" s="1"/>
  <c r="J283" i="59" a="1"/>
  <c r="J283" i="59" s="1"/>
  <c r="J491" i="59" a="1"/>
  <c r="J491" i="59" s="1"/>
  <c r="K491" i="59" a="1"/>
  <c r="K491" i="59" s="1"/>
  <c r="L491" i="59" a="1"/>
  <c r="L491" i="59" s="1"/>
  <c r="L492" i="59" a="1"/>
  <c r="L492" i="59" s="1"/>
  <c r="K492" i="59" a="1"/>
  <c r="K492" i="59" s="1"/>
  <c r="K309" i="59" a="1"/>
  <c r="K309" i="59" s="1"/>
  <c r="L309" i="59" a="1"/>
  <c r="L309" i="59" s="1"/>
  <c r="J309" i="59" a="1"/>
  <c r="J309" i="59" s="1"/>
  <c r="J499" i="59" a="1"/>
  <c r="J499" i="59" s="1"/>
  <c r="L499" i="59" a="1"/>
  <c r="L499" i="59" s="1"/>
  <c r="K499" i="59" a="1"/>
  <c r="K499" i="59" s="1"/>
  <c r="L16" i="59" a="1"/>
  <c r="L16" i="59" s="1"/>
  <c r="J16" i="59" a="1"/>
  <c r="J16" i="59" s="1"/>
  <c r="K493" i="59" a="1"/>
  <c r="K493" i="59" s="1"/>
  <c r="K451" i="59" a="1"/>
  <c r="K451" i="59" s="1"/>
  <c r="L451" i="59" a="1"/>
  <c r="L451" i="59" s="1"/>
  <c r="L453" i="59" a="1"/>
  <c r="L453" i="59" s="1"/>
  <c r="J460" i="59" a="1"/>
  <c r="J460" i="59" s="1"/>
  <c r="L462" i="59" a="1"/>
  <c r="L462" i="59" s="1"/>
  <c r="J474" i="59" a="1"/>
  <c r="J474" i="59" s="1"/>
  <c r="J477" i="59" a="1"/>
  <c r="J477" i="59" s="1"/>
  <c r="L481" i="59" a="1"/>
  <c r="L481" i="59" s="1"/>
  <c r="L331" i="59" a="1"/>
  <c r="L331" i="59" s="1"/>
  <c r="L273" i="59" a="1"/>
  <c r="L273" i="59" s="1"/>
  <c r="L303" i="59" a="1"/>
  <c r="L303" i="59" s="1"/>
  <c r="K303" i="59" a="1"/>
  <c r="K303" i="59" s="1"/>
  <c r="L414" i="59" a="1"/>
  <c r="L414" i="59" s="1"/>
  <c r="K414" i="59" a="1"/>
  <c r="K414" i="59" s="1"/>
  <c r="J414" i="59" a="1"/>
  <c r="J414" i="59" s="1"/>
  <c r="L270" i="59" a="1"/>
  <c r="L270" i="59" s="1"/>
  <c r="K270" i="59" a="1"/>
  <c r="K270" i="59" s="1"/>
  <c r="J270" i="59" a="1"/>
  <c r="J270" i="59" s="1"/>
  <c r="K244" i="59" a="1"/>
  <c r="K244" i="59" s="1"/>
  <c r="L244" i="59" a="1"/>
  <c r="L244" i="59" s="1"/>
  <c r="K366" i="59" a="1"/>
  <c r="K366" i="59" s="1"/>
  <c r="J366" i="59" a="1"/>
  <c r="J366" i="59" s="1"/>
  <c r="C484" i="56" a="1"/>
  <c r="C484" i="56" s="1"/>
  <c r="B484" i="56" a="1"/>
  <c r="B484" i="56" s="1"/>
  <c r="C428" i="56" a="1"/>
  <c r="C428" i="56" s="1"/>
  <c r="B428" i="56" a="1"/>
  <c r="B428" i="56" s="1"/>
  <c r="C164" i="56" a="1"/>
  <c r="C164" i="56" s="1"/>
  <c r="B164" i="56" a="1"/>
  <c r="B164" i="56" s="1"/>
  <c r="J425" i="59" a="1"/>
  <c r="J425" i="59" s="1"/>
  <c r="L425" i="59" a="1"/>
  <c r="L425" i="59" s="1"/>
  <c r="K425" i="59" a="1"/>
  <c r="K425" i="59" s="1"/>
  <c r="E3" i="56" a="1"/>
  <c r="E3" i="56" s="1"/>
  <c r="K406" i="59" a="1"/>
  <c r="K406" i="59" s="1"/>
  <c r="J406" i="59" a="1"/>
  <c r="J406" i="59" s="1"/>
  <c r="K489" i="59" a="1"/>
  <c r="K489" i="59" s="1"/>
  <c r="J497" i="59" a="1"/>
  <c r="J497" i="59" s="1"/>
  <c r="K497" i="59" a="1"/>
  <c r="K497" i="59" s="1"/>
  <c r="K452" i="59" a="1"/>
  <c r="K452" i="59" s="1"/>
  <c r="K458" i="59" a="1"/>
  <c r="K458" i="59" s="1"/>
  <c r="L476" i="59" a="1"/>
  <c r="L476" i="59" s="1"/>
  <c r="J476" i="59" a="1"/>
  <c r="J476" i="59" s="1"/>
  <c r="J344" i="59" a="1"/>
  <c r="J344" i="59" s="1"/>
  <c r="L344" i="59" a="1"/>
  <c r="L344" i="59" s="1"/>
  <c r="K344" i="59" a="1"/>
  <c r="K344" i="59" s="1"/>
  <c r="J285" i="59" a="1"/>
  <c r="J285" i="59" s="1"/>
  <c r="L285" i="59" a="1"/>
  <c r="L285" i="59" s="1"/>
  <c r="L261" i="59" a="1"/>
  <c r="L261" i="59" s="1"/>
  <c r="J261" i="59" a="1"/>
  <c r="J261" i="59" s="1"/>
  <c r="L406" i="59" a="1"/>
  <c r="L406" i="59" s="1"/>
  <c r="L416" i="59" a="1"/>
  <c r="L416" i="59" s="1"/>
  <c r="K416" i="59" a="1"/>
  <c r="K416" i="59" s="1"/>
  <c r="C498" i="56" a="1"/>
  <c r="C498" i="56" s="1"/>
  <c r="B498" i="56" a="1"/>
  <c r="B498" i="56" s="1"/>
  <c r="B215" i="56" a="1"/>
  <c r="B215" i="56" s="1"/>
  <c r="C215" i="56" a="1"/>
  <c r="C215" i="56" s="1"/>
  <c r="C288" i="56" a="1"/>
  <c r="C288" i="56" s="1"/>
  <c r="B288" i="56" a="1"/>
  <c r="B288" i="56" s="1"/>
  <c r="J168" i="59" a="1"/>
  <c r="J168" i="59" s="1"/>
  <c r="K168" i="59" a="1"/>
  <c r="K168" i="59" s="1"/>
  <c r="K177" i="59" a="1"/>
  <c r="K177" i="59" s="1"/>
  <c r="L177" i="59" a="1"/>
  <c r="L177" i="59" s="1"/>
  <c r="L449" i="59" a="1"/>
  <c r="L449" i="59" s="1"/>
  <c r="L461" i="59" a="1"/>
  <c r="L461" i="59" s="1"/>
  <c r="K461" i="59" a="1"/>
  <c r="K461" i="59" s="1"/>
  <c r="K469" i="59" a="1"/>
  <c r="K469" i="59" s="1"/>
  <c r="K476" i="59" a="1"/>
  <c r="K476" i="59" s="1"/>
  <c r="L10" i="59" a="1"/>
  <c r="L10" i="59" s="1"/>
  <c r="L168" i="59" a="1"/>
  <c r="L168" i="59" s="1"/>
  <c r="L155" i="59" a="1"/>
  <c r="L155" i="59" s="1"/>
  <c r="K161" i="59" a="1"/>
  <c r="K161" i="59" s="1"/>
  <c r="L306" i="59" a="1"/>
  <c r="L306" i="59" s="1"/>
  <c r="K306" i="59" a="1"/>
  <c r="K306" i="59" s="1"/>
  <c r="K247" i="59" a="1"/>
  <c r="K247" i="59" s="1"/>
  <c r="L247" i="59" a="1"/>
  <c r="L247" i="59" s="1"/>
  <c r="K407" i="59" a="1"/>
  <c r="K407" i="59" s="1"/>
  <c r="L407" i="59" a="1"/>
  <c r="L407" i="59" s="1"/>
  <c r="K210" i="59" a="1"/>
  <c r="K210" i="59" s="1"/>
  <c r="J210" i="59" a="1"/>
  <c r="J210" i="59" s="1"/>
  <c r="L210" i="59" a="1"/>
  <c r="L210" i="59" s="1"/>
  <c r="C416" i="56" a="1"/>
  <c r="C416" i="56" s="1"/>
  <c r="B416" i="56" a="1"/>
  <c r="B416" i="56" s="1"/>
  <c r="K16" i="59" a="1"/>
  <c r="K16" i="59" s="1"/>
  <c r="L489" i="59" a="1"/>
  <c r="L489" i="59" s="1"/>
  <c r="L452" i="59" a="1"/>
  <c r="L452" i="59" s="1"/>
  <c r="L341" i="59" a="1"/>
  <c r="L341" i="59" s="1"/>
  <c r="K341" i="59" a="1"/>
  <c r="K341" i="59" s="1"/>
  <c r="J341" i="59" a="1"/>
  <c r="J341" i="59" s="1"/>
  <c r="L218" i="59" a="1"/>
  <c r="L218" i="59" s="1"/>
  <c r="K218" i="59" a="1"/>
  <c r="K218" i="59" s="1"/>
  <c r="K4" i="59" a="1"/>
  <c r="K4" i="59" s="1"/>
  <c r="J4" i="59" a="1"/>
  <c r="J4" i="59" s="1"/>
  <c r="K8" i="59" a="1"/>
  <c r="K8" i="59" s="1"/>
  <c r="J8" i="59" a="1"/>
  <c r="J8" i="59" s="1"/>
  <c r="K281" i="59" a="1"/>
  <c r="K281" i="59" s="1"/>
  <c r="L281" i="59" a="1"/>
  <c r="L281" i="59" s="1"/>
  <c r="J296" i="59" a="1"/>
  <c r="J296" i="59" s="1"/>
  <c r="L296" i="59" a="1"/>
  <c r="L296" i="59" s="1"/>
  <c r="K296" i="59" a="1"/>
  <c r="K296" i="59" s="1"/>
  <c r="J257" i="59" a="1"/>
  <c r="J257" i="59" s="1"/>
  <c r="L257" i="59" a="1"/>
  <c r="L257" i="59" s="1"/>
  <c r="K257" i="59" a="1"/>
  <c r="K257" i="59" s="1"/>
  <c r="L413" i="59" a="1"/>
  <c r="L413" i="59" s="1"/>
  <c r="K413" i="59" a="1"/>
  <c r="K413" i="59" s="1"/>
  <c r="J413" i="59" a="1"/>
  <c r="J413" i="59" s="1"/>
  <c r="K417" i="59" a="1"/>
  <c r="K417" i="59" s="1"/>
  <c r="C155" i="56" a="1"/>
  <c r="C155" i="56" s="1"/>
  <c r="B155" i="56" a="1"/>
  <c r="B155" i="56" s="1"/>
  <c r="B185" i="56" a="1"/>
  <c r="B185" i="56" s="1"/>
  <c r="C185" i="56" a="1"/>
  <c r="C185" i="56" s="1"/>
  <c r="L154" i="59" a="1"/>
  <c r="L154" i="59" s="1"/>
  <c r="K154" i="59" a="1"/>
  <c r="K154" i="59" s="1"/>
  <c r="J154" i="59" a="1"/>
  <c r="J154" i="59" s="1"/>
  <c r="K468" i="59" a="1"/>
  <c r="K468" i="59" s="1"/>
  <c r="K6" i="59" a="1"/>
  <c r="K6" i="59" s="1"/>
  <c r="J6" i="59" a="1"/>
  <c r="J6" i="59" s="1"/>
  <c r="J184" i="59" a="1"/>
  <c r="J184" i="59" s="1"/>
  <c r="K184" i="59" a="1"/>
  <c r="K184" i="59" s="1"/>
  <c r="J200" i="59" a="1"/>
  <c r="J200" i="59" s="1"/>
  <c r="K200" i="59" a="1"/>
  <c r="K200" i="59" s="1"/>
  <c r="J314" i="59" a="1"/>
  <c r="J314" i="59" s="1"/>
  <c r="L314" i="59" a="1"/>
  <c r="L314" i="59" s="1"/>
  <c r="K314" i="59" a="1"/>
  <c r="K314" i="59" s="1"/>
  <c r="L287" i="59" a="1"/>
  <c r="L287" i="59" s="1"/>
  <c r="K287" i="59" a="1"/>
  <c r="K287" i="59" s="1"/>
  <c r="J287" i="59" a="1"/>
  <c r="J287" i="59" s="1"/>
  <c r="L417" i="59" a="1"/>
  <c r="L417" i="59" s="1"/>
  <c r="J429" i="59" a="1"/>
  <c r="J429" i="59" s="1"/>
  <c r="L429" i="59" a="1"/>
  <c r="L429" i="59" s="1"/>
  <c r="K429" i="59" a="1"/>
  <c r="K429" i="59" s="1"/>
  <c r="L396" i="59" a="1"/>
  <c r="L396" i="59" s="1"/>
  <c r="J396" i="59" a="1"/>
  <c r="J396" i="59" s="1"/>
  <c r="B399" i="56" a="1"/>
  <c r="B399" i="56" s="1"/>
  <c r="C399" i="56" a="1"/>
  <c r="C399" i="56" s="1"/>
  <c r="C226" i="56" a="1"/>
  <c r="C226" i="56" s="1"/>
  <c r="B226" i="56" a="1"/>
  <c r="B226" i="56" s="1"/>
  <c r="B346" i="56" a="1"/>
  <c r="B346" i="56" s="1"/>
  <c r="C346" i="56" a="1"/>
  <c r="C346" i="56" s="1"/>
  <c r="C351" i="56" a="1"/>
  <c r="C351" i="56" s="1"/>
  <c r="B351" i="56" a="1"/>
  <c r="B351" i="56" s="1"/>
  <c r="C296" i="56" a="1"/>
  <c r="C296" i="56" s="1"/>
  <c r="B296" i="56" a="1"/>
  <c r="B296" i="56" s="1"/>
  <c r="C235" i="56" a="1"/>
  <c r="C235" i="56" s="1"/>
  <c r="B235" i="56" a="1"/>
  <c r="B235" i="56" s="1"/>
  <c r="C408" i="56" a="1"/>
  <c r="C408" i="56" s="1"/>
  <c r="B408" i="56" a="1"/>
  <c r="B408" i="56" s="1"/>
  <c r="B209" i="56" a="1"/>
  <c r="B209" i="56" s="1"/>
  <c r="C209" i="56" a="1"/>
  <c r="C209" i="56" s="1"/>
  <c r="C222" i="56" a="1"/>
  <c r="C222" i="56" s="1"/>
  <c r="B222" i="56" a="1"/>
  <c r="B222" i="56" s="1"/>
  <c r="C362" i="56" a="1"/>
  <c r="C362" i="56" s="1"/>
  <c r="B362" i="56" a="1"/>
  <c r="B362" i="56" s="1"/>
  <c r="C272" i="56" a="1"/>
  <c r="C272" i="56" s="1"/>
  <c r="C277" i="56" a="1"/>
  <c r="C277" i="56" s="1"/>
  <c r="C282" i="56" a="1"/>
  <c r="C282" i="56" s="1"/>
  <c r="B292" i="56" a="1"/>
  <c r="B292" i="56" s="1"/>
  <c r="C302" i="56" a="1"/>
  <c r="C302" i="56" s="1"/>
  <c r="B302" i="56" a="1"/>
  <c r="B302" i="56" s="1"/>
  <c r="C232" i="56" a="1"/>
  <c r="C232" i="56" s="1"/>
  <c r="C241" i="56" a="1"/>
  <c r="C241" i="56" s="1"/>
  <c r="B241" i="56" a="1"/>
  <c r="B241" i="56" s="1"/>
  <c r="B255" i="56" a="1"/>
  <c r="B255" i="56" s="1"/>
  <c r="C255" i="56" a="1"/>
  <c r="C255" i="56" s="1"/>
  <c r="K358" i="59" a="1"/>
  <c r="K358" i="59" s="1"/>
  <c r="J358" i="59" a="1"/>
  <c r="J358" i="59" s="1"/>
  <c r="L393" i="59" a="1"/>
  <c r="L393" i="59" s="1"/>
  <c r="K393" i="59" a="1"/>
  <c r="K393" i="59" s="1"/>
  <c r="C461" i="56" a="1"/>
  <c r="C461" i="56" s="1"/>
  <c r="B461" i="56" a="1"/>
  <c r="B461" i="56" s="1"/>
  <c r="C403" i="56" a="1"/>
  <c r="C403" i="56" s="1"/>
  <c r="B417" i="56" a="1"/>
  <c r="B417" i="56" s="1"/>
  <c r="C433" i="56" a="1"/>
  <c r="C433" i="56" s="1"/>
  <c r="B433" i="56" a="1"/>
  <c r="B433" i="56" s="1"/>
  <c r="C186" i="56" a="1"/>
  <c r="C186" i="56" s="1"/>
  <c r="B186" i="56" a="1"/>
  <c r="B186" i="56" s="1"/>
  <c r="B203" i="56" a="1"/>
  <c r="B203" i="56" s="1"/>
  <c r="C152" i="56" a="1"/>
  <c r="C152" i="56" s="1"/>
  <c r="B152" i="56" a="1"/>
  <c r="B152" i="56" s="1"/>
  <c r="C353" i="56" a="1"/>
  <c r="C353" i="56" s="1"/>
  <c r="B353" i="56" a="1"/>
  <c r="B353" i="56" s="1"/>
  <c r="C278" i="56" a="1"/>
  <c r="C278" i="56" s="1"/>
  <c r="B278" i="56" a="1"/>
  <c r="B278" i="56" s="1"/>
  <c r="C308" i="56" a="1"/>
  <c r="C308" i="56" s="1"/>
  <c r="B308" i="56" a="1"/>
  <c r="B308" i="56" s="1"/>
  <c r="C237" i="56" a="1"/>
  <c r="C237" i="56" s="1"/>
  <c r="B237" i="56" a="1"/>
  <c r="B237" i="56" s="1"/>
  <c r="C256" i="56" a="1"/>
  <c r="C256" i="56" s="1"/>
  <c r="B256" i="56" a="1"/>
  <c r="B256" i="56" s="1"/>
  <c r="L271" i="59" a="1"/>
  <c r="L271" i="59" s="1"/>
  <c r="K290" i="59" a="1"/>
  <c r="K290" i="59" s="1"/>
  <c r="J250" i="59" a="1"/>
  <c r="J250" i="59" s="1"/>
  <c r="L410" i="59" a="1"/>
  <c r="L410" i="59" s="1"/>
  <c r="K350" i="59" a="1"/>
  <c r="K350" i="59" s="1"/>
  <c r="L350" i="59" a="1"/>
  <c r="L350" i="59" s="1"/>
  <c r="J367" i="59" a="1"/>
  <c r="J367" i="59" s="1"/>
  <c r="J374" i="59" a="1"/>
  <c r="J374" i="59" s="1"/>
  <c r="L379" i="59" a="1"/>
  <c r="L379" i="59" s="1"/>
  <c r="K379" i="59" a="1"/>
  <c r="K379" i="59" s="1"/>
  <c r="L397" i="59" a="1"/>
  <c r="L397" i="59" s="1"/>
  <c r="K397" i="59" a="1"/>
  <c r="K397" i="59" s="1"/>
  <c r="B214" i="56" a="1"/>
  <c r="B214" i="56" s="1"/>
  <c r="C218" i="56" a="1"/>
  <c r="C218" i="56" s="1"/>
  <c r="B218" i="56" a="1"/>
  <c r="B218" i="56" s="1"/>
  <c r="B163" i="56" a="1"/>
  <c r="B163" i="56" s="1"/>
  <c r="C163" i="56" a="1"/>
  <c r="C163" i="56" s="1"/>
  <c r="C284" i="56" a="1"/>
  <c r="C284" i="56" s="1"/>
  <c r="B284" i="56" a="1"/>
  <c r="B284" i="56" s="1"/>
  <c r="B293" i="56" a="1"/>
  <c r="B293" i="56" s="1"/>
  <c r="C293" i="56" a="1"/>
  <c r="C293" i="56" s="1"/>
  <c r="C243" i="56" a="1"/>
  <c r="C243" i="56" s="1"/>
  <c r="B243" i="56" a="1"/>
  <c r="B243" i="56" s="1"/>
  <c r="C247" i="56" a="1"/>
  <c r="C247" i="56" s="1"/>
  <c r="B247" i="56" a="1"/>
  <c r="B247" i="56" s="1"/>
  <c r="C267" i="56" a="1"/>
  <c r="C267" i="56" s="1"/>
  <c r="B267" i="56" a="1"/>
  <c r="B267" i="56" s="1"/>
  <c r="K227" i="59" a="1"/>
  <c r="K227" i="59" s="1"/>
  <c r="L250" i="59" a="1"/>
  <c r="L250" i="59" s="1"/>
  <c r="J418" i="59" a="1"/>
  <c r="J418" i="59" s="1"/>
  <c r="J394" i="59" a="1"/>
  <c r="J394" i="59" s="1"/>
  <c r="L394" i="59" a="1"/>
  <c r="L394" i="59" s="1"/>
  <c r="K394" i="59" a="1"/>
  <c r="K394" i="59" s="1"/>
  <c r="C489" i="56" a="1"/>
  <c r="C489" i="56" s="1"/>
  <c r="B489" i="56" a="1"/>
  <c r="B489" i="56" s="1"/>
  <c r="B200" i="56" a="1"/>
  <c r="B200" i="56" s="1"/>
  <c r="C183" i="56" a="1"/>
  <c r="C183" i="56" s="1"/>
  <c r="B374" i="56" a="1"/>
  <c r="B374" i="56" s="1"/>
  <c r="C374" i="56" a="1"/>
  <c r="C374" i="56" s="1"/>
  <c r="B338" i="56" a="1"/>
  <c r="B338" i="56" s="1"/>
  <c r="C338" i="56" a="1"/>
  <c r="C338" i="56" s="1"/>
  <c r="B348" i="56" a="1"/>
  <c r="B348" i="56" s="1"/>
  <c r="C348" i="56" a="1"/>
  <c r="C348" i="56" s="1"/>
  <c r="C274" i="56" a="1"/>
  <c r="C274" i="56" s="1"/>
  <c r="B274" i="56" a="1"/>
  <c r="B274" i="56" s="1"/>
  <c r="C304" i="56" a="1"/>
  <c r="C304" i="56" s="1"/>
  <c r="B304" i="56" a="1"/>
  <c r="B304" i="56" s="1"/>
  <c r="K272" i="59" a="1"/>
  <c r="K272" i="59" s="1"/>
  <c r="J286" i="59" a="1"/>
  <c r="J286" i="59" s="1"/>
  <c r="L290" i="59" a="1"/>
  <c r="L290" i="59" s="1"/>
  <c r="J301" i="59" a="1"/>
  <c r="J301" i="59" s="1"/>
  <c r="K304" i="59" a="1"/>
  <c r="K304" i="59" s="1"/>
  <c r="L358" i="59" a="1"/>
  <c r="L358" i="59" s="1"/>
  <c r="K363" i="59" a="1"/>
  <c r="K363" i="59" s="1"/>
  <c r="L389" i="59" a="1"/>
  <c r="L389" i="59" s="1"/>
  <c r="J389" i="59" a="1"/>
  <c r="J389" i="59" s="1"/>
  <c r="K222" i="59" a="1"/>
  <c r="K222" i="59" s="1"/>
  <c r="C441" i="56" a="1"/>
  <c r="C441" i="56" s="1"/>
  <c r="B441" i="56" a="1"/>
  <c r="B441" i="56" s="1"/>
  <c r="C159" i="56" a="1"/>
  <c r="C159" i="56" s="1"/>
  <c r="B159" i="56" a="1"/>
  <c r="B159" i="56" s="1"/>
  <c r="B369" i="56" a="1"/>
  <c r="B369" i="56" s="1"/>
  <c r="B385" i="56" a="1"/>
  <c r="B385" i="56" s="1"/>
  <c r="B396" i="56" a="1"/>
  <c r="B396" i="56" s="1"/>
  <c r="C396" i="56" a="1"/>
  <c r="C396" i="56" s="1"/>
  <c r="B285" i="56" a="1"/>
  <c r="B285" i="56" s="1"/>
  <c r="C290" i="56" a="1"/>
  <c r="C290" i="56" s="1"/>
  <c r="B290" i="56" a="1"/>
  <c r="B290" i="56" s="1"/>
  <c r="C310" i="56" a="1"/>
  <c r="C310" i="56" s="1"/>
  <c r="B310" i="56" a="1"/>
  <c r="B310" i="56" s="1"/>
  <c r="C229" i="56" a="1"/>
  <c r="C229" i="56" s="1"/>
  <c r="C269" i="56" a="1"/>
  <c r="C269" i="56" s="1"/>
  <c r="B269" i="56" a="1"/>
  <c r="B269" i="56" s="1"/>
  <c r="K326" i="59" a="1"/>
  <c r="K326" i="59" s="1"/>
  <c r="L275" i="59" a="1"/>
  <c r="L275" i="59" s="1"/>
  <c r="L227" i="59" a="1"/>
  <c r="L227" i="59" s="1"/>
  <c r="L230" i="59" a="1"/>
  <c r="L230" i="59" s="1"/>
  <c r="K241" i="59" a="1"/>
  <c r="K241" i="59" s="1"/>
  <c r="K418" i="59" a="1"/>
  <c r="K418" i="59" s="1"/>
  <c r="L443" i="59" a="1"/>
  <c r="L443" i="59" s="1"/>
  <c r="K372" i="59" a="1"/>
  <c r="K372" i="59" s="1"/>
  <c r="J372" i="59" a="1"/>
  <c r="J372" i="59" s="1"/>
  <c r="J383" i="59" a="1"/>
  <c r="J383" i="59" s="1"/>
  <c r="K386" i="59" a="1"/>
  <c r="K386" i="59" s="1"/>
  <c r="J386" i="59" a="1"/>
  <c r="J386" i="59" s="1"/>
  <c r="C446" i="56" a="1"/>
  <c r="C446" i="56" s="1"/>
  <c r="B446" i="56" a="1"/>
  <c r="B446" i="56" s="1"/>
  <c r="C415" i="56" a="1"/>
  <c r="C415" i="56" s="1"/>
  <c r="C194" i="56" a="1"/>
  <c r="C194" i="56" s="1"/>
  <c r="B194" i="56" a="1"/>
  <c r="B194" i="56" s="1"/>
  <c r="C212" i="56" a="1"/>
  <c r="C212" i="56" s="1"/>
  <c r="B212" i="56" a="1"/>
  <c r="B212" i="56" s="1"/>
  <c r="B154" i="56" a="1"/>
  <c r="B154" i="56" s="1"/>
  <c r="B181" i="56" a="1"/>
  <c r="B181" i="56" s="1"/>
  <c r="C370" i="56" a="1"/>
  <c r="C370" i="56" s="1"/>
  <c r="B370" i="56" a="1"/>
  <c r="B370" i="56" s="1"/>
  <c r="B317" i="56" a="1"/>
  <c r="B317" i="56" s="1"/>
  <c r="C349" i="56" a="1"/>
  <c r="C349" i="56" s="1"/>
  <c r="B270" i="56" a="1"/>
  <c r="B270" i="56" s="1"/>
  <c r="C276" i="56" a="1"/>
  <c r="C276" i="56" s="1"/>
  <c r="B276" i="56" a="1"/>
  <c r="B276" i="56" s="1"/>
  <c r="B280" i="56" a="1"/>
  <c r="B280" i="56" s="1"/>
  <c r="C294" i="56" a="1"/>
  <c r="C294" i="56" s="1"/>
  <c r="C249" i="56" a="1"/>
  <c r="C249" i="56" s="1"/>
  <c r="B249" i="56" a="1"/>
  <c r="B249" i="56" s="1"/>
  <c r="K465" i="59" a="1"/>
  <c r="K465" i="59" s="1"/>
  <c r="K198" i="59" a="1"/>
  <c r="K198" i="59" s="1"/>
  <c r="K160" i="59" a="1"/>
  <c r="K160" i="59" s="1"/>
  <c r="J319" i="59" a="1"/>
  <c r="J319" i="59" s="1"/>
  <c r="L326" i="59" a="1"/>
  <c r="L326" i="59" s="1"/>
  <c r="K342" i="59" a="1"/>
  <c r="K342" i="59" s="1"/>
  <c r="L272" i="59" a="1"/>
  <c r="L272" i="59" s="1"/>
  <c r="K295" i="59" a="1"/>
  <c r="K295" i="59" s="1"/>
  <c r="J246" i="59" a="1"/>
  <c r="J246" i="59" s="1"/>
  <c r="J256" i="59" a="1"/>
  <c r="J256" i="59" s="1"/>
  <c r="L363" i="59" a="1"/>
  <c r="L363" i="59" s="1"/>
  <c r="L372" i="59" a="1"/>
  <c r="L372" i="59" s="1"/>
  <c r="K383" i="59" a="1"/>
  <c r="K383" i="59" s="1"/>
  <c r="J397" i="59" a="1"/>
  <c r="J397" i="59" s="1"/>
  <c r="B483" i="56" a="1"/>
  <c r="B483" i="56" s="1"/>
  <c r="C483" i="56" a="1"/>
  <c r="C483" i="56" s="1"/>
  <c r="B497" i="56" a="1"/>
  <c r="B497" i="56" s="1"/>
  <c r="B463" i="56" a="1"/>
  <c r="B463" i="56" s="1"/>
  <c r="C467" i="56" a="1"/>
  <c r="C467" i="56" s="1"/>
  <c r="B467" i="56" a="1"/>
  <c r="B467" i="56" s="1"/>
  <c r="C312" i="56" a="1"/>
  <c r="C312" i="56" s="1"/>
  <c r="B345" i="56" a="1"/>
  <c r="B345" i="56" s="1"/>
  <c r="B295" i="56" a="1"/>
  <c r="B295" i="56" s="1"/>
  <c r="C295" i="56" a="1"/>
  <c r="C295" i="56" s="1"/>
  <c r="C306" i="56" a="1"/>
  <c r="C306" i="56" s="1"/>
  <c r="B306" i="56" a="1"/>
  <c r="B306" i="56" s="1"/>
  <c r="C231" i="56" a="1"/>
  <c r="C231" i="56" s="1"/>
  <c r="B231" i="56" a="1"/>
  <c r="B231" i="56" s="1"/>
  <c r="C245" i="56" a="1"/>
  <c r="C245" i="56" s="1"/>
  <c r="B245" i="56" a="1"/>
  <c r="B245" i="56" s="1"/>
  <c r="B392" i="56" a="1"/>
  <c r="B392" i="56" s="1"/>
  <c r="B340" i="56" a="1"/>
  <c r="B340" i="56" s="1"/>
  <c r="C263" i="56" a="1"/>
  <c r="C263" i="56" s="1"/>
  <c r="B335" i="56" a="1"/>
  <c r="B335" i="56" s="1"/>
  <c r="B233" i="56" a="1"/>
  <c r="B233" i="56" s="1"/>
  <c r="B378" i="56" a="1"/>
  <c r="B378" i="56" s="1"/>
  <c r="B386" i="56" a="1"/>
  <c r="B386" i="56" s="1"/>
  <c r="C321" i="56" a="1"/>
  <c r="C321" i="56" s="1"/>
  <c r="B326" i="56" a="1"/>
  <c r="B326" i="56" s="1"/>
  <c r="C331" i="56" a="1"/>
  <c r="C331" i="56" s="1"/>
  <c r="B300" i="56" a="1"/>
  <c r="B300" i="56" s="1"/>
  <c r="B238" i="56" a="1"/>
  <c r="B238" i="56" s="1"/>
  <c r="B258" i="56" a="1"/>
  <c r="B258" i="56" s="1"/>
  <c r="B286" i="56" a="1"/>
  <c r="B286" i="56" s="1"/>
  <c r="B298" i="56" a="1"/>
  <c r="B298" i="56" s="1"/>
  <c r="B246" i="56" a="1"/>
  <c r="B246" i="56" s="1"/>
  <c r="B265" i="56" a="1"/>
  <c r="B265" i="56" s="1"/>
  <c r="C364" i="56" a="1"/>
  <c r="C364" i="56" s="1"/>
  <c r="B248" i="56" a="1"/>
  <c r="B248" i="56" s="1"/>
  <c r="J159" i="59" a="1"/>
  <c r="J159" i="59" s="1"/>
  <c r="L159" i="59" a="1"/>
  <c r="L159" i="59" s="1"/>
  <c r="K159" i="59" a="1"/>
  <c r="K159" i="59" s="1"/>
  <c r="K323" i="59" a="1"/>
  <c r="K323" i="59" s="1"/>
  <c r="J323" i="59" a="1"/>
  <c r="J323" i="59" s="1"/>
  <c r="L323" i="59" a="1"/>
  <c r="L323" i="59" s="1"/>
  <c r="K253" i="59" a="1"/>
  <c r="K253" i="59" s="1"/>
  <c r="J253" i="59" a="1"/>
  <c r="J253" i="59" s="1"/>
  <c r="L253" i="59" a="1"/>
  <c r="L253" i="59" s="1"/>
  <c r="K248" i="59" a="1"/>
  <c r="K248" i="59" s="1"/>
  <c r="L248" i="59" a="1"/>
  <c r="L248" i="59" s="1"/>
  <c r="J248" i="59" a="1"/>
  <c r="J248" i="59" s="1"/>
  <c r="K482" i="59" a="1"/>
  <c r="K482" i="59" s="1"/>
  <c r="L482" i="59" a="1"/>
  <c r="L482" i="59" s="1"/>
  <c r="J482" i="59" a="1"/>
  <c r="J482" i="59" s="1"/>
  <c r="K189" i="59" a="1"/>
  <c r="K189" i="59" s="1"/>
  <c r="L189" i="59" a="1"/>
  <c r="L189" i="59" s="1"/>
  <c r="J308" i="59" a="1"/>
  <c r="J308" i="59" s="1"/>
  <c r="L308" i="59" a="1"/>
  <c r="L308" i="59" s="1"/>
  <c r="K308" i="59" a="1"/>
  <c r="K308" i="59" s="1"/>
  <c r="B458" i="56" a="1"/>
  <c r="B458" i="56" s="1"/>
  <c r="C458" i="56" a="1"/>
  <c r="C458" i="56" s="1"/>
  <c r="L472" i="59" a="1"/>
  <c r="L472" i="59" s="1"/>
  <c r="K472" i="59" a="1"/>
  <c r="K472" i="59" s="1"/>
  <c r="J189" i="59" a="1"/>
  <c r="J189" i="59" s="1"/>
  <c r="K352" i="59" a="1"/>
  <c r="K352" i="59" s="1"/>
  <c r="L352" i="59" a="1"/>
  <c r="L352" i="59" s="1"/>
  <c r="J352" i="59" a="1"/>
  <c r="J352" i="59" s="1"/>
  <c r="C459" i="56" a="1"/>
  <c r="C459" i="56" s="1"/>
  <c r="B459" i="56" a="1"/>
  <c r="B459" i="56" s="1"/>
  <c r="C254" i="56" a="1"/>
  <c r="C254" i="56" s="1"/>
  <c r="B254" i="56" a="1"/>
  <c r="B254" i="56" s="1"/>
  <c r="K321" i="59" a="1"/>
  <c r="K321" i="59" s="1"/>
  <c r="J321" i="59" a="1"/>
  <c r="J321" i="59" s="1"/>
  <c r="L321" i="59" a="1"/>
  <c r="L321" i="59" s="1"/>
  <c r="K252" i="59" a="1"/>
  <c r="K252" i="59" s="1"/>
  <c r="J252" i="59" a="1"/>
  <c r="J252" i="59" s="1"/>
  <c r="K479" i="59" a="1"/>
  <c r="K479" i="59" s="1"/>
  <c r="J479" i="59" a="1"/>
  <c r="J479" i="59" s="1"/>
  <c r="L479" i="59" a="1"/>
  <c r="L479" i="59" s="1"/>
  <c r="J175" i="59" a="1"/>
  <c r="J175" i="59" s="1"/>
  <c r="L175" i="59" a="1"/>
  <c r="L175" i="59" s="1"/>
  <c r="K475" i="59" a="1"/>
  <c r="K475" i="59" s="1"/>
  <c r="L475" i="59" a="1"/>
  <c r="L475" i="59" s="1"/>
  <c r="K175" i="59" a="1"/>
  <c r="K175" i="59" s="1"/>
  <c r="J332" i="59" a="1"/>
  <c r="J332" i="59" s="1"/>
  <c r="L332" i="59" a="1"/>
  <c r="L332" i="59" s="1"/>
  <c r="K332" i="59" a="1"/>
  <c r="K332" i="59" s="1"/>
  <c r="L327" i="59" a="1"/>
  <c r="L327" i="59" s="1"/>
  <c r="J327" i="59" a="1"/>
  <c r="J327" i="59" s="1"/>
  <c r="K327" i="59" a="1"/>
  <c r="K327" i="59" s="1"/>
  <c r="J203" i="59" a="1"/>
  <c r="J203" i="59" s="1"/>
  <c r="K203" i="59" a="1"/>
  <c r="K203" i="59" s="1"/>
  <c r="L203" i="59" a="1"/>
  <c r="L203" i="59" s="1"/>
  <c r="K156" i="59" a="1"/>
  <c r="K156" i="59" s="1"/>
  <c r="J156" i="59" a="1"/>
  <c r="J156" i="59" s="1"/>
  <c r="L156" i="59" a="1"/>
  <c r="L156" i="59" s="1"/>
  <c r="K276" i="59" a="1"/>
  <c r="K276" i="59" s="1"/>
  <c r="L276" i="59" a="1"/>
  <c r="L276" i="59" s="1"/>
  <c r="J276" i="59" a="1"/>
  <c r="J276" i="59" s="1"/>
  <c r="L459" i="59" a="1"/>
  <c r="L459" i="59" s="1"/>
  <c r="K459" i="59" a="1"/>
  <c r="K459" i="59" s="1"/>
  <c r="J459" i="59" a="1"/>
  <c r="J459" i="59" s="1"/>
  <c r="L171" i="59" a="1"/>
  <c r="L171" i="59" s="1"/>
  <c r="K171" i="59" a="1"/>
  <c r="K171" i="59" s="1"/>
  <c r="C445" i="56" a="1"/>
  <c r="C445" i="56" s="1"/>
  <c r="B445" i="56" a="1"/>
  <c r="B445" i="56" s="1"/>
  <c r="L196" i="59" a="1"/>
  <c r="L196" i="59" s="1"/>
  <c r="K196" i="59" a="1"/>
  <c r="K196" i="59" s="1"/>
  <c r="K235" i="59" a="1"/>
  <c r="K235" i="59" s="1"/>
  <c r="J235" i="59" a="1"/>
  <c r="J235" i="59" s="1"/>
  <c r="L235" i="59" a="1"/>
  <c r="L235" i="59" s="1"/>
  <c r="K264" i="59" a="1"/>
  <c r="K264" i="59" s="1"/>
  <c r="J264" i="59" a="1"/>
  <c r="J264" i="59" s="1"/>
  <c r="L264" i="59" a="1"/>
  <c r="L264" i="59" s="1"/>
  <c r="L220" i="59" a="1"/>
  <c r="L220" i="59" s="1"/>
  <c r="J220" i="59" a="1"/>
  <c r="J220" i="59" s="1"/>
  <c r="K220" i="59" a="1"/>
  <c r="K220" i="59" s="1"/>
  <c r="L490" i="59" a="1"/>
  <c r="L490" i="59" s="1"/>
  <c r="K490" i="59" a="1"/>
  <c r="K490" i="59" s="1"/>
  <c r="L498" i="59" a="1"/>
  <c r="L498" i="59" s="1"/>
  <c r="K498" i="59" a="1"/>
  <c r="K498" i="59" s="1"/>
  <c r="C244" i="56" a="1"/>
  <c r="C244" i="56" s="1"/>
  <c r="B244" i="56" a="1"/>
  <c r="B244" i="56" s="1"/>
  <c r="L199" i="59" a="1"/>
  <c r="L199" i="59" s="1"/>
  <c r="K199" i="59" a="1"/>
  <c r="K199" i="59" s="1"/>
  <c r="K224" i="59" a="1"/>
  <c r="K224" i="59" s="1"/>
  <c r="L224" i="59" a="1"/>
  <c r="L224" i="59" s="1"/>
  <c r="J224" i="59" a="1"/>
  <c r="J224" i="59" s="1"/>
  <c r="J475" i="59" a="1"/>
  <c r="J475" i="59" s="1"/>
  <c r="L182" i="59" a="1"/>
  <c r="L182" i="59" s="1"/>
  <c r="K182" i="59" a="1"/>
  <c r="K182" i="59" s="1"/>
  <c r="K297" i="59" a="1"/>
  <c r="K297" i="59" s="1"/>
  <c r="J297" i="59" a="1"/>
  <c r="J297" i="59" s="1"/>
  <c r="C470" i="56" a="1"/>
  <c r="C470" i="56" s="1"/>
  <c r="B470" i="56" a="1"/>
  <c r="B470" i="56" s="1"/>
  <c r="L268" i="59" a="1"/>
  <c r="L268" i="59" s="1"/>
  <c r="K268" i="59" a="1"/>
  <c r="K268" i="59" s="1"/>
  <c r="J268" i="59" a="1"/>
  <c r="J268" i="59" s="1"/>
  <c r="J441" i="59" a="1"/>
  <c r="J441" i="59" s="1"/>
  <c r="K441" i="59" a="1"/>
  <c r="K441" i="59" s="1"/>
  <c r="L441" i="59" a="1"/>
  <c r="L441" i="59" s="1"/>
  <c r="C173" i="56" a="1"/>
  <c r="C173" i="56" s="1"/>
  <c r="B173" i="56" a="1"/>
  <c r="B173" i="56" s="1"/>
  <c r="J171" i="59" a="1"/>
  <c r="J171" i="59" s="1"/>
  <c r="K456" i="59" a="1"/>
  <c r="K456" i="59" s="1"/>
  <c r="L456" i="59" a="1"/>
  <c r="L456" i="59" s="1"/>
  <c r="J456" i="59" a="1"/>
  <c r="J456" i="59" s="1"/>
  <c r="J288" i="59" a="1"/>
  <c r="J288" i="59" s="1"/>
  <c r="L288" i="59" a="1"/>
  <c r="L288" i="59" s="1"/>
  <c r="L294" i="59" a="1"/>
  <c r="L294" i="59" s="1"/>
  <c r="K294" i="59" a="1"/>
  <c r="K294" i="59" s="1"/>
  <c r="J294" i="59" a="1"/>
  <c r="J294" i="59" s="1"/>
  <c r="B494" i="56" a="1"/>
  <c r="B494" i="56" s="1"/>
  <c r="C494" i="56" a="1"/>
  <c r="C494" i="56" s="1"/>
  <c r="L185" i="59" a="1"/>
  <c r="L185" i="59" s="1"/>
  <c r="K185" i="59" a="1"/>
  <c r="K185" i="59" s="1"/>
  <c r="C482" i="56" a="1"/>
  <c r="C482" i="56" s="1"/>
  <c r="B482" i="56" a="1"/>
  <c r="B482" i="56" s="1"/>
  <c r="J185" i="59" a="1"/>
  <c r="J185" i="59" s="1"/>
  <c r="L181" i="59" a="1"/>
  <c r="L181" i="59" s="1"/>
  <c r="K181" i="59" a="1"/>
  <c r="K181" i="59" s="1"/>
  <c r="J181" i="59" a="1"/>
  <c r="J181" i="59" s="1"/>
  <c r="K364" i="59" a="1"/>
  <c r="K364" i="59" s="1"/>
  <c r="L364" i="59" a="1"/>
  <c r="L364" i="59" s="1"/>
  <c r="J364" i="59" a="1"/>
  <c r="J364" i="59" s="1"/>
  <c r="K450" i="59" a="1"/>
  <c r="K450" i="59" s="1"/>
  <c r="L450" i="59" a="1"/>
  <c r="L450" i="59" s="1"/>
  <c r="J188" i="59" a="1"/>
  <c r="J188" i="59" s="1"/>
  <c r="L188" i="59" a="1"/>
  <c r="L188" i="59" s="1"/>
  <c r="K188" i="59" a="1"/>
  <c r="K188" i="59" s="1"/>
  <c r="C275" i="56" a="1"/>
  <c r="C275" i="56" s="1"/>
  <c r="B275" i="56" a="1"/>
  <c r="B275" i="56" s="1"/>
  <c r="C166" i="56" a="1"/>
  <c r="C166" i="56" s="1"/>
  <c r="B166" i="56" a="1"/>
  <c r="B166" i="56" s="1"/>
  <c r="L11" i="59" a="1"/>
  <c r="L11" i="59" s="1"/>
  <c r="K11" i="59" a="1"/>
  <c r="K11" i="59" s="1"/>
  <c r="J11" i="59" a="1"/>
  <c r="J11" i="59" s="1"/>
  <c r="J338" i="59" a="1"/>
  <c r="J338" i="59" s="1"/>
  <c r="L338" i="59" a="1"/>
  <c r="L338" i="59" s="1"/>
  <c r="L343" i="59" a="1"/>
  <c r="L343" i="59" s="1"/>
  <c r="K343" i="59" a="1"/>
  <c r="K343" i="59" s="1"/>
  <c r="J343" i="59" a="1"/>
  <c r="J343" i="59" s="1"/>
  <c r="K353" i="59" a="1"/>
  <c r="K353" i="59" s="1"/>
  <c r="J353" i="59" a="1"/>
  <c r="J353" i="59" s="1"/>
  <c r="L353" i="59" a="1"/>
  <c r="L353" i="59" s="1"/>
  <c r="K5" i="59" a="1"/>
  <c r="K5" i="59" s="1"/>
  <c r="L5" i="59" a="1"/>
  <c r="L5" i="59" s="1"/>
  <c r="J5" i="59" a="1"/>
  <c r="J5" i="59" s="1"/>
  <c r="J289" i="59" a="1"/>
  <c r="J289" i="59" s="1"/>
  <c r="L289" i="59" a="1"/>
  <c r="L289" i="59" s="1"/>
  <c r="K289" i="59" a="1"/>
  <c r="K289" i="59" s="1"/>
  <c r="K240" i="59" a="1"/>
  <c r="K240" i="59" s="1"/>
  <c r="L240" i="59" a="1"/>
  <c r="L240" i="59" s="1"/>
  <c r="J240" i="59" a="1"/>
  <c r="J240" i="59" s="1"/>
  <c r="C175" i="56" a="1"/>
  <c r="C175" i="56" s="1"/>
  <c r="B175" i="56" a="1"/>
  <c r="B175" i="56" s="1"/>
  <c r="B395" i="56" a="1"/>
  <c r="B395" i="56" s="1"/>
  <c r="C395" i="56" a="1"/>
  <c r="C395" i="56" s="1"/>
  <c r="J339" i="59" a="1"/>
  <c r="J339" i="59" s="1"/>
  <c r="K354" i="59" a="1"/>
  <c r="K354" i="59" s="1"/>
  <c r="J354" i="59" a="1"/>
  <c r="J354" i="59" s="1"/>
  <c r="L354" i="59" a="1"/>
  <c r="L354" i="59" s="1"/>
  <c r="L208" i="59" a="1"/>
  <c r="L208" i="59" s="1"/>
  <c r="J208" i="59" a="1"/>
  <c r="J208" i="59" s="1"/>
  <c r="K473" i="59" a="1"/>
  <c r="K473" i="59" s="1"/>
  <c r="L473" i="59" a="1"/>
  <c r="L473" i="59" s="1"/>
  <c r="J473" i="59" a="1"/>
  <c r="J473" i="59" s="1"/>
  <c r="K183" i="59" a="1"/>
  <c r="K183" i="59" s="1"/>
  <c r="L183" i="59" a="1"/>
  <c r="L183" i="59" s="1"/>
  <c r="L225" i="59" a="1"/>
  <c r="L225" i="59" s="1"/>
  <c r="K225" i="59" a="1"/>
  <c r="K225" i="59" s="1"/>
  <c r="K236" i="59" a="1"/>
  <c r="K236" i="59" s="1"/>
  <c r="J236" i="59" a="1"/>
  <c r="J236" i="59" s="1"/>
  <c r="C419" i="56" a="1"/>
  <c r="C419" i="56" s="1"/>
  <c r="B419" i="56" a="1"/>
  <c r="B419" i="56" s="1"/>
  <c r="B406" i="56" a="1"/>
  <c r="B406" i="56" s="1"/>
  <c r="J457" i="59" a="1"/>
  <c r="J457" i="59" s="1"/>
  <c r="L457" i="59" a="1"/>
  <c r="L457" i="59" s="1"/>
  <c r="K457" i="59" a="1"/>
  <c r="K457" i="59" s="1"/>
  <c r="L15" i="59" a="1"/>
  <c r="L15" i="59" s="1"/>
  <c r="J166" i="59" a="1"/>
  <c r="J166" i="59" s="1"/>
  <c r="J169" i="59" a="1"/>
  <c r="J169" i="59" s="1"/>
  <c r="J173" i="59" a="1"/>
  <c r="J173" i="59" s="1"/>
  <c r="J183" i="59" a="1"/>
  <c r="J183" i="59" s="1"/>
  <c r="J157" i="59" a="1"/>
  <c r="J157" i="59" s="1"/>
  <c r="L157" i="59" a="1"/>
  <c r="L157" i="59" s="1"/>
  <c r="K157" i="59" a="1"/>
  <c r="K157" i="59" s="1"/>
  <c r="L310" i="59" a="1"/>
  <c r="L310" i="59" s="1"/>
  <c r="K278" i="59" a="1"/>
  <c r="K278" i="59" s="1"/>
  <c r="J225" i="59" a="1"/>
  <c r="J225" i="59" s="1"/>
  <c r="L236" i="59" a="1"/>
  <c r="L236" i="59" s="1"/>
  <c r="J431" i="59" a="1"/>
  <c r="J431" i="59" s="1"/>
  <c r="L431" i="59" a="1"/>
  <c r="L431" i="59" s="1"/>
  <c r="K431" i="59" a="1"/>
  <c r="K431" i="59" s="1"/>
  <c r="L444" i="59" a="1"/>
  <c r="L444" i="59" s="1"/>
  <c r="K444" i="59" a="1"/>
  <c r="K444" i="59" s="1"/>
  <c r="J390" i="59" a="1"/>
  <c r="J390" i="59" s="1"/>
  <c r="K390" i="59" a="1"/>
  <c r="K390" i="59" s="1"/>
  <c r="K400" i="59" a="1"/>
  <c r="K400" i="59" s="1"/>
  <c r="J400" i="59" a="1"/>
  <c r="J400" i="59" s="1"/>
  <c r="C413" i="56" a="1"/>
  <c r="C413" i="56" s="1"/>
  <c r="B413" i="56" a="1"/>
  <c r="B413" i="56" s="1"/>
  <c r="B223" i="56" a="1"/>
  <c r="B223" i="56" s="1"/>
  <c r="B264" i="56" a="1"/>
  <c r="B264" i="56" s="1"/>
  <c r="C268" i="56" a="1"/>
  <c r="C268" i="56" s="1"/>
  <c r="K488" i="59" a="1"/>
  <c r="K488" i="59" s="1"/>
  <c r="K496" i="59" a="1"/>
  <c r="K496" i="59" s="1"/>
  <c r="K448" i="59" a="1"/>
  <c r="K448" i="59" s="1"/>
  <c r="K463" i="59" a="1"/>
  <c r="K463" i="59" s="1"/>
  <c r="J470" i="59" a="1"/>
  <c r="J470" i="59" s="1"/>
  <c r="K176" i="59" a="1"/>
  <c r="K176" i="59" s="1"/>
  <c r="J180" i="59" a="1"/>
  <c r="J180" i="59" s="1"/>
  <c r="J194" i="59" a="1"/>
  <c r="J194" i="59" s="1"/>
  <c r="K311" i="59" a="1"/>
  <c r="K311" i="59" s="1"/>
  <c r="L311" i="59" a="1"/>
  <c r="L311" i="59" s="1"/>
  <c r="J330" i="59" a="1"/>
  <c r="J330" i="59" s="1"/>
  <c r="L330" i="59" a="1"/>
  <c r="L330" i="59" s="1"/>
  <c r="J335" i="59" a="1"/>
  <c r="J335" i="59" s="1"/>
  <c r="J265" i="59" a="1"/>
  <c r="J265" i="59" s="1"/>
  <c r="L265" i="59" a="1"/>
  <c r="L265" i="59" s="1"/>
  <c r="J304" i="59" a="1"/>
  <c r="J304" i="59" s="1"/>
  <c r="K226" i="59" a="1"/>
  <c r="K226" i="59" s="1"/>
  <c r="L226" i="59" a="1"/>
  <c r="L226" i="59" s="1"/>
  <c r="J226" i="59" a="1"/>
  <c r="J226" i="59" s="1"/>
  <c r="K231" i="59" a="1"/>
  <c r="K231" i="59" s="1"/>
  <c r="L231" i="59" a="1"/>
  <c r="L231" i="59" s="1"/>
  <c r="L237" i="59" a="1"/>
  <c r="L237" i="59" s="1"/>
  <c r="J237" i="59" a="1"/>
  <c r="J237" i="59" s="1"/>
  <c r="K237" i="59" a="1"/>
  <c r="K237" i="59" s="1"/>
  <c r="C479" i="56" a="1"/>
  <c r="C479" i="56" s="1"/>
  <c r="B479" i="56" a="1"/>
  <c r="B479" i="56" s="1"/>
  <c r="C414" i="56" a="1"/>
  <c r="C414" i="56" s="1"/>
  <c r="B414" i="56" a="1"/>
  <c r="B414" i="56" s="1"/>
  <c r="C421" i="56" a="1"/>
  <c r="C421" i="56" s="1"/>
  <c r="B421" i="56" a="1"/>
  <c r="B421" i="56" s="1"/>
  <c r="C382" i="56" a="1"/>
  <c r="C382" i="56" s="1"/>
  <c r="B382" i="56" a="1"/>
  <c r="B382" i="56" s="1"/>
  <c r="B320" i="56" a="1"/>
  <c r="B320" i="56" s="1"/>
  <c r="C320" i="56" a="1"/>
  <c r="C320" i="56" s="1"/>
  <c r="C250" i="56" a="1"/>
  <c r="C250" i="56" s="1"/>
  <c r="B250" i="56" a="1"/>
  <c r="B250" i="56" s="1"/>
  <c r="B262" i="56" a="1"/>
  <c r="B262" i="56" s="1"/>
  <c r="C266" i="56" a="1"/>
  <c r="C266" i="56" s="1"/>
  <c r="K467" i="59" a="1"/>
  <c r="K467" i="59" s="1"/>
  <c r="K470" i="59" a="1"/>
  <c r="K470" i="59" s="1"/>
  <c r="J480" i="59" a="1"/>
  <c r="J480" i="59" s="1"/>
  <c r="L480" i="59" a="1"/>
  <c r="L480" i="59" s="1"/>
  <c r="K480" i="59" a="1"/>
  <c r="K480" i="59" s="1"/>
  <c r="L483" i="59" a="1"/>
  <c r="L483" i="59" s="1"/>
  <c r="L486" i="59" a="1"/>
  <c r="L486" i="59" s="1"/>
  <c r="J9" i="59" a="1"/>
  <c r="J9" i="59" s="1"/>
  <c r="K166" i="59" a="1"/>
  <c r="K166" i="59" s="1"/>
  <c r="K169" i="59" a="1"/>
  <c r="K169" i="59" s="1"/>
  <c r="K173" i="59" a="1"/>
  <c r="K173" i="59" s="1"/>
  <c r="J187" i="59" a="1"/>
  <c r="J187" i="59" s="1"/>
  <c r="J198" i="59" a="1"/>
  <c r="J198" i="59" s="1"/>
  <c r="J201" i="59" a="1"/>
  <c r="J201" i="59" s="1"/>
  <c r="J320" i="59" a="1"/>
  <c r="J320" i="59" s="1"/>
  <c r="K320" i="59" a="1"/>
  <c r="K320" i="59" s="1"/>
  <c r="L279" i="59" a="1"/>
  <c r="L279" i="59" s="1"/>
  <c r="K279" i="59" a="1"/>
  <c r="K279" i="59" s="1"/>
  <c r="L432" i="59" a="1"/>
  <c r="L432" i="59" s="1"/>
  <c r="J432" i="59" a="1"/>
  <c r="J432" i="59" s="1"/>
  <c r="K432" i="59" a="1"/>
  <c r="K432" i="59" s="1"/>
  <c r="C198" i="56" a="1"/>
  <c r="C198" i="56" s="1"/>
  <c r="B198" i="56" a="1"/>
  <c r="B198" i="56" s="1"/>
  <c r="C213" i="56" a="1"/>
  <c r="C213" i="56" s="1"/>
  <c r="C375" i="56" a="1"/>
  <c r="C375" i="56" s="1"/>
  <c r="B375" i="56" a="1"/>
  <c r="B375" i="56" s="1"/>
  <c r="B260" i="56" a="1"/>
  <c r="B260" i="56" s="1"/>
  <c r="J334" i="59" a="1"/>
  <c r="J334" i="59" s="1"/>
  <c r="L334" i="59" a="1"/>
  <c r="L334" i="59" s="1"/>
  <c r="K422" i="59" a="1"/>
  <c r="K422" i="59" s="1"/>
  <c r="J422" i="59" a="1"/>
  <c r="J422" i="59" s="1"/>
  <c r="L422" i="59" a="1"/>
  <c r="L422" i="59" s="1"/>
  <c r="C418" i="56" a="1"/>
  <c r="C418" i="56" s="1"/>
  <c r="B418" i="56" a="1"/>
  <c r="B418" i="56" s="1"/>
  <c r="L411" i="59" a="1"/>
  <c r="L411" i="59" s="1"/>
  <c r="K411" i="59" a="1"/>
  <c r="K411" i="59" s="1"/>
  <c r="J436" i="59" a="1"/>
  <c r="J436" i="59" s="1"/>
  <c r="L436" i="59" a="1"/>
  <c r="L436" i="59" s="1"/>
  <c r="K436" i="59" a="1"/>
  <c r="K436" i="59" s="1"/>
  <c r="B500" i="56" a="1"/>
  <c r="B500" i="56" s="1"/>
  <c r="C500" i="56" a="1"/>
  <c r="C500" i="56" s="1"/>
  <c r="C453" i="56" a="1"/>
  <c r="C453" i="56" s="1"/>
  <c r="B453" i="56" a="1"/>
  <c r="B453" i="56" s="1"/>
  <c r="C412" i="56" a="1"/>
  <c r="C412" i="56" s="1"/>
  <c r="B412" i="56" a="1"/>
  <c r="B412" i="56" s="1"/>
  <c r="K15" i="59" a="1"/>
  <c r="K15" i="59" s="1"/>
  <c r="K260" i="59" a="1"/>
  <c r="K260" i="59" s="1"/>
  <c r="J260" i="59" a="1"/>
  <c r="J260" i="59" s="1"/>
  <c r="C156" i="56" a="1"/>
  <c r="C156" i="56" s="1"/>
  <c r="B156" i="56" a="1"/>
  <c r="B156" i="56" s="1"/>
  <c r="J496" i="59" a="1"/>
  <c r="J496" i="59" s="1"/>
  <c r="J448" i="59" a="1"/>
  <c r="J448" i="59" s="1"/>
  <c r="J463" i="59" a="1"/>
  <c r="J463" i="59" s="1"/>
  <c r="J486" i="59" a="1"/>
  <c r="J486" i="59" s="1"/>
  <c r="L204" i="59" a="1"/>
  <c r="L204" i="59" s="1"/>
  <c r="K204" i="59" a="1"/>
  <c r="K204" i="59" s="1"/>
  <c r="J204" i="59" a="1"/>
  <c r="J204" i="59" s="1"/>
  <c r="J278" i="59" a="1"/>
  <c r="J278" i="59" s="1"/>
  <c r="L424" i="59" a="1"/>
  <c r="L424" i="59" s="1"/>
  <c r="K424" i="59" a="1"/>
  <c r="K424" i="59" s="1"/>
  <c r="J424" i="59" a="1"/>
  <c r="J424" i="59" s="1"/>
  <c r="C474" i="56" a="1"/>
  <c r="C474" i="56" s="1"/>
  <c r="B474" i="56" a="1"/>
  <c r="B474" i="56" s="1"/>
  <c r="K254" i="59" a="1"/>
  <c r="K254" i="59" s="1"/>
  <c r="L254" i="59" a="1"/>
  <c r="L254" i="59" s="1"/>
  <c r="J254" i="59" a="1"/>
  <c r="J254" i="59" s="1"/>
  <c r="B358" i="56" a="1"/>
  <c r="B358" i="56" s="1"/>
  <c r="C358" i="56" a="1"/>
  <c r="C358" i="56" s="1"/>
  <c r="K165" i="59" a="1"/>
  <c r="K165" i="59" s="1"/>
  <c r="J165" i="59" a="1"/>
  <c r="J165" i="59" s="1"/>
  <c r="L165" i="59" a="1"/>
  <c r="L165" i="59" s="1"/>
  <c r="L172" i="59" a="1"/>
  <c r="L172" i="59" s="1"/>
  <c r="J172" i="59" a="1"/>
  <c r="J172" i="59" s="1"/>
  <c r="K172" i="59" a="1"/>
  <c r="K172" i="59" s="1"/>
  <c r="K368" i="59" a="1"/>
  <c r="K368" i="59" s="1"/>
  <c r="L368" i="59" a="1"/>
  <c r="L368" i="59" s="1"/>
  <c r="J368" i="59" a="1"/>
  <c r="J368" i="59" s="1"/>
  <c r="C176" i="56" a="1"/>
  <c r="C176" i="56" s="1"/>
  <c r="B176" i="56" a="1"/>
  <c r="B176" i="56" s="1"/>
  <c r="J483" i="59" a="1"/>
  <c r="J483" i="59" s="1"/>
  <c r="J324" i="59" a="1"/>
  <c r="J324" i="59" s="1"/>
  <c r="L324" i="59" a="1"/>
  <c r="L324" i="59" s="1"/>
  <c r="L339" i="59" a="1"/>
  <c r="L339" i="59" s="1"/>
  <c r="J488" i="59" a="1"/>
  <c r="J488" i="59" s="1"/>
  <c r="J328" i="59" a="1"/>
  <c r="J328" i="59" s="1"/>
  <c r="L328" i="59" a="1"/>
  <c r="L328" i="59" s="1"/>
  <c r="K328" i="59" a="1"/>
  <c r="K328" i="59" s="1"/>
  <c r="J340" i="59" a="1"/>
  <c r="J340" i="59" s="1"/>
  <c r="L340" i="59" a="1"/>
  <c r="L340" i="59" s="1"/>
  <c r="K340" i="59" a="1"/>
  <c r="K340" i="59" s="1"/>
  <c r="J467" i="59" a="1"/>
  <c r="J467" i="59" s="1"/>
  <c r="J454" i="59" a="1"/>
  <c r="J454" i="59" s="1"/>
  <c r="J439" i="59" a="1"/>
  <c r="J439" i="59" s="1"/>
  <c r="K439" i="59" a="1"/>
  <c r="K439" i="59" s="1"/>
  <c r="L439" i="59" a="1"/>
  <c r="L439" i="59" s="1"/>
  <c r="C475" i="56" a="1"/>
  <c r="C475" i="56" s="1"/>
  <c r="B475" i="56" a="1"/>
  <c r="B475" i="56" s="1"/>
  <c r="B314" i="56" a="1"/>
  <c r="B314" i="56" s="1"/>
  <c r="C314" i="56" a="1"/>
  <c r="C314" i="56" s="1"/>
  <c r="L454" i="59" a="1"/>
  <c r="L454" i="59" s="1"/>
  <c r="K477" i="59" a="1"/>
  <c r="K477" i="59" s="1"/>
  <c r="K484" i="59" a="1"/>
  <c r="K484" i="59" s="1"/>
  <c r="L161" i="59" a="1"/>
  <c r="L161" i="59" s="1"/>
  <c r="L316" i="59" a="1"/>
  <c r="L316" i="59" s="1"/>
  <c r="J331" i="59" a="1"/>
  <c r="J331" i="59" s="1"/>
  <c r="J337" i="59" a="1"/>
  <c r="J337" i="59" s="1"/>
  <c r="L337" i="59" a="1"/>
  <c r="L337" i="59" s="1"/>
  <c r="K337" i="59" a="1"/>
  <c r="K337" i="59" s="1"/>
  <c r="K345" i="59" a="1"/>
  <c r="K345" i="59" s="1"/>
  <c r="K301" i="59" a="1"/>
  <c r="K301" i="59" s="1"/>
  <c r="C469" i="56" a="1"/>
  <c r="C469" i="56" s="1"/>
  <c r="B469" i="56" a="1"/>
  <c r="B469" i="56" s="1"/>
  <c r="C481" i="56" a="1"/>
  <c r="C481" i="56" s="1"/>
  <c r="B481" i="56" a="1"/>
  <c r="B481" i="56" s="1"/>
  <c r="K298" i="59" a="1"/>
  <c r="K298" i="59" s="1"/>
  <c r="L298" i="59" a="1"/>
  <c r="L298" i="59" s="1"/>
  <c r="J421" i="59" a="1"/>
  <c r="J421" i="59" s="1"/>
  <c r="L421" i="59" a="1"/>
  <c r="L421" i="59" s="1"/>
  <c r="K421" i="59" a="1"/>
  <c r="K421" i="59" s="1"/>
  <c r="C211" i="56" a="1"/>
  <c r="C211" i="56" s="1"/>
  <c r="B211" i="56" a="1"/>
  <c r="B211" i="56" s="1"/>
  <c r="L466" i="59" a="1"/>
  <c r="L466" i="59" s="1"/>
  <c r="K466" i="59" a="1"/>
  <c r="K466" i="59" s="1"/>
  <c r="K190" i="59" a="1"/>
  <c r="K190" i="59" s="1"/>
  <c r="L190" i="59" a="1"/>
  <c r="L190" i="59" s="1"/>
  <c r="L259" i="59" a="1"/>
  <c r="L259" i="59" s="1"/>
  <c r="K259" i="59" a="1"/>
  <c r="K259" i="59" s="1"/>
  <c r="J259" i="59" a="1"/>
  <c r="J259" i="59" s="1"/>
  <c r="J221" i="59" a="1"/>
  <c r="J221" i="59" s="1"/>
  <c r="K221" i="59" a="1"/>
  <c r="K221" i="59" s="1"/>
  <c r="L221" i="59" a="1"/>
  <c r="L221" i="59" s="1"/>
  <c r="K310" i="59" a="1"/>
  <c r="K310" i="59" s="1"/>
  <c r="K430" i="59" a="1"/>
  <c r="K430" i="59" s="1"/>
  <c r="J430" i="59" a="1"/>
  <c r="J430" i="59" s="1"/>
  <c r="L430" i="59" a="1"/>
  <c r="L430" i="59" s="1"/>
  <c r="J176" i="59" a="1"/>
  <c r="J176" i="59" s="1"/>
  <c r="L197" i="59" a="1"/>
  <c r="L197" i="59" s="1"/>
  <c r="K197" i="59" a="1"/>
  <c r="K197" i="59" s="1"/>
  <c r="J197" i="59" a="1"/>
  <c r="J197" i="59" s="1"/>
  <c r="K334" i="59" a="1"/>
  <c r="K334" i="59" s="1"/>
  <c r="K348" i="59" a="1"/>
  <c r="K348" i="59" s="1"/>
  <c r="L348" i="59" a="1"/>
  <c r="L348" i="59" s="1"/>
  <c r="J348" i="59" a="1"/>
  <c r="J348" i="59" s="1"/>
  <c r="L269" i="59" a="1"/>
  <c r="L269" i="59" s="1"/>
  <c r="J269" i="59" a="1"/>
  <c r="J269" i="59" s="1"/>
  <c r="K269" i="59" a="1"/>
  <c r="K269" i="59" s="1"/>
  <c r="J405" i="59" a="1"/>
  <c r="J405" i="59" s="1"/>
  <c r="L405" i="59" a="1"/>
  <c r="L405" i="59" s="1"/>
  <c r="C328" i="56" a="1"/>
  <c r="C328" i="56" s="1"/>
  <c r="B328" i="56" a="1"/>
  <c r="B328" i="56" s="1"/>
  <c r="J494" i="59" a="1"/>
  <c r="J494" i="59" s="1"/>
  <c r="J487" i="59" a="1"/>
  <c r="J487" i="59" s="1"/>
  <c r="K487" i="59" a="1"/>
  <c r="K487" i="59" s="1"/>
  <c r="K180" i="59" a="1"/>
  <c r="K180" i="59" s="1"/>
  <c r="K194" i="59" a="1"/>
  <c r="K194" i="59" s="1"/>
  <c r="L274" i="59" a="1"/>
  <c r="L274" i="59" s="1"/>
  <c r="K274" i="59" a="1"/>
  <c r="K274" i="59" s="1"/>
  <c r="L243" i="59" a="1"/>
  <c r="L243" i="59" s="1"/>
  <c r="K243" i="59" a="1"/>
  <c r="K243" i="59" s="1"/>
  <c r="J243" i="59" a="1"/>
  <c r="J243" i="59" s="1"/>
  <c r="K378" i="59" a="1"/>
  <c r="K378" i="59" s="1"/>
  <c r="J378" i="59" a="1"/>
  <c r="J378" i="59" s="1"/>
  <c r="K382" i="59" a="1"/>
  <c r="K382" i="59" s="1"/>
  <c r="J382" i="59" a="1"/>
  <c r="J382" i="59" s="1"/>
  <c r="J464" i="59" a="1"/>
  <c r="J464" i="59" s="1"/>
  <c r="L464" i="59" a="1"/>
  <c r="L464" i="59" s="1"/>
  <c r="K464" i="59" a="1"/>
  <c r="K464" i="59" s="1"/>
  <c r="K9" i="59" a="1"/>
  <c r="K9" i="59" s="1"/>
  <c r="K174" i="59" a="1"/>
  <c r="K174" i="59" s="1"/>
  <c r="L174" i="59" a="1"/>
  <c r="L174" i="59" s="1"/>
  <c r="K187" i="59" a="1"/>
  <c r="K187" i="59" s="1"/>
  <c r="K201" i="59" a="1"/>
  <c r="K201" i="59" s="1"/>
  <c r="L335" i="59" a="1"/>
  <c r="L335" i="59" s="1"/>
  <c r="J274" i="59" a="1"/>
  <c r="J274" i="59" s="1"/>
  <c r="K419" i="59" a="1"/>
  <c r="K419" i="59" s="1"/>
  <c r="L419" i="59" a="1"/>
  <c r="L419" i="59" s="1"/>
  <c r="C480" i="56" a="1"/>
  <c r="C480" i="56" s="1"/>
  <c r="B480" i="56" a="1"/>
  <c r="B480" i="56" s="1"/>
  <c r="K494" i="59" a="1"/>
  <c r="K494" i="59" s="1"/>
  <c r="K471" i="59" a="1"/>
  <c r="K471" i="59" s="1"/>
  <c r="J471" i="59" a="1"/>
  <c r="J471" i="59" s="1"/>
  <c r="J481" i="59" a="1"/>
  <c r="J481" i="59" s="1"/>
  <c r="J484" i="59" a="1"/>
  <c r="J484" i="59" s="1"/>
  <c r="L487" i="59" a="1"/>
  <c r="L487" i="59" s="1"/>
  <c r="L7" i="59" a="1"/>
  <c r="L7" i="59" s="1"/>
  <c r="K7" i="59" a="1"/>
  <c r="K7" i="59" s="1"/>
  <c r="L167" i="59" a="1"/>
  <c r="L167" i="59" s="1"/>
  <c r="K167" i="59" a="1"/>
  <c r="K167" i="59" s="1"/>
  <c r="K316" i="59" a="1"/>
  <c r="K316" i="59" s="1"/>
  <c r="K261" i="59" a="1"/>
  <c r="K261" i="59" s="1"/>
  <c r="J419" i="59" a="1"/>
  <c r="J419" i="59" s="1"/>
  <c r="L426" i="59" a="1"/>
  <c r="L426" i="59" s="1"/>
  <c r="K426" i="59" a="1"/>
  <c r="K426" i="59" s="1"/>
  <c r="J434" i="59" a="1"/>
  <c r="J434" i="59" s="1"/>
  <c r="K434" i="59" a="1"/>
  <c r="K434" i="59" s="1"/>
  <c r="L440" i="59" a="1"/>
  <c r="L440" i="59" s="1"/>
  <c r="K440" i="59" a="1"/>
  <c r="K440" i="59" s="1"/>
  <c r="L378" i="59" a="1"/>
  <c r="L378" i="59" s="1"/>
  <c r="B450" i="56" a="1"/>
  <c r="B450" i="56" s="1"/>
  <c r="C450" i="56" a="1"/>
  <c r="C450" i="56" s="1"/>
  <c r="C402" i="56" a="1"/>
  <c r="C402" i="56" s="1"/>
  <c r="B402" i="56" a="1"/>
  <c r="B402" i="56" s="1"/>
  <c r="C193" i="56" a="1"/>
  <c r="C193" i="56" s="1"/>
  <c r="B193" i="56" a="1"/>
  <c r="B193" i="56" s="1"/>
  <c r="B363" i="56" a="1"/>
  <c r="B363" i="56" s="1"/>
  <c r="C363" i="56" a="1"/>
  <c r="C363" i="56" s="1"/>
  <c r="J461" i="59" a="1"/>
  <c r="J461" i="59" s="1"/>
  <c r="J492" i="59" a="1"/>
  <c r="J492" i="59" s="1"/>
  <c r="J500" i="59" a="1"/>
  <c r="J500" i="59" s="1"/>
  <c r="K455" i="59" a="1"/>
  <c r="K455" i="59" s="1"/>
  <c r="J455" i="59" a="1"/>
  <c r="J455" i="59" s="1"/>
  <c r="J468" i="59" a="1"/>
  <c r="J468" i="59" s="1"/>
  <c r="L471" i="59" a="1"/>
  <c r="L471" i="59" s="1"/>
  <c r="J167" i="59" a="1"/>
  <c r="J167" i="59" s="1"/>
  <c r="J174" i="59" a="1"/>
  <c r="J174" i="59" s="1"/>
  <c r="L162" i="59" a="1"/>
  <c r="L162" i="59" s="1"/>
  <c r="K162" i="59" a="1"/>
  <c r="K162" i="59" s="1"/>
  <c r="J162" i="59" a="1"/>
  <c r="J162" i="59" s="1"/>
  <c r="J267" i="59" a="1"/>
  <c r="J267" i="59" s="1"/>
  <c r="L293" i="59" a="1"/>
  <c r="L293" i="59" s="1"/>
  <c r="K293" i="59" a="1"/>
  <c r="K293" i="59" s="1"/>
  <c r="J244" i="59" a="1"/>
  <c r="J244" i="59" s="1"/>
  <c r="J247" i="59" a="1"/>
  <c r="J247" i="59" s="1"/>
  <c r="J426" i="59" a="1"/>
  <c r="J426" i="59" s="1"/>
  <c r="J440" i="59" a="1"/>
  <c r="J440" i="59" s="1"/>
  <c r="K446" i="59" a="1"/>
  <c r="K446" i="59" s="1"/>
  <c r="J446" i="59" a="1"/>
  <c r="J446" i="59" s="1"/>
  <c r="L446" i="59" a="1"/>
  <c r="L446" i="59" s="1"/>
  <c r="B444" i="56" a="1"/>
  <c r="B444" i="56" s="1"/>
  <c r="C444" i="56" a="1"/>
  <c r="C444" i="56" s="1"/>
  <c r="C457" i="56" a="1"/>
  <c r="C457" i="56" s="1"/>
  <c r="B457" i="56" a="1"/>
  <c r="B457" i="56" s="1"/>
  <c r="B476" i="56" a="1"/>
  <c r="B476" i="56" s="1"/>
  <c r="B431" i="56" a="1"/>
  <c r="B431" i="56" s="1"/>
  <c r="C309" i="56" a="1"/>
  <c r="C309" i="56" s="1"/>
  <c r="B309" i="56" a="1"/>
  <c r="B309" i="56" s="1"/>
  <c r="C491" i="56" a="1"/>
  <c r="C491" i="56" s="1"/>
  <c r="B491" i="56" a="1"/>
  <c r="B491" i="56" s="1"/>
  <c r="J312" i="59" a="1"/>
  <c r="J312" i="59" s="1"/>
  <c r="L312" i="59" a="1"/>
  <c r="L312" i="59" s="1"/>
  <c r="K232" i="59" a="1"/>
  <c r="K232" i="59" s="1"/>
  <c r="L232" i="59" a="1"/>
  <c r="L232" i="59" s="1"/>
  <c r="J232" i="59" a="1"/>
  <c r="J232" i="59" s="1"/>
  <c r="C422" i="56" a="1"/>
  <c r="C422" i="56" s="1"/>
  <c r="B422" i="56" a="1"/>
  <c r="B422" i="56" s="1"/>
  <c r="C435" i="56" a="1"/>
  <c r="C435" i="56" s="1"/>
  <c r="B435" i="56" a="1"/>
  <c r="B435" i="56" s="1"/>
  <c r="C225" i="56" a="1"/>
  <c r="C225" i="56" s="1"/>
  <c r="B225" i="56" a="1"/>
  <c r="B225" i="56" s="1"/>
  <c r="K312" i="59" a="1"/>
  <c r="K312" i="59" s="1"/>
  <c r="J346" i="59" a="1"/>
  <c r="J346" i="59" s="1"/>
  <c r="K346" i="59" a="1"/>
  <c r="K346" i="59" s="1"/>
  <c r="L346" i="59" a="1"/>
  <c r="L346" i="59" s="1"/>
  <c r="L266" i="59" a="1"/>
  <c r="L266" i="59" s="1"/>
  <c r="K266" i="59" a="1"/>
  <c r="K266" i="59" s="1"/>
  <c r="J266" i="59" a="1"/>
  <c r="J266" i="59" s="1"/>
  <c r="K291" i="59" a="1"/>
  <c r="K291" i="59" s="1"/>
  <c r="J291" i="59" a="1"/>
  <c r="J291" i="59" s="1"/>
  <c r="L357" i="59" a="1"/>
  <c r="L357" i="59" s="1"/>
  <c r="J357" i="59" a="1"/>
  <c r="J357" i="59" s="1"/>
  <c r="C471" i="56" a="1"/>
  <c r="C471" i="56" s="1"/>
  <c r="B471" i="56" a="1"/>
  <c r="B471" i="56" s="1"/>
  <c r="B315" i="56" a="1"/>
  <c r="B315" i="56" s="1"/>
  <c r="J170" i="59" a="1"/>
  <c r="J170" i="59" s="1"/>
  <c r="J186" i="59" a="1"/>
  <c r="J186" i="59" s="1"/>
  <c r="J202" i="59" a="1"/>
  <c r="J202" i="59" s="1"/>
  <c r="K307" i="59" a="1"/>
  <c r="K307" i="59" s="1"/>
  <c r="J307" i="59" a="1"/>
  <c r="J307" i="59" s="1"/>
  <c r="L307" i="59" a="1"/>
  <c r="L307" i="59" s="1"/>
  <c r="K428" i="59" a="1"/>
  <c r="K428" i="59" s="1"/>
  <c r="L428" i="59" a="1"/>
  <c r="L428" i="59" s="1"/>
  <c r="L437" i="59" a="1"/>
  <c r="L437" i="59" s="1"/>
  <c r="K357" i="59" a="1"/>
  <c r="K357" i="59" s="1"/>
  <c r="C454" i="56" a="1"/>
  <c r="C454" i="56" s="1"/>
  <c r="C195" i="56" a="1"/>
  <c r="C195" i="56" s="1"/>
  <c r="J447" i="59" a="1"/>
  <c r="J447" i="59" s="1"/>
  <c r="J449" i="59" a="1"/>
  <c r="J449" i="59" s="1"/>
  <c r="J451" i="59" a="1"/>
  <c r="J451" i="59" s="1"/>
  <c r="J453" i="59" a="1"/>
  <c r="J453" i="59" s="1"/>
  <c r="J462" i="59" a="1"/>
  <c r="J462" i="59" s="1"/>
  <c r="J478" i="59" a="1"/>
  <c r="J478" i="59" s="1"/>
  <c r="J10" i="59" a="1"/>
  <c r="J10" i="59" s="1"/>
  <c r="J177" i="59" a="1"/>
  <c r="J177" i="59" s="1"/>
  <c r="K179" i="59" a="1"/>
  <c r="K179" i="59" s="1"/>
  <c r="J193" i="59" a="1"/>
  <c r="J193" i="59" s="1"/>
  <c r="K195" i="59" a="1"/>
  <c r="K195" i="59" s="1"/>
  <c r="J322" i="59" a="1"/>
  <c r="J322" i="59" s="1"/>
  <c r="L322" i="59" a="1"/>
  <c r="L322" i="59" s="1"/>
  <c r="K322" i="59" a="1"/>
  <c r="K322" i="59" s="1"/>
  <c r="K329" i="59" a="1"/>
  <c r="K329" i="59" s="1"/>
  <c r="J333" i="59" a="1"/>
  <c r="J333" i="59" s="1"/>
  <c r="L277" i="59" a="1"/>
  <c r="L277" i="59" s="1"/>
  <c r="J277" i="59" a="1"/>
  <c r="J277" i="59" s="1"/>
  <c r="K258" i="59" a="1"/>
  <c r="K258" i="59" s="1"/>
  <c r="L258" i="59" a="1"/>
  <c r="L258" i="59" s="1"/>
  <c r="J258" i="59" a="1"/>
  <c r="J258" i="59" s="1"/>
  <c r="K263" i="59" a="1"/>
  <c r="K263" i="59" s="1"/>
  <c r="L263" i="59" a="1"/>
  <c r="L263" i="59" s="1"/>
  <c r="J263" i="59" a="1"/>
  <c r="J263" i="59" s="1"/>
  <c r="L415" i="59" a="1"/>
  <c r="L415" i="59" s="1"/>
  <c r="J423" i="59" a="1"/>
  <c r="J423" i="59" s="1"/>
  <c r="L423" i="59" a="1"/>
  <c r="L423" i="59" s="1"/>
  <c r="K376" i="59" a="1"/>
  <c r="K376" i="59" s="1"/>
  <c r="J376" i="59" a="1"/>
  <c r="J376" i="59" s="1"/>
  <c r="L376" i="59" a="1"/>
  <c r="L376" i="59" s="1"/>
  <c r="C449" i="56" a="1"/>
  <c r="C449" i="56" s="1"/>
  <c r="B449" i="56" a="1"/>
  <c r="B449" i="56" s="1"/>
  <c r="C424" i="56" a="1"/>
  <c r="C424" i="56" s="1"/>
  <c r="B424" i="56" a="1"/>
  <c r="B424" i="56" s="1"/>
  <c r="C220" i="56" a="1"/>
  <c r="C220" i="56" s="1"/>
  <c r="B220" i="56" a="1"/>
  <c r="B220" i="56" s="1"/>
  <c r="C179" i="56" a="1"/>
  <c r="C179" i="56" s="1"/>
  <c r="B179" i="56" a="1"/>
  <c r="B179" i="56" s="1"/>
  <c r="B380" i="56" a="1"/>
  <c r="B380" i="56" s="1"/>
  <c r="C380" i="56" a="1"/>
  <c r="C380" i="56" s="1"/>
  <c r="B388" i="56" a="1"/>
  <c r="B388" i="56" s="1"/>
  <c r="C388" i="56" a="1"/>
  <c r="C388" i="56" s="1"/>
  <c r="C316" i="56" a="1"/>
  <c r="C316" i="56" s="1"/>
  <c r="B316" i="56" a="1"/>
  <c r="B316" i="56" s="1"/>
  <c r="B281" i="56" a="1"/>
  <c r="B281" i="56" s="1"/>
  <c r="C281" i="56" a="1"/>
  <c r="C281" i="56" s="1"/>
  <c r="J336" i="59" a="1"/>
  <c r="J336" i="59" s="1"/>
  <c r="K336" i="59" a="1"/>
  <c r="K336" i="59" s="1"/>
  <c r="K388" i="59" a="1"/>
  <c r="K388" i="59" s="1"/>
  <c r="L388" i="59" a="1"/>
  <c r="L388" i="59" s="1"/>
  <c r="J388" i="59" a="1"/>
  <c r="J388" i="59" s="1"/>
  <c r="C169" i="56" a="1"/>
  <c r="C169" i="56" s="1"/>
  <c r="B169" i="56" a="1"/>
  <c r="B169" i="56" s="1"/>
  <c r="C360" i="56" a="1"/>
  <c r="C360" i="56" s="1"/>
  <c r="B360" i="56" a="1"/>
  <c r="B360" i="56" s="1"/>
  <c r="B329" i="56" a="1"/>
  <c r="B329" i="56" s="1"/>
  <c r="C329" i="56" a="1"/>
  <c r="C329" i="56" s="1"/>
  <c r="C252" i="56" a="1"/>
  <c r="C252" i="56" s="1"/>
  <c r="B252" i="56" a="1"/>
  <c r="B252" i="56" s="1"/>
  <c r="L284" i="59" a="1"/>
  <c r="L284" i="59" s="1"/>
  <c r="J284" i="59" a="1"/>
  <c r="J284" i="59" s="1"/>
  <c r="L299" i="59" a="1"/>
  <c r="L299" i="59" s="1"/>
  <c r="J299" i="59" a="1"/>
  <c r="J299" i="59" s="1"/>
  <c r="K299" i="59" a="1"/>
  <c r="K299" i="59" s="1"/>
  <c r="K361" i="59" a="1"/>
  <c r="K361" i="59" s="1"/>
  <c r="L361" i="59" a="1"/>
  <c r="L361" i="59" s="1"/>
  <c r="C177" i="56" a="1"/>
  <c r="C177" i="56" s="1"/>
  <c r="B177" i="56" a="1"/>
  <c r="B177" i="56" s="1"/>
  <c r="C336" i="56" a="1"/>
  <c r="C336" i="56" s="1"/>
  <c r="B336" i="56" a="1"/>
  <c r="B336" i="56" s="1"/>
  <c r="J179" i="59" a="1"/>
  <c r="J179" i="59" s="1"/>
  <c r="J195" i="59" a="1"/>
  <c r="J195" i="59" s="1"/>
  <c r="J155" i="59" a="1"/>
  <c r="J155" i="59" s="1"/>
  <c r="K318" i="59" a="1"/>
  <c r="K318" i="59" s="1"/>
  <c r="J329" i="59" a="1"/>
  <c r="J329" i="59" s="1"/>
  <c r="L336" i="59" a="1"/>
  <c r="L336" i="59" s="1"/>
  <c r="K284" i="59" a="1"/>
  <c r="K284" i="59" s="1"/>
  <c r="L233" i="59" a="1"/>
  <c r="L233" i="59" s="1"/>
  <c r="J233" i="59" a="1"/>
  <c r="J233" i="59" s="1"/>
  <c r="K233" i="59" a="1"/>
  <c r="K233" i="59" s="1"/>
  <c r="J361" i="59" a="1"/>
  <c r="J361" i="59" s="1"/>
  <c r="L375" i="59" a="1"/>
  <c r="L375" i="59" s="1"/>
  <c r="J395" i="59" a="1"/>
  <c r="J395" i="59" s="1"/>
  <c r="K395" i="59" a="1"/>
  <c r="K395" i="59" s="1"/>
  <c r="L395" i="59" a="1"/>
  <c r="L395" i="59" s="1"/>
  <c r="K399" i="59" a="1"/>
  <c r="K399" i="59" s="1"/>
  <c r="J399" i="59" a="1"/>
  <c r="J399" i="59" s="1"/>
  <c r="C219" i="56" a="1"/>
  <c r="C219" i="56" s="1"/>
  <c r="L163" i="59" a="1"/>
  <c r="L163" i="59" s="1"/>
  <c r="L315" i="59" a="1"/>
  <c r="L315" i="59" s="1"/>
  <c r="L318" i="59" a="1"/>
  <c r="L318" i="59" s="1"/>
  <c r="K333" i="59" a="1"/>
  <c r="K333" i="59" s="1"/>
  <c r="K273" i="59" a="1"/>
  <c r="K273" i="59" s="1"/>
  <c r="J281" i="59" a="1"/>
  <c r="J281" i="59" s="1"/>
  <c r="L291" i="59" a="1"/>
  <c r="L291" i="59" s="1"/>
  <c r="J242" i="59" a="1"/>
  <c r="J242" i="59" s="1"/>
  <c r="K423" i="59" a="1"/>
  <c r="K423" i="59" s="1"/>
  <c r="J428" i="59" a="1"/>
  <c r="J428" i="59" s="1"/>
  <c r="K385" i="59" a="1"/>
  <c r="K385" i="59" s="1"/>
  <c r="J385" i="59" a="1"/>
  <c r="J385" i="59" s="1"/>
  <c r="K211" i="59" a="1"/>
  <c r="K211" i="59" s="1"/>
  <c r="J211" i="59" a="1"/>
  <c r="J211" i="59" s="1"/>
  <c r="L211" i="59" a="1"/>
  <c r="L211" i="59" s="1"/>
  <c r="B488" i="56" a="1"/>
  <c r="B488" i="56" s="1"/>
  <c r="C488" i="56" a="1"/>
  <c r="C488" i="56" s="1"/>
  <c r="C210" i="56" a="1"/>
  <c r="C210" i="56" s="1"/>
  <c r="B210" i="56" a="1"/>
  <c r="B210" i="56" s="1"/>
  <c r="L325" i="59" a="1"/>
  <c r="L325" i="59" s="1"/>
  <c r="J325" i="59" a="1"/>
  <c r="J325" i="59" s="1"/>
  <c r="K325" i="59" a="1"/>
  <c r="K325" i="59" s="1"/>
  <c r="K369" i="59" a="1"/>
  <c r="K369" i="59" s="1"/>
  <c r="J369" i="59" a="1"/>
  <c r="J369" i="59" s="1"/>
  <c r="L369" i="59" a="1"/>
  <c r="L369" i="59" s="1"/>
  <c r="C429" i="56" a="1"/>
  <c r="C429" i="56" s="1"/>
  <c r="B429" i="56" a="1"/>
  <c r="B429" i="56" s="1"/>
  <c r="J315" i="59" a="1"/>
  <c r="J315" i="59" s="1"/>
  <c r="K228" i="59" a="1"/>
  <c r="K228" i="59" s="1"/>
  <c r="L228" i="59" a="1"/>
  <c r="L228" i="59" s="1"/>
  <c r="K409" i="59" a="1"/>
  <c r="K409" i="59" s="1"/>
  <c r="L409" i="59" a="1"/>
  <c r="L409" i="59" s="1"/>
  <c r="J409" i="59" a="1"/>
  <c r="J409" i="59" s="1"/>
  <c r="K415" i="59" a="1"/>
  <c r="K415" i="59" s="1"/>
  <c r="J427" i="59" a="1"/>
  <c r="J427" i="59" s="1"/>
  <c r="L427" i="59" a="1"/>
  <c r="L427" i="59" s="1"/>
  <c r="K427" i="59" a="1"/>
  <c r="K427" i="59" s="1"/>
  <c r="K437" i="59" a="1"/>
  <c r="K437" i="59" s="1"/>
  <c r="J375" i="59" a="1"/>
  <c r="J375" i="59" s="1"/>
  <c r="C423" i="56" a="1"/>
  <c r="C423" i="56" s="1"/>
  <c r="B423" i="56" a="1"/>
  <c r="B423" i="56" s="1"/>
  <c r="C436" i="56" a="1"/>
  <c r="C436" i="56" s="1"/>
  <c r="B436" i="56" a="1"/>
  <c r="B436" i="56" s="1"/>
  <c r="L292" i="59" a="1"/>
  <c r="L292" i="59" s="1"/>
  <c r="K292" i="59" a="1"/>
  <c r="K292" i="59" s="1"/>
  <c r="L229" i="59" a="1"/>
  <c r="L229" i="59" s="1"/>
  <c r="K229" i="59" a="1"/>
  <c r="K229" i="59" s="1"/>
  <c r="J229" i="59" a="1"/>
  <c r="J229" i="59" s="1"/>
  <c r="K234" i="59" a="1"/>
  <c r="K234" i="59" s="1"/>
  <c r="L234" i="59" a="1"/>
  <c r="L234" i="59" s="1"/>
  <c r="J234" i="59" a="1"/>
  <c r="J234" i="59" s="1"/>
  <c r="L242" i="59" a="1"/>
  <c r="L242" i="59" s="1"/>
  <c r="L255" i="59" a="1"/>
  <c r="L255" i="59" s="1"/>
  <c r="J255" i="59" a="1"/>
  <c r="J255" i="59" s="1"/>
  <c r="L371" i="59" a="1"/>
  <c r="L371" i="59" s="1"/>
  <c r="K371" i="59" a="1"/>
  <c r="K371" i="59" s="1"/>
  <c r="B425" i="56" a="1"/>
  <c r="B425" i="56" s="1"/>
  <c r="C425" i="56" a="1"/>
  <c r="C425" i="56" s="1"/>
  <c r="C171" i="56" a="1"/>
  <c r="C171" i="56" s="1"/>
  <c r="B171" i="56" a="1"/>
  <c r="B171" i="56" s="1"/>
  <c r="J305" i="59" a="1"/>
  <c r="J305" i="59" s="1"/>
  <c r="K305" i="59" a="1"/>
  <c r="K305" i="59" s="1"/>
  <c r="J251" i="59" a="1"/>
  <c r="J251" i="59" s="1"/>
  <c r="L251" i="59" a="1"/>
  <c r="L251" i="59" s="1"/>
  <c r="K251" i="59" a="1"/>
  <c r="K251" i="59" s="1"/>
  <c r="K262" i="59" a="1"/>
  <c r="K262" i="59" s="1"/>
  <c r="L262" i="59" a="1"/>
  <c r="L262" i="59" s="1"/>
  <c r="J262" i="59" a="1"/>
  <c r="J262" i="59" s="1"/>
  <c r="K380" i="59" a="1"/>
  <c r="K380" i="59" s="1"/>
  <c r="L380" i="59" a="1"/>
  <c r="L380" i="59" s="1"/>
  <c r="J380" i="59" a="1"/>
  <c r="J380" i="59" s="1"/>
  <c r="J212" i="59" a="1"/>
  <c r="J212" i="59" s="1"/>
  <c r="L212" i="59" a="1"/>
  <c r="L212" i="59" s="1"/>
  <c r="K212" i="59" a="1"/>
  <c r="K212" i="59" s="1"/>
  <c r="L401" i="59" a="1"/>
  <c r="L401" i="59" s="1"/>
  <c r="J401" i="59" a="1"/>
  <c r="J401" i="59" s="1"/>
  <c r="K401" i="59" a="1"/>
  <c r="K401" i="59" s="1"/>
  <c r="L205" i="59" a="1"/>
  <c r="L205" i="59" s="1"/>
  <c r="J205" i="59" a="1"/>
  <c r="J205" i="59" s="1"/>
  <c r="K205" i="59" a="1"/>
  <c r="K205" i="59" s="1"/>
  <c r="B397" i="56" a="1"/>
  <c r="B397" i="56" s="1"/>
  <c r="C397" i="56" a="1"/>
  <c r="C397" i="56" s="1"/>
  <c r="C427" i="56" a="1"/>
  <c r="C427" i="56" s="1"/>
  <c r="B427" i="56" a="1"/>
  <c r="B427" i="56" s="1"/>
  <c r="C299" i="56" a="1"/>
  <c r="C299" i="56" s="1"/>
  <c r="B299" i="56" a="1"/>
  <c r="B299" i="56" s="1"/>
  <c r="C311" i="56" a="1"/>
  <c r="C311" i="56" s="1"/>
  <c r="B311" i="56" a="1"/>
  <c r="B311" i="56" s="1"/>
  <c r="L302" i="59" a="1"/>
  <c r="L302" i="59" s="1"/>
  <c r="K302" i="59" a="1"/>
  <c r="K302" i="59" s="1"/>
  <c r="J302" i="59" a="1"/>
  <c r="J302" i="59" s="1"/>
  <c r="J420" i="59" a="1"/>
  <c r="J420" i="59" s="1"/>
  <c r="K420" i="59" a="1"/>
  <c r="K420" i="59" s="1"/>
  <c r="J433" i="59" a="1"/>
  <c r="J433" i="59" s="1"/>
  <c r="L433" i="59" a="1"/>
  <c r="L433" i="59" s="1"/>
  <c r="K433" i="59" a="1"/>
  <c r="K433" i="59" s="1"/>
  <c r="J445" i="59" a="1"/>
  <c r="J445" i="59" s="1"/>
  <c r="L445" i="59" a="1"/>
  <c r="L445" i="59" s="1"/>
  <c r="K445" i="59" a="1"/>
  <c r="K445" i="59" s="1"/>
  <c r="K384" i="59" a="1"/>
  <c r="K384" i="59" s="1"/>
  <c r="L384" i="59" a="1"/>
  <c r="L384" i="59" s="1"/>
  <c r="C409" i="56" a="1"/>
  <c r="C409" i="56" s="1"/>
  <c r="B409" i="56" a="1"/>
  <c r="B409" i="56" s="1"/>
  <c r="C168" i="56" a="1"/>
  <c r="C168" i="56" s="1"/>
  <c r="B168" i="56" a="1"/>
  <c r="B168" i="56" s="1"/>
  <c r="B383" i="56" a="1"/>
  <c r="B383" i="56" s="1"/>
  <c r="C325" i="56" a="1"/>
  <c r="C325" i="56" s="1"/>
  <c r="B325" i="56" a="1"/>
  <c r="B325" i="56" s="1"/>
  <c r="B273" i="56" a="1"/>
  <c r="B273" i="56" s="1"/>
  <c r="C273" i="56" a="1"/>
  <c r="C273" i="56" s="1"/>
  <c r="C303" i="56" a="1"/>
  <c r="C303" i="56" s="1"/>
  <c r="B303" i="56" a="1"/>
  <c r="B303" i="56" s="1"/>
  <c r="K438" i="59" a="1"/>
  <c r="K438" i="59" s="1"/>
  <c r="J438" i="59" a="1"/>
  <c r="J438" i="59" s="1"/>
  <c r="L438" i="59" a="1"/>
  <c r="L438" i="59" s="1"/>
  <c r="L442" i="59" a="1"/>
  <c r="L442" i="59" s="1"/>
  <c r="J442" i="59" a="1"/>
  <c r="J442" i="59" s="1"/>
  <c r="K442" i="59" a="1"/>
  <c r="K442" i="59" s="1"/>
  <c r="K215" i="59" a="1"/>
  <c r="K215" i="59" s="1"/>
  <c r="L215" i="59" a="1"/>
  <c r="L215" i="59" s="1"/>
  <c r="J215" i="59" a="1"/>
  <c r="J215" i="59" s="1"/>
  <c r="C404" i="56" a="1"/>
  <c r="C404" i="56" s="1"/>
  <c r="B404" i="56" a="1"/>
  <c r="B404" i="56" s="1"/>
  <c r="B189" i="56" a="1"/>
  <c r="B189" i="56" s="1"/>
  <c r="C189" i="56" a="1"/>
  <c r="C189" i="56" s="1"/>
  <c r="J238" i="59" a="1"/>
  <c r="J238" i="59" s="1"/>
  <c r="L355" i="59" a="1"/>
  <c r="L355" i="59" s="1"/>
  <c r="K355" i="59" a="1"/>
  <c r="K355" i="59" s="1"/>
  <c r="L359" i="59" a="1"/>
  <c r="L359" i="59" s="1"/>
  <c r="K359" i="59" a="1"/>
  <c r="K359" i="59" s="1"/>
  <c r="J359" i="59" a="1"/>
  <c r="J359" i="59" s="1"/>
  <c r="J402" i="59" a="1"/>
  <c r="J402" i="59" s="1"/>
  <c r="K402" i="59" a="1"/>
  <c r="K402" i="59" s="1"/>
  <c r="B487" i="56" a="1"/>
  <c r="B487" i="56" s="1"/>
  <c r="C440" i="56" a="1"/>
  <c r="C440" i="56" s="1"/>
  <c r="B440" i="56" a="1"/>
  <c r="B440" i="56" s="1"/>
  <c r="B462" i="56" a="1"/>
  <c r="B462" i="56" s="1"/>
  <c r="B359" i="56" a="1"/>
  <c r="B359" i="56" s="1"/>
  <c r="C350" i="56" a="1"/>
  <c r="C350" i="56" s="1"/>
  <c r="B350" i="56" a="1"/>
  <c r="B350" i="56" s="1"/>
  <c r="C283" i="56" a="1"/>
  <c r="C283" i="56" s="1"/>
  <c r="B283" i="56" a="1"/>
  <c r="B283" i="56" s="1"/>
  <c r="K370" i="59" a="1"/>
  <c r="K370" i="59" s="1"/>
  <c r="L370" i="59" a="1"/>
  <c r="L370" i="59" s="1"/>
  <c r="J404" i="59" a="1"/>
  <c r="J404" i="59" s="1"/>
  <c r="L404" i="59" a="1"/>
  <c r="L404" i="59" s="1"/>
  <c r="K404" i="59" a="1"/>
  <c r="K404" i="59" s="1"/>
  <c r="C448" i="56" a="1"/>
  <c r="C448" i="56" s="1"/>
  <c r="B448" i="56" a="1"/>
  <c r="B448" i="56" s="1"/>
  <c r="C224" i="56" a="1"/>
  <c r="C224" i="56" s="1"/>
  <c r="B224" i="56" a="1"/>
  <c r="B224" i="56" s="1"/>
  <c r="B394" i="56" a="1"/>
  <c r="B394" i="56" s="1"/>
  <c r="C394" i="56" a="1"/>
  <c r="C394" i="56" s="1"/>
  <c r="J219" i="59" a="1"/>
  <c r="J219" i="59" s="1"/>
  <c r="L219" i="59" a="1"/>
  <c r="L219" i="59" s="1"/>
  <c r="K219" i="59" a="1"/>
  <c r="K219" i="59" s="1"/>
  <c r="C160" i="56" a="1"/>
  <c r="C160" i="56" s="1"/>
  <c r="B160" i="56" a="1"/>
  <c r="B160" i="56" s="1"/>
  <c r="C377" i="56" a="1"/>
  <c r="C377" i="56" s="1"/>
  <c r="B377" i="56" a="1"/>
  <c r="B377" i="56" s="1"/>
  <c r="C291" i="56" a="1"/>
  <c r="C291" i="56" s="1"/>
  <c r="B291" i="56" a="1"/>
  <c r="B291" i="56" s="1"/>
  <c r="C384" i="56" a="1"/>
  <c r="C384" i="56" s="1"/>
  <c r="B384" i="56" a="1"/>
  <c r="B384" i="56" s="1"/>
  <c r="B390" i="56" a="1"/>
  <c r="B390" i="56" s="1"/>
  <c r="C390" i="56" a="1"/>
  <c r="C390" i="56" s="1"/>
  <c r="C352" i="56" a="1"/>
  <c r="C352" i="56" s="1"/>
  <c r="B352" i="56" a="1"/>
  <c r="B352" i="56" s="1"/>
  <c r="K362" i="59" a="1"/>
  <c r="K362" i="59" s="1"/>
  <c r="J362" i="59" a="1"/>
  <c r="J362" i="59" s="1"/>
  <c r="L398" i="59" a="1"/>
  <c r="L398" i="59" s="1"/>
  <c r="K398" i="59" a="1"/>
  <c r="K398" i="59" s="1"/>
  <c r="C442" i="56" a="1"/>
  <c r="C442" i="56" s="1"/>
  <c r="B442" i="56" a="1"/>
  <c r="B442" i="56" s="1"/>
  <c r="C472" i="56" a="1"/>
  <c r="C472" i="56" s="1"/>
  <c r="B472" i="56" a="1"/>
  <c r="B472" i="56" s="1"/>
  <c r="C400" i="56" a="1"/>
  <c r="C400" i="56" s="1"/>
  <c r="B400" i="56" a="1"/>
  <c r="B400" i="56" s="1"/>
  <c r="C405" i="56" a="1"/>
  <c r="C405" i="56" s="1"/>
  <c r="B405" i="56" a="1"/>
  <c r="B405" i="56" s="1"/>
  <c r="C205" i="56" a="1"/>
  <c r="C205" i="56" s="1"/>
  <c r="B205" i="56" a="1"/>
  <c r="B205" i="56" s="1"/>
  <c r="C366" i="56" a="1"/>
  <c r="C366" i="56" s="1"/>
  <c r="B366" i="56" a="1"/>
  <c r="B366" i="56" s="1"/>
  <c r="C372" i="56" a="1"/>
  <c r="C372" i="56" s="1"/>
  <c r="B372" i="56" a="1"/>
  <c r="B372" i="56" s="1"/>
  <c r="C305" i="56" a="1"/>
  <c r="C305" i="56" s="1"/>
  <c r="B305" i="56" a="1"/>
  <c r="B305" i="56" s="1"/>
  <c r="J282" i="59" a="1"/>
  <c r="J282" i="59" s="1"/>
  <c r="L362" i="59" a="1"/>
  <c r="L362" i="59" s="1"/>
  <c r="L387" i="59" a="1"/>
  <c r="L387" i="59" s="1"/>
  <c r="K387" i="59" a="1"/>
  <c r="K387" i="59" s="1"/>
  <c r="B455" i="56" a="1"/>
  <c r="B455" i="56" s="1"/>
  <c r="C158" i="56" a="1"/>
  <c r="C158" i="56" s="1"/>
  <c r="B158" i="56" a="1"/>
  <c r="B158" i="56" s="1"/>
  <c r="C297" i="56" a="1"/>
  <c r="C297" i="56" s="1"/>
  <c r="B297" i="56" a="1"/>
  <c r="B297" i="56" s="1"/>
  <c r="J373" i="59" a="1"/>
  <c r="J373" i="59" s="1"/>
  <c r="K377" i="59" a="1"/>
  <c r="K377" i="59" s="1"/>
  <c r="J377" i="59" a="1"/>
  <c r="J377" i="59" s="1"/>
  <c r="J206" i="59" a="1"/>
  <c r="J206" i="59" s="1"/>
  <c r="K206" i="59" a="1"/>
  <c r="K206" i="59" s="1"/>
  <c r="B499" i="56" a="1"/>
  <c r="B499" i="56" s="1"/>
  <c r="C401" i="56" a="1"/>
  <c r="C401" i="56" s="1"/>
  <c r="B401" i="56" a="1"/>
  <c r="B401" i="56" s="1"/>
  <c r="C437" i="56" a="1"/>
  <c r="C437" i="56" s="1"/>
  <c r="B437" i="56" a="1"/>
  <c r="B437" i="56" s="1"/>
  <c r="C355" i="56" a="1"/>
  <c r="C355" i="56" s="1"/>
  <c r="B236" i="56" a="1"/>
  <c r="B236" i="56" s="1"/>
  <c r="C236" i="56" a="1"/>
  <c r="C236" i="56" s="1"/>
  <c r="L282" i="59" a="1"/>
  <c r="L282" i="59" s="1"/>
  <c r="J407" i="59" a="1"/>
  <c r="J407" i="59" s="1"/>
  <c r="J356" i="59" a="1"/>
  <c r="J356" i="59" s="1"/>
  <c r="K373" i="59" a="1"/>
  <c r="K373" i="59" s="1"/>
  <c r="K216" i="59" a="1"/>
  <c r="K216" i="59" s="1"/>
  <c r="J216" i="59" a="1"/>
  <c r="J216" i="59" s="1"/>
  <c r="L216" i="59" a="1"/>
  <c r="L216" i="59" s="1"/>
  <c r="C447" i="56" a="1"/>
  <c r="C447" i="56" s="1"/>
  <c r="B447" i="56" a="1"/>
  <c r="B447" i="56" s="1"/>
  <c r="B201" i="56" a="1"/>
  <c r="B201" i="56" s="1"/>
  <c r="B221" i="56" a="1"/>
  <c r="B221" i="56" s="1"/>
  <c r="C221" i="56" a="1"/>
  <c r="C221" i="56" s="1"/>
  <c r="B172" i="56" a="1"/>
  <c r="B172" i="56" s="1"/>
  <c r="C356" i="56" a="1"/>
  <c r="C356" i="56" s="1"/>
  <c r="B356" i="56" a="1"/>
  <c r="B356" i="56" s="1"/>
  <c r="B318" i="56" a="1"/>
  <c r="B318" i="56" s="1"/>
  <c r="C324" i="56" a="1"/>
  <c r="C324" i="56" s="1"/>
  <c r="C242" i="56" a="1"/>
  <c r="C242" i="56" s="1"/>
  <c r="B242" i="56" a="1"/>
  <c r="B242" i="56" s="1"/>
  <c r="C443" i="56" a="1"/>
  <c r="C443" i="56" s="1"/>
  <c r="B443" i="56" a="1"/>
  <c r="B443" i="56" s="1"/>
  <c r="B468" i="56" a="1"/>
  <c r="B468" i="56" s="1"/>
  <c r="C468" i="56" a="1"/>
  <c r="C468" i="56" s="1"/>
  <c r="C354" i="56" a="1"/>
  <c r="C354" i="56" s="1"/>
  <c r="B354" i="56" a="1"/>
  <c r="B354" i="56" s="1"/>
  <c r="K360" i="59" a="1"/>
  <c r="K360" i="59" s="1"/>
  <c r="J360" i="59" a="1"/>
  <c r="J360" i="59" s="1"/>
  <c r="L213" i="59" a="1"/>
  <c r="L213" i="59" s="1"/>
  <c r="J213" i="59" a="1"/>
  <c r="J213" i="59" s="1"/>
  <c r="K392" i="59" a="1"/>
  <c r="K392" i="59" s="1"/>
  <c r="J392" i="59" a="1"/>
  <c r="J392" i="59" s="1"/>
  <c r="K207" i="59" a="1"/>
  <c r="K207" i="59" s="1"/>
  <c r="J207" i="59" a="1"/>
  <c r="J207" i="59" s="1"/>
  <c r="L207" i="59" a="1"/>
  <c r="L207" i="59" s="1"/>
  <c r="C465" i="56" a="1"/>
  <c r="C465" i="56" s="1"/>
  <c r="B465" i="56" a="1"/>
  <c r="B465" i="56" s="1"/>
  <c r="C6" i="56" a="1"/>
  <c r="C6" i="56" s="1"/>
  <c r="B161" i="56" a="1"/>
  <c r="B161" i="56" s="1"/>
  <c r="C161" i="56" a="1"/>
  <c r="C161" i="56" s="1"/>
  <c r="C368" i="56" a="1"/>
  <c r="C368" i="56" s="1"/>
  <c r="B368" i="56" a="1"/>
  <c r="B368" i="56" s="1"/>
  <c r="C333" i="56" a="1"/>
  <c r="C333" i="56" s="1"/>
  <c r="B333" i="56" a="1"/>
  <c r="B333" i="56" s="1"/>
  <c r="B407" i="56" a="1"/>
  <c r="B407" i="56" s="1"/>
  <c r="C407" i="56" a="1"/>
  <c r="C407" i="56" s="1"/>
  <c r="C426" i="56" a="1"/>
  <c r="C426" i="56" s="1"/>
  <c r="B426" i="56" a="1"/>
  <c r="B426" i="56" s="1"/>
  <c r="C391" i="56" a="1"/>
  <c r="C391" i="56" s="1"/>
  <c r="B391" i="56" a="1"/>
  <c r="B391" i="56" s="1"/>
  <c r="C230" i="56" a="1"/>
  <c r="C230" i="56" s="1"/>
  <c r="B230" i="56" a="1"/>
  <c r="B230" i="56" s="1"/>
  <c r="L374" i="59" a="1"/>
  <c r="L374" i="59" s="1"/>
  <c r="C477" i="56" a="1"/>
  <c r="C477" i="56" s="1"/>
  <c r="B477" i="56" a="1"/>
  <c r="B477" i="56" s="1"/>
  <c r="C216" i="56" a="1"/>
  <c r="C216" i="56" s="1"/>
  <c r="B216" i="56" a="1"/>
  <c r="B216" i="56" s="1"/>
  <c r="B157" i="56" a="1"/>
  <c r="B157" i="56" s="1"/>
  <c r="B174" i="56" a="1"/>
  <c r="B174" i="56" s="1"/>
  <c r="B379" i="56" a="1"/>
  <c r="B379" i="56" s="1"/>
  <c r="C410" i="56" a="1"/>
  <c r="C410" i="56" s="1"/>
  <c r="B410" i="56" a="1"/>
  <c r="B410" i="56" s="1"/>
  <c r="C178" i="56" a="1"/>
  <c r="C178" i="56" s="1"/>
  <c r="B178" i="56" a="1"/>
  <c r="B178" i="56" s="1"/>
  <c r="J218" i="59" a="1"/>
  <c r="J218" i="59" s="1"/>
  <c r="C432" i="56" a="1"/>
  <c r="C432" i="56" s="1"/>
  <c r="B432" i="56" a="1"/>
  <c r="B432" i="56" s="1"/>
  <c r="B438" i="56" a="1"/>
  <c r="B438" i="56" s="1"/>
  <c r="C343" i="56" a="1"/>
  <c r="C343" i="56" s="1"/>
  <c r="B343" i="56" a="1"/>
  <c r="B343" i="56" s="1"/>
  <c r="C339" i="56" a="1"/>
  <c r="C339" i="56" s="1"/>
  <c r="B339" i="56" a="1"/>
  <c r="B339" i="56" s="1"/>
  <c r="B287" i="56" a="1"/>
  <c r="B287" i="56" s="1"/>
  <c r="C492" i="56" a="1"/>
  <c r="C492" i="56" s="1"/>
  <c r="B451" i="56" a="1"/>
  <c r="B451" i="56" s="1"/>
  <c r="B398" i="56" a="1"/>
  <c r="B398" i="56" s="1"/>
  <c r="B420" i="56" a="1"/>
  <c r="B420" i="56" s="1"/>
  <c r="C206" i="56" a="1"/>
  <c r="C206" i="56" s="1"/>
  <c r="B206" i="56" a="1"/>
  <c r="B206" i="56" s="1"/>
  <c r="B367" i="56" a="1"/>
  <c r="B367" i="56" s="1"/>
  <c r="C367" i="56" a="1"/>
  <c r="C367" i="56" s="1"/>
  <c r="C373" i="56" a="1"/>
  <c r="C373" i="56" s="1"/>
  <c r="B373" i="56" a="1"/>
  <c r="B373" i="56" s="1"/>
  <c r="C344" i="56" a="1"/>
  <c r="C344" i="56" s="1"/>
  <c r="B344" i="56" a="1"/>
  <c r="B344" i="56" s="1"/>
  <c r="K396" i="59" a="1"/>
  <c r="K396" i="59" s="1"/>
  <c r="B196" i="56" a="1"/>
  <c r="B196" i="56" s="1"/>
  <c r="B153" i="56" a="1"/>
  <c r="B153" i="56" s="1"/>
  <c r="B279" i="56" a="1"/>
  <c r="B279" i="56" s="1"/>
  <c r="C279" i="56" a="1"/>
  <c r="C279" i="56" s="1"/>
  <c r="C301" i="56" a="1"/>
  <c r="C301" i="56" s="1"/>
  <c r="B301" i="56" a="1"/>
  <c r="B301" i="56" s="1"/>
  <c r="C389" i="56" a="1"/>
  <c r="C389" i="56" s="1"/>
  <c r="B389" i="56" a="1"/>
  <c r="B389" i="56" s="1"/>
  <c r="C162" i="56" a="1"/>
  <c r="C162" i="56" s="1"/>
  <c r="B162" i="56" a="1"/>
  <c r="B162" i="56" s="1"/>
  <c r="B381" i="56" a="1"/>
  <c r="B381" i="56" s="1"/>
  <c r="C393" i="56" a="1"/>
  <c r="C393" i="56" s="1"/>
  <c r="B313" i="56" a="1"/>
  <c r="B313" i="56" s="1"/>
  <c r="C330" i="56" a="1"/>
  <c r="C330" i="56" s="1"/>
  <c r="B341" i="56" a="1"/>
  <c r="B341" i="56" s="1"/>
  <c r="C357" i="56" a="1"/>
  <c r="C357" i="56" s="1"/>
  <c r="B357" i="56" a="1"/>
  <c r="B357" i="56" s="1"/>
  <c r="C271" i="56" a="1"/>
  <c r="C271" i="56" s="1"/>
  <c r="B271" i="56" a="1"/>
  <c r="B271" i="56" s="1"/>
  <c r="C307" i="56" a="1"/>
  <c r="C307" i="56" s="1"/>
  <c r="B307" i="56" a="1"/>
  <c r="B307" i="56" s="1"/>
  <c r="B240" i="56" a="1"/>
  <c r="B240" i="56" s="1"/>
  <c r="C240" i="56" a="1"/>
  <c r="C240" i="56" s="1"/>
  <c r="B334" i="56" a="1"/>
  <c r="B334" i="56" s="1"/>
  <c r="C323" i="56" a="1"/>
  <c r="C323" i="56" s="1"/>
  <c r="B323" i="56" a="1"/>
  <c r="B323" i="56" s="1"/>
  <c r="C332" i="56" a="1"/>
  <c r="C332" i="56" s="1"/>
  <c r="B332" i="56" a="1"/>
  <c r="B332" i="56" s="1"/>
  <c r="E4" i="56" l="1" a="1"/>
  <c r="E4" i="56" s="1"/>
  <c r="E5" i="56" l="1" a="1"/>
  <c r="E5" i="56" s="1"/>
  <c r="E6" i="56" l="1" a="1"/>
  <c r="E6" i="56" s="1"/>
  <c r="E7" i="56" s="1" a="1"/>
  <c r="E7" i="56" s="1"/>
  <c r="E8" i="56" l="1" a="1"/>
  <c r="E8" i="56" s="1"/>
  <c r="A7" i="56" a="1"/>
  <c r="A7" i="56" s="1"/>
  <c r="E9" i="56" a="1"/>
  <c r="E9" i="56" s="1"/>
  <c r="C7" i="56" l="1" a="1"/>
  <c r="C7" i="56" s="1"/>
  <c r="E10" i="56" a="1"/>
  <c r="E10" i="56" s="1"/>
  <c r="I12" i="59" s="1" a="1"/>
  <c r="I12" i="59" s="1"/>
  <c r="K12" i="59" l="1" a="1"/>
  <c r="K12" i="59" s="1"/>
  <c r="L12" i="59" a="1"/>
  <c r="L12" i="59" s="1"/>
  <c r="J12" i="59" a="1"/>
  <c r="J12" i="59" s="1"/>
  <c r="E11" i="56" a="1"/>
  <c r="E11" i="56" s="1"/>
  <c r="E12" i="56" l="1" a="1"/>
  <c r="E12" i="56" s="1"/>
  <c r="E13" i="56" l="1" a="1"/>
  <c r="E13" i="56" s="1"/>
  <c r="E14" i="56" l="1" a="1"/>
  <c r="E14" i="56" s="1"/>
  <c r="I5" i="58" a="1"/>
  <c r="I5" i="58" s="1"/>
  <c r="I6" i="58" a="1"/>
  <c r="I6" i="58" s="1"/>
  <c r="I7" i="58" a="1"/>
  <c r="I7" i="58" s="1"/>
  <c r="I8" i="58" a="1"/>
  <c r="I8" i="58" s="1"/>
  <c r="I9" i="58" a="1"/>
  <c r="I9" i="58" s="1"/>
  <c r="I10" i="58" a="1"/>
  <c r="I10" i="58" s="1"/>
  <c r="I11" i="58" a="1"/>
  <c r="I11" i="58" s="1"/>
  <c r="I12" i="58" a="1"/>
  <c r="I12" i="58" s="1"/>
  <c r="I13" i="58" a="1"/>
  <c r="I13" i="58" s="1"/>
  <c r="I14" i="58" a="1"/>
  <c r="I14" i="58" s="1"/>
  <c r="I15" i="58" a="1"/>
  <c r="I15" i="58" s="1"/>
  <c r="I16" i="58" a="1"/>
  <c r="I16" i="58" s="1"/>
  <c r="I17" i="58" a="1"/>
  <c r="I17" i="58" s="1"/>
  <c r="I18" i="58" a="1"/>
  <c r="I18" i="58" s="1"/>
  <c r="I112" i="58" a="1"/>
  <c r="I112" i="58" s="1"/>
  <c r="I113" i="58" a="1"/>
  <c r="I113" i="58" s="1"/>
  <c r="I114" i="58" a="1"/>
  <c r="I114" i="58" s="1"/>
  <c r="I115" i="58" a="1"/>
  <c r="I115" i="58" s="1"/>
  <c r="I116" i="58" a="1"/>
  <c r="I116" i="58" s="1"/>
  <c r="I117" i="58" a="1"/>
  <c r="I117" i="58" s="1"/>
  <c r="I118" i="58" a="1"/>
  <c r="I118" i="58" s="1"/>
  <c r="I119" i="58" a="1"/>
  <c r="I119" i="58" s="1"/>
  <c r="I120" i="58" a="1"/>
  <c r="I120" i="58" s="1"/>
  <c r="I121" i="58" a="1"/>
  <c r="I121" i="58" s="1"/>
  <c r="I122" i="58" a="1"/>
  <c r="I122" i="58" s="1"/>
  <c r="I123" i="58" a="1"/>
  <c r="I123" i="58" s="1"/>
  <c r="I124" i="58" a="1"/>
  <c r="I124" i="58" s="1"/>
  <c r="I125" i="58" a="1"/>
  <c r="I125" i="58" s="1"/>
  <c r="I126" i="58" a="1"/>
  <c r="I126" i="58" s="1"/>
  <c r="I127" i="58" a="1"/>
  <c r="I127" i="58" s="1"/>
  <c r="I128" i="58" a="1"/>
  <c r="I128" i="58" s="1"/>
  <c r="I129" i="58" a="1"/>
  <c r="I129" i="58" s="1"/>
  <c r="I130" i="58" a="1"/>
  <c r="I130" i="58" s="1"/>
  <c r="I131" i="58" a="1"/>
  <c r="I131" i="58" s="1"/>
  <c r="I132" i="58" a="1"/>
  <c r="I132" i="58" s="1"/>
  <c r="I133" i="58" a="1"/>
  <c r="I133" i="58" s="1"/>
  <c r="I134" i="58" a="1"/>
  <c r="I134" i="58" s="1"/>
  <c r="I135" i="58" a="1"/>
  <c r="I135" i="58" s="1"/>
  <c r="I136" i="58" a="1"/>
  <c r="I136" i="58" s="1"/>
  <c r="I137" i="58" a="1"/>
  <c r="I137" i="58" s="1"/>
  <c r="I138" i="58" a="1"/>
  <c r="I138" i="58" s="1"/>
  <c r="I139" i="58" a="1"/>
  <c r="I139" i="58" s="1"/>
  <c r="I140" i="58" a="1"/>
  <c r="I140" i="58" s="1"/>
  <c r="I141" i="58" a="1"/>
  <c r="I141" i="58" s="1"/>
  <c r="I142" i="58" a="1"/>
  <c r="I142" i="58" s="1"/>
  <c r="I143" i="58" a="1"/>
  <c r="I143" i="58" s="1"/>
  <c r="I144" i="58" a="1"/>
  <c r="I144" i="58" s="1"/>
  <c r="I145" i="58" a="1"/>
  <c r="I145" i="58" s="1"/>
  <c r="I146" i="58" a="1"/>
  <c r="I146" i="58" s="1"/>
  <c r="I147" i="58" a="1"/>
  <c r="I147" i="58" s="1"/>
  <c r="I148" i="58" a="1"/>
  <c r="I148" i="58" s="1"/>
  <c r="I149" i="58" a="1"/>
  <c r="I149" i="58" s="1"/>
  <c r="I150" i="58" a="1"/>
  <c r="I150" i="58" s="1"/>
  <c r="I151" i="58" a="1"/>
  <c r="I151" i="58" s="1"/>
  <c r="I152" i="58" a="1"/>
  <c r="I152" i="58" s="1"/>
  <c r="I153" i="58" a="1"/>
  <c r="I153" i="58" s="1"/>
  <c r="I154" i="58" a="1"/>
  <c r="I154" i="58" s="1"/>
  <c r="I155" i="58" a="1"/>
  <c r="I155" i="58" s="1"/>
  <c r="I156" i="58" a="1"/>
  <c r="I156" i="58" s="1"/>
  <c r="I157" i="58" a="1"/>
  <c r="I157" i="58" s="1"/>
  <c r="I158" i="58" a="1"/>
  <c r="I158" i="58" s="1"/>
  <c r="I159" i="58" a="1"/>
  <c r="I159" i="58" s="1"/>
  <c r="I160" i="58" a="1"/>
  <c r="I160" i="58" s="1"/>
  <c r="I161" i="58" a="1"/>
  <c r="I161" i="58" s="1"/>
  <c r="I162" i="58" a="1"/>
  <c r="I162" i="58" s="1"/>
  <c r="I163" i="58" a="1"/>
  <c r="I163" i="58" s="1"/>
  <c r="I164" i="58" a="1"/>
  <c r="I164" i="58" s="1"/>
  <c r="I165" i="58" a="1"/>
  <c r="I165" i="58" s="1"/>
  <c r="I166" i="58" a="1"/>
  <c r="I166" i="58" s="1"/>
  <c r="I167" i="58" a="1"/>
  <c r="I167" i="58" s="1"/>
  <c r="I168" i="58" a="1"/>
  <c r="I168" i="58" s="1"/>
  <c r="I169" i="58" a="1"/>
  <c r="I169" i="58" s="1"/>
  <c r="I170" i="58" a="1"/>
  <c r="I170" i="58" s="1"/>
  <c r="I171" i="58" a="1"/>
  <c r="I171" i="58" s="1"/>
  <c r="I172" i="58" a="1"/>
  <c r="I172" i="58" s="1"/>
  <c r="I173" i="58" a="1"/>
  <c r="I173" i="58" s="1"/>
  <c r="I174" i="58" a="1"/>
  <c r="I174" i="58" s="1"/>
  <c r="I175" i="58" a="1"/>
  <c r="I175" i="58" s="1"/>
  <c r="I176" i="58" a="1"/>
  <c r="I176" i="58" s="1"/>
  <c r="I177" i="58" a="1"/>
  <c r="I177" i="58" s="1"/>
  <c r="I178" i="58" a="1"/>
  <c r="I178" i="58" s="1"/>
  <c r="I179" i="58" a="1"/>
  <c r="I179" i="58" s="1"/>
  <c r="I180" i="58" a="1"/>
  <c r="I180" i="58" s="1"/>
  <c r="I181" i="58" a="1"/>
  <c r="I181" i="58" s="1"/>
  <c r="I182" i="58" a="1"/>
  <c r="I182" i="58" s="1"/>
  <c r="I183" i="58" a="1"/>
  <c r="I183" i="58" s="1"/>
  <c r="I184" i="58" a="1"/>
  <c r="I184" i="58" s="1"/>
  <c r="I185" i="58" a="1"/>
  <c r="I185" i="58" s="1"/>
  <c r="I186" i="58" a="1"/>
  <c r="I186" i="58" s="1"/>
  <c r="I187" i="58" a="1"/>
  <c r="I187" i="58" s="1"/>
  <c r="I188" i="58" a="1"/>
  <c r="I188" i="58" s="1"/>
  <c r="I189" i="58" a="1"/>
  <c r="I189" i="58" s="1"/>
  <c r="I190" i="58" a="1"/>
  <c r="I190" i="58" s="1"/>
  <c r="I191" i="58" a="1"/>
  <c r="I191" i="58" s="1"/>
  <c r="I192" i="58" a="1"/>
  <c r="I192" i="58" s="1"/>
  <c r="I193" i="58" a="1"/>
  <c r="I193" i="58" s="1"/>
  <c r="I194" i="58" a="1"/>
  <c r="I194" i="58" s="1"/>
  <c r="I195" i="58" a="1"/>
  <c r="I195" i="58" s="1"/>
  <c r="I196" i="58" a="1"/>
  <c r="I196" i="58" s="1"/>
  <c r="I197" i="58" a="1"/>
  <c r="I197" i="58" s="1"/>
  <c r="I198" i="58" a="1"/>
  <c r="I198" i="58" s="1"/>
  <c r="I199" i="58" a="1"/>
  <c r="I199" i="58" s="1"/>
  <c r="I200" i="58" a="1"/>
  <c r="I200" i="58" s="1"/>
  <c r="I201" i="58" a="1"/>
  <c r="I201" i="58" s="1"/>
  <c r="I202" i="58" a="1"/>
  <c r="I202" i="58" s="1"/>
  <c r="I203" i="58" a="1"/>
  <c r="I203" i="58" s="1"/>
  <c r="I204" i="58" a="1"/>
  <c r="I204" i="58" s="1"/>
  <c r="I205" i="58" a="1"/>
  <c r="I205" i="58" s="1"/>
  <c r="I206" i="58" a="1"/>
  <c r="I206" i="58" s="1"/>
  <c r="I207" i="58" a="1"/>
  <c r="I207" i="58" s="1"/>
  <c r="I208" i="58" a="1"/>
  <c r="I208" i="58" s="1"/>
  <c r="I209" i="58" a="1"/>
  <c r="I209" i="58" s="1"/>
  <c r="I210" i="58" a="1"/>
  <c r="I210" i="58" s="1"/>
  <c r="I211" i="58" a="1"/>
  <c r="I211" i="58" s="1"/>
  <c r="I212" i="58" a="1"/>
  <c r="I212" i="58" s="1"/>
  <c r="I213" i="58" a="1"/>
  <c r="I213" i="58" s="1"/>
  <c r="I214" i="58" a="1"/>
  <c r="I214" i="58" s="1"/>
  <c r="I215" i="58" a="1"/>
  <c r="I215" i="58" s="1"/>
  <c r="I216" i="58" a="1"/>
  <c r="I216" i="58" s="1"/>
  <c r="I217" i="58" a="1"/>
  <c r="I217" i="58" s="1"/>
  <c r="I218" i="58" a="1"/>
  <c r="I218" i="58" s="1"/>
  <c r="I219" i="58" a="1"/>
  <c r="I219" i="58" s="1"/>
  <c r="I220" i="58" a="1"/>
  <c r="I220" i="58" s="1"/>
  <c r="I221" i="58" a="1"/>
  <c r="I221" i="58" s="1"/>
  <c r="I222" i="58" a="1"/>
  <c r="I222" i="58" s="1"/>
  <c r="I223" i="58" a="1"/>
  <c r="I223" i="58" s="1"/>
  <c r="I224" i="58" a="1"/>
  <c r="I224" i="58" s="1"/>
  <c r="I225" i="58" a="1"/>
  <c r="I225" i="58" s="1"/>
  <c r="I226" i="58" a="1"/>
  <c r="I226" i="58" s="1"/>
  <c r="I227" i="58" a="1"/>
  <c r="I227" i="58" s="1"/>
  <c r="I228" i="58" a="1"/>
  <c r="I228" i="58" s="1"/>
  <c r="I229" i="58" a="1"/>
  <c r="I229" i="58" s="1"/>
  <c r="I230" i="58" a="1"/>
  <c r="I230" i="58" s="1"/>
  <c r="I231" i="58" a="1"/>
  <c r="I231" i="58" s="1"/>
  <c r="I232" i="58" a="1"/>
  <c r="I232" i="58" s="1"/>
  <c r="I233" i="58" a="1"/>
  <c r="I233" i="58" s="1"/>
  <c r="I234" i="58" a="1"/>
  <c r="I234" i="58" s="1"/>
  <c r="I235" i="58" a="1"/>
  <c r="I235" i="58" s="1"/>
  <c r="I236" i="58" a="1"/>
  <c r="I236" i="58" s="1"/>
  <c r="I237" i="58" a="1"/>
  <c r="I237" i="58" s="1"/>
  <c r="I238" i="58" a="1"/>
  <c r="I238" i="58" s="1"/>
  <c r="I239" i="58" a="1"/>
  <c r="I239" i="58" s="1"/>
  <c r="I240" i="58" a="1"/>
  <c r="I240" i="58" s="1"/>
  <c r="I241" i="58" a="1"/>
  <c r="I241" i="58" s="1"/>
  <c r="I242" i="58" a="1"/>
  <c r="I242" i="58" s="1"/>
  <c r="I243" i="58" a="1"/>
  <c r="I243" i="58" s="1"/>
  <c r="I244" i="58" a="1"/>
  <c r="I244" i="58" s="1"/>
  <c r="I245" i="58" a="1"/>
  <c r="I245" i="58" s="1"/>
  <c r="I246" i="58" a="1"/>
  <c r="I246" i="58" s="1"/>
  <c r="I247" i="58" a="1"/>
  <c r="I247" i="58" s="1"/>
  <c r="I248" i="58" a="1"/>
  <c r="I248" i="58" s="1"/>
  <c r="I249" i="58" a="1"/>
  <c r="I249" i="58" s="1"/>
  <c r="I250" i="58" a="1"/>
  <c r="I250" i="58" s="1"/>
  <c r="I251" i="58" a="1"/>
  <c r="I251" i="58" s="1"/>
  <c r="I252" i="58" a="1"/>
  <c r="I252" i="58" s="1"/>
  <c r="I253" i="58" a="1"/>
  <c r="I253" i="58" s="1"/>
  <c r="I254" i="58" a="1"/>
  <c r="I254" i="58" s="1"/>
  <c r="I255" i="58" a="1"/>
  <c r="I255" i="58" s="1"/>
  <c r="I256" i="58" a="1"/>
  <c r="I256" i="58" s="1"/>
  <c r="I257" i="58" a="1"/>
  <c r="I257" i="58" s="1"/>
  <c r="I258" i="58" a="1"/>
  <c r="I258" i="58" s="1"/>
  <c r="I259" i="58" a="1"/>
  <c r="I259" i="58" s="1"/>
  <c r="I260" i="58" a="1"/>
  <c r="I260" i="58" s="1"/>
  <c r="I261" i="58" a="1"/>
  <c r="I261" i="58" s="1"/>
  <c r="I262" i="58" a="1"/>
  <c r="I262" i="58" s="1"/>
  <c r="I263" i="58" a="1"/>
  <c r="I263" i="58" s="1"/>
  <c r="I264" i="58" a="1"/>
  <c r="I264" i="58" s="1"/>
  <c r="I265" i="58" a="1"/>
  <c r="I265" i="58" s="1"/>
  <c r="I266" i="58" a="1"/>
  <c r="I266" i="58" s="1"/>
  <c r="I267" i="58" a="1"/>
  <c r="I267" i="58" s="1"/>
  <c r="I268" i="58" a="1"/>
  <c r="I268" i="58" s="1"/>
  <c r="I269" i="58" a="1"/>
  <c r="I269" i="58" s="1"/>
  <c r="I270" i="58" a="1"/>
  <c r="I270" i="58" s="1"/>
  <c r="I271" i="58" a="1"/>
  <c r="I271" i="58" s="1"/>
  <c r="I272" i="58" a="1"/>
  <c r="I272" i="58" s="1"/>
  <c r="I273" i="58" a="1"/>
  <c r="I273" i="58" s="1"/>
  <c r="I274" i="58" a="1"/>
  <c r="I274" i="58" s="1"/>
  <c r="I275" i="58" a="1"/>
  <c r="I275" i="58" s="1"/>
  <c r="I276" i="58" a="1"/>
  <c r="I276" i="58" s="1"/>
  <c r="I277" i="58" a="1"/>
  <c r="I277" i="58" s="1"/>
  <c r="I278" i="58" a="1"/>
  <c r="I278" i="58" s="1"/>
  <c r="I279" i="58" a="1"/>
  <c r="I279" i="58" s="1"/>
  <c r="I280" i="58" a="1"/>
  <c r="I280" i="58" s="1"/>
  <c r="I281" i="58" a="1"/>
  <c r="I281" i="58" s="1"/>
  <c r="I282" i="58" a="1"/>
  <c r="I282" i="58" s="1"/>
  <c r="I283" i="58" a="1"/>
  <c r="I283" i="58" s="1"/>
  <c r="I284" i="58" a="1"/>
  <c r="I284" i="58" s="1"/>
  <c r="I285" i="58" a="1"/>
  <c r="I285" i="58" s="1"/>
  <c r="I286" i="58" a="1"/>
  <c r="I286" i="58" s="1"/>
  <c r="I287" i="58" a="1"/>
  <c r="I287" i="58" s="1"/>
  <c r="I288" i="58" a="1"/>
  <c r="I288" i="58" s="1"/>
  <c r="I289" i="58" a="1"/>
  <c r="I289" i="58" s="1"/>
  <c r="I290" i="58" a="1"/>
  <c r="I290" i="58" s="1"/>
  <c r="I291" i="58" a="1"/>
  <c r="I291" i="58" s="1"/>
  <c r="I292" i="58" a="1"/>
  <c r="I292" i="58" s="1"/>
  <c r="I293" i="58" a="1"/>
  <c r="I293" i="58" s="1"/>
  <c r="I294" i="58" a="1"/>
  <c r="I294" i="58" s="1"/>
  <c r="I295" i="58" a="1"/>
  <c r="I295" i="58" s="1"/>
  <c r="I296" i="58" a="1"/>
  <c r="I296" i="58" s="1"/>
  <c r="I297" i="58" a="1"/>
  <c r="I297" i="58" s="1"/>
  <c r="I298" i="58" a="1"/>
  <c r="I298" i="58" s="1"/>
  <c r="I299" i="58" a="1"/>
  <c r="I299" i="58" s="1"/>
  <c r="I300" i="58" a="1"/>
  <c r="I300" i="58" s="1"/>
  <c r="I301" i="58" a="1"/>
  <c r="I301" i="58" s="1"/>
  <c r="I302" i="58" a="1"/>
  <c r="I302" i="58" s="1"/>
  <c r="I303" i="58" a="1"/>
  <c r="I303" i="58" s="1"/>
  <c r="I304" i="58" a="1"/>
  <c r="I304" i="58" s="1"/>
  <c r="I305" i="58" a="1"/>
  <c r="I305" i="58" s="1"/>
  <c r="I306" i="58" a="1"/>
  <c r="I306" i="58" s="1"/>
  <c r="I307" i="58" a="1"/>
  <c r="I307" i="58" s="1"/>
  <c r="I308" i="58" a="1"/>
  <c r="I308" i="58" s="1"/>
  <c r="I309" i="58" a="1"/>
  <c r="I309" i="58" s="1"/>
  <c r="I310" i="58" a="1"/>
  <c r="I310" i="58" s="1"/>
  <c r="I311" i="58" a="1"/>
  <c r="I311" i="58" s="1"/>
  <c r="I312" i="58" a="1"/>
  <c r="I312" i="58" s="1"/>
  <c r="I313" i="58" a="1"/>
  <c r="I313" i="58" s="1"/>
  <c r="I314" i="58" a="1"/>
  <c r="I314" i="58" s="1"/>
  <c r="I315" i="58" a="1"/>
  <c r="I315" i="58" s="1"/>
  <c r="I316" i="58" a="1"/>
  <c r="I316" i="58" s="1"/>
  <c r="I317" i="58" a="1"/>
  <c r="I317" i="58" s="1"/>
  <c r="I318" i="58" a="1"/>
  <c r="I318" i="58" s="1"/>
  <c r="I319" i="58" a="1"/>
  <c r="I319" i="58" s="1"/>
  <c r="I320" i="58" a="1"/>
  <c r="I320" i="58" s="1"/>
  <c r="I321" i="58" a="1"/>
  <c r="I321" i="58" s="1"/>
  <c r="I322" i="58" a="1"/>
  <c r="I322" i="58" s="1"/>
  <c r="I323" i="58" a="1"/>
  <c r="I323" i="58" s="1"/>
  <c r="I324" i="58" a="1"/>
  <c r="I324" i="58" s="1"/>
  <c r="I325" i="58" a="1"/>
  <c r="I325" i="58" s="1"/>
  <c r="I326" i="58" a="1"/>
  <c r="I326" i="58" s="1"/>
  <c r="I327" i="58" a="1"/>
  <c r="I327" i="58" s="1"/>
  <c r="I328" i="58" a="1"/>
  <c r="I328" i="58" s="1"/>
  <c r="I329" i="58" a="1"/>
  <c r="I329" i="58" s="1"/>
  <c r="I330" i="58" a="1"/>
  <c r="I330" i="58" s="1"/>
  <c r="I331" i="58" a="1"/>
  <c r="I331" i="58" s="1"/>
  <c r="I332" i="58" a="1"/>
  <c r="I332" i="58" s="1"/>
  <c r="I333" i="58" a="1"/>
  <c r="I333" i="58" s="1"/>
  <c r="I334" i="58" a="1"/>
  <c r="I334" i="58" s="1"/>
  <c r="I335" i="58" a="1"/>
  <c r="I335" i="58" s="1"/>
  <c r="I336" i="58" a="1"/>
  <c r="I336" i="58" s="1"/>
  <c r="I337" i="58" a="1"/>
  <c r="I337" i="58" s="1"/>
  <c r="I338" i="58" a="1"/>
  <c r="I338" i="58" s="1"/>
  <c r="I339" i="58" a="1"/>
  <c r="I339" i="58" s="1"/>
  <c r="I340" i="58" a="1"/>
  <c r="I340" i="58" s="1"/>
  <c r="I341" i="58" a="1"/>
  <c r="I341" i="58" s="1"/>
  <c r="I342" i="58" a="1"/>
  <c r="I342" i="58" s="1"/>
  <c r="I343" i="58" a="1"/>
  <c r="I343" i="58" s="1"/>
  <c r="I344" i="58" a="1"/>
  <c r="I344" i="58" s="1"/>
  <c r="I345" i="58" a="1"/>
  <c r="I345" i="58" s="1"/>
  <c r="I346" i="58" a="1"/>
  <c r="I346" i="58" s="1"/>
  <c r="I347" i="58" a="1"/>
  <c r="I347" i="58" s="1"/>
  <c r="I348" i="58" a="1"/>
  <c r="I348" i="58" s="1"/>
  <c r="I349" i="58" a="1"/>
  <c r="I349" i="58" s="1"/>
  <c r="I350" i="58" a="1"/>
  <c r="I350" i="58" s="1"/>
  <c r="I351" i="58" a="1"/>
  <c r="I351" i="58" s="1"/>
  <c r="I352" i="58" a="1"/>
  <c r="I352" i="58" s="1"/>
  <c r="I353" i="58" a="1"/>
  <c r="I353" i="58" s="1"/>
  <c r="I354" i="58" a="1"/>
  <c r="I354" i="58" s="1"/>
  <c r="I355" i="58" a="1"/>
  <c r="I355" i="58" s="1"/>
  <c r="I356" i="58" a="1"/>
  <c r="I356" i="58" s="1"/>
  <c r="I357" i="58" a="1"/>
  <c r="I357" i="58" s="1"/>
  <c r="I358" i="58" a="1"/>
  <c r="I358" i="58" s="1"/>
  <c r="I359" i="58" a="1"/>
  <c r="I359" i="58" s="1"/>
  <c r="I360" i="58" a="1"/>
  <c r="I360" i="58" s="1"/>
  <c r="I361" i="58" a="1"/>
  <c r="I361" i="58" s="1"/>
  <c r="I362" i="58" a="1"/>
  <c r="I362" i="58" s="1"/>
  <c r="I363" i="58" a="1"/>
  <c r="I363" i="58" s="1"/>
  <c r="I364" i="58" a="1"/>
  <c r="I364" i="58" s="1"/>
  <c r="I365" i="58" a="1"/>
  <c r="I365" i="58" s="1"/>
  <c r="I366" i="58" a="1"/>
  <c r="I366" i="58" s="1"/>
  <c r="I367" i="58" a="1"/>
  <c r="I367" i="58" s="1"/>
  <c r="I368" i="58" a="1"/>
  <c r="I368" i="58" s="1"/>
  <c r="I369" i="58" a="1"/>
  <c r="I369" i="58" s="1"/>
  <c r="I370" i="58" a="1"/>
  <c r="I370" i="58" s="1"/>
  <c r="I371" i="58" a="1"/>
  <c r="I371" i="58" s="1"/>
  <c r="I372" i="58" a="1"/>
  <c r="I372" i="58" s="1"/>
  <c r="I373" i="58" a="1"/>
  <c r="I373" i="58" s="1"/>
  <c r="I374" i="58" a="1"/>
  <c r="I374" i="58" s="1"/>
  <c r="I375" i="58" a="1"/>
  <c r="I375" i="58" s="1"/>
  <c r="I376" i="58" a="1"/>
  <c r="I376" i="58" s="1"/>
  <c r="I377" i="58" a="1"/>
  <c r="I377" i="58" s="1"/>
  <c r="I378" i="58" a="1"/>
  <c r="I378" i="58" s="1"/>
  <c r="I379" i="58" a="1"/>
  <c r="I379" i="58" s="1"/>
  <c r="I380" i="58" a="1"/>
  <c r="I380" i="58" s="1"/>
  <c r="I381" i="58" a="1"/>
  <c r="I381" i="58" s="1"/>
  <c r="I382" i="58" a="1"/>
  <c r="I382" i="58" s="1"/>
  <c r="I383" i="58" a="1"/>
  <c r="I383" i="58" s="1"/>
  <c r="I384" i="58" a="1"/>
  <c r="I384" i="58" s="1"/>
  <c r="I385" i="58" a="1"/>
  <c r="I385" i="58" s="1"/>
  <c r="I386" i="58" a="1"/>
  <c r="I386" i="58" s="1"/>
  <c r="I387" i="58" a="1"/>
  <c r="I387" i="58" s="1"/>
  <c r="I388" i="58" a="1"/>
  <c r="I388" i="58" s="1"/>
  <c r="I389" i="58" a="1"/>
  <c r="I389" i="58" s="1"/>
  <c r="I390" i="58" a="1"/>
  <c r="I390" i="58" s="1"/>
  <c r="I391" i="58" a="1"/>
  <c r="I391" i="58" s="1"/>
  <c r="I392" i="58" a="1"/>
  <c r="I392" i="58" s="1"/>
  <c r="I393" i="58" a="1"/>
  <c r="I393" i="58" s="1"/>
  <c r="I394" i="58" a="1"/>
  <c r="I394" i="58" s="1"/>
  <c r="I395" i="58" a="1"/>
  <c r="I395" i="58" s="1"/>
  <c r="I396" i="58" a="1"/>
  <c r="I396" i="58" s="1"/>
  <c r="I397" i="58" a="1"/>
  <c r="I397" i="58" s="1"/>
  <c r="I398" i="58" a="1"/>
  <c r="I398" i="58" s="1"/>
  <c r="I399" i="58" a="1"/>
  <c r="I399" i="58" s="1"/>
  <c r="I400" i="58" a="1"/>
  <c r="I400" i="58" s="1"/>
  <c r="I401" i="58" a="1"/>
  <c r="I401" i="58" s="1"/>
  <c r="I402" i="58" a="1"/>
  <c r="I402" i="58" s="1"/>
  <c r="I403" i="58" a="1"/>
  <c r="I403" i="58" s="1"/>
  <c r="I404" i="58" a="1"/>
  <c r="I404" i="58" s="1"/>
  <c r="I405" i="58" a="1"/>
  <c r="I405" i="58" s="1"/>
  <c r="I406" i="58" a="1"/>
  <c r="I406" i="58" s="1"/>
  <c r="I407" i="58" a="1"/>
  <c r="I407" i="58" s="1"/>
  <c r="I408" i="58" a="1"/>
  <c r="I408" i="58" s="1"/>
  <c r="I409" i="58" a="1"/>
  <c r="I409" i="58" s="1"/>
  <c r="I410" i="58" a="1"/>
  <c r="I410" i="58" s="1"/>
  <c r="I411" i="58" a="1"/>
  <c r="I411" i="58" s="1"/>
  <c r="I412" i="58" a="1"/>
  <c r="I412" i="58" s="1"/>
  <c r="I413" i="58" a="1"/>
  <c r="I413" i="58" s="1"/>
  <c r="I414" i="58" a="1"/>
  <c r="I414" i="58" s="1"/>
  <c r="I415" i="58" a="1"/>
  <c r="I415" i="58" s="1"/>
  <c r="I416" i="58" a="1"/>
  <c r="I416" i="58" s="1"/>
  <c r="I417" i="58" a="1"/>
  <c r="I417" i="58" s="1"/>
  <c r="I418" i="58" a="1"/>
  <c r="I418" i="58" s="1"/>
  <c r="I419" i="58" a="1"/>
  <c r="I419" i="58" s="1"/>
  <c r="I420" i="58" a="1"/>
  <c r="I420" i="58" s="1"/>
  <c r="I421" i="58" a="1"/>
  <c r="I421" i="58" s="1"/>
  <c r="I422" i="58" a="1"/>
  <c r="I422" i="58" s="1"/>
  <c r="I423" i="58" a="1"/>
  <c r="I423" i="58" s="1"/>
  <c r="I424" i="58" a="1"/>
  <c r="I424" i="58" s="1"/>
  <c r="I425" i="58" a="1"/>
  <c r="I425" i="58" s="1"/>
  <c r="I426" i="58" a="1"/>
  <c r="I426" i="58" s="1"/>
  <c r="I427" i="58" a="1"/>
  <c r="I427" i="58" s="1"/>
  <c r="I428" i="58" a="1"/>
  <c r="I428" i="58" s="1"/>
  <c r="I429" i="58" a="1"/>
  <c r="I429" i="58" s="1"/>
  <c r="I430" i="58" a="1"/>
  <c r="I430" i="58" s="1"/>
  <c r="I431" i="58" a="1"/>
  <c r="I431" i="58" s="1"/>
  <c r="I432" i="58" a="1"/>
  <c r="I432" i="58" s="1"/>
  <c r="I433" i="58" a="1"/>
  <c r="I433" i="58" s="1"/>
  <c r="I434" i="58" a="1"/>
  <c r="I434" i="58" s="1"/>
  <c r="I435" i="58" a="1"/>
  <c r="I435" i="58" s="1"/>
  <c r="I436" i="58" a="1"/>
  <c r="I436" i="58" s="1"/>
  <c r="I437" i="58" a="1"/>
  <c r="I437" i="58" s="1"/>
  <c r="I438" i="58" a="1"/>
  <c r="I438" i="58" s="1"/>
  <c r="I439" i="58" a="1"/>
  <c r="I439" i="58" s="1"/>
  <c r="I440" i="58" a="1"/>
  <c r="I440" i="58" s="1"/>
  <c r="I441" i="58" a="1"/>
  <c r="I441" i="58" s="1"/>
  <c r="I442" i="58" a="1"/>
  <c r="I442" i="58" s="1"/>
  <c r="I443" i="58" a="1"/>
  <c r="I443" i="58" s="1"/>
  <c r="I444" i="58" a="1"/>
  <c r="I444" i="58" s="1"/>
  <c r="I445" i="58" a="1"/>
  <c r="I445" i="58" s="1"/>
  <c r="I446" i="58" a="1"/>
  <c r="I446" i="58" s="1"/>
  <c r="I447" i="58" a="1"/>
  <c r="I447" i="58" s="1"/>
  <c r="I448" i="58" a="1"/>
  <c r="I448" i="58" s="1"/>
  <c r="I449" i="58" a="1"/>
  <c r="I449" i="58" s="1"/>
  <c r="I450" i="58" a="1"/>
  <c r="I450" i="58" s="1"/>
  <c r="I451" i="58" a="1"/>
  <c r="I451" i="58" s="1"/>
  <c r="I452" i="58" a="1"/>
  <c r="I452" i="58" s="1"/>
  <c r="I453" i="58" a="1"/>
  <c r="I453" i="58" s="1"/>
  <c r="I454" i="58" a="1"/>
  <c r="I454" i="58" s="1"/>
  <c r="I455" i="58" a="1"/>
  <c r="I455" i="58" s="1"/>
  <c r="I456" i="58" a="1"/>
  <c r="I456" i="58" s="1"/>
  <c r="I457" i="58" a="1"/>
  <c r="I457" i="58" s="1"/>
  <c r="I458" i="58" a="1"/>
  <c r="I458" i="58" s="1"/>
  <c r="I459" i="58" a="1"/>
  <c r="I459" i="58" s="1"/>
  <c r="I460" i="58" a="1"/>
  <c r="I460" i="58" s="1"/>
  <c r="I461" i="58" a="1"/>
  <c r="I461" i="58" s="1"/>
  <c r="I462" i="58" a="1"/>
  <c r="I462" i="58" s="1"/>
  <c r="I463" i="58" a="1"/>
  <c r="I463" i="58" s="1"/>
  <c r="I464" i="58" a="1"/>
  <c r="I464" i="58" s="1"/>
  <c r="I465" i="58" a="1"/>
  <c r="I465" i="58" s="1"/>
  <c r="I466" i="58" a="1"/>
  <c r="I466" i="58" s="1"/>
  <c r="I467" i="58" a="1"/>
  <c r="I467" i="58" s="1"/>
  <c r="I468" i="58" a="1"/>
  <c r="I468" i="58" s="1"/>
  <c r="I469" i="58" a="1"/>
  <c r="I469" i="58" s="1"/>
  <c r="I470" i="58" a="1"/>
  <c r="I470" i="58" s="1"/>
  <c r="I471" i="58" a="1"/>
  <c r="I471" i="58" s="1"/>
  <c r="I472" i="58" a="1"/>
  <c r="I472" i="58" s="1"/>
  <c r="I473" i="58" a="1"/>
  <c r="I473" i="58" s="1"/>
  <c r="I474" i="58" a="1"/>
  <c r="I474" i="58" s="1"/>
  <c r="I475" i="58" a="1"/>
  <c r="I475" i="58" s="1"/>
  <c r="I476" i="58" a="1"/>
  <c r="I476" i="58" s="1"/>
  <c r="I477" i="58" a="1"/>
  <c r="I477" i="58" s="1"/>
  <c r="I478" i="58" a="1"/>
  <c r="I478" i="58" s="1"/>
  <c r="I479" i="58" a="1"/>
  <c r="I479" i="58" s="1"/>
  <c r="I480" i="58" a="1"/>
  <c r="I480" i="58" s="1"/>
  <c r="I481" i="58" a="1"/>
  <c r="I481" i="58" s="1"/>
  <c r="I482" i="58" a="1"/>
  <c r="I482" i="58" s="1"/>
  <c r="I483" i="58" a="1"/>
  <c r="I483" i="58" s="1"/>
  <c r="I484" i="58" a="1"/>
  <c r="I484" i="58" s="1"/>
  <c r="I485" i="58" a="1"/>
  <c r="I485" i="58" s="1"/>
  <c r="I486" i="58" a="1"/>
  <c r="I486" i="58" s="1"/>
  <c r="I487" i="58" a="1"/>
  <c r="I487" i="58" s="1"/>
  <c r="I488" i="58" a="1"/>
  <c r="I488" i="58" s="1"/>
  <c r="I489" i="58" a="1"/>
  <c r="I489" i="58" s="1"/>
  <c r="I490" i="58" a="1"/>
  <c r="I490" i="58" s="1"/>
  <c r="I491" i="58" a="1"/>
  <c r="I491" i="58" s="1"/>
  <c r="I492" i="58" a="1"/>
  <c r="I492" i="58" s="1"/>
  <c r="I493" i="58" a="1"/>
  <c r="I493" i="58" s="1"/>
  <c r="I494" i="58" a="1"/>
  <c r="I494" i="58" s="1"/>
  <c r="I495" i="58" a="1"/>
  <c r="I495" i="58" s="1"/>
  <c r="I496" i="58" a="1"/>
  <c r="I496" i="58" s="1"/>
  <c r="I497" i="58" a="1"/>
  <c r="I497" i="58" s="1"/>
  <c r="I498" i="58" a="1"/>
  <c r="I498" i="58" s="1"/>
  <c r="I499" i="58" a="1"/>
  <c r="I499" i="58" s="1"/>
  <c r="I500" i="58" a="1"/>
  <c r="I500" i="58" s="1"/>
  <c r="I4" i="58" a="1"/>
  <c r="I4" i="58" s="1"/>
  <c r="H4" i="58" s="1"/>
  <c r="E15" i="56" l="1" a="1"/>
  <c r="E15" i="56" s="1"/>
  <c r="E16" i="56" l="1" a="1"/>
  <c r="E16" i="56" s="1"/>
  <c r="I17" i="59" a="1"/>
  <c r="I17" i="59" s="1"/>
  <c r="H500" i="59"/>
  <c r="H495" i="59"/>
  <c r="H492" i="59"/>
  <c r="H491" i="59"/>
  <c r="H490" i="59"/>
  <c r="H489" i="59"/>
  <c r="H488" i="59"/>
  <c r="H487" i="59"/>
  <c r="H486" i="59"/>
  <c r="H485" i="59"/>
  <c r="H482" i="59"/>
  <c r="H476" i="59"/>
  <c r="H473" i="59"/>
  <c r="H471" i="59"/>
  <c r="H469" i="59"/>
  <c r="H467" i="59"/>
  <c r="H466" i="59"/>
  <c r="H465" i="59"/>
  <c r="H464" i="59"/>
  <c r="H462" i="59"/>
  <c r="H461" i="59"/>
  <c r="H460" i="59"/>
  <c r="H459" i="59"/>
  <c r="H458" i="59"/>
  <c r="H457" i="59"/>
  <c r="H456" i="59"/>
  <c r="H454" i="59"/>
  <c r="H453" i="59"/>
  <c r="H452" i="59"/>
  <c r="H451" i="59"/>
  <c r="H443" i="59"/>
  <c r="H442" i="59"/>
  <c r="H441" i="59"/>
  <c r="H440" i="59"/>
  <c r="H439" i="59"/>
  <c r="H437" i="59"/>
  <c r="H435" i="59"/>
  <c r="H429" i="59"/>
  <c r="H427" i="59"/>
  <c r="H426" i="59"/>
  <c r="H425" i="59"/>
  <c r="H422" i="59"/>
  <c r="H420" i="59"/>
  <c r="H419" i="59"/>
  <c r="H418" i="59"/>
  <c r="H417" i="59"/>
  <c r="H414" i="59"/>
  <c r="H412" i="59"/>
  <c r="H411" i="59"/>
  <c r="H410" i="59"/>
  <c r="H409" i="59"/>
  <c r="H408" i="59"/>
  <c r="H407" i="59"/>
  <c r="H405" i="59"/>
  <c r="H401" i="59"/>
  <c r="H400" i="59"/>
  <c r="H399" i="59"/>
  <c r="H398" i="59"/>
  <c r="H395" i="59"/>
  <c r="H394" i="59"/>
  <c r="H393" i="59"/>
  <c r="H392" i="59"/>
  <c r="H388" i="59"/>
  <c r="H384" i="59"/>
  <c r="H383" i="59"/>
  <c r="H380" i="59"/>
  <c r="H379" i="59"/>
  <c r="H376" i="59"/>
  <c r="H375" i="59"/>
  <c r="H373" i="59"/>
  <c r="H371" i="59"/>
  <c r="H370" i="59"/>
  <c r="H363" i="59"/>
  <c r="H361" i="59"/>
  <c r="H359" i="59"/>
  <c r="H357" i="59"/>
  <c r="H354" i="59"/>
  <c r="H353" i="59"/>
  <c r="H352" i="59"/>
  <c r="H347" i="59"/>
  <c r="H345" i="59"/>
  <c r="H336" i="59"/>
  <c r="H333" i="59"/>
  <c r="H323" i="59"/>
  <c r="H322" i="59"/>
  <c r="H321" i="59"/>
  <c r="H319" i="59"/>
  <c r="H311" i="59"/>
  <c r="H307" i="59"/>
  <c r="H306" i="59"/>
  <c r="H304" i="59"/>
  <c r="H292" i="59"/>
  <c r="H291" i="59"/>
  <c r="H283" i="59"/>
  <c r="H281" i="59"/>
  <c r="H276" i="59"/>
  <c r="H267" i="59"/>
  <c r="H265" i="59"/>
  <c r="H263" i="59"/>
  <c r="H260" i="59"/>
  <c r="H259" i="59"/>
  <c r="H258" i="59"/>
  <c r="H257" i="59"/>
  <c r="H249" i="59"/>
  <c r="H247" i="59"/>
  <c r="H242" i="59"/>
  <c r="H241" i="59"/>
  <c r="H240" i="59"/>
  <c r="H233" i="59"/>
  <c r="H225" i="59"/>
  <c r="H224" i="59"/>
  <c r="H223" i="59"/>
  <c r="H219" i="59"/>
  <c r="H208" i="59"/>
  <c r="H203" i="59"/>
  <c r="H201" i="59"/>
  <c r="H199" i="59"/>
  <c r="H187" i="59"/>
  <c r="H185" i="59"/>
  <c r="H171" i="59"/>
  <c r="H169" i="59"/>
  <c r="H163" i="59"/>
  <c r="H162" i="59"/>
  <c r="H355" i="59"/>
  <c r="H385" i="59"/>
  <c r="H387" i="59"/>
  <c r="H402" i="59"/>
  <c r="H416" i="59"/>
  <c r="H434" i="59"/>
  <c r="H448" i="59"/>
  <c r="H450" i="59"/>
  <c r="H475" i="59"/>
  <c r="H483" i="59"/>
  <c r="H499" i="59"/>
  <c r="K17" i="59" l="1" a="1"/>
  <c r="K17" i="59" s="1"/>
  <c r="J17" i="59" a="1"/>
  <c r="J17" i="59" s="1"/>
  <c r="L17" i="59" a="1"/>
  <c r="L17" i="59" s="1"/>
  <c r="E17" i="56" a="1"/>
  <c r="E17" i="56" s="1"/>
  <c r="H481" i="59"/>
  <c r="H340" i="59"/>
  <c r="H433" i="59"/>
  <c r="H498" i="59"/>
  <c r="H299" i="59"/>
  <c r="H386" i="59"/>
  <c r="H472" i="59"/>
  <c r="H251" i="59"/>
  <c r="H378" i="59"/>
  <c r="H449" i="59"/>
  <c r="H377" i="59"/>
  <c r="H235" i="59"/>
  <c r="H285" i="59"/>
  <c r="H480" i="59"/>
  <c r="H432" i="59"/>
  <c r="H382" i="59"/>
  <c r="H497" i="59"/>
  <c r="H496" i="59"/>
  <c r="H317" i="59"/>
  <c r="H183" i="59"/>
  <c r="H305" i="59"/>
  <c r="H287" i="59"/>
  <c r="H231" i="59"/>
  <c r="H217" i="59"/>
  <c r="H155" i="59"/>
  <c r="H261" i="59"/>
  <c r="H288" i="59"/>
  <c r="H209" i="59"/>
  <c r="H272" i="59"/>
  <c r="H339" i="59"/>
  <c r="H193" i="59"/>
  <c r="H424" i="59"/>
  <c r="H256" i="59"/>
  <c r="H192" i="59"/>
  <c r="H177" i="59"/>
  <c r="H161" i="59"/>
  <c r="H297" i="59"/>
  <c r="H197" i="59"/>
  <c r="H210" i="59"/>
  <c r="H194" i="59"/>
  <c r="H338" i="59"/>
  <c r="H227" i="59"/>
  <c r="H226" i="59"/>
  <c r="H178" i="59"/>
  <c r="H369" i="59"/>
  <c r="H262" i="59"/>
  <c r="H438" i="59"/>
  <c r="H479" i="59"/>
  <c r="H343" i="59"/>
  <c r="H320" i="59"/>
  <c r="H474" i="59"/>
  <c r="H195" i="59"/>
  <c r="H179" i="59"/>
  <c r="H290" i="59"/>
  <c r="H337" i="59"/>
  <c r="H211" i="59"/>
  <c r="H368" i="59"/>
  <c r="H243" i="59"/>
  <c r="H274" i="59"/>
  <c r="H273" i="59"/>
  <c r="H428" i="59"/>
  <c r="H389" i="59"/>
  <c r="H484" i="59"/>
  <c r="H275" i="59"/>
  <c r="H246" i="59"/>
  <c r="H176" i="59"/>
  <c r="H329" i="59"/>
  <c r="H167" i="59"/>
  <c r="H403" i="59"/>
  <c r="H196" i="59"/>
  <c r="H313" i="59"/>
  <c r="H289" i="59"/>
  <c r="H160" i="59"/>
  <c r="H331" i="59"/>
  <c r="H315" i="59"/>
  <c r="H300" i="59"/>
  <c r="H332" i="59"/>
  <c r="H390" i="59"/>
  <c r="H406" i="59"/>
  <c r="H348" i="59"/>
  <c r="H447" i="59"/>
  <c r="H334" i="59"/>
  <c r="H421" i="59"/>
  <c r="H5" i="59"/>
  <c r="H365" i="59"/>
  <c r="H6" i="59"/>
  <c r="H366" i="59"/>
  <c r="H463" i="59"/>
  <c r="H367" i="59"/>
  <c r="H396" i="59"/>
  <c r="H397" i="59"/>
  <c r="H493" i="59"/>
  <c r="H278" i="59"/>
  <c r="H324" i="59"/>
  <c r="H494" i="59"/>
  <c r="H356" i="59"/>
  <c r="H310" i="59"/>
  <c r="H326" i="59"/>
  <c r="H342" i="59"/>
  <c r="H358" i="59"/>
  <c r="H415" i="59"/>
  <c r="H470" i="59"/>
  <c r="H238" i="59"/>
  <c r="H268" i="59"/>
  <c r="H374" i="59"/>
  <c r="H430" i="59"/>
  <c r="H444" i="59"/>
  <c r="H154" i="59"/>
  <c r="H170" i="59"/>
  <c r="H186" i="59"/>
  <c r="H202" i="59"/>
  <c r="H218" i="59"/>
  <c r="H234" i="59"/>
  <c r="H248" i="59"/>
  <c r="H277" i="59"/>
  <c r="H346" i="59"/>
  <c r="H264" i="59"/>
  <c r="H360" i="59"/>
  <c r="H372" i="59"/>
  <c r="H477" i="59"/>
  <c r="H156" i="59"/>
  <c r="H172" i="59"/>
  <c r="H188" i="59"/>
  <c r="H204" i="59"/>
  <c r="H220" i="59"/>
  <c r="H236" i="59"/>
  <c r="H250" i="59"/>
  <c r="H293" i="59"/>
  <c r="H478" i="59"/>
  <c r="H157" i="59"/>
  <c r="H173" i="59"/>
  <c r="H189" i="59"/>
  <c r="H205" i="59"/>
  <c r="H221" i="59"/>
  <c r="H237" i="59"/>
  <c r="H266" i="59"/>
  <c r="H279" i="59"/>
  <c r="H294" i="59"/>
  <c r="H308" i="59"/>
  <c r="H335" i="59"/>
  <c r="H362" i="59"/>
  <c r="H431" i="59"/>
  <c r="H455" i="59"/>
  <c r="H158" i="59"/>
  <c r="H174" i="59"/>
  <c r="H190" i="59"/>
  <c r="H206" i="59"/>
  <c r="H222" i="59"/>
  <c r="H252" i="59"/>
  <c r="H280" i="59"/>
  <c r="H295" i="59"/>
  <c r="H309" i="59"/>
  <c r="H349" i="59"/>
  <c r="H468" i="59"/>
  <c r="H159" i="59"/>
  <c r="H175" i="59"/>
  <c r="H191" i="59"/>
  <c r="H207" i="59"/>
  <c r="H253" i="59"/>
  <c r="H296" i="59"/>
  <c r="H350" i="59"/>
  <c r="H364" i="59"/>
  <c r="H445" i="59"/>
  <c r="H239" i="59"/>
  <c r="H254" i="59"/>
  <c r="H282" i="59"/>
  <c r="H325" i="59"/>
  <c r="H351" i="59"/>
  <c r="H446" i="59"/>
  <c r="H255" i="59"/>
  <c r="H269" i="59"/>
  <c r="H298" i="59"/>
  <c r="H270" i="59"/>
  <c r="H284" i="59"/>
  <c r="H312" i="59"/>
  <c r="H423" i="59"/>
  <c r="H436" i="59"/>
  <c r="H327" i="59"/>
  <c r="H341" i="59"/>
  <c r="H164" i="59"/>
  <c r="H180" i="59"/>
  <c r="H212" i="59"/>
  <c r="H228" i="59"/>
  <c r="H271" i="59"/>
  <c r="H286" i="59"/>
  <c r="H314" i="59"/>
  <c r="H328" i="59"/>
  <c r="H413" i="59"/>
  <c r="H165" i="59"/>
  <c r="H181" i="59"/>
  <c r="H213" i="59"/>
  <c r="H229" i="59"/>
  <c r="H244" i="59"/>
  <c r="H301" i="59"/>
  <c r="H166" i="59"/>
  <c r="H182" i="59"/>
  <c r="H198" i="59"/>
  <c r="H214" i="59"/>
  <c r="H230" i="59"/>
  <c r="H245" i="59"/>
  <c r="H302" i="59"/>
  <c r="H316" i="59"/>
  <c r="H330" i="59"/>
  <c r="H391" i="59"/>
  <c r="H215" i="59"/>
  <c r="H404" i="59"/>
  <c r="H168" i="59"/>
  <c r="H184" i="59"/>
  <c r="H200" i="59"/>
  <c r="H216" i="59"/>
  <c r="H232" i="59"/>
  <c r="H303" i="59"/>
  <c r="H318" i="59"/>
  <c r="H344" i="59"/>
  <c r="H381" i="59"/>
  <c r="E18" i="56" l="1" a="1"/>
  <c r="E18" i="56" s="1"/>
  <c r="I19" i="59" a="1"/>
  <c r="I19" i="59" s="1"/>
  <c r="J6" i="58" a="1"/>
  <c r="J6" i="58" s="1"/>
  <c r="J8" i="58" a="1"/>
  <c r="J8" i="58" s="1"/>
  <c r="J10" i="58" a="1"/>
  <c r="J10" i="58" s="1"/>
  <c r="J113" i="58" a="1"/>
  <c r="J113" i="58" s="1"/>
  <c r="J115" i="58" a="1"/>
  <c r="J115" i="58" s="1"/>
  <c r="K116" i="58" a="1"/>
  <c r="K116" i="58" s="1"/>
  <c r="J118" i="58" a="1"/>
  <c r="J118" i="58" s="1"/>
  <c r="J119" i="58" a="1"/>
  <c r="J119" i="58" s="1"/>
  <c r="J120" i="58" a="1"/>
  <c r="J120" i="58" s="1"/>
  <c r="J122" i="58" a="1"/>
  <c r="J122" i="58" s="1"/>
  <c r="J124" i="58" a="1"/>
  <c r="J124" i="58" s="1"/>
  <c r="J125" i="58" a="1"/>
  <c r="J125" i="58" s="1"/>
  <c r="J127" i="58" a="1"/>
  <c r="J127" i="58" s="1"/>
  <c r="J129" i="58" a="1"/>
  <c r="J129" i="58" s="1"/>
  <c r="J131" i="58" a="1"/>
  <c r="J131" i="58" s="1"/>
  <c r="K132" i="58" a="1"/>
  <c r="K132" i="58" s="1"/>
  <c r="J133" i="58" a="1"/>
  <c r="J133" i="58" s="1"/>
  <c r="J134" i="58" a="1"/>
  <c r="J134" i="58" s="1"/>
  <c r="J135" i="58" a="1"/>
  <c r="J135" i="58" s="1"/>
  <c r="J136" i="58" a="1"/>
  <c r="J136" i="58" s="1"/>
  <c r="J138" i="58" a="1"/>
  <c r="J138" i="58" s="1"/>
  <c r="J140" i="58" a="1"/>
  <c r="J140" i="58" s="1"/>
  <c r="J141" i="58" a="1"/>
  <c r="J141" i="58" s="1"/>
  <c r="J143" i="58" a="1"/>
  <c r="J143" i="58" s="1"/>
  <c r="J145" i="58" a="1"/>
  <c r="J145" i="58" s="1"/>
  <c r="J147" i="58" a="1"/>
  <c r="J147" i="58" s="1"/>
  <c r="J148" i="58" a="1"/>
  <c r="J148" i="58" s="1"/>
  <c r="J150" i="58" a="1"/>
  <c r="J150" i="58" s="1"/>
  <c r="J151" i="58" a="1"/>
  <c r="J151" i="58" s="1"/>
  <c r="J152" i="58" a="1"/>
  <c r="J152" i="58" s="1"/>
  <c r="J154" i="58" a="1"/>
  <c r="J154" i="58" s="1"/>
  <c r="J156" i="58" a="1"/>
  <c r="J156" i="58" s="1"/>
  <c r="J157" i="58" a="1"/>
  <c r="J157" i="58" s="1"/>
  <c r="J159" i="58" a="1"/>
  <c r="J159" i="58" s="1"/>
  <c r="J161" i="58" a="1"/>
  <c r="J161" i="58" s="1"/>
  <c r="J163" i="58" a="1"/>
  <c r="J163" i="58" s="1"/>
  <c r="L164" i="58" a="1"/>
  <c r="L164" i="58" s="1"/>
  <c r="J166" i="58" a="1"/>
  <c r="J166" i="58" s="1"/>
  <c r="J167" i="58" a="1"/>
  <c r="J167" i="58" s="1"/>
  <c r="J168" i="58" a="1"/>
  <c r="J168" i="58" s="1"/>
  <c r="J170" i="58" a="1"/>
  <c r="J170" i="58" s="1"/>
  <c r="J172" i="58" a="1"/>
  <c r="J172" i="58" s="1"/>
  <c r="J173" i="58" a="1"/>
  <c r="J173" i="58" s="1"/>
  <c r="J175" i="58" a="1"/>
  <c r="J175" i="58" s="1"/>
  <c r="J177" i="58" a="1"/>
  <c r="J177" i="58" s="1"/>
  <c r="J179" i="58" a="1"/>
  <c r="J179" i="58" s="1"/>
  <c r="K180" i="58" a="1"/>
  <c r="K180" i="58" s="1"/>
  <c r="J181" i="58" a="1"/>
  <c r="J181" i="58" s="1"/>
  <c r="J182" i="58" a="1"/>
  <c r="J182" i="58" s="1"/>
  <c r="L183" i="58" a="1"/>
  <c r="L183" i="58" s="1"/>
  <c r="J184" i="58" a="1"/>
  <c r="J184" i="58" s="1"/>
  <c r="J186" i="58" a="1"/>
  <c r="J186" i="58" s="1"/>
  <c r="J188" i="58" a="1"/>
  <c r="J188" i="58" s="1"/>
  <c r="J189" i="58" a="1"/>
  <c r="J189" i="58" s="1"/>
  <c r="J191" i="58" a="1"/>
  <c r="J191" i="58" s="1"/>
  <c r="J193" i="58" a="1"/>
  <c r="J193" i="58" s="1"/>
  <c r="J195" i="58" a="1"/>
  <c r="J195" i="58" s="1"/>
  <c r="K196" i="58" a="1"/>
  <c r="K196" i="58" s="1"/>
  <c r="L197" i="58" a="1"/>
  <c r="L197" i="58" s="1"/>
  <c r="J198" i="58" a="1"/>
  <c r="J198" i="58" s="1"/>
  <c r="J199" i="58" a="1"/>
  <c r="J199" i="58" s="1"/>
  <c r="J200" i="58" a="1"/>
  <c r="J200" i="58" s="1"/>
  <c r="J202" i="58" a="1"/>
  <c r="J202" i="58" s="1"/>
  <c r="J204" i="58" a="1"/>
  <c r="J204" i="58" s="1"/>
  <c r="J205" i="58" a="1"/>
  <c r="J205" i="58" s="1"/>
  <c r="J207" i="58" a="1"/>
  <c r="J207" i="58" s="1"/>
  <c r="J209" i="58" a="1"/>
  <c r="J209" i="58" s="1"/>
  <c r="J211" i="58" a="1"/>
  <c r="J211" i="58" s="1"/>
  <c r="J212" i="58" a="1"/>
  <c r="J212" i="58" s="1"/>
  <c r="L213" i="58" a="1"/>
  <c r="L213" i="58" s="1"/>
  <c r="J214" i="58" a="1"/>
  <c r="J214" i="58" s="1"/>
  <c r="L215" i="58" a="1"/>
  <c r="L215" i="58" s="1"/>
  <c r="J216" i="58" a="1"/>
  <c r="J216" i="58" s="1"/>
  <c r="J218" i="58" a="1"/>
  <c r="J218" i="58" s="1"/>
  <c r="J220" i="58" a="1"/>
  <c r="J220" i="58" s="1"/>
  <c r="J221" i="58" a="1"/>
  <c r="J221" i="58" s="1"/>
  <c r="J223" i="58" a="1"/>
  <c r="J223" i="58" s="1"/>
  <c r="J225" i="58" a="1"/>
  <c r="J225" i="58" s="1"/>
  <c r="J227" i="58" a="1"/>
  <c r="J227" i="58" s="1"/>
  <c r="L228" i="58" a="1"/>
  <c r="L228" i="58" s="1"/>
  <c r="L229" i="58" a="1"/>
  <c r="L229" i="58" s="1"/>
  <c r="J230" i="58" a="1"/>
  <c r="J230" i="58" s="1"/>
  <c r="J231" i="58" a="1"/>
  <c r="J231" i="58" s="1"/>
  <c r="J232" i="58" a="1"/>
  <c r="J232" i="58" s="1"/>
  <c r="J234" i="58" a="1"/>
  <c r="J234" i="58" s="1"/>
  <c r="J236" i="58" a="1"/>
  <c r="J236" i="58" s="1"/>
  <c r="J237" i="58" a="1"/>
  <c r="J237" i="58" s="1"/>
  <c r="J239" i="58" a="1"/>
  <c r="J239" i="58" s="1"/>
  <c r="J241" i="58" a="1"/>
  <c r="J241" i="58" s="1"/>
  <c r="J243" i="58" a="1"/>
  <c r="J243" i="58" s="1"/>
  <c r="J244" i="58" a="1"/>
  <c r="J244" i="58" s="1"/>
  <c r="L245" i="58" a="1"/>
  <c r="L245" i="58" s="1"/>
  <c r="J246" i="58" a="1"/>
  <c r="J246" i="58" s="1"/>
  <c r="K247" i="58" a="1"/>
  <c r="K247" i="58" s="1"/>
  <c r="J248" i="58" a="1"/>
  <c r="J248" i="58" s="1"/>
  <c r="J250" i="58" a="1"/>
  <c r="J250" i="58" s="1"/>
  <c r="J252" i="58" a="1"/>
  <c r="J252" i="58" s="1"/>
  <c r="J253" i="58" a="1"/>
  <c r="J253" i="58" s="1"/>
  <c r="J255" i="58" a="1"/>
  <c r="J255" i="58" s="1"/>
  <c r="J257" i="58" a="1"/>
  <c r="J257" i="58" s="1"/>
  <c r="J259" i="58" a="1"/>
  <c r="J259" i="58" s="1"/>
  <c r="K260" i="58" a="1"/>
  <c r="K260" i="58" s="1"/>
  <c r="J261" i="58" a="1"/>
  <c r="J261" i="58" s="1"/>
  <c r="J262" i="58" a="1"/>
  <c r="J262" i="58" s="1"/>
  <c r="K263" i="58" a="1"/>
  <c r="K263" i="58" s="1"/>
  <c r="J264" i="58" a="1"/>
  <c r="J264" i="58" s="1"/>
  <c r="J266" i="58" a="1"/>
  <c r="J266" i="58" s="1"/>
  <c r="J268" i="58" a="1"/>
  <c r="J268" i="58" s="1"/>
  <c r="J269" i="58" a="1"/>
  <c r="J269" i="58" s="1"/>
  <c r="J271" i="58" a="1"/>
  <c r="J271" i="58" s="1"/>
  <c r="J273" i="58" a="1"/>
  <c r="J273" i="58" s="1"/>
  <c r="J275" i="58" a="1"/>
  <c r="J275" i="58" s="1"/>
  <c r="L276" i="58" a="1"/>
  <c r="L276" i="58" s="1"/>
  <c r="J277" i="58" a="1"/>
  <c r="J277" i="58" s="1"/>
  <c r="J278" i="58" a="1"/>
  <c r="J278" i="58" s="1"/>
  <c r="K279" i="58" a="1"/>
  <c r="K279" i="58" s="1"/>
  <c r="J280" i="58" a="1"/>
  <c r="J280" i="58" s="1"/>
  <c r="J282" i="58" a="1"/>
  <c r="J282" i="58" s="1"/>
  <c r="J284" i="58" a="1"/>
  <c r="J284" i="58" s="1"/>
  <c r="J285" i="58" a="1"/>
  <c r="J285" i="58" s="1"/>
  <c r="J287" i="58" a="1"/>
  <c r="J287" i="58" s="1"/>
  <c r="J289" i="58" a="1"/>
  <c r="J289" i="58" s="1"/>
  <c r="J291" i="58" a="1"/>
  <c r="J291" i="58" s="1"/>
  <c r="J292" i="58" a="1"/>
  <c r="J292" i="58" s="1"/>
  <c r="J293" i="58" a="1"/>
  <c r="J293" i="58" s="1"/>
  <c r="J294" i="58" a="1"/>
  <c r="J294" i="58" s="1"/>
  <c r="L295" i="58" a="1"/>
  <c r="L295" i="58" s="1"/>
  <c r="J296" i="58" a="1"/>
  <c r="J296" i="58" s="1"/>
  <c r="J298" i="58" a="1"/>
  <c r="J298" i="58" s="1"/>
  <c r="J300" i="58" a="1"/>
  <c r="J300" i="58" s="1"/>
  <c r="J301" i="58" a="1"/>
  <c r="J301" i="58" s="1"/>
  <c r="J303" i="58" a="1"/>
  <c r="J303" i="58" s="1"/>
  <c r="J305" i="58" a="1"/>
  <c r="J305" i="58" s="1"/>
  <c r="J307" i="58" a="1"/>
  <c r="J307" i="58" s="1"/>
  <c r="L308" i="58" a="1"/>
  <c r="L308" i="58" s="1"/>
  <c r="J309" i="58" a="1"/>
  <c r="J309" i="58" s="1"/>
  <c r="J310" i="58" a="1"/>
  <c r="J310" i="58" s="1"/>
  <c r="J311" i="58" a="1"/>
  <c r="J311" i="58" s="1"/>
  <c r="J312" i="58" a="1"/>
  <c r="J312" i="58" s="1"/>
  <c r="J314" i="58" a="1"/>
  <c r="J314" i="58" s="1"/>
  <c r="J316" i="58" a="1"/>
  <c r="J316" i="58" s="1"/>
  <c r="J317" i="58" a="1"/>
  <c r="J317" i="58" s="1"/>
  <c r="J319" i="58" a="1"/>
  <c r="J319" i="58" s="1"/>
  <c r="J321" i="58" a="1"/>
  <c r="J321" i="58" s="1"/>
  <c r="J323" i="58" a="1"/>
  <c r="J323" i="58" s="1"/>
  <c r="J324" i="58" a="1"/>
  <c r="J324" i="58" s="1"/>
  <c r="J325" i="58" a="1"/>
  <c r="J325" i="58" s="1"/>
  <c r="J326" i="58" a="1"/>
  <c r="J326" i="58" s="1"/>
  <c r="J327" i="58" a="1"/>
  <c r="J327" i="58" s="1"/>
  <c r="J328" i="58" a="1"/>
  <c r="J328" i="58" s="1"/>
  <c r="J330" i="58" a="1"/>
  <c r="J330" i="58" s="1"/>
  <c r="J332" i="58" a="1"/>
  <c r="J332" i="58" s="1"/>
  <c r="J335" i="58" a="1"/>
  <c r="J335" i="58" s="1"/>
  <c r="J340" i="58" a="1"/>
  <c r="J340" i="58" s="1"/>
  <c r="J341" i="58" a="1"/>
  <c r="J341" i="58" s="1"/>
  <c r="J342" i="58" a="1"/>
  <c r="J342" i="58" s="1"/>
  <c r="L343" i="58" a="1"/>
  <c r="L343" i="58" s="1"/>
  <c r="K344" i="58" a="1"/>
  <c r="K344" i="58" s="1"/>
  <c r="J349" i="58" a="1"/>
  <c r="J349" i="58" s="1"/>
  <c r="J351" i="58" a="1"/>
  <c r="J351" i="58" s="1"/>
  <c r="J356" i="58" a="1"/>
  <c r="J356" i="58" s="1"/>
  <c r="J357" i="58" a="1"/>
  <c r="J357" i="58" s="1"/>
  <c r="J358" i="58" a="1"/>
  <c r="J358" i="58" s="1"/>
  <c r="J359" i="58" a="1"/>
  <c r="J359" i="58" s="1"/>
  <c r="L360" i="58" a="1"/>
  <c r="L360" i="58" s="1"/>
  <c r="J364" i="58" a="1"/>
  <c r="J364" i="58" s="1"/>
  <c r="J365" i="58" a="1"/>
  <c r="J365" i="58" s="1"/>
  <c r="K367" i="58" a="1"/>
  <c r="K367" i="58" s="1"/>
  <c r="J372" i="58" a="1"/>
  <c r="J372" i="58" s="1"/>
  <c r="J373" i="58" a="1"/>
  <c r="J373" i="58" s="1"/>
  <c r="J374" i="58" a="1"/>
  <c r="J374" i="58" s="1"/>
  <c r="J375" i="58" a="1"/>
  <c r="J375" i="58" s="1"/>
  <c r="K376" i="58" a="1"/>
  <c r="K376" i="58" s="1"/>
  <c r="J380" i="58" a="1"/>
  <c r="J380" i="58" s="1"/>
  <c r="L383" i="58" a="1"/>
  <c r="L383" i="58" s="1"/>
  <c r="K388" i="58" a="1"/>
  <c r="K388" i="58" s="1"/>
  <c r="L389" i="58" a="1"/>
  <c r="L389" i="58" s="1"/>
  <c r="L390" i="58" a="1"/>
  <c r="L390" i="58" s="1"/>
  <c r="J391" i="58" a="1"/>
  <c r="J391" i="58" s="1"/>
  <c r="K392" i="58" a="1"/>
  <c r="K392" i="58" s="1"/>
  <c r="L399" i="58" a="1"/>
  <c r="L399" i="58" s="1"/>
  <c r="J400" i="58" a="1"/>
  <c r="J400" i="58" s="1"/>
  <c r="L404" i="58" a="1"/>
  <c r="L404" i="58" s="1"/>
  <c r="J405" i="58" a="1"/>
  <c r="J405" i="58" s="1"/>
  <c r="J406" i="58" a="1"/>
  <c r="J406" i="58" s="1"/>
  <c r="L407" i="58" a="1"/>
  <c r="L407" i="58" s="1"/>
  <c r="L408" i="58" a="1"/>
  <c r="L408" i="58" s="1"/>
  <c r="J413" i="58" a="1"/>
  <c r="J413" i="58" s="1"/>
  <c r="L415" i="58" a="1"/>
  <c r="L415" i="58" s="1"/>
  <c r="L420" i="58" a="1"/>
  <c r="L420" i="58" s="1"/>
  <c r="J421" i="58" a="1"/>
  <c r="J421" i="58" s="1"/>
  <c r="J422" i="58" a="1"/>
  <c r="J422" i="58" s="1"/>
  <c r="L423" i="58" a="1"/>
  <c r="L423" i="58" s="1"/>
  <c r="K424" i="58" a="1"/>
  <c r="K424" i="58" s="1"/>
  <c r="J429" i="58" a="1"/>
  <c r="J429" i="58" s="1"/>
  <c r="J431" i="58" a="1"/>
  <c r="J431" i="58" s="1"/>
  <c r="L436" i="58" a="1"/>
  <c r="L436" i="58" s="1"/>
  <c r="J438" i="58" a="1"/>
  <c r="J438" i="58" s="1"/>
  <c r="J439" i="58" a="1"/>
  <c r="J439" i="58" s="1"/>
  <c r="L440" i="58" a="1"/>
  <c r="L440" i="58" s="1"/>
  <c r="J445" i="58" a="1"/>
  <c r="J445" i="58" s="1"/>
  <c r="L447" i="58" a="1"/>
  <c r="L447" i="58" s="1"/>
  <c r="J448" i="58" a="1"/>
  <c r="J448" i="58" s="1"/>
  <c r="L452" i="58" a="1"/>
  <c r="L452" i="58" s="1"/>
  <c r="K453" i="58" a="1"/>
  <c r="K453" i="58" s="1"/>
  <c r="J454" i="58" a="1"/>
  <c r="J454" i="58" s="1"/>
  <c r="J455" i="58" a="1"/>
  <c r="J455" i="58" s="1"/>
  <c r="K456" i="58" a="1"/>
  <c r="K456" i="58" s="1"/>
  <c r="J461" i="58" a="1"/>
  <c r="J461" i="58" s="1"/>
  <c r="K463" i="58" a="1"/>
  <c r="K463" i="58" s="1"/>
  <c r="J468" i="58" a="1"/>
  <c r="J468" i="58" s="1"/>
  <c r="J469" i="58" a="1"/>
  <c r="J469" i="58" s="1"/>
  <c r="J470" i="58" a="1"/>
  <c r="J470" i="58" s="1"/>
  <c r="L471" i="58" a="1"/>
  <c r="L471" i="58" s="1"/>
  <c r="K472" i="58" a="1"/>
  <c r="K472" i="58" s="1"/>
  <c r="J477" i="58" a="1"/>
  <c r="J477" i="58" s="1"/>
  <c r="K479" i="58" a="1"/>
  <c r="K479" i="58" s="1"/>
  <c r="J484" i="58" a="1"/>
  <c r="J484" i="58" s="1"/>
  <c r="J485" i="58" a="1"/>
  <c r="J485" i="58" s="1"/>
  <c r="J487" i="58" a="1"/>
  <c r="J487" i="58" s="1"/>
  <c r="L488" i="58" a="1"/>
  <c r="L488" i="58" s="1"/>
  <c r="J492" i="58" a="1"/>
  <c r="J492" i="58" s="1"/>
  <c r="J493" i="58" a="1"/>
  <c r="J493" i="58" s="1"/>
  <c r="J500" i="58" a="1"/>
  <c r="J500" i="58" s="1"/>
  <c r="J5" i="58" a="1"/>
  <c r="J5" i="58" s="1"/>
  <c r="J7" i="58" a="1"/>
  <c r="J7" i="58" s="1"/>
  <c r="J9" i="58" a="1"/>
  <c r="J9" i="58" s="1"/>
  <c r="J11" i="58" a="1"/>
  <c r="J11" i="58" s="1"/>
  <c r="J112" i="58" a="1"/>
  <c r="J112" i="58" s="1"/>
  <c r="J114" i="58" a="1"/>
  <c r="J114" i="58" s="1"/>
  <c r="J117" i="58" a="1"/>
  <c r="J117" i="58" s="1"/>
  <c r="J121" i="58" a="1"/>
  <c r="J121" i="58" s="1"/>
  <c r="J123" i="58" a="1"/>
  <c r="J123" i="58" s="1"/>
  <c r="J126" i="58" a="1"/>
  <c r="J126" i="58" s="1"/>
  <c r="J128" i="58" a="1"/>
  <c r="J128" i="58" s="1"/>
  <c r="J130" i="58" a="1"/>
  <c r="J130" i="58" s="1"/>
  <c r="J137" i="58" a="1"/>
  <c r="J137" i="58" s="1"/>
  <c r="J139" i="58" a="1"/>
  <c r="J139" i="58" s="1"/>
  <c r="J142" i="58" a="1"/>
  <c r="J142" i="58" s="1"/>
  <c r="J144" i="58" a="1"/>
  <c r="J144" i="58" s="1"/>
  <c r="J146" i="58" a="1"/>
  <c r="J146" i="58" s="1"/>
  <c r="J149" i="58" a="1"/>
  <c r="J149" i="58" s="1"/>
  <c r="J153" i="58" a="1"/>
  <c r="J153" i="58" s="1"/>
  <c r="J155" i="58" a="1"/>
  <c r="J155" i="58" s="1"/>
  <c r="J158" i="58" a="1"/>
  <c r="J158" i="58" s="1"/>
  <c r="J160" i="58" a="1"/>
  <c r="J160" i="58" s="1"/>
  <c r="J162" i="58" a="1"/>
  <c r="J162" i="58" s="1"/>
  <c r="J165" i="58" a="1"/>
  <c r="J165" i="58" s="1"/>
  <c r="J169" i="58" a="1"/>
  <c r="J169" i="58" s="1"/>
  <c r="J171" i="58" a="1"/>
  <c r="J171" i="58" s="1"/>
  <c r="J174" i="58" a="1"/>
  <c r="J174" i="58" s="1"/>
  <c r="J176" i="58" a="1"/>
  <c r="J176" i="58" s="1"/>
  <c r="J178" i="58" a="1"/>
  <c r="J178" i="58" s="1"/>
  <c r="J185" i="58" a="1"/>
  <c r="J185" i="58" s="1"/>
  <c r="J187" i="58" a="1"/>
  <c r="J187" i="58" s="1"/>
  <c r="J190" i="58" a="1"/>
  <c r="J190" i="58" s="1"/>
  <c r="J192" i="58" a="1"/>
  <c r="J192" i="58" s="1"/>
  <c r="J194" i="58" a="1"/>
  <c r="J194" i="58" s="1"/>
  <c r="J201" i="58" a="1"/>
  <c r="J201" i="58" s="1"/>
  <c r="J203" i="58" a="1"/>
  <c r="J203" i="58" s="1"/>
  <c r="J206" i="58" a="1"/>
  <c r="J206" i="58" s="1"/>
  <c r="J208" i="58" a="1"/>
  <c r="J208" i="58" s="1"/>
  <c r="J210" i="58" a="1"/>
  <c r="J210" i="58" s="1"/>
  <c r="J217" i="58" a="1"/>
  <c r="J217" i="58" s="1"/>
  <c r="J219" i="58" a="1"/>
  <c r="J219" i="58" s="1"/>
  <c r="J222" i="58" a="1"/>
  <c r="J222" i="58" s="1"/>
  <c r="J224" i="58" a="1"/>
  <c r="J224" i="58" s="1"/>
  <c r="J226" i="58" a="1"/>
  <c r="J226" i="58" s="1"/>
  <c r="J229" i="58" a="1"/>
  <c r="J229" i="58" s="1"/>
  <c r="J233" i="58" a="1"/>
  <c r="J233" i="58" s="1"/>
  <c r="J235" i="58" a="1"/>
  <c r="J235" i="58" s="1"/>
  <c r="J238" i="58" a="1"/>
  <c r="J238" i="58" s="1"/>
  <c r="J240" i="58" a="1"/>
  <c r="J240" i="58" s="1"/>
  <c r="J242" i="58" a="1"/>
  <c r="J242" i="58" s="1"/>
  <c r="J249" i="58" a="1"/>
  <c r="J249" i="58" s="1"/>
  <c r="J251" i="58" a="1"/>
  <c r="J251" i="58" s="1"/>
  <c r="J254" i="58" a="1"/>
  <c r="J254" i="58" s="1"/>
  <c r="J256" i="58" a="1"/>
  <c r="J256" i="58" s="1"/>
  <c r="J258" i="58" a="1"/>
  <c r="J258" i="58" s="1"/>
  <c r="J260" i="58" a="1"/>
  <c r="J260" i="58" s="1"/>
  <c r="J263" i="58" a="1"/>
  <c r="J263" i="58" s="1"/>
  <c r="J265" i="58" a="1"/>
  <c r="J265" i="58" s="1"/>
  <c r="J267" i="58" a="1"/>
  <c r="J267" i="58" s="1"/>
  <c r="J270" i="58" a="1"/>
  <c r="J270" i="58" s="1"/>
  <c r="J272" i="58" a="1"/>
  <c r="J272" i="58" s="1"/>
  <c r="J274" i="58" a="1"/>
  <c r="J274" i="58" s="1"/>
  <c r="J281" i="58" a="1"/>
  <c r="J281" i="58" s="1"/>
  <c r="J283" i="58" a="1"/>
  <c r="J283" i="58" s="1"/>
  <c r="J286" i="58" a="1"/>
  <c r="J286" i="58" s="1"/>
  <c r="J288" i="58" a="1"/>
  <c r="J288" i="58" s="1"/>
  <c r="J290" i="58" a="1"/>
  <c r="J290" i="58" s="1"/>
  <c r="J297" i="58" a="1"/>
  <c r="J297" i="58" s="1"/>
  <c r="J299" i="58" a="1"/>
  <c r="J299" i="58" s="1"/>
  <c r="J302" i="58" a="1"/>
  <c r="J302" i="58" s="1"/>
  <c r="J304" i="58" a="1"/>
  <c r="J304" i="58" s="1"/>
  <c r="J306" i="58" a="1"/>
  <c r="J306" i="58" s="1"/>
  <c r="J313" i="58" a="1"/>
  <c r="J313" i="58" s="1"/>
  <c r="J315" i="58" a="1"/>
  <c r="J315" i="58" s="1"/>
  <c r="J318" i="58" a="1"/>
  <c r="J318" i="58" s="1"/>
  <c r="J320" i="58" a="1"/>
  <c r="J320" i="58" s="1"/>
  <c r="J322" i="58" a="1"/>
  <c r="J322" i="58" s="1"/>
  <c r="J329" i="58" a="1"/>
  <c r="J329" i="58" s="1"/>
  <c r="J331" i="58" a="1"/>
  <c r="J331" i="58" s="1"/>
  <c r="J333" i="58" a="1"/>
  <c r="J333" i="58" s="1"/>
  <c r="J334" i="58" a="1"/>
  <c r="J334" i="58" s="1"/>
  <c r="J336" i="58" a="1"/>
  <c r="J336" i="58" s="1"/>
  <c r="J337" i="58" a="1"/>
  <c r="J337" i="58" s="1"/>
  <c r="J338" i="58" a="1"/>
  <c r="J338" i="58" s="1"/>
  <c r="J339" i="58" a="1"/>
  <c r="J339" i="58" s="1"/>
  <c r="J345" i="58" a="1"/>
  <c r="J345" i="58" s="1"/>
  <c r="J346" i="58" a="1"/>
  <c r="J346" i="58" s="1"/>
  <c r="J347" i="58" a="1"/>
  <c r="J347" i="58" s="1"/>
  <c r="J348" i="58" a="1"/>
  <c r="J348" i="58" s="1"/>
  <c r="J350" i="58" a="1"/>
  <c r="J350" i="58" s="1"/>
  <c r="J352" i="58" a="1"/>
  <c r="J352" i="58" s="1"/>
  <c r="J353" i="58" a="1"/>
  <c r="J353" i="58" s="1"/>
  <c r="J354" i="58" a="1"/>
  <c r="J354" i="58" s="1"/>
  <c r="J355" i="58" a="1"/>
  <c r="J355" i="58" s="1"/>
  <c r="J361" i="58" a="1"/>
  <c r="J361" i="58" s="1"/>
  <c r="J362" i="58" a="1"/>
  <c r="J362" i="58" s="1"/>
  <c r="J363" i="58" a="1"/>
  <c r="J363" i="58" s="1"/>
  <c r="J366" i="58" a="1"/>
  <c r="J366" i="58" s="1"/>
  <c r="J367" i="58" a="1"/>
  <c r="J367" i="58" s="1"/>
  <c r="J368" i="58" a="1"/>
  <c r="J368" i="58" s="1"/>
  <c r="J369" i="58" a="1"/>
  <c r="J369" i="58" s="1"/>
  <c r="J370" i="58" a="1"/>
  <c r="J370" i="58" s="1"/>
  <c r="J371" i="58" a="1"/>
  <c r="J371" i="58" s="1"/>
  <c r="J377" i="58" a="1"/>
  <c r="J377" i="58" s="1"/>
  <c r="J378" i="58" a="1"/>
  <c r="J378" i="58" s="1"/>
  <c r="J379" i="58" a="1"/>
  <c r="J379" i="58" s="1"/>
  <c r="J381" i="58" a="1"/>
  <c r="J381" i="58" s="1"/>
  <c r="J382" i="58" a="1"/>
  <c r="J382" i="58" s="1"/>
  <c r="J384" i="58" a="1"/>
  <c r="J384" i="58" s="1"/>
  <c r="J385" i="58" a="1"/>
  <c r="J385" i="58" s="1"/>
  <c r="J386" i="58" a="1"/>
  <c r="J386" i="58" s="1"/>
  <c r="J387" i="58" a="1"/>
  <c r="J387" i="58" s="1"/>
  <c r="J389" i="58" a="1"/>
  <c r="J389" i="58" s="1"/>
  <c r="J390" i="58" a="1"/>
  <c r="J390" i="58" s="1"/>
  <c r="J393" i="58" a="1"/>
  <c r="J393" i="58" s="1"/>
  <c r="J394" i="58" a="1"/>
  <c r="J394" i="58" s="1"/>
  <c r="J395" i="58" a="1"/>
  <c r="J395" i="58" s="1"/>
  <c r="J396" i="58" a="1"/>
  <c r="J396" i="58" s="1"/>
  <c r="J397" i="58" a="1"/>
  <c r="J397" i="58" s="1"/>
  <c r="J398" i="58" a="1"/>
  <c r="J398" i="58" s="1"/>
  <c r="J401" i="58" a="1"/>
  <c r="J401" i="58" s="1"/>
  <c r="J402" i="58" a="1"/>
  <c r="J402" i="58" s="1"/>
  <c r="J403" i="58" a="1"/>
  <c r="J403" i="58" s="1"/>
  <c r="J407" i="58" a="1"/>
  <c r="J407" i="58" s="1"/>
  <c r="J408" i="58" a="1"/>
  <c r="J408" i="58" s="1"/>
  <c r="J409" i="58" a="1"/>
  <c r="J409" i="58" s="1"/>
  <c r="J410" i="58" a="1"/>
  <c r="J410" i="58" s="1"/>
  <c r="J411" i="58" a="1"/>
  <c r="J411" i="58" s="1"/>
  <c r="J412" i="58" a="1"/>
  <c r="J412" i="58" s="1"/>
  <c r="J414" i="58" a="1"/>
  <c r="J414" i="58" s="1"/>
  <c r="J416" i="58" a="1"/>
  <c r="J416" i="58" s="1"/>
  <c r="J417" i="58" a="1"/>
  <c r="J417" i="58" s="1"/>
  <c r="J418" i="58" a="1"/>
  <c r="J418" i="58" s="1"/>
  <c r="J419" i="58" a="1"/>
  <c r="J419" i="58" s="1"/>
  <c r="J425" i="58" a="1"/>
  <c r="J425" i="58" s="1"/>
  <c r="J426" i="58" a="1"/>
  <c r="J426" i="58" s="1"/>
  <c r="J427" i="58" a="1"/>
  <c r="J427" i="58" s="1"/>
  <c r="J428" i="58" a="1"/>
  <c r="J428" i="58" s="1"/>
  <c r="J430" i="58" a="1"/>
  <c r="J430" i="58" s="1"/>
  <c r="J432" i="58" a="1"/>
  <c r="J432" i="58" s="1"/>
  <c r="J433" i="58" a="1"/>
  <c r="J433" i="58" s="1"/>
  <c r="J434" i="58" a="1"/>
  <c r="J434" i="58" s="1"/>
  <c r="J435" i="58" a="1"/>
  <c r="J435" i="58" s="1"/>
  <c r="J437" i="58" a="1"/>
  <c r="J437" i="58" s="1"/>
  <c r="J441" i="58" a="1"/>
  <c r="J441" i="58" s="1"/>
  <c r="J442" i="58" a="1"/>
  <c r="J442" i="58" s="1"/>
  <c r="J443" i="58" a="1"/>
  <c r="J443" i="58" s="1"/>
  <c r="J444" i="58" a="1"/>
  <c r="J444" i="58" s="1"/>
  <c r="J446" i="58" a="1"/>
  <c r="J446" i="58" s="1"/>
  <c r="J447" i="58" a="1"/>
  <c r="J447" i="58" s="1"/>
  <c r="J449" i="58" a="1"/>
  <c r="J449" i="58" s="1"/>
  <c r="J450" i="58" a="1"/>
  <c r="J450" i="58" s="1"/>
  <c r="J451" i="58" a="1"/>
  <c r="J451" i="58" s="1"/>
  <c r="J457" i="58" a="1"/>
  <c r="J457" i="58" s="1"/>
  <c r="J458" i="58" a="1"/>
  <c r="J458" i="58" s="1"/>
  <c r="J459" i="58" a="1"/>
  <c r="J459" i="58" s="1"/>
  <c r="J460" i="58" a="1"/>
  <c r="J460" i="58" s="1"/>
  <c r="J462" i="58" a="1"/>
  <c r="J462" i="58" s="1"/>
  <c r="J463" i="58" a="1"/>
  <c r="J463" i="58" s="1"/>
  <c r="J464" i="58" a="1"/>
  <c r="J464" i="58" s="1"/>
  <c r="J465" i="58" a="1"/>
  <c r="J465" i="58" s="1"/>
  <c r="J466" i="58" a="1"/>
  <c r="J466" i="58" s="1"/>
  <c r="J467" i="58" a="1"/>
  <c r="J467" i="58" s="1"/>
  <c r="J473" i="58" a="1"/>
  <c r="J473" i="58" s="1"/>
  <c r="J474" i="58" a="1"/>
  <c r="J474" i="58" s="1"/>
  <c r="J475" i="58" a="1"/>
  <c r="J475" i="58" s="1"/>
  <c r="J476" i="58" a="1"/>
  <c r="J476" i="58" s="1"/>
  <c r="J478" i="58" a="1"/>
  <c r="J478" i="58" s="1"/>
  <c r="J480" i="58" a="1"/>
  <c r="J480" i="58" s="1"/>
  <c r="J481" i="58" a="1"/>
  <c r="J481" i="58" s="1"/>
  <c r="J482" i="58" a="1"/>
  <c r="J482" i="58" s="1"/>
  <c r="J483" i="58" a="1"/>
  <c r="J483" i="58" s="1"/>
  <c r="J486" i="58" a="1"/>
  <c r="J486" i="58" s="1"/>
  <c r="J489" i="58" a="1"/>
  <c r="J489" i="58" s="1"/>
  <c r="J490" i="58" a="1"/>
  <c r="J490" i="58" s="1"/>
  <c r="J491" i="58" a="1"/>
  <c r="J491" i="58" s="1"/>
  <c r="J494" i="58" a="1"/>
  <c r="J494" i="58" s="1"/>
  <c r="J495" i="58" a="1"/>
  <c r="J495" i="58" s="1"/>
  <c r="J496" i="58" a="1"/>
  <c r="J496" i="58" s="1"/>
  <c r="J497" i="58" a="1"/>
  <c r="J497" i="58" s="1"/>
  <c r="J498" i="58" a="1"/>
  <c r="J498" i="58" s="1"/>
  <c r="J499" i="58" a="1"/>
  <c r="J499" i="58" s="1"/>
  <c r="K5" i="58" a="1"/>
  <c r="K5" i="58" s="1"/>
  <c r="K6" i="58" a="1"/>
  <c r="K6" i="58" s="1"/>
  <c r="K7" i="58" a="1"/>
  <c r="K7" i="58" s="1"/>
  <c r="K8" i="58" a="1"/>
  <c r="K8" i="58" s="1"/>
  <c r="K9" i="58" a="1"/>
  <c r="K9" i="58" s="1"/>
  <c r="K10" i="58" a="1"/>
  <c r="K10" i="58" s="1"/>
  <c r="K11" i="58" a="1"/>
  <c r="K11" i="58" s="1"/>
  <c r="K112" i="58" a="1"/>
  <c r="K112" i="58" s="1"/>
  <c r="K113" i="58" a="1"/>
  <c r="K113" i="58" s="1"/>
  <c r="K114" i="58" a="1"/>
  <c r="K114" i="58" s="1"/>
  <c r="K115" i="58" a="1"/>
  <c r="K115" i="58" s="1"/>
  <c r="K117" i="58" a="1"/>
  <c r="K117" i="58" s="1"/>
  <c r="K118" i="58" a="1"/>
  <c r="K118" i="58" s="1"/>
  <c r="K120" i="58" a="1"/>
  <c r="K120" i="58" s="1"/>
  <c r="K121" i="58" a="1"/>
  <c r="K121" i="58" s="1"/>
  <c r="K122" i="58" a="1"/>
  <c r="K122" i="58" s="1"/>
  <c r="K123" i="58" a="1"/>
  <c r="K123" i="58" s="1"/>
  <c r="K124" i="58" a="1"/>
  <c r="K124" i="58" s="1"/>
  <c r="K125" i="58" a="1"/>
  <c r="K125" i="58" s="1"/>
  <c r="K126" i="58" a="1"/>
  <c r="K126" i="58" s="1"/>
  <c r="K127" i="58" a="1"/>
  <c r="K127" i="58" s="1"/>
  <c r="K128" i="58" a="1"/>
  <c r="K128" i="58" s="1"/>
  <c r="K129" i="58" a="1"/>
  <c r="K129" i="58" s="1"/>
  <c r="K130" i="58" a="1"/>
  <c r="K130" i="58" s="1"/>
  <c r="K131" i="58" a="1"/>
  <c r="K131" i="58" s="1"/>
  <c r="K134" i="58" a="1"/>
  <c r="K134" i="58" s="1"/>
  <c r="K137" i="58" a="1"/>
  <c r="K137" i="58" s="1"/>
  <c r="K138" i="58" a="1"/>
  <c r="K138" i="58" s="1"/>
  <c r="K139" i="58" a="1"/>
  <c r="K139" i="58" s="1"/>
  <c r="K140" i="58" a="1"/>
  <c r="K140" i="58" s="1"/>
  <c r="K141" i="58" a="1"/>
  <c r="K141" i="58" s="1"/>
  <c r="K142" i="58" a="1"/>
  <c r="K142" i="58" s="1"/>
  <c r="K143" i="58" a="1"/>
  <c r="K143" i="58" s="1"/>
  <c r="K144" i="58" a="1"/>
  <c r="K144" i="58" s="1"/>
  <c r="K145" i="58" a="1"/>
  <c r="K145" i="58" s="1"/>
  <c r="K146" i="58" a="1"/>
  <c r="K146" i="58" s="1"/>
  <c r="K147" i="58" a="1"/>
  <c r="K147" i="58" s="1"/>
  <c r="K149" i="58" a="1"/>
  <c r="K149" i="58" s="1"/>
  <c r="K150" i="58" a="1"/>
  <c r="K150" i="58" s="1"/>
  <c r="K151" i="58" a="1"/>
  <c r="K151" i="58" s="1"/>
  <c r="K152" i="58" a="1"/>
  <c r="K152" i="58" s="1"/>
  <c r="K153" i="58" a="1"/>
  <c r="K153" i="58" s="1"/>
  <c r="K154" i="58" a="1"/>
  <c r="K154" i="58" s="1"/>
  <c r="K155" i="58" a="1"/>
  <c r="K155" i="58" s="1"/>
  <c r="K156" i="58" a="1"/>
  <c r="K156" i="58" s="1"/>
  <c r="K157" i="58" a="1"/>
  <c r="K157" i="58" s="1"/>
  <c r="K158" i="58" a="1"/>
  <c r="K158" i="58" s="1"/>
  <c r="K160" i="58" a="1"/>
  <c r="K160" i="58" s="1"/>
  <c r="K161" i="58" a="1"/>
  <c r="K161" i="58" s="1"/>
  <c r="K162" i="58" a="1"/>
  <c r="K162" i="58" s="1"/>
  <c r="K163" i="58" a="1"/>
  <c r="K163" i="58" s="1"/>
  <c r="K165" i="58" a="1"/>
  <c r="K165" i="58" s="1"/>
  <c r="K166" i="58" a="1"/>
  <c r="K166" i="58" s="1"/>
  <c r="K167" i="58" a="1"/>
  <c r="K167" i="58" s="1"/>
  <c r="K169" i="58" a="1"/>
  <c r="K169" i="58" s="1"/>
  <c r="K170" i="58" a="1"/>
  <c r="K170" i="58" s="1"/>
  <c r="K171" i="58" a="1"/>
  <c r="K171" i="58" s="1"/>
  <c r="K172" i="58" a="1"/>
  <c r="K172" i="58" s="1"/>
  <c r="K173" i="58" a="1"/>
  <c r="K173" i="58" s="1"/>
  <c r="K174" i="58" a="1"/>
  <c r="K174" i="58" s="1"/>
  <c r="K176" i="58" a="1"/>
  <c r="K176" i="58" s="1"/>
  <c r="K177" i="58" a="1"/>
  <c r="K177" i="58" s="1"/>
  <c r="K178" i="58" a="1"/>
  <c r="K178" i="58" s="1"/>
  <c r="K179" i="58" a="1"/>
  <c r="K179" i="58" s="1"/>
  <c r="K181" i="58" a="1"/>
  <c r="K181" i="58" s="1"/>
  <c r="K182" i="58" a="1"/>
  <c r="K182" i="58" s="1"/>
  <c r="K183" i="58" a="1"/>
  <c r="K183" i="58" s="1"/>
  <c r="K184" i="58" a="1"/>
  <c r="K184" i="58" s="1"/>
  <c r="K185" i="58" a="1"/>
  <c r="K185" i="58" s="1"/>
  <c r="K186" i="58" a="1"/>
  <c r="K186" i="58" s="1"/>
  <c r="K187" i="58" a="1"/>
  <c r="K187" i="58" s="1"/>
  <c r="K188" i="58" a="1"/>
  <c r="K188" i="58" s="1"/>
  <c r="K189" i="58" a="1"/>
  <c r="K189" i="58" s="1"/>
  <c r="K190" i="58" a="1"/>
  <c r="K190" i="58" s="1"/>
  <c r="K191" i="58" a="1"/>
  <c r="K191" i="58" s="1"/>
  <c r="K192" i="58" a="1"/>
  <c r="K192" i="58" s="1"/>
  <c r="K193" i="58" a="1"/>
  <c r="K193" i="58" s="1"/>
  <c r="K194" i="58" a="1"/>
  <c r="K194" i="58" s="1"/>
  <c r="K195" i="58" a="1"/>
  <c r="K195" i="58" s="1"/>
  <c r="K198" i="58" a="1"/>
  <c r="K198" i="58" s="1"/>
  <c r="K201" i="58" a="1"/>
  <c r="K201" i="58" s="1"/>
  <c r="K202" i="58" a="1"/>
  <c r="K202" i="58" s="1"/>
  <c r="K203" i="58" a="1"/>
  <c r="K203" i="58" s="1"/>
  <c r="K204" i="58" a="1"/>
  <c r="K204" i="58" s="1"/>
  <c r="K205" i="58" a="1"/>
  <c r="K205" i="58" s="1"/>
  <c r="K206" i="58" a="1"/>
  <c r="K206" i="58" s="1"/>
  <c r="K207" i="58" a="1"/>
  <c r="K207" i="58" s="1"/>
  <c r="K208" i="58" a="1"/>
  <c r="K208" i="58" s="1"/>
  <c r="K209" i="58" a="1"/>
  <c r="K209" i="58" s="1"/>
  <c r="K210" i="58" a="1"/>
  <c r="K210" i="58" s="1"/>
  <c r="K211" i="58" a="1"/>
  <c r="K211" i="58" s="1"/>
  <c r="K213" i="58" a="1"/>
  <c r="K213" i="58" s="1"/>
  <c r="K214" i="58" a="1"/>
  <c r="K214" i="58" s="1"/>
  <c r="K215" i="58" a="1"/>
  <c r="K215" i="58" s="1"/>
  <c r="K216" i="58" a="1"/>
  <c r="K216" i="58" s="1"/>
  <c r="K217" i="58" a="1"/>
  <c r="K217" i="58" s="1"/>
  <c r="K218" i="58" a="1"/>
  <c r="K218" i="58" s="1"/>
  <c r="K219" i="58" a="1"/>
  <c r="K219" i="58" s="1"/>
  <c r="K220" i="58" a="1"/>
  <c r="K220" i="58" s="1"/>
  <c r="K221" i="58" a="1"/>
  <c r="K221" i="58" s="1"/>
  <c r="K222" i="58" a="1"/>
  <c r="K222" i="58" s="1"/>
  <c r="K224" i="58" a="1"/>
  <c r="K224" i="58" s="1"/>
  <c r="K225" i="58" a="1"/>
  <c r="K225" i="58" s="1"/>
  <c r="K226" i="58" a="1"/>
  <c r="K226" i="58" s="1"/>
  <c r="K227" i="58" a="1"/>
  <c r="K227" i="58" s="1"/>
  <c r="K229" i="58" a="1"/>
  <c r="K229" i="58" s="1"/>
  <c r="K230" i="58" a="1"/>
  <c r="K230" i="58" s="1"/>
  <c r="K231" i="58" a="1"/>
  <c r="K231" i="58" s="1"/>
  <c r="K233" i="58" a="1"/>
  <c r="K233" i="58" s="1"/>
  <c r="K234" i="58" a="1"/>
  <c r="K234" i="58" s="1"/>
  <c r="K235" i="58" a="1"/>
  <c r="K235" i="58" s="1"/>
  <c r="K236" i="58" a="1"/>
  <c r="K236" i="58" s="1"/>
  <c r="K237" i="58" a="1"/>
  <c r="K237" i="58" s="1"/>
  <c r="K238" i="58" a="1"/>
  <c r="K238" i="58" s="1"/>
  <c r="K240" i="58" a="1"/>
  <c r="K240" i="58" s="1"/>
  <c r="K241" i="58" a="1"/>
  <c r="K241" i="58" s="1"/>
  <c r="K242" i="58" a="1"/>
  <c r="K242" i="58" s="1"/>
  <c r="K243" i="58" a="1"/>
  <c r="K243" i="58" s="1"/>
  <c r="K244" i="58" a="1"/>
  <c r="K244" i="58" s="1"/>
  <c r="K245" i="58" a="1"/>
  <c r="K245" i="58" s="1"/>
  <c r="K249" i="58" a="1"/>
  <c r="K249" i="58" s="1"/>
  <c r="K250" i="58" a="1"/>
  <c r="K250" i="58" s="1"/>
  <c r="K251" i="58" a="1"/>
  <c r="K251" i="58" s="1"/>
  <c r="K252" i="58" a="1"/>
  <c r="K252" i="58" s="1"/>
  <c r="K253" i="58" a="1"/>
  <c r="K253" i="58" s="1"/>
  <c r="K254" i="58" a="1"/>
  <c r="K254" i="58" s="1"/>
  <c r="K256" i="58" a="1"/>
  <c r="K256" i="58" s="1"/>
  <c r="K257" i="58" a="1"/>
  <c r="K257" i="58" s="1"/>
  <c r="K258" i="58" a="1"/>
  <c r="K258" i="58" s="1"/>
  <c r="K259" i="58" a="1"/>
  <c r="K259" i="58" s="1"/>
  <c r="K261" i="58" a="1"/>
  <c r="K261" i="58" s="1"/>
  <c r="K265" i="58" a="1"/>
  <c r="K265" i="58" s="1"/>
  <c r="K266" i="58" a="1"/>
  <c r="K266" i="58" s="1"/>
  <c r="K267" i="58" a="1"/>
  <c r="K267" i="58" s="1"/>
  <c r="K268" i="58" a="1"/>
  <c r="K268" i="58" s="1"/>
  <c r="K269" i="58" a="1"/>
  <c r="K269" i="58" s="1"/>
  <c r="K270" i="58" a="1"/>
  <c r="K270" i="58" s="1"/>
  <c r="K272" i="58" a="1"/>
  <c r="K272" i="58" s="1"/>
  <c r="K273" i="58" a="1"/>
  <c r="K273" i="58" s="1"/>
  <c r="K274" i="58" a="1"/>
  <c r="K274" i="58" s="1"/>
  <c r="K275" i="58" a="1"/>
  <c r="K275" i="58" s="1"/>
  <c r="K277" i="58" a="1"/>
  <c r="K277" i="58" s="1"/>
  <c r="K278" i="58" a="1"/>
  <c r="K278" i="58" s="1"/>
  <c r="K281" i="58" a="1"/>
  <c r="K281" i="58" s="1"/>
  <c r="K282" i="58" a="1"/>
  <c r="K282" i="58" s="1"/>
  <c r="K283" i="58" a="1"/>
  <c r="K283" i="58" s="1"/>
  <c r="K284" i="58" a="1"/>
  <c r="K284" i="58" s="1"/>
  <c r="K285" i="58" a="1"/>
  <c r="K285" i="58" s="1"/>
  <c r="K286" i="58" a="1"/>
  <c r="K286" i="58" s="1"/>
  <c r="K288" i="58" a="1"/>
  <c r="K288" i="58" s="1"/>
  <c r="K289" i="58" a="1"/>
  <c r="K289" i="58" s="1"/>
  <c r="K290" i="58" a="1"/>
  <c r="K290" i="58" s="1"/>
  <c r="K291" i="58" a="1"/>
  <c r="K291" i="58" s="1"/>
  <c r="K293" i="58" a="1"/>
  <c r="K293" i="58" s="1"/>
  <c r="K294" i="58" a="1"/>
  <c r="K294" i="58" s="1"/>
  <c r="K297" i="58" a="1"/>
  <c r="K297" i="58" s="1"/>
  <c r="K298" i="58" a="1"/>
  <c r="K298" i="58" s="1"/>
  <c r="K299" i="58" a="1"/>
  <c r="K299" i="58" s="1"/>
  <c r="K300" i="58" a="1"/>
  <c r="K300" i="58" s="1"/>
  <c r="K301" i="58" a="1"/>
  <c r="K301" i="58" s="1"/>
  <c r="K302" i="58" a="1"/>
  <c r="K302" i="58" s="1"/>
  <c r="K304" i="58" a="1"/>
  <c r="K304" i="58" s="1"/>
  <c r="K305" i="58" a="1"/>
  <c r="K305" i="58" s="1"/>
  <c r="K306" i="58" a="1"/>
  <c r="K306" i="58" s="1"/>
  <c r="K307" i="58" a="1"/>
  <c r="K307" i="58" s="1"/>
  <c r="K309" i="58" a="1"/>
  <c r="K309" i="58" s="1"/>
  <c r="K310" i="58" a="1"/>
  <c r="K310" i="58" s="1"/>
  <c r="K311" i="58" a="1"/>
  <c r="K311" i="58" s="1"/>
  <c r="K312" i="58" a="1"/>
  <c r="K312" i="58" s="1"/>
  <c r="K313" i="58" a="1"/>
  <c r="K313" i="58" s="1"/>
  <c r="K314" i="58" a="1"/>
  <c r="K314" i="58" s="1"/>
  <c r="K315" i="58" a="1"/>
  <c r="K315" i="58" s="1"/>
  <c r="K316" i="58" a="1"/>
  <c r="K316" i="58" s="1"/>
  <c r="K317" i="58" a="1"/>
  <c r="K317" i="58" s="1"/>
  <c r="K318" i="58" a="1"/>
  <c r="K318" i="58" s="1"/>
  <c r="K320" i="58" a="1"/>
  <c r="K320" i="58" s="1"/>
  <c r="K321" i="58" a="1"/>
  <c r="K321" i="58" s="1"/>
  <c r="K322" i="58" a="1"/>
  <c r="K322" i="58" s="1"/>
  <c r="K323" i="58" a="1"/>
  <c r="K323" i="58" s="1"/>
  <c r="K325" i="58" a="1"/>
  <c r="K325" i="58" s="1"/>
  <c r="K326" i="58" a="1"/>
  <c r="K326" i="58" s="1"/>
  <c r="K327" i="58" a="1"/>
  <c r="K327" i="58" s="1"/>
  <c r="K329" i="58" a="1"/>
  <c r="K329" i="58" s="1"/>
  <c r="K330" i="58" a="1"/>
  <c r="K330" i="58" s="1"/>
  <c r="K331" i="58" a="1"/>
  <c r="K331" i="58" s="1"/>
  <c r="K332" i="58" a="1"/>
  <c r="K332" i="58" s="1"/>
  <c r="K333" i="58" a="1"/>
  <c r="K333" i="58" s="1"/>
  <c r="K334" i="58" a="1"/>
  <c r="K334" i="58" s="1"/>
  <c r="K336" i="58" a="1"/>
  <c r="K336" i="58" s="1"/>
  <c r="K337" i="58" a="1"/>
  <c r="K337" i="58" s="1"/>
  <c r="K338" i="58" a="1"/>
  <c r="K338" i="58" s="1"/>
  <c r="K339" i="58" a="1"/>
  <c r="K339" i="58" s="1"/>
  <c r="K341" i="58" a="1"/>
  <c r="K341" i="58" s="1"/>
  <c r="K342" i="58" a="1"/>
  <c r="K342" i="58" s="1"/>
  <c r="K343" i="58" a="1"/>
  <c r="K343" i="58" s="1"/>
  <c r="K345" i="58" a="1"/>
  <c r="K345" i="58" s="1"/>
  <c r="K346" i="58" a="1"/>
  <c r="K346" i="58" s="1"/>
  <c r="K347" i="58" a="1"/>
  <c r="K347" i="58" s="1"/>
  <c r="K348" i="58" a="1"/>
  <c r="K348" i="58" s="1"/>
  <c r="K349" i="58" a="1"/>
  <c r="K349" i="58" s="1"/>
  <c r="K350" i="58" a="1"/>
  <c r="K350" i="58" s="1"/>
  <c r="K352" i="58" a="1"/>
  <c r="K352" i="58" s="1"/>
  <c r="K353" i="58" a="1"/>
  <c r="K353" i="58" s="1"/>
  <c r="K354" i="58" a="1"/>
  <c r="K354" i="58" s="1"/>
  <c r="K355" i="58" a="1"/>
  <c r="K355" i="58" s="1"/>
  <c r="K358" i="58" a="1"/>
  <c r="K358" i="58" s="1"/>
  <c r="K359" i="58" a="1"/>
  <c r="K359" i="58" s="1"/>
  <c r="K361" i="58" a="1"/>
  <c r="K361" i="58" s="1"/>
  <c r="K362" i="58" a="1"/>
  <c r="K362" i="58" s="1"/>
  <c r="K363" i="58" a="1"/>
  <c r="K363" i="58" s="1"/>
  <c r="K364" i="58" a="1"/>
  <c r="K364" i="58" s="1"/>
  <c r="K365" i="58" a="1"/>
  <c r="K365" i="58" s="1"/>
  <c r="K366" i="58" a="1"/>
  <c r="K366" i="58" s="1"/>
  <c r="K368" i="58" a="1"/>
  <c r="K368" i="58" s="1"/>
  <c r="K369" i="58" a="1"/>
  <c r="K369" i="58" s="1"/>
  <c r="K370" i="58" a="1"/>
  <c r="K370" i="58" s="1"/>
  <c r="K371" i="58" a="1"/>
  <c r="K371" i="58" s="1"/>
  <c r="K372" i="58" a="1"/>
  <c r="K372" i="58" s="1"/>
  <c r="K374" i="58" a="1"/>
  <c r="K374" i="58" s="1"/>
  <c r="K375" i="58" a="1"/>
  <c r="K375" i="58" s="1"/>
  <c r="K377" i="58" a="1"/>
  <c r="K377" i="58" s="1"/>
  <c r="K378" i="58" a="1"/>
  <c r="K378" i="58" s="1"/>
  <c r="K379" i="58" a="1"/>
  <c r="K379" i="58" s="1"/>
  <c r="K380" i="58" a="1"/>
  <c r="K380" i="58" s="1"/>
  <c r="K381" i="58" a="1"/>
  <c r="K381" i="58" s="1"/>
  <c r="K382" i="58" a="1"/>
  <c r="K382" i="58" s="1"/>
  <c r="K384" i="58" a="1"/>
  <c r="K384" i="58" s="1"/>
  <c r="K385" i="58" a="1"/>
  <c r="K385" i="58" s="1"/>
  <c r="K386" i="58" a="1"/>
  <c r="K386" i="58" s="1"/>
  <c r="K387" i="58" a="1"/>
  <c r="K387" i="58" s="1"/>
  <c r="K389" i="58" a="1"/>
  <c r="K389" i="58" s="1"/>
  <c r="K390" i="58" a="1"/>
  <c r="K390" i="58" s="1"/>
  <c r="K391" i="58" a="1"/>
  <c r="K391" i="58" s="1"/>
  <c r="K393" i="58" a="1"/>
  <c r="K393" i="58" s="1"/>
  <c r="K394" i="58" a="1"/>
  <c r="K394" i="58" s="1"/>
  <c r="K395" i="58" a="1"/>
  <c r="K395" i="58" s="1"/>
  <c r="K396" i="58" a="1"/>
  <c r="K396" i="58" s="1"/>
  <c r="K397" i="58" a="1"/>
  <c r="K397" i="58" s="1"/>
  <c r="K398" i="58" a="1"/>
  <c r="K398" i="58" s="1"/>
  <c r="K400" i="58" a="1"/>
  <c r="K400" i="58" s="1"/>
  <c r="K401" i="58" a="1"/>
  <c r="K401" i="58" s="1"/>
  <c r="K402" i="58" a="1"/>
  <c r="K402" i="58" s="1"/>
  <c r="K403" i="58" a="1"/>
  <c r="K403" i="58" s="1"/>
  <c r="K405" i="58" a="1"/>
  <c r="K405" i="58" s="1"/>
  <c r="K406" i="58" a="1"/>
  <c r="K406" i="58" s="1"/>
  <c r="K407" i="58" a="1"/>
  <c r="K407" i="58" s="1"/>
  <c r="K408" i="58" a="1"/>
  <c r="K408" i="58" s="1"/>
  <c r="K409" i="58" a="1"/>
  <c r="K409" i="58" s="1"/>
  <c r="K410" i="58" a="1"/>
  <c r="K410" i="58" s="1"/>
  <c r="K411" i="58" a="1"/>
  <c r="K411" i="58" s="1"/>
  <c r="K412" i="58" a="1"/>
  <c r="K412" i="58" s="1"/>
  <c r="K413" i="58" a="1"/>
  <c r="K413" i="58" s="1"/>
  <c r="K414" i="58" a="1"/>
  <c r="K414" i="58" s="1"/>
  <c r="K416" i="58" a="1"/>
  <c r="K416" i="58" s="1"/>
  <c r="K417" i="58" a="1"/>
  <c r="K417" i="58" s="1"/>
  <c r="K418" i="58" a="1"/>
  <c r="K418" i="58" s="1"/>
  <c r="K419" i="58" a="1"/>
  <c r="K419" i="58" s="1"/>
  <c r="K422" i="58" a="1"/>
  <c r="K422" i="58" s="1"/>
  <c r="K423" i="58" a="1"/>
  <c r="K423" i="58" s="1"/>
  <c r="K425" i="58" a="1"/>
  <c r="K425" i="58" s="1"/>
  <c r="K426" i="58" a="1"/>
  <c r="K426" i="58" s="1"/>
  <c r="K427" i="58" a="1"/>
  <c r="K427" i="58" s="1"/>
  <c r="K428" i="58" a="1"/>
  <c r="K428" i="58" s="1"/>
  <c r="K429" i="58" a="1"/>
  <c r="K429" i="58" s="1"/>
  <c r="K430" i="58" a="1"/>
  <c r="K430" i="58" s="1"/>
  <c r="K432" i="58" a="1"/>
  <c r="K432" i="58" s="1"/>
  <c r="K433" i="58" a="1"/>
  <c r="K433" i="58" s="1"/>
  <c r="K434" i="58" a="1"/>
  <c r="K434" i="58" s="1"/>
  <c r="K435" i="58" a="1"/>
  <c r="K435" i="58" s="1"/>
  <c r="K437" i="58" a="1"/>
  <c r="K437" i="58" s="1"/>
  <c r="K438" i="58" a="1"/>
  <c r="K438" i="58" s="1"/>
  <c r="K439" i="58" a="1"/>
  <c r="K439" i="58" s="1"/>
  <c r="K440" i="58" a="1"/>
  <c r="K440" i="58" s="1"/>
  <c r="K441" i="58" a="1"/>
  <c r="K441" i="58" s="1"/>
  <c r="K442" i="58" a="1"/>
  <c r="K442" i="58" s="1"/>
  <c r="K443" i="58" a="1"/>
  <c r="K443" i="58" s="1"/>
  <c r="K444" i="58" a="1"/>
  <c r="K444" i="58" s="1"/>
  <c r="K445" i="58" a="1"/>
  <c r="K445" i="58" s="1"/>
  <c r="K446" i="58" a="1"/>
  <c r="K446" i="58" s="1"/>
  <c r="K448" i="58" a="1"/>
  <c r="K448" i="58" s="1"/>
  <c r="K449" i="58" a="1"/>
  <c r="K449" i="58" s="1"/>
  <c r="K450" i="58" a="1"/>
  <c r="K450" i="58" s="1"/>
  <c r="K451" i="58" a="1"/>
  <c r="K451" i="58" s="1"/>
  <c r="K454" i="58" a="1"/>
  <c r="K454" i="58" s="1"/>
  <c r="K455" i="58" a="1"/>
  <c r="K455" i="58" s="1"/>
  <c r="K457" i="58" a="1"/>
  <c r="K457" i="58" s="1"/>
  <c r="K458" i="58" a="1"/>
  <c r="K458" i="58" s="1"/>
  <c r="K459" i="58" a="1"/>
  <c r="K459" i="58" s="1"/>
  <c r="K460" i="58" a="1"/>
  <c r="K460" i="58" s="1"/>
  <c r="K461" i="58" a="1"/>
  <c r="K461" i="58" s="1"/>
  <c r="K462" i="58" a="1"/>
  <c r="K462" i="58" s="1"/>
  <c r="K464" i="58" a="1"/>
  <c r="K464" i="58" s="1"/>
  <c r="K465" i="58" a="1"/>
  <c r="K465" i="58" s="1"/>
  <c r="K466" i="58" a="1"/>
  <c r="K466" i="58" s="1"/>
  <c r="K467" i="58" a="1"/>
  <c r="K467" i="58" s="1"/>
  <c r="K470" i="58" a="1"/>
  <c r="K470" i="58" s="1"/>
  <c r="K471" i="58" a="1"/>
  <c r="K471" i="58" s="1"/>
  <c r="K473" i="58" a="1"/>
  <c r="K473" i="58" s="1"/>
  <c r="K474" i="58" a="1"/>
  <c r="K474" i="58" s="1"/>
  <c r="K475" i="58" a="1"/>
  <c r="K475" i="58" s="1"/>
  <c r="K476" i="58" a="1"/>
  <c r="K476" i="58" s="1"/>
  <c r="K477" i="58" a="1"/>
  <c r="K477" i="58" s="1"/>
  <c r="K478" i="58" a="1"/>
  <c r="K478" i="58" s="1"/>
  <c r="K480" i="58" a="1"/>
  <c r="K480" i="58" s="1"/>
  <c r="K481" i="58" a="1"/>
  <c r="K481" i="58" s="1"/>
  <c r="K482" i="58" a="1"/>
  <c r="K482" i="58" s="1"/>
  <c r="K483" i="58" a="1"/>
  <c r="K483" i="58" s="1"/>
  <c r="K485" i="58" a="1"/>
  <c r="K485" i="58" s="1"/>
  <c r="K486" i="58" a="1"/>
  <c r="K486" i="58" s="1"/>
  <c r="K487" i="58" a="1"/>
  <c r="K487" i="58" s="1"/>
  <c r="K488" i="58" a="1"/>
  <c r="K488" i="58" s="1"/>
  <c r="K489" i="58" a="1"/>
  <c r="K489" i="58" s="1"/>
  <c r="K490" i="58" a="1"/>
  <c r="K490" i="58" s="1"/>
  <c r="K491" i="58" a="1"/>
  <c r="K491" i="58" s="1"/>
  <c r="K492" i="58" a="1"/>
  <c r="K492" i="58" s="1"/>
  <c r="K493" i="58" a="1"/>
  <c r="K493" i="58" s="1"/>
  <c r="K494" i="58" a="1"/>
  <c r="K494" i="58" s="1"/>
  <c r="K495" i="58" a="1"/>
  <c r="K495" i="58" s="1"/>
  <c r="K496" i="58" a="1"/>
  <c r="K496" i="58" s="1"/>
  <c r="K497" i="58" a="1"/>
  <c r="K497" i="58" s="1"/>
  <c r="K498" i="58" a="1"/>
  <c r="K498" i="58" s="1"/>
  <c r="K499" i="58" a="1"/>
  <c r="K499" i="58" s="1"/>
  <c r="K500" i="58" a="1"/>
  <c r="K500" i="58" s="1"/>
  <c r="L5" i="58" a="1"/>
  <c r="L5" i="58" s="1"/>
  <c r="L6" i="58" a="1"/>
  <c r="L6" i="58" s="1"/>
  <c r="L7" i="58" a="1"/>
  <c r="L7" i="58" s="1"/>
  <c r="L8" i="58" a="1"/>
  <c r="L8" i="58" s="1"/>
  <c r="L9" i="58" a="1"/>
  <c r="L9" i="58" s="1"/>
  <c r="L10" i="58" a="1"/>
  <c r="L10" i="58" s="1"/>
  <c r="L11" i="58" a="1"/>
  <c r="L11" i="58" s="1"/>
  <c r="L112" i="58" a="1"/>
  <c r="L112" i="58" s="1"/>
  <c r="L113" i="58" a="1"/>
  <c r="L113" i="58" s="1"/>
  <c r="L114" i="58" a="1"/>
  <c r="L114" i="58" s="1"/>
  <c r="L115" i="58" a="1"/>
  <c r="L115" i="58" s="1"/>
  <c r="L117" i="58" a="1"/>
  <c r="L117" i="58" s="1"/>
  <c r="L118" i="58" a="1"/>
  <c r="L118" i="58" s="1"/>
  <c r="L121" i="58" a="1"/>
  <c r="L121" i="58" s="1"/>
  <c r="L122" i="58" a="1"/>
  <c r="L122" i="58" s="1"/>
  <c r="L123" i="58" a="1"/>
  <c r="L123" i="58" s="1"/>
  <c r="L124" i="58" a="1"/>
  <c r="L124" i="58" s="1"/>
  <c r="L125" i="58" a="1"/>
  <c r="L125" i="58" s="1"/>
  <c r="L126" i="58" a="1"/>
  <c r="L126" i="58" s="1"/>
  <c r="L128" i="58" a="1"/>
  <c r="L128" i="58" s="1"/>
  <c r="L129" i="58" a="1"/>
  <c r="L129" i="58" s="1"/>
  <c r="L130" i="58" a="1"/>
  <c r="L130" i="58" s="1"/>
  <c r="L131" i="58" a="1"/>
  <c r="L131" i="58" s="1"/>
  <c r="L133" i="58" a="1"/>
  <c r="L133" i="58" s="1"/>
  <c r="L134" i="58" a="1"/>
  <c r="L134" i="58" s="1"/>
  <c r="L137" i="58" a="1"/>
  <c r="L137" i="58" s="1"/>
  <c r="L138" i="58" a="1"/>
  <c r="L138" i="58" s="1"/>
  <c r="L139" i="58" a="1"/>
  <c r="L139" i="58" s="1"/>
  <c r="L140" i="58" a="1"/>
  <c r="L140" i="58" s="1"/>
  <c r="L141" i="58" a="1"/>
  <c r="L141" i="58" s="1"/>
  <c r="L142" i="58" a="1"/>
  <c r="L142" i="58" s="1"/>
  <c r="L144" i="58" a="1"/>
  <c r="L144" i="58" s="1"/>
  <c r="L145" i="58" a="1"/>
  <c r="L145" i="58" s="1"/>
  <c r="L146" i="58" a="1"/>
  <c r="L146" i="58" s="1"/>
  <c r="L147" i="58" a="1"/>
  <c r="L147" i="58" s="1"/>
  <c r="L149" i="58" a="1"/>
  <c r="L149" i="58" s="1"/>
  <c r="L150" i="58" a="1"/>
  <c r="L150" i="58" s="1"/>
  <c r="L153" i="58" a="1"/>
  <c r="L153" i="58" s="1"/>
  <c r="L154" i="58" a="1"/>
  <c r="L154" i="58" s="1"/>
  <c r="L155" i="58" a="1"/>
  <c r="L155" i="58" s="1"/>
  <c r="L156" i="58" a="1"/>
  <c r="L156" i="58" s="1"/>
  <c r="L157" i="58" a="1"/>
  <c r="L157" i="58" s="1"/>
  <c r="L158" i="58" a="1"/>
  <c r="L158" i="58" s="1"/>
  <c r="L160" i="58" a="1"/>
  <c r="L160" i="58" s="1"/>
  <c r="L161" i="58" a="1"/>
  <c r="L161" i="58" s="1"/>
  <c r="L162" i="58" a="1"/>
  <c r="L162" i="58" s="1"/>
  <c r="L163" i="58" a="1"/>
  <c r="L163" i="58" s="1"/>
  <c r="L165" i="58" a="1"/>
  <c r="L165" i="58" s="1"/>
  <c r="L166" i="58" a="1"/>
  <c r="L166" i="58" s="1"/>
  <c r="L169" i="58" a="1"/>
  <c r="L169" i="58" s="1"/>
  <c r="L170" i="58" a="1"/>
  <c r="L170" i="58" s="1"/>
  <c r="L171" i="58" a="1"/>
  <c r="L171" i="58" s="1"/>
  <c r="L172" i="58" a="1"/>
  <c r="L172" i="58" s="1"/>
  <c r="L173" i="58" a="1"/>
  <c r="L173" i="58" s="1"/>
  <c r="L174" i="58" a="1"/>
  <c r="L174" i="58" s="1"/>
  <c r="L175" i="58" a="1"/>
  <c r="L175" i="58" s="1"/>
  <c r="L176" i="58" a="1"/>
  <c r="L176" i="58" s="1"/>
  <c r="L177" i="58" a="1"/>
  <c r="L177" i="58" s="1"/>
  <c r="L178" i="58" a="1"/>
  <c r="L178" i="58" s="1"/>
  <c r="L179" i="58" a="1"/>
  <c r="L179" i="58" s="1"/>
  <c r="L181" i="58" a="1"/>
  <c r="L181" i="58" s="1"/>
  <c r="L182" i="58" a="1"/>
  <c r="L182" i="58" s="1"/>
  <c r="L185" i="58" a="1"/>
  <c r="L185" i="58" s="1"/>
  <c r="L186" i="58" a="1"/>
  <c r="L186" i="58" s="1"/>
  <c r="L187" i="58" a="1"/>
  <c r="L187" i="58" s="1"/>
  <c r="L188" i="58" a="1"/>
  <c r="L188" i="58" s="1"/>
  <c r="L189" i="58" a="1"/>
  <c r="L189" i="58" s="1"/>
  <c r="L190" i="58" a="1"/>
  <c r="L190" i="58" s="1"/>
  <c r="L191" i="58" a="1"/>
  <c r="L191" i="58" s="1"/>
  <c r="L192" i="58" a="1"/>
  <c r="L192" i="58" s="1"/>
  <c r="L193" i="58" a="1"/>
  <c r="L193" i="58" s="1"/>
  <c r="L194" i="58" a="1"/>
  <c r="L194" i="58" s="1"/>
  <c r="L195" i="58" a="1"/>
  <c r="L195" i="58" s="1"/>
  <c r="L198" i="58" a="1"/>
  <c r="L198" i="58" s="1"/>
  <c r="L201" i="58" a="1"/>
  <c r="L201" i="58" s="1"/>
  <c r="L202" i="58" a="1"/>
  <c r="L202" i="58" s="1"/>
  <c r="L203" i="58" a="1"/>
  <c r="L203" i="58" s="1"/>
  <c r="L204" i="58" a="1"/>
  <c r="L204" i="58" s="1"/>
  <c r="L205" i="58" a="1"/>
  <c r="L205" i="58" s="1"/>
  <c r="L206" i="58" a="1"/>
  <c r="L206" i="58" s="1"/>
  <c r="L207" i="58" a="1"/>
  <c r="L207" i="58" s="1"/>
  <c r="L208" i="58" a="1"/>
  <c r="L208" i="58" s="1"/>
  <c r="L209" i="58" a="1"/>
  <c r="L209" i="58" s="1"/>
  <c r="L210" i="58" a="1"/>
  <c r="L210" i="58" s="1"/>
  <c r="L211" i="58" a="1"/>
  <c r="L211" i="58" s="1"/>
  <c r="L214" i="58" a="1"/>
  <c r="L214" i="58" s="1"/>
  <c r="L217" i="58" a="1"/>
  <c r="L217" i="58" s="1"/>
  <c r="L218" i="58" a="1"/>
  <c r="L218" i="58" s="1"/>
  <c r="L219" i="58" a="1"/>
  <c r="L219" i="58" s="1"/>
  <c r="L220" i="58" a="1"/>
  <c r="L220" i="58" s="1"/>
  <c r="L221" i="58" a="1"/>
  <c r="L221" i="58" s="1"/>
  <c r="L222" i="58" a="1"/>
  <c r="L222" i="58" s="1"/>
  <c r="L223" i="58" a="1"/>
  <c r="L223" i="58" s="1"/>
  <c r="L224" i="58" a="1"/>
  <c r="L224" i="58" s="1"/>
  <c r="L225" i="58" a="1"/>
  <c r="L225" i="58" s="1"/>
  <c r="L226" i="58" a="1"/>
  <c r="L226" i="58" s="1"/>
  <c r="L227" i="58" a="1"/>
  <c r="L227" i="58" s="1"/>
  <c r="L230" i="58" a="1"/>
  <c r="L230" i="58" s="1"/>
  <c r="L233" i="58" a="1"/>
  <c r="L233" i="58" s="1"/>
  <c r="L234" i="58" a="1"/>
  <c r="L234" i="58" s="1"/>
  <c r="L235" i="58" a="1"/>
  <c r="L235" i="58" s="1"/>
  <c r="L236" i="58" a="1"/>
  <c r="L236" i="58" s="1"/>
  <c r="L237" i="58" a="1"/>
  <c r="L237" i="58" s="1"/>
  <c r="L238" i="58" a="1"/>
  <c r="L238" i="58" s="1"/>
  <c r="L240" i="58" a="1"/>
  <c r="L240" i="58" s="1"/>
  <c r="L241" i="58" a="1"/>
  <c r="L241" i="58" s="1"/>
  <c r="L242" i="58" a="1"/>
  <c r="L242" i="58" s="1"/>
  <c r="L243" i="58" a="1"/>
  <c r="L243" i="58" s="1"/>
  <c r="L249" i="58" a="1"/>
  <c r="L249" i="58" s="1"/>
  <c r="L250" i="58" a="1"/>
  <c r="L250" i="58" s="1"/>
  <c r="L251" i="58" a="1"/>
  <c r="L251" i="58" s="1"/>
  <c r="L252" i="58" a="1"/>
  <c r="L252" i="58" s="1"/>
  <c r="L253" i="58" a="1"/>
  <c r="L253" i="58" s="1"/>
  <c r="L254" i="58" a="1"/>
  <c r="L254" i="58" s="1"/>
  <c r="L256" i="58" a="1"/>
  <c r="L256" i="58" s="1"/>
  <c r="L257" i="58" a="1"/>
  <c r="L257" i="58" s="1"/>
  <c r="L258" i="58" a="1"/>
  <c r="L258" i="58" s="1"/>
  <c r="L259" i="58" a="1"/>
  <c r="L259" i="58" s="1"/>
  <c r="L261" i="58" a="1"/>
  <c r="L261" i="58" s="1"/>
  <c r="L265" i="58" a="1"/>
  <c r="L265" i="58" s="1"/>
  <c r="L266" i="58" a="1"/>
  <c r="L266" i="58" s="1"/>
  <c r="L267" i="58" a="1"/>
  <c r="L267" i="58" s="1"/>
  <c r="L268" i="58" a="1"/>
  <c r="L268" i="58" s="1"/>
  <c r="L269" i="58" a="1"/>
  <c r="L269" i="58" s="1"/>
  <c r="L270" i="58" a="1"/>
  <c r="L270" i="58" s="1"/>
  <c r="L272" i="58" a="1"/>
  <c r="L272" i="58" s="1"/>
  <c r="L273" i="58" a="1"/>
  <c r="L273" i="58" s="1"/>
  <c r="L274" i="58" a="1"/>
  <c r="L274" i="58" s="1"/>
  <c r="L275" i="58" a="1"/>
  <c r="L275" i="58" s="1"/>
  <c r="L277" i="58" a="1"/>
  <c r="L277" i="58" s="1"/>
  <c r="L281" i="58" a="1"/>
  <c r="L281" i="58" s="1"/>
  <c r="L282" i="58" a="1"/>
  <c r="L282" i="58" s="1"/>
  <c r="L283" i="58" a="1"/>
  <c r="L283" i="58" s="1"/>
  <c r="L284" i="58" a="1"/>
  <c r="L284" i="58" s="1"/>
  <c r="L285" i="58" a="1"/>
  <c r="L285" i="58" s="1"/>
  <c r="L286" i="58" a="1"/>
  <c r="L286" i="58" s="1"/>
  <c r="L288" i="58" a="1"/>
  <c r="L288" i="58" s="1"/>
  <c r="L289" i="58" a="1"/>
  <c r="L289" i="58" s="1"/>
  <c r="L290" i="58" a="1"/>
  <c r="L290" i="58" s="1"/>
  <c r="L291" i="58" a="1"/>
  <c r="L291" i="58" s="1"/>
  <c r="L293" i="58" a="1"/>
  <c r="L293" i="58" s="1"/>
  <c r="L294" i="58" a="1"/>
  <c r="L294" i="58" s="1"/>
  <c r="L297" i="58" a="1"/>
  <c r="L297" i="58" s="1"/>
  <c r="L298" i="58" a="1"/>
  <c r="L298" i="58" s="1"/>
  <c r="L299" i="58" a="1"/>
  <c r="L299" i="58" s="1"/>
  <c r="L300" i="58" a="1"/>
  <c r="L300" i="58" s="1"/>
  <c r="L301" i="58" a="1"/>
  <c r="L301" i="58" s="1"/>
  <c r="L302" i="58" a="1"/>
  <c r="L302" i="58" s="1"/>
  <c r="L304" i="58" a="1"/>
  <c r="L304" i="58" s="1"/>
  <c r="L305" i="58" a="1"/>
  <c r="L305" i="58" s="1"/>
  <c r="L306" i="58" a="1"/>
  <c r="L306" i="58" s="1"/>
  <c r="L307" i="58" a="1"/>
  <c r="L307" i="58" s="1"/>
  <c r="L309" i="58" a="1"/>
  <c r="L309" i="58" s="1"/>
  <c r="L310" i="58" a="1"/>
  <c r="L310" i="58" s="1"/>
  <c r="L311" i="58" a="1"/>
  <c r="L311" i="58" s="1"/>
  <c r="L313" i="58" a="1"/>
  <c r="L313" i="58" s="1"/>
  <c r="L314" i="58" a="1"/>
  <c r="L314" i="58" s="1"/>
  <c r="L315" i="58" a="1"/>
  <c r="L315" i="58" s="1"/>
  <c r="L316" i="58" a="1"/>
  <c r="L316" i="58" s="1"/>
  <c r="L317" i="58" a="1"/>
  <c r="L317" i="58" s="1"/>
  <c r="L318" i="58" a="1"/>
  <c r="L318" i="58" s="1"/>
  <c r="L320" i="58" a="1"/>
  <c r="L320" i="58" s="1"/>
  <c r="L321" i="58" a="1"/>
  <c r="L321" i="58" s="1"/>
  <c r="L322" i="58" a="1"/>
  <c r="L322" i="58" s="1"/>
  <c r="L323" i="58" a="1"/>
  <c r="L323" i="58" s="1"/>
  <c r="L325" i="58" a="1"/>
  <c r="L325" i="58" s="1"/>
  <c r="L326" i="58" a="1"/>
  <c r="L326" i="58" s="1"/>
  <c r="L327" i="58" a="1"/>
  <c r="L327" i="58" s="1"/>
  <c r="L328" i="58" a="1"/>
  <c r="L328" i="58" s="1"/>
  <c r="L329" i="58" a="1"/>
  <c r="L329" i="58" s="1"/>
  <c r="L330" i="58" a="1"/>
  <c r="L330" i="58" s="1"/>
  <c r="L331" i="58" a="1"/>
  <c r="L331" i="58" s="1"/>
  <c r="L332" i="58" a="1"/>
  <c r="L332" i="58" s="1"/>
  <c r="L333" i="58" a="1"/>
  <c r="L333" i="58" s="1"/>
  <c r="L334" i="58" a="1"/>
  <c r="L334" i="58" s="1"/>
  <c r="L335" i="58" a="1"/>
  <c r="L335" i="58" s="1"/>
  <c r="L336" i="58" a="1"/>
  <c r="L336" i="58" s="1"/>
  <c r="L337" i="58" a="1"/>
  <c r="L337" i="58" s="1"/>
  <c r="L338" i="58" a="1"/>
  <c r="L338" i="58" s="1"/>
  <c r="L339" i="58" a="1"/>
  <c r="L339" i="58" s="1"/>
  <c r="L342" i="58" a="1"/>
  <c r="L342" i="58" s="1"/>
  <c r="L345" i="58" a="1"/>
  <c r="L345" i="58" s="1"/>
  <c r="L346" i="58" a="1"/>
  <c r="L346" i="58" s="1"/>
  <c r="L347" i="58" a="1"/>
  <c r="L347" i="58" s="1"/>
  <c r="L348" i="58" a="1"/>
  <c r="L348" i="58" s="1"/>
  <c r="L349" i="58" a="1"/>
  <c r="L349" i="58" s="1"/>
  <c r="L350" i="58" a="1"/>
  <c r="L350" i="58" s="1"/>
  <c r="L351" i="58" a="1"/>
  <c r="L351" i="58" s="1"/>
  <c r="L352" i="58" a="1"/>
  <c r="L352" i="58" s="1"/>
  <c r="L353" i="58" a="1"/>
  <c r="L353" i="58" s="1"/>
  <c r="L354" i="58" a="1"/>
  <c r="L354" i="58" s="1"/>
  <c r="L355" i="58" a="1"/>
  <c r="L355" i="58" s="1"/>
  <c r="L358" i="58" a="1"/>
  <c r="L358" i="58" s="1"/>
  <c r="L361" i="58" a="1"/>
  <c r="L361" i="58" s="1"/>
  <c r="L362" i="58" a="1"/>
  <c r="L362" i="58" s="1"/>
  <c r="L363" i="58" a="1"/>
  <c r="L363" i="58" s="1"/>
  <c r="L364" i="58" a="1"/>
  <c r="L364" i="58" s="1"/>
  <c r="L365" i="58" a="1"/>
  <c r="L365" i="58" s="1"/>
  <c r="L366" i="58" a="1"/>
  <c r="L366" i="58" s="1"/>
  <c r="L367" i="58" a="1"/>
  <c r="L367" i="58" s="1"/>
  <c r="L368" i="58" a="1"/>
  <c r="L368" i="58" s="1"/>
  <c r="L369" i="58" a="1"/>
  <c r="L369" i="58" s="1"/>
  <c r="L370" i="58" a="1"/>
  <c r="L370" i="58" s="1"/>
  <c r="L371" i="58" a="1"/>
  <c r="L371" i="58" s="1"/>
  <c r="L374" i="58" a="1"/>
  <c r="L374" i="58" s="1"/>
  <c r="L377" i="58" a="1"/>
  <c r="L377" i="58" s="1"/>
  <c r="L378" i="58" a="1"/>
  <c r="L378" i="58" s="1"/>
  <c r="L379" i="58" a="1"/>
  <c r="L379" i="58" s="1"/>
  <c r="L380" i="58" a="1"/>
  <c r="L380" i="58" s="1"/>
  <c r="L381" i="58" a="1"/>
  <c r="L381" i="58" s="1"/>
  <c r="L382" i="58" a="1"/>
  <c r="L382" i="58" s="1"/>
  <c r="L384" i="58" a="1"/>
  <c r="L384" i="58" s="1"/>
  <c r="L385" i="58" a="1"/>
  <c r="L385" i="58" s="1"/>
  <c r="L386" i="58" a="1"/>
  <c r="L386" i="58" s="1"/>
  <c r="L387" i="58" a="1"/>
  <c r="L387" i="58" s="1"/>
  <c r="L393" i="58" a="1"/>
  <c r="L393" i="58" s="1"/>
  <c r="L394" i="58" a="1"/>
  <c r="L394" i="58" s="1"/>
  <c r="L395" i="58" a="1"/>
  <c r="L395" i="58" s="1"/>
  <c r="L396" i="58" a="1"/>
  <c r="L396" i="58" s="1"/>
  <c r="L397" i="58" a="1"/>
  <c r="L397" i="58" s="1"/>
  <c r="L398" i="58" a="1"/>
  <c r="L398" i="58" s="1"/>
  <c r="L400" i="58" a="1"/>
  <c r="L400" i="58" s="1"/>
  <c r="L401" i="58" a="1"/>
  <c r="L401" i="58" s="1"/>
  <c r="L402" i="58" a="1"/>
  <c r="L402" i="58" s="1"/>
  <c r="L403" i="58" a="1"/>
  <c r="L403" i="58" s="1"/>
  <c r="L409" i="58" a="1"/>
  <c r="L409" i="58" s="1"/>
  <c r="L410" i="58" a="1"/>
  <c r="L410" i="58" s="1"/>
  <c r="L411" i="58" a="1"/>
  <c r="L411" i="58" s="1"/>
  <c r="L412" i="58" a="1"/>
  <c r="L412" i="58" s="1"/>
  <c r="L413" i="58" a="1"/>
  <c r="L413" i="58" s="1"/>
  <c r="L414" i="58" a="1"/>
  <c r="L414" i="58" s="1"/>
  <c r="L416" i="58" a="1"/>
  <c r="L416" i="58" s="1"/>
  <c r="L417" i="58" a="1"/>
  <c r="L417" i="58" s="1"/>
  <c r="L418" i="58" a="1"/>
  <c r="L418" i="58" s="1"/>
  <c r="L419" i="58" a="1"/>
  <c r="L419" i="58" s="1"/>
  <c r="L425" i="58" a="1"/>
  <c r="L425" i="58" s="1"/>
  <c r="L426" i="58" a="1"/>
  <c r="L426" i="58" s="1"/>
  <c r="L427" i="58" a="1"/>
  <c r="L427" i="58" s="1"/>
  <c r="L428" i="58" a="1"/>
  <c r="L428" i="58" s="1"/>
  <c r="L429" i="58" a="1"/>
  <c r="L429" i="58" s="1"/>
  <c r="L430" i="58" a="1"/>
  <c r="L430" i="58" s="1"/>
  <c r="L432" i="58" a="1"/>
  <c r="L432" i="58" s="1"/>
  <c r="L433" i="58" a="1"/>
  <c r="L433" i="58" s="1"/>
  <c r="L434" i="58" a="1"/>
  <c r="L434" i="58" s="1"/>
  <c r="L435" i="58" a="1"/>
  <c r="L435" i="58" s="1"/>
  <c r="L437" i="58" a="1"/>
  <c r="L437" i="58" s="1"/>
  <c r="L438" i="58" a="1"/>
  <c r="L438" i="58" s="1"/>
  <c r="L441" i="58" a="1"/>
  <c r="L441" i="58" s="1"/>
  <c r="L442" i="58" a="1"/>
  <c r="L442" i="58" s="1"/>
  <c r="L443" i="58" a="1"/>
  <c r="L443" i="58" s="1"/>
  <c r="L444" i="58" a="1"/>
  <c r="L444" i="58" s="1"/>
  <c r="L445" i="58" a="1"/>
  <c r="L445" i="58" s="1"/>
  <c r="L446" i="58" a="1"/>
  <c r="L446" i="58" s="1"/>
  <c r="L448" i="58" a="1"/>
  <c r="L448" i="58" s="1"/>
  <c r="L449" i="58" a="1"/>
  <c r="L449" i="58" s="1"/>
  <c r="L450" i="58" a="1"/>
  <c r="L450" i="58" s="1"/>
  <c r="L451" i="58" a="1"/>
  <c r="L451" i="58" s="1"/>
  <c r="L453" i="58" a="1"/>
  <c r="L453" i="58" s="1"/>
  <c r="L454" i="58" a="1"/>
  <c r="L454" i="58" s="1"/>
  <c r="L457" i="58" a="1"/>
  <c r="L457" i="58" s="1"/>
  <c r="L458" i="58" a="1"/>
  <c r="L458" i="58" s="1"/>
  <c r="L459" i="58" a="1"/>
  <c r="L459" i="58" s="1"/>
  <c r="L460" i="58" a="1"/>
  <c r="L460" i="58" s="1"/>
  <c r="L461" i="58" a="1"/>
  <c r="L461" i="58" s="1"/>
  <c r="L462" i="58" a="1"/>
  <c r="L462" i="58" s="1"/>
  <c r="L463" i="58" a="1"/>
  <c r="L463" i="58" s="1"/>
  <c r="L464" i="58" a="1"/>
  <c r="L464" i="58" s="1"/>
  <c r="L465" i="58" a="1"/>
  <c r="L465" i="58" s="1"/>
  <c r="L466" i="58" a="1"/>
  <c r="L466" i="58" s="1"/>
  <c r="L467" i="58" a="1"/>
  <c r="L467" i="58" s="1"/>
  <c r="L469" i="58" a="1"/>
  <c r="L469" i="58" s="1"/>
  <c r="L470" i="58" a="1"/>
  <c r="L470" i="58" s="1"/>
  <c r="L473" i="58" a="1"/>
  <c r="L473" i="58" s="1"/>
  <c r="L474" i="58" a="1"/>
  <c r="L474" i="58" s="1"/>
  <c r="L475" i="58" a="1"/>
  <c r="L475" i="58" s="1"/>
  <c r="L476" i="58" a="1"/>
  <c r="L476" i="58" s="1"/>
  <c r="L477" i="58" a="1"/>
  <c r="L477" i="58" s="1"/>
  <c r="L478" i="58" a="1"/>
  <c r="L478" i="58" s="1"/>
  <c r="L479" i="58" a="1"/>
  <c r="L479" i="58" s="1"/>
  <c r="L480" i="58" a="1"/>
  <c r="L480" i="58" s="1"/>
  <c r="L481" i="58" a="1"/>
  <c r="L481" i="58" s="1"/>
  <c r="L482" i="58" a="1"/>
  <c r="L482" i="58" s="1"/>
  <c r="L483" i="58" a="1"/>
  <c r="L483" i="58" s="1"/>
  <c r="L486" i="58" a="1"/>
  <c r="L486" i="58" s="1"/>
  <c r="L489" i="58" a="1"/>
  <c r="L489" i="58" s="1"/>
  <c r="L490" i="58" a="1"/>
  <c r="L490" i="58" s="1"/>
  <c r="L491" i="58" a="1"/>
  <c r="L491" i="58" s="1"/>
  <c r="L492" i="58" a="1"/>
  <c r="L492" i="58" s="1"/>
  <c r="L494" i="58" a="1"/>
  <c r="L494" i="58" s="1"/>
  <c r="L495" i="58" a="1"/>
  <c r="L495" i="58" s="1"/>
  <c r="L496" i="58" a="1"/>
  <c r="L496" i="58" s="1"/>
  <c r="L497" i="58" a="1"/>
  <c r="L497" i="58" s="1"/>
  <c r="L498" i="58" a="1"/>
  <c r="L498" i="58" s="1"/>
  <c r="L499" i="58" a="1"/>
  <c r="L499" i="58" s="1"/>
  <c r="H125" i="70"/>
  <c r="H124" i="70"/>
  <c r="H123" i="70"/>
  <c r="H122" i="70"/>
  <c r="H121" i="70"/>
  <c r="H120" i="70"/>
  <c r="H119" i="70"/>
  <c r="H118" i="70"/>
  <c r="H117" i="70"/>
  <c r="H116" i="70"/>
  <c r="H115" i="70"/>
  <c r="H114" i="70"/>
  <c r="H113" i="70"/>
  <c r="H112" i="70"/>
  <c r="H111" i="70"/>
  <c r="H83" i="70"/>
  <c r="H71" i="70"/>
  <c r="H30" i="70"/>
  <c r="H29" i="70"/>
  <c r="H21" i="70"/>
  <c r="E2" i="72" a="1"/>
  <c r="E2" i="72" s="1"/>
  <c r="E3" i="72" s="1" a="1"/>
  <c r="E3" i="72" s="1"/>
  <c r="E4" i="72" s="1" a="1"/>
  <c r="E4" i="72" s="1"/>
  <c r="E5" i="72" s="1" a="1"/>
  <c r="E5" i="72" s="1"/>
  <c r="E6" i="72" s="1" a="1"/>
  <c r="E6" i="72" s="1"/>
  <c r="E7" i="72" s="1" a="1"/>
  <c r="E7" i="72" s="1"/>
  <c r="E8" i="72" s="1" a="1"/>
  <c r="E8" i="72" s="1"/>
  <c r="E9" i="72" s="1" a="1"/>
  <c r="E9" i="72" s="1"/>
  <c r="E10" i="72" s="1" a="1"/>
  <c r="E10" i="72" s="1"/>
  <c r="E11" i="72" s="1" a="1"/>
  <c r="E11" i="72" s="1"/>
  <c r="E12" i="72" s="1" a="1"/>
  <c r="E12" i="72" s="1"/>
  <c r="E13" i="72" s="1" a="1"/>
  <c r="E13" i="72" s="1"/>
  <c r="E14" i="72" s="1" a="1"/>
  <c r="E14" i="72" s="1"/>
  <c r="E15" i="72" s="1" a="1"/>
  <c r="E15" i="72" s="1"/>
  <c r="E16" i="72" s="1" a="1"/>
  <c r="E16" i="72" s="1"/>
  <c r="E17" i="72" s="1" a="1"/>
  <c r="E17" i="72" s="1"/>
  <c r="A500" i="52"/>
  <c r="A501" i="52"/>
  <c r="A502" i="52"/>
  <c r="A503" i="52"/>
  <c r="A504" i="52"/>
  <c r="A505" i="52"/>
  <c r="A506" i="52"/>
  <c r="A507" i="52"/>
  <c r="A508" i="52"/>
  <c r="A509" i="52"/>
  <c r="A510" i="52"/>
  <c r="A511" i="52"/>
  <c r="A512" i="52"/>
  <c r="A513" i="52"/>
  <c r="A514" i="52"/>
  <c r="A515" i="52"/>
  <c r="A516" i="52"/>
  <c r="A517" i="52"/>
  <c r="A518" i="52"/>
  <c r="A519" i="52"/>
  <c r="A520" i="52"/>
  <c r="A521" i="52"/>
  <c r="A522" i="52"/>
  <c r="A523" i="52"/>
  <c r="A524" i="52"/>
  <c r="A525" i="52"/>
  <c r="A526" i="52"/>
  <c r="A527" i="52"/>
  <c r="A528" i="52"/>
  <c r="A529" i="52"/>
  <c r="A530" i="52"/>
  <c r="A531" i="52"/>
  <c r="A532" i="52"/>
  <c r="A533" i="52"/>
  <c r="A534" i="52"/>
  <c r="A535" i="52"/>
  <c r="A536" i="52"/>
  <c r="A537" i="52"/>
  <c r="A538" i="52"/>
  <c r="A539" i="52"/>
  <c r="A540" i="52"/>
  <c r="A541" i="52"/>
  <c r="A542" i="52"/>
  <c r="A543" i="52"/>
  <c r="A544" i="52"/>
  <c r="A545" i="52"/>
  <c r="A546" i="52"/>
  <c r="A547" i="52"/>
  <c r="A548" i="52"/>
  <c r="A549" i="52"/>
  <c r="A550" i="52"/>
  <c r="A551" i="52"/>
  <c r="A552" i="52"/>
  <c r="A553" i="52"/>
  <c r="A554" i="52"/>
  <c r="A555" i="52"/>
  <c r="A556" i="52"/>
  <c r="A557" i="52"/>
  <c r="A558" i="52"/>
  <c r="A559" i="52"/>
  <c r="A560" i="52"/>
  <c r="A561" i="52"/>
  <c r="A562" i="52"/>
  <c r="A563" i="52"/>
  <c r="A564" i="52"/>
  <c r="A565" i="52"/>
  <c r="A566" i="52"/>
  <c r="A567" i="52"/>
  <c r="A568" i="52"/>
  <c r="A569" i="52"/>
  <c r="A570" i="52"/>
  <c r="A571" i="52"/>
  <c r="A572" i="52"/>
  <c r="A573" i="52"/>
  <c r="A574" i="52"/>
  <c r="A575" i="52"/>
  <c r="A576" i="52"/>
  <c r="A577" i="52"/>
  <c r="A578" i="52"/>
  <c r="A579" i="52"/>
  <c r="A580" i="52"/>
  <c r="A581" i="52"/>
  <c r="A582" i="52"/>
  <c r="A583" i="52"/>
  <c r="A584" i="52"/>
  <c r="A585" i="52"/>
  <c r="A586" i="52"/>
  <c r="A587" i="52"/>
  <c r="A588" i="52"/>
  <c r="A589" i="52"/>
  <c r="A590" i="52"/>
  <c r="A591" i="52"/>
  <c r="A592" i="52"/>
  <c r="A593" i="52"/>
  <c r="A594" i="52"/>
  <c r="A595" i="52"/>
  <c r="A596" i="52"/>
  <c r="A597" i="52"/>
  <c r="A598" i="52"/>
  <c r="A599" i="52"/>
  <c r="A600" i="52"/>
  <c r="A601" i="52"/>
  <c r="A602" i="52"/>
  <c r="A603" i="52"/>
  <c r="A604" i="52"/>
  <c r="A605" i="52"/>
  <c r="A606" i="52"/>
  <c r="A607" i="52"/>
  <c r="A608" i="52"/>
  <c r="A609" i="52"/>
  <c r="A610" i="52"/>
  <c r="A611" i="52"/>
  <c r="A612" i="52"/>
  <c r="A613" i="52"/>
  <c r="A614" i="52"/>
  <c r="A615" i="52"/>
  <c r="A616" i="52"/>
  <c r="A617" i="52"/>
  <c r="A618" i="52"/>
  <c r="A619" i="52"/>
  <c r="A620" i="52"/>
  <c r="A621" i="52"/>
  <c r="A622" i="52"/>
  <c r="A623" i="52"/>
  <c r="A624" i="52"/>
  <c r="A625" i="52"/>
  <c r="A626" i="52"/>
  <c r="A627" i="52"/>
  <c r="A628" i="52"/>
  <c r="A629" i="52"/>
  <c r="A630" i="52"/>
  <c r="A631" i="52"/>
  <c r="A632" i="52"/>
  <c r="A633" i="52"/>
  <c r="A634" i="52"/>
  <c r="A635" i="52"/>
  <c r="A636" i="52"/>
  <c r="A637" i="52"/>
  <c r="A638" i="52"/>
  <c r="A639" i="52"/>
  <c r="A640" i="52"/>
  <c r="A641" i="52"/>
  <c r="A642" i="52"/>
  <c r="A643" i="52"/>
  <c r="A644" i="52"/>
  <c r="A645" i="52"/>
  <c r="A646" i="52"/>
  <c r="A647" i="52"/>
  <c r="A648" i="52"/>
  <c r="A649" i="52"/>
  <c r="A650" i="52"/>
  <c r="A651" i="52"/>
  <c r="A652" i="52"/>
  <c r="A653" i="52"/>
  <c r="A654" i="52"/>
  <c r="A655" i="52"/>
  <c r="A656" i="52"/>
  <c r="A657" i="52"/>
  <c r="A658" i="52"/>
  <c r="A659" i="52"/>
  <c r="A660" i="52"/>
  <c r="A661" i="52"/>
  <c r="A662" i="52"/>
  <c r="A663" i="52"/>
  <c r="A664" i="52"/>
  <c r="A665" i="52"/>
  <c r="A666" i="52"/>
  <c r="A667" i="52"/>
  <c r="A668" i="52"/>
  <c r="A669" i="52"/>
  <c r="A670" i="52"/>
  <c r="A671" i="52"/>
  <c r="A672" i="52"/>
  <c r="A673" i="52"/>
  <c r="A674" i="52"/>
  <c r="A675" i="52"/>
  <c r="A676" i="52"/>
  <c r="A677" i="52"/>
  <c r="A678" i="52"/>
  <c r="A679" i="52"/>
  <c r="A680" i="52"/>
  <c r="A681" i="52"/>
  <c r="A682" i="52"/>
  <c r="A683" i="52"/>
  <c r="A684" i="52"/>
  <c r="A685" i="52"/>
  <c r="A686" i="52"/>
  <c r="A687" i="52"/>
  <c r="A688" i="52"/>
  <c r="A689" i="52"/>
  <c r="A690" i="52"/>
  <c r="A691" i="52"/>
  <c r="A692" i="52"/>
  <c r="A693" i="52"/>
  <c r="A694" i="52"/>
  <c r="A695" i="52"/>
  <c r="A696" i="52"/>
  <c r="A697" i="52"/>
  <c r="A698" i="52"/>
  <c r="A699" i="52"/>
  <c r="A700" i="52"/>
  <c r="A701" i="52"/>
  <c r="A702" i="52"/>
  <c r="A703" i="52"/>
  <c r="A704" i="52"/>
  <c r="A705" i="52"/>
  <c r="A706" i="52"/>
  <c r="A707" i="52"/>
  <c r="A708" i="52"/>
  <c r="A709" i="52"/>
  <c r="A710" i="52"/>
  <c r="A711" i="52"/>
  <c r="A712" i="52"/>
  <c r="A713" i="52"/>
  <c r="A714" i="52"/>
  <c r="A715" i="52"/>
  <c r="A716" i="52"/>
  <c r="A717" i="52"/>
  <c r="A718" i="52"/>
  <c r="A719" i="52"/>
  <c r="A720" i="52"/>
  <c r="A721" i="52"/>
  <c r="A722" i="52"/>
  <c r="A723" i="52"/>
  <c r="A724" i="52"/>
  <c r="A725" i="52"/>
  <c r="A726" i="52"/>
  <c r="A727" i="52"/>
  <c r="A728" i="52"/>
  <c r="A729" i="52"/>
  <c r="A730" i="52"/>
  <c r="A731" i="52"/>
  <c r="A732" i="52"/>
  <c r="A733" i="52"/>
  <c r="A734" i="52"/>
  <c r="A735" i="52"/>
  <c r="A736" i="52"/>
  <c r="A737" i="52"/>
  <c r="A738" i="52"/>
  <c r="A739" i="52"/>
  <c r="A740" i="52"/>
  <c r="A741" i="52"/>
  <c r="A742" i="52"/>
  <c r="A743" i="52"/>
  <c r="A744" i="52"/>
  <c r="A745" i="52"/>
  <c r="A746" i="52"/>
  <c r="A747" i="52"/>
  <c r="A748" i="52"/>
  <c r="A749" i="52"/>
  <c r="A750" i="52"/>
  <c r="A751" i="52"/>
  <c r="A752" i="52"/>
  <c r="A753" i="52"/>
  <c r="A754" i="52"/>
  <c r="A755" i="52"/>
  <c r="A756" i="52"/>
  <c r="A757" i="52"/>
  <c r="A758" i="52"/>
  <c r="A759" i="52"/>
  <c r="A760" i="52"/>
  <c r="A761" i="52"/>
  <c r="A762" i="52"/>
  <c r="A763" i="52"/>
  <c r="A764" i="52"/>
  <c r="A765" i="52"/>
  <c r="A766" i="52"/>
  <c r="A767" i="52"/>
  <c r="A768" i="52"/>
  <c r="A769" i="52"/>
  <c r="A770" i="52"/>
  <c r="A771" i="52"/>
  <c r="A772" i="52"/>
  <c r="A773" i="52"/>
  <c r="A774" i="52"/>
  <c r="A775" i="52"/>
  <c r="A776" i="52"/>
  <c r="A777" i="52"/>
  <c r="A778" i="52"/>
  <c r="A779" i="52"/>
  <c r="A780" i="52"/>
  <c r="A781" i="52"/>
  <c r="A782" i="52"/>
  <c r="A783" i="52"/>
  <c r="A784" i="52"/>
  <c r="A785" i="52"/>
  <c r="A786" i="52"/>
  <c r="A787" i="52"/>
  <c r="A788" i="52"/>
  <c r="A789" i="52"/>
  <c r="A790" i="52"/>
  <c r="A791" i="52"/>
  <c r="A792" i="52"/>
  <c r="A793" i="52"/>
  <c r="A794" i="52"/>
  <c r="A795" i="52"/>
  <c r="A796" i="52"/>
  <c r="A797" i="52"/>
  <c r="A798" i="52"/>
  <c r="A799" i="52"/>
  <c r="A800" i="52"/>
  <c r="A801" i="52"/>
  <c r="A802" i="52"/>
  <c r="A803" i="52"/>
  <c r="A804" i="52"/>
  <c r="A805" i="52"/>
  <c r="A806" i="52"/>
  <c r="A807" i="52"/>
  <c r="A808" i="52"/>
  <c r="A809" i="52"/>
  <c r="A810" i="52"/>
  <c r="A811" i="52"/>
  <c r="A812" i="52"/>
  <c r="A813" i="52"/>
  <c r="A814" i="52"/>
  <c r="A815" i="52"/>
  <c r="A816" i="52"/>
  <c r="A817" i="52"/>
  <c r="A818" i="52"/>
  <c r="A819" i="52"/>
  <c r="A820" i="52"/>
  <c r="A821" i="52"/>
  <c r="A822" i="52"/>
  <c r="A823" i="52"/>
  <c r="A824" i="52"/>
  <c r="A825" i="52"/>
  <c r="A826" i="52"/>
  <c r="A827" i="52"/>
  <c r="A828" i="52"/>
  <c r="A829" i="52"/>
  <c r="A830" i="52"/>
  <c r="A831" i="52"/>
  <c r="A832" i="52"/>
  <c r="A833" i="52"/>
  <c r="A834" i="52"/>
  <c r="A835" i="52"/>
  <c r="A836" i="52"/>
  <c r="A837" i="52"/>
  <c r="A838" i="52"/>
  <c r="A839" i="52"/>
  <c r="A840" i="52"/>
  <c r="A841" i="52"/>
  <c r="A842" i="52"/>
  <c r="A843" i="52"/>
  <c r="A844" i="52"/>
  <c r="A845" i="52"/>
  <c r="A846" i="52"/>
  <c r="A847" i="52"/>
  <c r="A848" i="52"/>
  <c r="A849" i="52"/>
  <c r="A850" i="52"/>
  <c r="A851" i="52"/>
  <c r="A852" i="52"/>
  <c r="A853" i="52"/>
  <c r="A854" i="52"/>
  <c r="A855" i="52"/>
  <c r="A856" i="52"/>
  <c r="A857" i="52"/>
  <c r="A858" i="52"/>
  <c r="A859" i="52"/>
  <c r="A860" i="52"/>
  <c r="A861" i="52"/>
  <c r="A862" i="52"/>
  <c r="A863" i="52"/>
  <c r="A864" i="52"/>
  <c r="A865" i="52"/>
  <c r="A866" i="52"/>
  <c r="A867" i="52"/>
  <c r="A868" i="52"/>
  <c r="A869" i="52"/>
  <c r="A870" i="52"/>
  <c r="A871" i="52"/>
  <c r="A872" i="52"/>
  <c r="A873" i="52"/>
  <c r="A874" i="52"/>
  <c r="A875" i="52"/>
  <c r="A876" i="52"/>
  <c r="A877" i="52"/>
  <c r="A878" i="52"/>
  <c r="A879" i="52"/>
  <c r="A880" i="52"/>
  <c r="A881" i="52"/>
  <c r="A882" i="52"/>
  <c r="A883" i="52"/>
  <c r="A884" i="52"/>
  <c r="A885" i="52"/>
  <c r="A886" i="52"/>
  <c r="A887" i="52"/>
  <c r="A888" i="52"/>
  <c r="A889" i="52"/>
  <c r="A890" i="52"/>
  <c r="A891" i="52"/>
  <c r="A892" i="52"/>
  <c r="A893" i="52"/>
  <c r="A894" i="52"/>
  <c r="A895" i="52"/>
  <c r="A896" i="52"/>
  <c r="A897" i="52"/>
  <c r="A898" i="52"/>
  <c r="A899" i="52"/>
  <c r="A900" i="52"/>
  <c r="A901" i="52"/>
  <c r="A902" i="52"/>
  <c r="A903" i="52"/>
  <c r="A904" i="52"/>
  <c r="A905" i="52"/>
  <c r="A906" i="52"/>
  <c r="A907" i="52"/>
  <c r="A908" i="52"/>
  <c r="A909" i="52"/>
  <c r="A910" i="52"/>
  <c r="A911" i="52"/>
  <c r="A912" i="52"/>
  <c r="A913" i="52"/>
  <c r="A914" i="52"/>
  <c r="A915" i="52"/>
  <c r="A916" i="52"/>
  <c r="A917" i="52"/>
  <c r="A918" i="52"/>
  <c r="A919" i="52"/>
  <c r="A920" i="52"/>
  <c r="A921" i="52"/>
  <c r="A922" i="52"/>
  <c r="A923" i="52"/>
  <c r="A924" i="52"/>
  <c r="A925" i="52"/>
  <c r="A926" i="52"/>
  <c r="A927" i="52"/>
  <c r="A928" i="52"/>
  <c r="A929" i="52"/>
  <c r="A930" i="52"/>
  <c r="A931" i="52"/>
  <c r="A932" i="52"/>
  <c r="A933" i="52"/>
  <c r="A934" i="52"/>
  <c r="A935" i="52"/>
  <c r="A936" i="52"/>
  <c r="A937" i="52"/>
  <c r="A938" i="52"/>
  <c r="A939" i="52"/>
  <c r="A940" i="52"/>
  <c r="A941" i="52"/>
  <c r="A942" i="52"/>
  <c r="A943" i="52"/>
  <c r="A944" i="52"/>
  <c r="A945" i="52"/>
  <c r="A946" i="52"/>
  <c r="A947" i="52"/>
  <c r="A948" i="52"/>
  <c r="A949" i="52"/>
  <c r="A950" i="52"/>
  <c r="A951" i="52"/>
  <c r="A952" i="52"/>
  <c r="A953" i="52"/>
  <c r="A954" i="52"/>
  <c r="A955" i="52"/>
  <c r="A956" i="52"/>
  <c r="A957" i="52"/>
  <c r="A958" i="52"/>
  <c r="A959" i="52"/>
  <c r="A960" i="52"/>
  <c r="A961" i="52"/>
  <c r="A962" i="52"/>
  <c r="A963" i="52"/>
  <c r="A964" i="52"/>
  <c r="A965" i="52"/>
  <c r="A966" i="52"/>
  <c r="A500" i="55"/>
  <c r="A501" i="55"/>
  <c r="A502" i="55"/>
  <c r="A503" i="55"/>
  <c r="A504" i="55"/>
  <c r="A505" i="55"/>
  <c r="A506" i="55"/>
  <c r="A507" i="55"/>
  <c r="A508" i="55"/>
  <c r="A509" i="55"/>
  <c r="A510" i="55"/>
  <c r="A511" i="55"/>
  <c r="A512" i="55"/>
  <c r="A513" i="55"/>
  <c r="A514" i="55"/>
  <c r="A515" i="55"/>
  <c r="A516" i="55"/>
  <c r="A517" i="55"/>
  <c r="A518" i="55"/>
  <c r="A519" i="55"/>
  <c r="A520" i="55"/>
  <c r="A521" i="55"/>
  <c r="A522" i="55"/>
  <c r="A523" i="55"/>
  <c r="A524" i="55"/>
  <c r="A525" i="55"/>
  <c r="A526" i="55"/>
  <c r="A527" i="55"/>
  <c r="A528" i="55"/>
  <c r="A529" i="55"/>
  <c r="A530" i="55"/>
  <c r="A531" i="55"/>
  <c r="A532" i="55"/>
  <c r="A533" i="55"/>
  <c r="A534" i="55"/>
  <c r="A535" i="55"/>
  <c r="A536" i="55"/>
  <c r="A537" i="55"/>
  <c r="A538" i="55"/>
  <c r="A539" i="55"/>
  <c r="A540" i="55"/>
  <c r="A541" i="55"/>
  <c r="A542" i="55"/>
  <c r="A543" i="55"/>
  <c r="A544" i="55"/>
  <c r="A545" i="55"/>
  <c r="A546" i="55"/>
  <c r="A547" i="55"/>
  <c r="A548" i="55"/>
  <c r="A549" i="55"/>
  <c r="A550" i="55"/>
  <c r="A551" i="55"/>
  <c r="A552" i="55"/>
  <c r="A553" i="55"/>
  <c r="A554" i="55"/>
  <c r="A555" i="55"/>
  <c r="A556" i="55"/>
  <c r="A557" i="55"/>
  <c r="A558" i="55"/>
  <c r="A559" i="55"/>
  <c r="A560" i="55"/>
  <c r="A561" i="55"/>
  <c r="A562" i="55"/>
  <c r="A563" i="55"/>
  <c r="A564" i="55"/>
  <c r="A565" i="55"/>
  <c r="A566" i="55"/>
  <c r="A567" i="55"/>
  <c r="A568" i="55"/>
  <c r="A569" i="55"/>
  <c r="A570" i="55"/>
  <c r="A571" i="55"/>
  <c r="A572" i="55"/>
  <c r="A573" i="55"/>
  <c r="A574" i="55"/>
  <c r="A575" i="55"/>
  <c r="A576" i="55"/>
  <c r="A577" i="55"/>
  <c r="A578" i="55"/>
  <c r="A579" i="55"/>
  <c r="A580" i="55"/>
  <c r="A581" i="55"/>
  <c r="A582" i="55"/>
  <c r="A583" i="55"/>
  <c r="A584" i="55"/>
  <c r="A585" i="55"/>
  <c r="A586" i="55"/>
  <c r="A587" i="55"/>
  <c r="A588" i="55"/>
  <c r="A589" i="55"/>
  <c r="A590" i="55"/>
  <c r="A591" i="55"/>
  <c r="A592" i="55"/>
  <c r="A593" i="55"/>
  <c r="A594" i="55"/>
  <c r="A595" i="55"/>
  <c r="A596" i="55"/>
  <c r="A597" i="55"/>
  <c r="A598" i="55"/>
  <c r="A599" i="55"/>
  <c r="A600" i="55"/>
  <c r="A601" i="55"/>
  <c r="A602" i="55"/>
  <c r="A603" i="55"/>
  <c r="A604" i="55"/>
  <c r="A605" i="55"/>
  <c r="A606" i="55"/>
  <c r="A607" i="55"/>
  <c r="A608" i="55"/>
  <c r="A609" i="55"/>
  <c r="A610" i="55"/>
  <c r="A611" i="55"/>
  <c r="A612" i="55"/>
  <c r="A613" i="55"/>
  <c r="A614" i="55"/>
  <c r="A615" i="55"/>
  <c r="A616" i="55"/>
  <c r="A617" i="55"/>
  <c r="A618" i="55"/>
  <c r="A619" i="55"/>
  <c r="A620" i="55"/>
  <c r="A621" i="55"/>
  <c r="A622" i="55"/>
  <c r="A623" i="55"/>
  <c r="A624" i="55"/>
  <c r="A625" i="55"/>
  <c r="A626" i="55"/>
  <c r="A627" i="55"/>
  <c r="A628" i="55"/>
  <c r="A629" i="55"/>
  <c r="A630" i="55"/>
  <c r="A631" i="55"/>
  <c r="A632" i="55"/>
  <c r="A633" i="55"/>
  <c r="A634" i="55"/>
  <c r="A635" i="55"/>
  <c r="A636" i="55"/>
  <c r="A637" i="55"/>
  <c r="A638" i="55"/>
  <c r="A639" i="55"/>
  <c r="A640" i="55"/>
  <c r="A641" i="55"/>
  <c r="A642" i="55"/>
  <c r="A643" i="55"/>
  <c r="A644" i="55"/>
  <c r="A645" i="55"/>
  <c r="A646" i="55"/>
  <c r="A647" i="55"/>
  <c r="A648" i="55"/>
  <c r="A649" i="55"/>
  <c r="A650" i="55"/>
  <c r="A651" i="55"/>
  <c r="A652" i="55"/>
  <c r="A653" i="55"/>
  <c r="A654" i="55"/>
  <c r="A655" i="55"/>
  <c r="A656" i="55"/>
  <c r="A657" i="55"/>
  <c r="A658" i="55"/>
  <c r="A659" i="55"/>
  <c r="A660" i="55"/>
  <c r="A661" i="55"/>
  <c r="A662" i="55"/>
  <c r="A663" i="55"/>
  <c r="A664" i="55"/>
  <c r="A665" i="55"/>
  <c r="A666" i="55"/>
  <c r="A667" i="55"/>
  <c r="A668" i="55"/>
  <c r="A669" i="55"/>
  <c r="A670" i="55"/>
  <c r="A671" i="55"/>
  <c r="A672" i="55"/>
  <c r="A673" i="55"/>
  <c r="A674" i="55"/>
  <c r="A675" i="55"/>
  <c r="A676" i="55"/>
  <c r="A677" i="55"/>
  <c r="A678" i="55"/>
  <c r="A679" i="55"/>
  <c r="A680" i="55"/>
  <c r="A681" i="55"/>
  <c r="A682" i="55"/>
  <c r="A683" i="55"/>
  <c r="A684" i="55"/>
  <c r="A685" i="55"/>
  <c r="A686" i="55"/>
  <c r="A687" i="55"/>
  <c r="A688" i="55"/>
  <c r="A689" i="55"/>
  <c r="A690" i="55"/>
  <c r="A691" i="55"/>
  <c r="A692" i="55"/>
  <c r="A693" i="55"/>
  <c r="A694" i="55"/>
  <c r="A695" i="55"/>
  <c r="A696" i="55"/>
  <c r="A697" i="55"/>
  <c r="A698" i="55"/>
  <c r="A699" i="55"/>
  <c r="A700" i="55"/>
  <c r="A701" i="55"/>
  <c r="A702" i="55"/>
  <c r="A703" i="55"/>
  <c r="A704" i="55"/>
  <c r="A705" i="55"/>
  <c r="A706" i="55"/>
  <c r="A707" i="55"/>
  <c r="A708" i="55"/>
  <c r="A709" i="55"/>
  <c r="A710" i="55"/>
  <c r="A711" i="55"/>
  <c r="A712" i="55"/>
  <c r="A713" i="55"/>
  <c r="A714" i="55"/>
  <c r="A715" i="55"/>
  <c r="A716" i="55"/>
  <c r="A717" i="55"/>
  <c r="A718" i="55"/>
  <c r="A719" i="55"/>
  <c r="A720" i="55"/>
  <c r="A721" i="55"/>
  <c r="A722" i="55"/>
  <c r="A723" i="55"/>
  <c r="A724" i="55"/>
  <c r="A725" i="55"/>
  <c r="A726" i="55"/>
  <c r="A727" i="55"/>
  <c r="A728" i="55"/>
  <c r="A729" i="55"/>
  <c r="A730" i="55"/>
  <c r="A731" i="55"/>
  <c r="A732" i="55"/>
  <c r="A733" i="55"/>
  <c r="A734" i="55"/>
  <c r="A735" i="55"/>
  <c r="A736" i="55"/>
  <c r="A737" i="55"/>
  <c r="A738" i="55"/>
  <c r="A739" i="55"/>
  <c r="A740" i="55"/>
  <c r="A741" i="55"/>
  <c r="A742" i="55"/>
  <c r="A743" i="55"/>
  <c r="A744" i="55"/>
  <c r="A745" i="55"/>
  <c r="A746" i="55"/>
  <c r="A747" i="55"/>
  <c r="A748" i="55"/>
  <c r="A749" i="55"/>
  <c r="A750" i="55"/>
  <c r="A751" i="55"/>
  <c r="A752" i="55"/>
  <c r="A753" i="55"/>
  <c r="A754" i="55"/>
  <c r="A755" i="55"/>
  <c r="A756" i="55"/>
  <c r="A757" i="55"/>
  <c r="A758" i="55"/>
  <c r="A759" i="55"/>
  <c r="A760" i="55"/>
  <c r="A761" i="55"/>
  <c r="A762" i="55"/>
  <c r="A763" i="55"/>
  <c r="A764" i="55"/>
  <c r="A765" i="55"/>
  <c r="A766" i="55"/>
  <c r="A767" i="55"/>
  <c r="A768" i="55"/>
  <c r="A769" i="55"/>
  <c r="A770" i="55"/>
  <c r="A771" i="55"/>
  <c r="A772" i="55"/>
  <c r="A773" i="55"/>
  <c r="A774" i="55"/>
  <c r="A775" i="55"/>
  <c r="A776" i="55"/>
  <c r="A777" i="55"/>
  <c r="A778" i="55"/>
  <c r="A779" i="55"/>
  <c r="A780" i="55"/>
  <c r="A781" i="55"/>
  <c r="A782" i="55"/>
  <c r="A783" i="55"/>
  <c r="A784" i="55"/>
  <c r="A785" i="55"/>
  <c r="A786" i="55"/>
  <c r="A787" i="55"/>
  <c r="A788" i="55"/>
  <c r="A789" i="55"/>
  <c r="A790" i="55"/>
  <c r="A791" i="55"/>
  <c r="A792" i="55"/>
  <c r="A793" i="55"/>
  <c r="A794" i="55"/>
  <c r="A795" i="55"/>
  <c r="A796" i="55"/>
  <c r="A797" i="55"/>
  <c r="A798" i="55"/>
  <c r="A799" i="55"/>
  <c r="A800" i="55"/>
  <c r="A801" i="55"/>
  <c r="A802" i="55"/>
  <c r="A803" i="55"/>
  <c r="A804" i="55"/>
  <c r="A805" i="55"/>
  <c r="A806" i="55"/>
  <c r="A807" i="55"/>
  <c r="A808" i="55"/>
  <c r="A809" i="55"/>
  <c r="A810" i="55"/>
  <c r="A811" i="55"/>
  <c r="A812" i="55"/>
  <c r="A813" i="55"/>
  <c r="A814" i="55"/>
  <c r="A815" i="55"/>
  <c r="A816" i="55"/>
  <c r="A817" i="55"/>
  <c r="A818" i="55"/>
  <c r="A819" i="55"/>
  <c r="A820" i="55"/>
  <c r="A821" i="55"/>
  <c r="A822" i="55"/>
  <c r="A823" i="55"/>
  <c r="A824" i="55"/>
  <c r="A825" i="55"/>
  <c r="A826" i="55"/>
  <c r="A827" i="55"/>
  <c r="A828" i="55"/>
  <c r="A829" i="55"/>
  <c r="A830" i="55"/>
  <c r="A831" i="55"/>
  <c r="A832" i="55"/>
  <c r="A833" i="55"/>
  <c r="A834" i="55"/>
  <c r="A835" i="55"/>
  <c r="A836" i="55"/>
  <c r="A837" i="55"/>
  <c r="A838" i="55"/>
  <c r="A839" i="55"/>
  <c r="A840" i="55"/>
  <c r="A841" i="55"/>
  <c r="A842" i="55"/>
  <c r="A843" i="55"/>
  <c r="A844" i="55"/>
  <c r="A845" i="55"/>
  <c r="A846" i="55"/>
  <c r="A847" i="55"/>
  <c r="A848" i="55"/>
  <c r="A849" i="55"/>
  <c r="A850" i="55"/>
  <c r="A851" i="55"/>
  <c r="A852" i="55"/>
  <c r="A853" i="55"/>
  <c r="A854" i="55"/>
  <c r="A855" i="55"/>
  <c r="A856" i="55"/>
  <c r="A857" i="55"/>
  <c r="A858" i="55"/>
  <c r="A859" i="55"/>
  <c r="A860" i="55"/>
  <c r="A861" i="55"/>
  <c r="A862" i="55"/>
  <c r="A863" i="55"/>
  <c r="A864" i="55"/>
  <c r="A865" i="55"/>
  <c r="A866" i="55"/>
  <c r="A867" i="55"/>
  <c r="A868" i="55"/>
  <c r="A869" i="55"/>
  <c r="A870" i="55"/>
  <c r="A871" i="55"/>
  <c r="A872" i="55"/>
  <c r="A873" i="55"/>
  <c r="A874" i="55"/>
  <c r="A875" i="55"/>
  <c r="A876" i="55"/>
  <c r="A877" i="55"/>
  <c r="A878" i="55"/>
  <c r="A879" i="55"/>
  <c r="A880" i="55"/>
  <c r="A881" i="55"/>
  <c r="A882" i="55"/>
  <c r="A883" i="55"/>
  <c r="A884" i="55"/>
  <c r="A885" i="55"/>
  <c r="A886" i="55"/>
  <c r="A887" i="55"/>
  <c r="A888" i="55"/>
  <c r="A889" i="55"/>
  <c r="A890" i="55"/>
  <c r="A891" i="55"/>
  <c r="A892" i="55"/>
  <c r="A893" i="55"/>
  <c r="A894" i="55"/>
  <c r="A895" i="55"/>
  <c r="A896" i="55"/>
  <c r="A897" i="55"/>
  <c r="A898" i="55"/>
  <c r="A899" i="55"/>
  <c r="A900" i="55"/>
  <c r="A901" i="55"/>
  <c r="A902" i="55"/>
  <c r="A903" i="55"/>
  <c r="A904" i="55"/>
  <c r="A905" i="55"/>
  <c r="A906" i="55"/>
  <c r="A907" i="55"/>
  <c r="A908" i="55"/>
  <c r="A909" i="55"/>
  <c r="A910" i="55"/>
  <c r="A911" i="55"/>
  <c r="A912" i="55"/>
  <c r="A913" i="55"/>
  <c r="A914" i="55"/>
  <c r="A915" i="55"/>
  <c r="A916" i="55"/>
  <c r="A917" i="55"/>
  <c r="A918" i="55"/>
  <c r="E18" i="72" l="1" a="1"/>
  <c r="E18" i="72" s="1"/>
  <c r="E19" i="72" s="1" a="1"/>
  <c r="E19" i="72" s="1"/>
  <c r="E20" i="72" s="1" a="1"/>
  <c r="E20" i="72" s="1"/>
  <c r="K19" i="59" a="1"/>
  <c r="K19" i="59" s="1"/>
  <c r="J19" i="59" a="1"/>
  <c r="J19" i="59" s="1"/>
  <c r="L19" i="59" a="1"/>
  <c r="L19" i="59" s="1"/>
  <c r="E19" i="56" a="1"/>
  <c r="E19" i="56" s="1"/>
  <c r="E20" i="56" s="1" a="1"/>
  <c r="E20" i="56" s="1"/>
  <c r="E21" i="56" s="1" a="1"/>
  <c r="E21" i="56" s="1"/>
  <c r="I20" i="59" a="1"/>
  <c r="I20" i="59" s="1"/>
  <c r="L344" i="58" a="1"/>
  <c r="L344" i="58" s="1"/>
  <c r="L376" i="58" a="1"/>
  <c r="L376" i="58" s="1"/>
  <c r="L239" i="58" a="1"/>
  <c r="L239" i="58" s="1"/>
  <c r="K197" i="58" a="1"/>
  <c r="K197" i="58" s="1"/>
  <c r="K133" i="58" a="1"/>
  <c r="K133" i="58" s="1"/>
  <c r="J424" i="58" a="1"/>
  <c r="J424" i="58" s="1"/>
  <c r="K295" i="58" a="1"/>
  <c r="K295" i="58" s="1"/>
  <c r="K136" i="58" a="1"/>
  <c r="K136" i="58" s="1"/>
  <c r="K255" i="58" a="1"/>
  <c r="K255" i="58" s="1"/>
  <c r="J479" i="58" a="1"/>
  <c r="J479" i="58" s="1"/>
  <c r="J423" i="58" a="1"/>
  <c r="J423" i="58" s="1"/>
  <c r="J344" i="58" a="1"/>
  <c r="J344" i="58" s="1"/>
  <c r="K119" i="58" a="1"/>
  <c r="K119" i="58" s="1"/>
  <c r="L359" i="58" a="1"/>
  <c r="L359" i="58" s="1"/>
  <c r="L493" i="58" a="1"/>
  <c r="L493" i="58" s="1"/>
  <c r="L357" i="58" a="1"/>
  <c r="L357" i="58" s="1"/>
  <c r="L271" i="58" a="1"/>
  <c r="L271" i="58" s="1"/>
  <c r="L255" i="58" a="1"/>
  <c r="L255" i="58" s="1"/>
  <c r="L406" i="58" a="1"/>
  <c r="L406" i="58" s="1"/>
  <c r="L373" i="58" a="1"/>
  <c r="L373" i="58" s="1"/>
  <c r="L287" i="58" a="1"/>
  <c r="L287" i="58" s="1"/>
  <c r="L152" i="58" a="1"/>
  <c r="L152" i="58" s="1"/>
  <c r="L136" i="58" a="1"/>
  <c r="L136" i="58" s="1"/>
  <c r="L119" i="58" a="1"/>
  <c r="L119" i="58" s="1"/>
  <c r="K271" i="58" a="1"/>
  <c r="K271" i="58" s="1"/>
  <c r="J440" i="58" a="1"/>
  <c r="J440" i="58" s="1"/>
  <c r="J383" i="58" a="1"/>
  <c r="J383" i="58" s="1"/>
  <c r="J343" i="58" a="1"/>
  <c r="J343" i="58" s="1"/>
  <c r="L392" i="58" a="1"/>
  <c r="L392" i="58" s="1"/>
  <c r="L375" i="58" a="1"/>
  <c r="L375" i="58" s="1"/>
  <c r="L341" i="58" a="1"/>
  <c r="L341" i="58" s="1"/>
  <c r="L424" i="58" a="1"/>
  <c r="L424" i="58" s="1"/>
  <c r="L391" i="58" a="1"/>
  <c r="L391" i="58" s="1"/>
  <c r="L120" i="58" a="1"/>
  <c r="L120" i="58" s="1"/>
  <c r="L456" i="58" a="1"/>
  <c r="L456" i="58" s="1"/>
  <c r="L439" i="58" a="1"/>
  <c r="L439" i="58" s="1"/>
  <c r="L422" i="58" a="1"/>
  <c r="L422" i="58" s="1"/>
  <c r="L405" i="58" a="1"/>
  <c r="L405" i="58" s="1"/>
  <c r="L303" i="58" a="1"/>
  <c r="L303" i="58" s="1"/>
  <c r="L168" i="58" a="1"/>
  <c r="L168" i="58" s="1"/>
  <c r="L151" i="58" a="1"/>
  <c r="L151" i="58" s="1"/>
  <c r="L135" i="58" a="1"/>
  <c r="L135" i="58" s="1"/>
  <c r="K383" i="58" a="1"/>
  <c r="K383" i="58" s="1"/>
  <c r="K351" i="58" a="1"/>
  <c r="K351" i="58" s="1"/>
  <c r="K335" i="58" a="1"/>
  <c r="K335" i="58" s="1"/>
  <c r="K287" i="58" a="1"/>
  <c r="K287" i="58" s="1"/>
  <c r="K239" i="58" a="1"/>
  <c r="K239" i="58" s="1"/>
  <c r="J399" i="58" a="1"/>
  <c r="J399" i="58" s="1"/>
  <c r="J197" i="58" a="1"/>
  <c r="J197" i="58" s="1"/>
  <c r="L472" i="58" a="1"/>
  <c r="L472" i="58" s="1"/>
  <c r="L455" i="58" a="1"/>
  <c r="L455" i="58" s="1"/>
  <c r="L421" i="58" a="1"/>
  <c r="L421" i="58" s="1"/>
  <c r="L319" i="58" a="1"/>
  <c r="L319" i="58" s="1"/>
  <c r="L184" i="58" a="1"/>
  <c r="L184" i="58" s="1"/>
  <c r="L167" i="58" a="1"/>
  <c r="L167" i="58" s="1"/>
  <c r="K447" i="58" a="1"/>
  <c r="K447" i="58" s="1"/>
  <c r="K431" i="58" a="1"/>
  <c r="K431" i="58" s="1"/>
  <c r="K415" i="58" a="1"/>
  <c r="K415" i="58" s="1"/>
  <c r="K399" i="58" a="1"/>
  <c r="K399" i="58" s="1"/>
  <c r="K319" i="58" a="1"/>
  <c r="K319" i="58" s="1"/>
  <c r="K303" i="58" a="1"/>
  <c r="K303" i="58" s="1"/>
  <c r="K223" i="58" a="1"/>
  <c r="K223" i="58" s="1"/>
  <c r="K175" i="58" a="1"/>
  <c r="K175" i="58" s="1"/>
  <c r="K159" i="58" a="1"/>
  <c r="K159" i="58" s="1"/>
  <c r="J456" i="58" a="1"/>
  <c r="J456" i="58" s="1"/>
  <c r="J360" i="58" a="1"/>
  <c r="J360" i="58" s="1"/>
  <c r="K200" i="58" a="1"/>
  <c r="K200" i="58" s="1"/>
  <c r="L200" i="58" a="1"/>
  <c r="L200" i="58" s="1"/>
  <c r="J279" i="58" a="1"/>
  <c r="J279" i="58" s="1"/>
  <c r="J415" i="58" a="1"/>
  <c r="J415" i="58" s="1"/>
  <c r="J247" i="58" a="1"/>
  <c r="J247" i="58" s="1"/>
  <c r="J215" i="58" a="1"/>
  <c r="J215" i="58" s="1"/>
  <c r="J183" i="58" a="1"/>
  <c r="J183" i="58" s="1"/>
  <c r="J471" i="58" a="1"/>
  <c r="J471" i="58" s="1"/>
  <c r="J376" i="58" a="1"/>
  <c r="J376" i="58" s="1"/>
  <c r="K264" i="58" a="1"/>
  <c r="K264" i="58" s="1"/>
  <c r="K248" i="58" a="1"/>
  <c r="K248" i="58" s="1"/>
  <c r="J295" i="58" a="1"/>
  <c r="J295" i="58" s="1"/>
  <c r="L216" i="58" a="1"/>
  <c r="L216" i="58" s="1"/>
  <c r="L232" i="58" a="1"/>
  <c r="L232" i="58" s="1"/>
  <c r="L280" i="58" a="1"/>
  <c r="L280" i="58" s="1"/>
  <c r="L264" i="58" a="1"/>
  <c r="L264" i="58" s="1"/>
  <c r="L247" i="58" a="1"/>
  <c r="L247" i="58" s="1"/>
  <c r="L431" i="58" a="1"/>
  <c r="L431" i="58" s="1"/>
  <c r="L296" i="58" a="1"/>
  <c r="L296" i="58" s="1"/>
  <c r="L279" i="58" a="1"/>
  <c r="L279" i="58" s="1"/>
  <c r="L263" i="58" a="1"/>
  <c r="L263" i="58" s="1"/>
  <c r="L246" i="58" a="1"/>
  <c r="L246" i="58" s="1"/>
  <c r="L143" i="58" a="1"/>
  <c r="L143" i="58" s="1"/>
  <c r="L127" i="58" a="1"/>
  <c r="L127" i="58" s="1"/>
  <c r="K280" i="58" a="1"/>
  <c r="K280" i="58" s="1"/>
  <c r="J488" i="58" a="1"/>
  <c r="J488" i="58" s="1"/>
  <c r="J392" i="58" a="1"/>
  <c r="J392" i="58" s="1"/>
  <c r="L487" i="58" a="1"/>
  <c r="L487" i="58" s="1"/>
  <c r="L199" i="58" a="1"/>
  <c r="L199" i="58" s="1"/>
  <c r="J472" i="58" a="1"/>
  <c r="J472" i="58" s="1"/>
  <c r="J453" i="58" a="1"/>
  <c r="J453" i="58" s="1"/>
  <c r="J245" i="58" a="1"/>
  <c r="J245" i="58" s="1"/>
  <c r="J213" i="58" a="1"/>
  <c r="J213" i="58" s="1"/>
  <c r="L485" i="58" a="1"/>
  <c r="L485" i="58" s="1"/>
  <c r="L248" i="58" a="1"/>
  <c r="L248" i="58" s="1"/>
  <c r="L231" i="58" a="1"/>
  <c r="L231" i="58" s="1"/>
  <c r="L312" i="58" a="1"/>
  <c r="L312" i="58" s="1"/>
  <c r="L278" i="58" a="1"/>
  <c r="L278" i="58" s="1"/>
  <c r="L262" i="58" a="1"/>
  <c r="L262" i="58" s="1"/>
  <c r="L159" i="58" a="1"/>
  <c r="L159" i="58" s="1"/>
  <c r="K360" i="58" a="1"/>
  <c r="K360" i="58" s="1"/>
  <c r="K328" i="58" a="1"/>
  <c r="K328" i="58" s="1"/>
  <c r="K296" i="58" a="1"/>
  <c r="K296" i="58" s="1"/>
  <c r="K262" i="58" a="1"/>
  <c r="K262" i="58" s="1"/>
  <c r="K246" i="58" a="1"/>
  <c r="K246" i="58" s="1"/>
  <c r="K232" i="58" a="1"/>
  <c r="K232" i="58" s="1"/>
  <c r="K168" i="58" a="1"/>
  <c r="K168" i="58" s="1"/>
  <c r="K469" i="58" a="1"/>
  <c r="K469" i="58" s="1"/>
  <c r="K421" i="58" a="1"/>
  <c r="K421" i="58" s="1"/>
  <c r="K373" i="58" a="1"/>
  <c r="K373" i="58" s="1"/>
  <c r="K357" i="58" a="1"/>
  <c r="K357" i="58" s="1"/>
  <c r="K199" i="58" a="1"/>
  <c r="K199" i="58" s="1"/>
  <c r="K135" i="58" a="1"/>
  <c r="K135" i="58" s="1"/>
  <c r="L388" i="58" a="1"/>
  <c r="L388" i="58" s="1"/>
  <c r="L260" i="58" a="1"/>
  <c r="L260" i="58" s="1"/>
  <c r="L132" i="58" a="1"/>
  <c r="L132" i="58" s="1"/>
  <c r="J452" i="58" a="1"/>
  <c r="J452" i="58" s="1"/>
  <c r="J116" i="58" a="1"/>
  <c r="J116" i="58" s="1"/>
  <c r="K484" i="58" a="1"/>
  <c r="K484" i="58" s="1"/>
  <c r="K356" i="58" a="1"/>
  <c r="K356" i="58" s="1"/>
  <c r="K228" i="58" a="1"/>
  <c r="K228" i="58" s="1"/>
  <c r="K164" i="58" a="1"/>
  <c r="K164" i="58" s="1"/>
  <c r="J228" i="58" a="1"/>
  <c r="J228" i="58" s="1"/>
  <c r="L500" i="58" a="1"/>
  <c r="L500" i="58" s="1"/>
  <c r="L372" i="58" a="1"/>
  <c r="L372" i="58" s="1"/>
  <c r="L244" i="58" a="1"/>
  <c r="L244" i="58" s="1"/>
  <c r="L116" i="58" a="1"/>
  <c r="L116" i="58" s="1"/>
  <c r="J436" i="58" a="1"/>
  <c r="J436" i="58" s="1"/>
  <c r="K468" i="58" a="1"/>
  <c r="K468" i="58" s="1"/>
  <c r="K340" i="58" a="1"/>
  <c r="K340" i="58" s="1"/>
  <c r="J196" i="58" a="1"/>
  <c r="J196" i="58" s="1"/>
  <c r="L484" i="58" a="1"/>
  <c r="L484" i="58" s="1"/>
  <c r="L356" i="58" a="1"/>
  <c r="L356" i="58" s="1"/>
  <c r="J420" i="58" a="1"/>
  <c r="J420" i="58" s="1"/>
  <c r="J308" i="58" a="1"/>
  <c r="J308" i="58" s="1"/>
  <c r="K452" i="58" a="1"/>
  <c r="K452" i="58" s="1"/>
  <c r="K324" i="58" a="1"/>
  <c r="K324" i="58" s="1"/>
  <c r="K212" i="58" a="1"/>
  <c r="K212" i="58" s="1"/>
  <c r="K148" i="58" a="1"/>
  <c r="K148" i="58" s="1"/>
  <c r="J164" i="58" a="1"/>
  <c r="J164" i="58" s="1"/>
  <c r="L468" i="58" a="1"/>
  <c r="L468" i="58" s="1"/>
  <c r="L340" i="58" a="1"/>
  <c r="L340" i="58" s="1"/>
  <c r="L212" i="58" a="1"/>
  <c r="L212" i="58" s="1"/>
  <c r="J404" i="58" a="1"/>
  <c r="J404" i="58" s="1"/>
  <c r="J276" i="58" a="1"/>
  <c r="J276" i="58" s="1"/>
  <c r="K436" i="58" a="1"/>
  <c r="K436" i="58" s="1"/>
  <c r="K308" i="58" a="1"/>
  <c r="K308" i="58" s="1"/>
  <c r="J132" i="58" a="1"/>
  <c r="J132" i="58" s="1"/>
  <c r="L324" i="58" a="1"/>
  <c r="L324" i="58" s="1"/>
  <c r="L196" i="58" a="1"/>
  <c r="L196" i="58" s="1"/>
  <c r="J388" i="58" a="1"/>
  <c r="J388" i="58" s="1"/>
  <c r="K420" i="58" a="1"/>
  <c r="K420" i="58" s="1"/>
  <c r="K292" i="58" a="1"/>
  <c r="K292" i="58" s="1"/>
  <c r="L180" i="58" a="1"/>
  <c r="L180" i="58" s="1"/>
  <c r="K404" i="58" a="1"/>
  <c r="K404" i="58" s="1"/>
  <c r="K276" i="58" a="1"/>
  <c r="K276" i="58" s="1"/>
  <c r="L292" i="58" a="1"/>
  <c r="L292" i="58" s="1"/>
  <c r="J180" i="58" a="1"/>
  <c r="J180" i="58" s="1"/>
  <c r="L148" i="58" a="1"/>
  <c r="L148" i="58" s="1"/>
  <c r="T8" i="15"/>
  <c r="K6" i="15"/>
  <c r="K7" i="15"/>
  <c r="L7" i="15" s="1"/>
  <c r="M7" i="15" s="1"/>
  <c r="N11" i="15"/>
  <c r="E21" i="72" l="1" a="1"/>
  <c r="E21" i="72" s="1"/>
  <c r="I22" i="58" a="1"/>
  <c r="I22" i="58" s="1"/>
  <c r="L20" i="59" a="1"/>
  <c r="L20" i="59" s="1"/>
  <c r="J20" i="59" a="1"/>
  <c r="J20" i="59" s="1"/>
  <c r="K20" i="59" a="1"/>
  <c r="K20" i="59" s="1"/>
  <c r="E22" i="56" a="1"/>
  <c r="E22" i="56" s="1"/>
  <c r="E22" i="72" l="1" a="1"/>
  <c r="E22" i="72" s="1"/>
  <c r="E23" i="72" s="1" a="1"/>
  <c r="E23" i="72" s="1"/>
  <c r="E24" i="72" s="1" a="1"/>
  <c r="E24" i="72" s="1"/>
  <c r="E25" i="72" s="1" a="1"/>
  <c r="E25" i="72" s="1"/>
  <c r="I23" i="58" a="1"/>
  <c r="I23" i="58" s="1"/>
  <c r="I24" i="58" a="1"/>
  <c r="I24" i="58" s="1"/>
  <c r="L22" i="58" a="1"/>
  <c r="L22" i="58" s="1"/>
  <c r="K22" i="58" a="1"/>
  <c r="K22" i="58" s="1"/>
  <c r="J22" i="58" a="1"/>
  <c r="J22" i="58" s="1"/>
  <c r="E23" i="56" a="1"/>
  <c r="E23" i="56" s="1"/>
  <c r="H18" i="70"/>
  <c r="E26" i="72" l="1" a="1"/>
  <c r="E26" i="72" s="1"/>
  <c r="E27" i="72" s="1" a="1"/>
  <c r="E27" i="72" s="1"/>
  <c r="K24" i="58" a="1"/>
  <c r="K24" i="58" s="1"/>
  <c r="J24" i="58" a="1"/>
  <c r="J24" i="58" s="1"/>
  <c r="L24" i="58" a="1"/>
  <c r="L24" i="58" s="1"/>
  <c r="E24" i="56" a="1"/>
  <c r="E24" i="56" s="1"/>
  <c r="B2" i="22"/>
  <c r="I19" i="58" s="1" a="1"/>
  <c r="I19" i="58" s="1"/>
  <c r="A140" i="72" a="1"/>
  <c r="A140" i="72" s="1"/>
  <c r="F140" i="72" s="1"/>
  <c r="A141" i="72" a="1"/>
  <c r="A141" i="72" s="1"/>
  <c r="F141" i="72" s="1"/>
  <c r="A142" i="72" a="1"/>
  <c r="A142" i="72" s="1"/>
  <c r="F142" i="72" s="1"/>
  <c r="A143" i="72" a="1"/>
  <c r="A143" i="72" s="1"/>
  <c r="F143" i="72" s="1"/>
  <c r="A144" i="72" a="1"/>
  <c r="A144" i="72" s="1"/>
  <c r="F144" i="72" s="1"/>
  <c r="A145" i="72" a="1"/>
  <c r="A145" i="72" s="1"/>
  <c r="F145" i="72" s="1"/>
  <c r="A146" i="72" a="1"/>
  <c r="A146" i="72" s="1"/>
  <c r="F146" i="72" s="1"/>
  <c r="A147" i="72" a="1"/>
  <c r="A147" i="72" s="1"/>
  <c r="F147" i="72" s="1"/>
  <c r="A148" i="72" a="1"/>
  <c r="A148" i="72" s="1"/>
  <c r="F148" i="72" s="1"/>
  <c r="A149" i="72" a="1"/>
  <c r="A149" i="72" s="1"/>
  <c r="F149" i="72" s="1"/>
  <c r="A150" i="72" a="1"/>
  <c r="A150" i="72" s="1"/>
  <c r="F150" i="72" s="1"/>
  <c r="A151" i="72" a="1"/>
  <c r="A151" i="72" s="1"/>
  <c r="F151" i="72" s="1"/>
  <c r="A152" i="72" a="1"/>
  <c r="A152" i="72" s="1"/>
  <c r="F152" i="72" s="1"/>
  <c r="A153" i="72" a="1"/>
  <c r="A153" i="72" s="1"/>
  <c r="F153" i="72" s="1"/>
  <c r="A154" i="72" a="1"/>
  <c r="A154" i="72" s="1"/>
  <c r="F154" i="72" s="1"/>
  <c r="A155" i="72" a="1"/>
  <c r="A155" i="72" s="1"/>
  <c r="F155" i="72" s="1"/>
  <c r="A156" i="72" a="1"/>
  <c r="A156" i="72" s="1"/>
  <c r="F156" i="72" s="1"/>
  <c r="A157" i="72" a="1"/>
  <c r="A157" i="72" s="1"/>
  <c r="F157" i="72" s="1"/>
  <c r="A158" i="72" a="1"/>
  <c r="A158" i="72" s="1"/>
  <c r="F158" i="72" s="1"/>
  <c r="A159" i="72" a="1"/>
  <c r="A159" i="72" s="1"/>
  <c r="F159" i="72" s="1"/>
  <c r="A160" i="72" a="1"/>
  <c r="A160" i="72" s="1"/>
  <c r="F160" i="72" s="1"/>
  <c r="A161" i="72" a="1"/>
  <c r="A161" i="72" s="1"/>
  <c r="F161" i="72" s="1"/>
  <c r="A162" i="72" a="1"/>
  <c r="A162" i="72" s="1"/>
  <c r="F162" i="72" s="1"/>
  <c r="A163" i="72" a="1"/>
  <c r="A163" i="72" s="1"/>
  <c r="F163" i="72" s="1"/>
  <c r="A164" i="72" a="1"/>
  <c r="A164" i="72" s="1"/>
  <c r="F164" i="72" s="1"/>
  <c r="A165" i="72" a="1"/>
  <c r="A165" i="72" s="1"/>
  <c r="F165" i="72" s="1"/>
  <c r="A166" i="72" a="1"/>
  <c r="A166" i="72" s="1"/>
  <c r="F166" i="72" s="1"/>
  <c r="A167" i="72" a="1"/>
  <c r="A167" i="72" s="1"/>
  <c r="F167" i="72" s="1"/>
  <c r="A168" i="72" a="1"/>
  <c r="A168" i="72" s="1"/>
  <c r="F168" i="72" s="1"/>
  <c r="A169" i="72" a="1"/>
  <c r="A169" i="72" s="1"/>
  <c r="F169" i="72" s="1"/>
  <c r="A170" i="72" a="1"/>
  <c r="A170" i="72" s="1"/>
  <c r="F170" i="72" s="1"/>
  <c r="A171" i="72" a="1"/>
  <c r="A171" i="72" s="1"/>
  <c r="F171" i="72" s="1"/>
  <c r="A172" i="72" a="1"/>
  <c r="A172" i="72" s="1"/>
  <c r="F172" i="72" s="1"/>
  <c r="A173" i="72" a="1"/>
  <c r="A173" i="72" s="1"/>
  <c r="F173" i="72" s="1"/>
  <c r="A174" i="72" a="1"/>
  <c r="A174" i="72" s="1"/>
  <c r="F174" i="72" s="1"/>
  <c r="A175" i="72" a="1"/>
  <c r="A175" i="72" s="1"/>
  <c r="F175" i="72" s="1"/>
  <c r="A176" i="72" a="1"/>
  <c r="A176" i="72" s="1"/>
  <c r="F176" i="72" s="1"/>
  <c r="A177" i="72" a="1"/>
  <c r="A177" i="72" s="1"/>
  <c r="F177" i="72" s="1"/>
  <c r="A178" i="72" a="1"/>
  <c r="A178" i="72" s="1"/>
  <c r="F178" i="72" s="1"/>
  <c r="A179" i="72" a="1"/>
  <c r="A179" i="72" s="1"/>
  <c r="F179" i="72" s="1"/>
  <c r="A180" i="72" a="1"/>
  <c r="A180" i="72" s="1"/>
  <c r="F180" i="72" s="1"/>
  <c r="A181" i="72" a="1"/>
  <c r="A181" i="72" s="1"/>
  <c r="F181" i="72" s="1"/>
  <c r="A182" i="72" a="1"/>
  <c r="A182" i="72" s="1"/>
  <c r="F182" i="72" s="1"/>
  <c r="A183" i="72" a="1"/>
  <c r="A183" i="72" s="1"/>
  <c r="F183" i="72" s="1"/>
  <c r="A184" i="72" a="1"/>
  <c r="A184" i="72" s="1"/>
  <c r="F184" i="72" s="1"/>
  <c r="A185" i="72" a="1"/>
  <c r="A185" i="72" s="1"/>
  <c r="F185" i="72" s="1"/>
  <c r="A186" i="72" a="1"/>
  <c r="A186" i="72" s="1"/>
  <c r="F186" i="72" s="1"/>
  <c r="A187" i="72" a="1"/>
  <c r="A187" i="72" s="1"/>
  <c r="F187" i="72" s="1"/>
  <c r="A188" i="72" a="1"/>
  <c r="A188" i="72" s="1"/>
  <c r="F188" i="72" s="1"/>
  <c r="A189" i="72" a="1"/>
  <c r="A189" i="72" s="1"/>
  <c r="F189" i="72" s="1"/>
  <c r="A190" i="72" a="1"/>
  <c r="A190" i="72" s="1"/>
  <c r="F190" i="72" s="1"/>
  <c r="A191" i="72" a="1"/>
  <c r="A191" i="72" s="1"/>
  <c r="F191" i="72" s="1"/>
  <c r="A192" i="72" a="1"/>
  <c r="A192" i="72" s="1"/>
  <c r="F192" i="72" s="1"/>
  <c r="A193" i="72" a="1"/>
  <c r="A193" i="72" s="1"/>
  <c r="F193" i="72" s="1"/>
  <c r="A194" i="72" a="1"/>
  <c r="A194" i="72" s="1"/>
  <c r="F194" i="72" s="1"/>
  <c r="A195" i="72" a="1"/>
  <c r="A195" i="72" s="1"/>
  <c r="F195" i="72" s="1"/>
  <c r="A196" i="72" a="1"/>
  <c r="A196" i="72" s="1"/>
  <c r="F196" i="72" s="1"/>
  <c r="A197" i="72" a="1"/>
  <c r="A197" i="72" s="1"/>
  <c r="F197" i="72" s="1"/>
  <c r="A198" i="72" a="1"/>
  <c r="A198" i="72" s="1"/>
  <c r="F198" i="72" s="1"/>
  <c r="A199" i="72" a="1"/>
  <c r="A199" i="72" s="1"/>
  <c r="F199" i="72" s="1"/>
  <c r="A200" i="72" a="1"/>
  <c r="A200" i="72" s="1"/>
  <c r="F200" i="72" s="1"/>
  <c r="A201" i="72" a="1"/>
  <c r="A201" i="72" s="1"/>
  <c r="F201" i="72" s="1"/>
  <c r="A202" i="72" a="1"/>
  <c r="A202" i="72" s="1"/>
  <c r="F202" i="72" s="1"/>
  <c r="A203" i="72" a="1"/>
  <c r="A203" i="72" s="1"/>
  <c r="F203" i="72" s="1"/>
  <c r="A204" i="72" a="1"/>
  <c r="A204" i="72" s="1"/>
  <c r="F204" i="72" s="1"/>
  <c r="A205" i="72" a="1"/>
  <c r="A205" i="72" s="1"/>
  <c r="F205" i="72" s="1"/>
  <c r="A206" i="72" a="1"/>
  <c r="A206" i="72" s="1"/>
  <c r="F206" i="72" s="1"/>
  <c r="A207" i="72" a="1"/>
  <c r="A207" i="72" s="1"/>
  <c r="F207" i="72" s="1"/>
  <c r="A208" i="72" a="1"/>
  <c r="A208" i="72" s="1"/>
  <c r="F208" i="72" s="1"/>
  <c r="A209" i="72" a="1"/>
  <c r="A209" i="72" s="1"/>
  <c r="F209" i="72" s="1"/>
  <c r="A210" i="72" a="1"/>
  <c r="A210" i="72" s="1"/>
  <c r="F210" i="72" s="1"/>
  <c r="A211" i="72" a="1"/>
  <c r="A211" i="72" s="1"/>
  <c r="F211" i="72" s="1"/>
  <c r="A212" i="72" a="1"/>
  <c r="A212" i="72" s="1"/>
  <c r="F212" i="72" s="1"/>
  <c r="A213" i="72" a="1"/>
  <c r="A213" i="72" s="1"/>
  <c r="F213" i="72" s="1"/>
  <c r="A214" i="72" a="1"/>
  <c r="A214" i="72" s="1"/>
  <c r="F214" i="72" s="1"/>
  <c r="A215" i="72" a="1"/>
  <c r="A215" i="72" s="1"/>
  <c r="F215" i="72" s="1"/>
  <c r="A216" i="72" a="1"/>
  <c r="A216" i="72" s="1"/>
  <c r="F216" i="72" s="1"/>
  <c r="A217" i="72" a="1"/>
  <c r="A217" i="72" s="1"/>
  <c r="F217" i="72" s="1"/>
  <c r="A218" i="72" a="1"/>
  <c r="A218" i="72" s="1"/>
  <c r="F218" i="72" s="1"/>
  <c r="A219" i="72" a="1"/>
  <c r="A219" i="72" s="1"/>
  <c r="F219" i="72" s="1"/>
  <c r="A220" i="72" a="1"/>
  <c r="A220" i="72" s="1"/>
  <c r="F220" i="72" s="1"/>
  <c r="A221" i="72" a="1"/>
  <c r="A221" i="72" s="1"/>
  <c r="F221" i="72" s="1"/>
  <c r="A222" i="72" a="1"/>
  <c r="A222" i="72" s="1"/>
  <c r="F222" i="72" s="1"/>
  <c r="A223" i="72" a="1"/>
  <c r="A223" i="72" s="1"/>
  <c r="F223" i="72" s="1"/>
  <c r="A224" i="72" a="1"/>
  <c r="A224" i="72" s="1"/>
  <c r="F224" i="72" s="1"/>
  <c r="A225" i="72" a="1"/>
  <c r="A225" i="72" s="1"/>
  <c r="F225" i="72" s="1"/>
  <c r="A226" i="72" a="1"/>
  <c r="A226" i="72" s="1"/>
  <c r="F226" i="72" s="1"/>
  <c r="A227" i="72" a="1"/>
  <c r="A227" i="72" s="1"/>
  <c r="F227" i="72" s="1"/>
  <c r="A228" i="72" a="1"/>
  <c r="A228" i="72" s="1"/>
  <c r="F228" i="72" s="1"/>
  <c r="A229" i="72" a="1"/>
  <c r="A229" i="72" s="1"/>
  <c r="F229" i="72" s="1"/>
  <c r="A230" i="72" a="1"/>
  <c r="A230" i="72" s="1"/>
  <c r="F230" i="72" s="1"/>
  <c r="A231" i="72" a="1"/>
  <c r="A231" i="72" s="1"/>
  <c r="F231" i="72" s="1"/>
  <c r="A232" i="72" a="1"/>
  <c r="A232" i="72" s="1"/>
  <c r="F232" i="72" s="1"/>
  <c r="A233" i="72" a="1"/>
  <c r="A233" i="72" s="1"/>
  <c r="F233" i="72" s="1"/>
  <c r="A234" i="72" a="1"/>
  <c r="A234" i="72" s="1"/>
  <c r="F234" i="72" s="1"/>
  <c r="A235" i="72" a="1"/>
  <c r="A235" i="72" s="1"/>
  <c r="F235" i="72" s="1"/>
  <c r="A236" i="72" a="1"/>
  <c r="A236" i="72" s="1"/>
  <c r="F236" i="72" s="1"/>
  <c r="A237" i="72" a="1"/>
  <c r="A237" i="72" s="1"/>
  <c r="F237" i="72" s="1"/>
  <c r="A238" i="72" a="1"/>
  <c r="A238" i="72" s="1"/>
  <c r="F238" i="72" s="1"/>
  <c r="A239" i="72" a="1"/>
  <c r="A239" i="72" s="1"/>
  <c r="F239" i="72" s="1"/>
  <c r="A240" i="72" a="1"/>
  <c r="A240" i="72" s="1"/>
  <c r="F240" i="72" s="1"/>
  <c r="A241" i="72" a="1"/>
  <c r="A241" i="72" s="1"/>
  <c r="F241" i="72" s="1"/>
  <c r="A242" i="72" a="1"/>
  <c r="A242" i="72" s="1"/>
  <c r="F242" i="72" s="1"/>
  <c r="A243" i="72" a="1"/>
  <c r="A243" i="72" s="1"/>
  <c r="F243" i="72" s="1"/>
  <c r="A244" i="72" a="1"/>
  <c r="A244" i="72" s="1"/>
  <c r="F244" i="72" s="1"/>
  <c r="A245" i="72" a="1"/>
  <c r="A245" i="72" s="1"/>
  <c r="F245" i="72" s="1"/>
  <c r="A246" i="72" a="1"/>
  <c r="A246" i="72" s="1"/>
  <c r="F246" i="72" s="1"/>
  <c r="A247" i="72" a="1"/>
  <c r="A247" i="72" s="1"/>
  <c r="F247" i="72" s="1"/>
  <c r="A248" i="72" a="1"/>
  <c r="A248" i="72" s="1"/>
  <c r="F248" i="72" s="1"/>
  <c r="A249" i="72" a="1"/>
  <c r="A249" i="72" s="1"/>
  <c r="F249" i="72" s="1"/>
  <c r="A250" i="72" a="1"/>
  <c r="A250" i="72" s="1"/>
  <c r="F250" i="72" s="1"/>
  <c r="A251" i="72" a="1"/>
  <c r="A251" i="72" s="1"/>
  <c r="F251" i="72" s="1"/>
  <c r="A252" i="72" a="1"/>
  <c r="A252" i="72" s="1"/>
  <c r="F252" i="72" s="1"/>
  <c r="A253" i="72" a="1"/>
  <c r="A253" i="72" s="1"/>
  <c r="F253" i="72" s="1"/>
  <c r="A254" i="72" a="1"/>
  <c r="A254" i="72" s="1"/>
  <c r="F254" i="72" s="1"/>
  <c r="A255" i="72" a="1"/>
  <c r="A255" i="72" s="1"/>
  <c r="F255" i="72" s="1"/>
  <c r="A256" i="72" a="1"/>
  <c r="A256" i="72" s="1"/>
  <c r="F256" i="72" s="1"/>
  <c r="A257" i="72" a="1"/>
  <c r="A257" i="72" s="1"/>
  <c r="F257" i="72" s="1"/>
  <c r="A258" i="72" a="1"/>
  <c r="A258" i="72" s="1"/>
  <c r="F258" i="72" s="1"/>
  <c r="A259" i="72" a="1"/>
  <c r="A259" i="72" s="1"/>
  <c r="F259" i="72" s="1"/>
  <c r="A260" i="72" a="1"/>
  <c r="A260" i="72" s="1"/>
  <c r="F260" i="72" s="1"/>
  <c r="A261" i="72" a="1"/>
  <c r="A261" i="72" s="1"/>
  <c r="F261" i="72" s="1"/>
  <c r="A262" i="72" a="1"/>
  <c r="A262" i="72" s="1"/>
  <c r="F262" i="72" s="1"/>
  <c r="A263" i="72" a="1"/>
  <c r="A263" i="72" s="1"/>
  <c r="F263" i="72" s="1"/>
  <c r="A264" i="72" a="1"/>
  <c r="A264" i="72" s="1"/>
  <c r="F264" i="72" s="1"/>
  <c r="A265" i="72" a="1"/>
  <c r="A265" i="72" s="1"/>
  <c r="F265" i="72" s="1"/>
  <c r="A266" i="72" a="1"/>
  <c r="A266" i="72" s="1"/>
  <c r="F266" i="72" s="1"/>
  <c r="A267" i="72" a="1"/>
  <c r="A267" i="72" s="1"/>
  <c r="F267" i="72" s="1"/>
  <c r="A268" i="72" a="1"/>
  <c r="A268" i="72" s="1"/>
  <c r="F268" i="72" s="1"/>
  <c r="A269" i="72" a="1"/>
  <c r="A269" i="72" s="1"/>
  <c r="F269" i="72" s="1"/>
  <c r="A270" i="72" a="1"/>
  <c r="A270" i="72" s="1"/>
  <c r="F270" i="72" s="1"/>
  <c r="A271" i="72" a="1"/>
  <c r="A271" i="72" s="1"/>
  <c r="F271" i="72" s="1"/>
  <c r="A272" i="72" a="1"/>
  <c r="A272" i="72" s="1"/>
  <c r="F272" i="72" s="1"/>
  <c r="A273" i="72" a="1"/>
  <c r="A273" i="72" s="1"/>
  <c r="F273" i="72" s="1"/>
  <c r="A274" i="72" a="1"/>
  <c r="A274" i="72" s="1"/>
  <c r="F274" i="72" s="1"/>
  <c r="A275" i="72" a="1"/>
  <c r="A275" i="72" s="1"/>
  <c r="F275" i="72" s="1"/>
  <c r="A276" i="72" a="1"/>
  <c r="A276" i="72" s="1"/>
  <c r="F276" i="72" s="1"/>
  <c r="A277" i="72" a="1"/>
  <c r="A277" i="72" s="1"/>
  <c r="F277" i="72" s="1"/>
  <c r="A278" i="72" a="1"/>
  <c r="A278" i="72" s="1"/>
  <c r="F278" i="72" s="1"/>
  <c r="A279" i="72" a="1"/>
  <c r="A279" i="72" s="1"/>
  <c r="F279" i="72" s="1"/>
  <c r="A280" i="72" a="1"/>
  <c r="A280" i="72" s="1"/>
  <c r="F280" i="72" s="1"/>
  <c r="A281" i="72" a="1"/>
  <c r="A281" i="72" s="1"/>
  <c r="F281" i="72" s="1"/>
  <c r="A282" i="72" a="1"/>
  <c r="A282" i="72" s="1"/>
  <c r="F282" i="72" s="1"/>
  <c r="A283" i="72" a="1"/>
  <c r="A283" i="72" s="1"/>
  <c r="F283" i="72" s="1"/>
  <c r="A284" i="72" a="1"/>
  <c r="A284" i="72" s="1"/>
  <c r="F284" i="72" s="1"/>
  <c r="A285" i="72" a="1"/>
  <c r="A285" i="72" s="1"/>
  <c r="F285" i="72" s="1"/>
  <c r="A286" i="72" a="1"/>
  <c r="A286" i="72" s="1"/>
  <c r="F286" i="72" s="1"/>
  <c r="A287" i="72" a="1"/>
  <c r="A287" i="72" s="1"/>
  <c r="F287" i="72" s="1"/>
  <c r="A288" i="72" a="1"/>
  <c r="A288" i="72" s="1"/>
  <c r="F288" i="72" s="1"/>
  <c r="A289" i="72" a="1"/>
  <c r="A289" i="72" s="1"/>
  <c r="F289" i="72" s="1"/>
  <c r="A290" i="72" a="1"/>
  <c r="A290" i="72" s="1"/>
  <c r="F290" i="72" s="1"/>
  <c r="A291" i="72" a="1"/>
  <c r="A291" i="72" s="1"/>
  <c r="F291" i="72" s="1"/>
  <c r="A292" i="72" a="1"/>
  <c r="A292" i="72" s="1"/>
  <c r="F292" i="72" s="1"/>
  <c r="A293" i="72" a="1"/>
  <c r="A293" i="72" s="1"/>
  <c r="F293" i="72" s="1"/>
  <c r="A294" i="72" a="1"/>
  <c r="A294" i="72" s="1"/>
  <c r="F294" i="72" s="1"/>
  <c r="A295" i="72" a="1"/>
  <c r="A295" i="72" s="1"/>
  <c r="F295" i="72" s="1"/>
  <c r="A296" i="72" a="1"/>
  <c r="A296" i="72" s="1"/>
  <c r="F296" i="72" s="1"/>
  <c r="A297" i="72" a="1"/>
  <c r="A297" i="72" s="1"/>
  <c r="F297" i="72" s="1"/>
  <c r="A298" i="72" a="1"/>
  <c r="A298" i="72" s="1"/>
  <c r="F298" i="72" s="1"/>
  <c r="A299" i="72" a="1"/>
  <c r="A299" i="72" s="1"/>
  <c r="F299" i="72" s="1"/>
  <c r="A300" i="72" a="1"/>
  <c r="A300" i="72" s="1"/>
  <c r="F300" i="72" s="1"/>
  <c r="A301" i="72" a="1"/>
  <c r="A301" i="72" s="1"/>
  <c r="F301" i="72" s="1"/>
  <c r="A302" i="72" a="1"/>
  <c r="A302" i="72" s="1"/>
  <c r="F302" i="72" s="1"/>
  <c r="A303" i="72" a="1"/>
  <c r="A303" i="72" s="1"/>
  <c r="F303" i="72" s="1"/>
  <c r="A304" i="72" a="1"/>
  <c r="A304" i="72" s="1"/>
  <c r="F304" i="72" s="1"/>
  <c r="A305" i="72" a="1"/>
  <c r="A305" i="72" s="1"/>
  <c r="F305" i="72" s="1"/>
  <c r="A306" i="72" a="1"/>
  <c r="A306" i="72" s="1"/>
  <c r="F306" i="72" s="1"/>
  <c r="A307" i="72" a="1"/>
  <c r="A307" i="72" s="1"/>
  <c r="F307" i="72" s="1"/>
  <c r="A308" i="72" a="1"/>
  <c r="A308" i="72" s="1"/>
  <c r="F308" i="72" s="1"/>
  <c r="A309" i="72" a="1"/>
  <c r="A309" i="72" s="1"/>
  <c r="F309" i="72" s="1"/>
  <c r="A310" i="72" a="1"/>
  <c r="A310" i="72" s="1"/>
  <c r="F310" i="72" s="1"/>
  <c r="A311" i="72" a="1"/>
  <c r="A311" i="72" s="1"/>
  <c r="F311" i="72" s="1"/>
  <c r="A312" i="72" a="1"/>
  <c r="A312" i="72" s="1"/>
  <c r="F312" i="72" s="1"/>
  <c r="A313" i="72" a="1"/>
  <c r="A313" i="72" s="1"/>
  <c r="F313" i="72" s="1"/>
  <c r="A314" i="72" a="1"/>
  <c r="A314" i="72" s="1"/>
  <c r="F314" i="72" s="1"/>
  <c r="A315" i="72" a="1"/>
  <c r="A315" i="72" s="1"/>
  <c r="F315" i="72" s="1"/>
  <c r="A316" i="72" a="1"/>
  <c r="A316" i="72" s="1"/>
  <c r="F316" i="72" s="1"/>
  <c r="A317" i="72" a="1"/>
  <c r="A317" i="72" s="1"/>
  <c r="F317" i="72" s="1"/>
  <c r="A318" i="72" a="1"/>
  <c r="A318" i="72" s="1"/>
  <c r="F318" i="72" s="1"/>
  <c r="A319" i="72" a="1"/>
  <c r="A319" i="72" s="1"/>
  <c r="F319" i="72" s="1"/>
  <c r="A320" i="72" a="1"/>
  <c r="A320" i="72" s="1"/>
  <c r="F320" i="72" s="1"/>
  <c r="A321" i="72" a="1"/>
  <c r="A321" i="72" s="1"/>
  <c r="F321" i="72" s="1"/>
  <c r="A322" i="72" a="1"/>
  <c r="A322" i="72" s="1"/>
  <c r="F322" i="72" s="1"/>
  <c r="A323" i="72" a="1"/>
  <c r="A323" i="72" s="1"/>
  <c r="F323" i="72" s="1"/>
  <c r="A324" i="72" a="1"/>
  <c r="A324" i="72" s="1"/>
  <c r="F324" i="72" s="1"/>
  <c r="A325" i="72" a="1"/>
  <c r="A325" i="72" s="1"/>
  <c r="F325" i="72" s="1"/>
  <c r="A326" i="72" a="1"/>
  <c r="A326" i="72" s="1"/>
  <c r="F326" i="72" s="1"/>
  <c r="A327" i="72" a="1"/>
  <c r="A327" i="72" s="1"/>
  <c r="F327" i="72" s="1"/>
  <c r="A328" i="72" a="1"/>
  <c r="A328" i="72" s="1"/>
  <c r="F328" i="72" s="1"/>
  <c r="A329" i="72" a="1"/>
  <c r="A329" i="72" s="1"/>
  <c r="F329" i="72" s="1"/>
  <c r="A330" i="72" a="1"/>
  <c r="A330" i="72" s="1"/>
  <c r="F330" i="72" s="1"/>
  <c r="A331" i="72" a="1"/>
  <c r="A331" i="72" s="1"/>
  <c r="F331" i="72" s="1"/>
  <c r="A332" i="72" a="1"/>
  <c r="A332" i="72" s="1"/>
  <c r="F332" i="72" s="1"/>
  <c r="A333" i="72" a="1"/>
  <c r="A333" i="72" s="1"/>
  <c r="F333" i="72" s="1"/>
  <c r="A334" i="72" a="1"/>
  <c r="A334" i="72" s="1"/>
  <c r="F334" i="72" s="1"/>
  <c r="A335" i="72" a="1"/>
  <c r="A335" i="72" s="1"/>
  <c r="F335" i="72" s="1"/>
  <c r="A336" i="72" a="1"/>
  <c r="A336" i="72" s="1"/>
  <c r="F336" i="72" s="1"/>
  <c r="A337" i="72" a="1"/>
  <c r="A337" i="72" s="1"/>
  <c r="F337" i="72" s="1"/>
  <c r="A338" i="72" a="1"/>
  <c r="A338" i="72" s="1"/>
  <c r="F338" i="72" s="1"/>
  <c r="A339" i="72" a="1"/>
  <c r="A339" i="72" s="1"/>
  <c r="F339" i="72" s="1"/>
  <c r="A340" i="72" a="1"/>
  <c r="A340" i="72" s="1"/>
  <c r="F340" i="72" s="1"/>
  <c r="A341" i="72" a="1"/>
  <c r="A341" i="72" s="1"/>
  <c r="F341" i="72" s="1"/>
  <c r="A342" i="72" a="1"/>
  <c r="A342" i="72" s="1"/>
  <c r="F342" i="72" s="1"/>
  <c r="A343" i="72" a="1"/>
  <c r="A343" i="72" s="1"/>
  <c r="F343" i="72" s="1"/>
  <c r="A344" i="72" a="1"/>
  <c r="A344" i="72" s="1"/>
  <c r="F344" i="72" s="1"/>
  <c r="A345" i="72" a="1"/>
  <c r="A345" i="72" s="1"/>
  <c r="F345" i="72" s="1"/>
  <c r="A346" i="72" a="1"/>
  <c r="A346" i="72" s="1"/>
  <c r="F346" i="72" s="1"/>
  <c r="A347" i="72" a="1"/>
  <c r="A347" i="72" s="1"/>
  <c r="F347" i="72" s="1"/>
  <c r="A348" i="72" a="1"/>
  <c r="A348" i="72" s="1"/>
  <c r="F348" i="72" s="1"/>
  <c r="A349" i="72" a="1"/>
  <c r="A349" i="72" s="1"/>
  <c r="F349" i="72" s="1"/>
  <c r="A350" i="72" a="1"/>
  <c r="A350" i="72" s="1"/>
  <c r="F350" i="72" s="1"/>
  <c r="A351" i="72" a="1"/>
  <c r="A351" i="72" s="1"/>
  <c r="F351" i="72" s="1"/>
  <c r="A352" i="72" a="1"/>
  <c r="A352" i="72" s="1"/>
  <c r="F352" i="72" s="1"/>
  <c r="A353" i="72" a="1"/>
  <c r="A353" i="72" s="1"/>
  <c r="F353" i="72" s="1"/>
  <c r="A354" i="72" a="1"/>
  <c r="A354" i="72" s="1"/>
  <c r="F354" i="72" s="1"/>
  <c r="A355" i="72" a="1"/>
  <c r="A355" i="72" s="1"/>
  <c r="F355" i="72" s="1"/>
  <c r="A356" i="72" a="1"/>
  <c r="A356" i="72" s="1"/>
  <c r="F356" i="72" s="1"/>
  <c r="A357" i="72" a="1"/>
  <c r="A357" i="72" s="1"/>
  <c r="F357" i="72" s="1"/>
  <c r="A358" i="72" a="1"/>
  <c r="A358" i="72" s="1"/>
  <c r="F358" i="72" s="1"/>
  <c r="A359" i="72" a="1"/>
  <c r="A359" i="72" s="1"/>
  <c r="F359" i="72" s="1"/>
  <c r="A360" i="72" a="1"/>
  <c r="A360" i="72" s="1"/>
  <c r="F360" i="72" s="1"/>
  <c r="A361" i="72" a="1"/>
  <c r="A361" i="72" s="1"/>
  <c r="F361" i="72" s="1"/>
  <c r="A362" i="72" a="1"/>
  <c r="A362" i="72" s="1"/>
  <c r="F362" i="72" s="1"/>
  <c r="A363" i="72" a="1"/>
  <c r="A363" i="72" s="1"/>
  <c r="F363" i="72" s="1"/>
  <c r="A364" i="72" a="1"/>
  <c r="A364" i="72" s="1"/>
  <c r="F364" i="72" s="1"/>
  <c r="A365" i="72" a="1"/>
  <c r="A365" i="72" s="1"/>
  <c r="F365" i="72" s="1"/>
  <c r="A366" i="72" a="1"/>
  <c r="A366" i="72" s="1"/>
  <c r="F366" i="72" s="1"/>
  <c r="A367" i="72" a="1"/>
  <c r="A367" i="72" s="1"/>
  <c r="F367" i="72" s="1"/>
  <c r="A368" i="72" a="1"/>
  <c r="A368" i="72" s="1"/>
  <c r="F368" i="72" s="1"/>
  <c r="A369" i="72" a="1"/>
  <c r="A369" i="72" s="1"/>
  <c r="F369" i="72" s="1"/>
  <c r="A370" i="72" a="1"/>
  <c r="A370" i="72" s="1"/>
  <c r="F370" i="72" s="1"/>
  <c r="A371" i="72" a="1"/>
  <c r="A371" i="72" s="1"/>
  <c r="F371" i="72" s="1"/>
  <c r="A372" i="72" a="1"/>
  <c r="A372" i="72" s="1"/>
  <c r="F372" i="72" s="1"/>
  <c r="A373" i="72" a="1"/>
  <c r="A373" i="72" s="1"/>
  <c r="F373" i="72" s="1"/>
  <c r="A374" i="72" a="1"/>
  <c r="A374" i="72" s="1"/>
  <c r="F374" i="72" s="1"/>
  <c r="A375" i="72" a="1"/>
  <c r="A375" i="72" s="1"/>
  <c r="F375" i="72" s="1"/>
  <c r="A376" i="72" a="1"/>
  <c r="A376" i="72" s="1"/>
  <c r="F376" i="72" s="1"/>
  <c r="A377" i="72" a="1"/>
  <c r="A377" i="72" s="1"/>
  <c r="F377" i="72" s="1"/>
  <c r="A378" i="72" a="1"/>
  <c r="A378" i="72" s="1"/>
  <c r="F378" i="72" s="1"/>
  <c r="A379" i="72" a="1"/>
  <c r="A379" i="72" s="1"/>
  <c r="F379" i="72" s="1"/>
  <c r="A380" i="72" a="1"/>
  <c r="A380" i="72" s="1"/>
  <c r="F380" i="72" s="1"/>
  <c r="A381" i="72" a="1"/>
  <c r="A381" i="72" s="1"/>
  <c r="F381" i="72" s="1"/>
  <c r="A382" i="72" a="1"/>
  <c r="A382" i="72" s="1"/>
  <c r="F382" i="72" s="1"/>
  <c r="A383" i="72" a="1"/>
  <c r="A383" i="72" s="1"/>
  <c r="F383" i="72" s="1"/>
  <c r="A384" i="72" a="1"/>
  <c r="A384" i="72" s="1"/>
  <c r="F384" i="72" s="1"/>
  <c r="A385" i="72" a="1"/>
  <c r="A385" i="72" s="1"/>
  <c r="F385" i="72" s="1"/>
  <c r="A386" i="72" a="1"/>
  <c r="A386" i="72" s="1"/>
  <c r="F386" i="72" s="1"/>
  <c r="A387" i="72" a="1"/>
  <c r="A387" i="72" s="1"/>
  <c r="F387" i="72" s="1"/>
  <c r="A388" i="72" a="1"/>
  <c r="A388" i="72" s="1"/>
  <c r="F388" i="72" s="1"/>
  <c r="A389" i="72" a="1"/>
  <c r="A389" i="72" s="1"/>
  <c r="F389" i="72" s="1"/>
  <c r="A390" i="72" a="1"/>
  <c r="A390" i="72" s="1"/>
  <c r="F390" i="72" s="1"/>
  <c r="A391" i="72" a="1"/>
  <c r="A391" i="72" s="1"/>
  <c r="F391" i="72" s="1"/>
  <c r="A392" i="72" a="1"/>
  <c r="A392" i="72" s="1"/>
  <c r="F392" i="72" s="1"/>
  <c r="A393" i="72" a="1"/>
  <c r="A393" i="72" s="1"/>
  <c r="F393" i="72" s="1"/>
  <c r="A394" i="72" a="1"/>
  <c r="A394" i="72" s="1"/>
  <c r="F394" i="72" s="1"/>
  <c r="A395" i="72" a="1"/>
  <c r="A395" i="72" s="1"/>
  <c r="F395" i="72" s="1"/>
  <c r="A396" i="72" a="1"/>
  <c r="A396" i="72" s="1"/>
  <c r="F396" i="72" s="1"/>
  <c r="A397" i="72" a="1"/>
  <c r="A397" i="72" s="1"/>
  <c r="F397" i="72" s="1"/>
  <c r="A398" i="72" a="1"/>
  <c r="A398" i="72" s="1"/>
  <c r="F398" i="72" s="1"/>
  <c r="A399" i="72" a="1"/>
  <c r="A399" i="72" s="1"/>
  <c r="F399" i="72" s="1"/>
  <c r="A400" i="72" a="1"/>
  <c r="A400" i="72" s="1"/>
  <c r="F400" i="72" s="1"/>
  <c r="A401" i="72" a="1"/>
  <c r="A401" i="72" s="1"/>
  <c r="F401" i="72" s="1"/>
  <c r="A402" i="72" a="1"/>
  <c r="A402" i="72" s="1"/>
  <c r="F402" i="72" s="1"/>
  <c r="A403" i="72" a="1"/>
  <c r="A403" i="72" s="1"/>
  <c r="F403" i="72" s="1"/>
  <c r="A404" i="72" a="1"/>
  <c r="A404" i="72" s="1"/>
  <c r="F404" i="72" s="1"/>
  <c r="A405" i="72" a="1"/>
  <c r="A405" i="72" s="1"/>
  <c r="F405" i="72" s="1"/>
  <c r="A406" i="72" a="1"/>
  <c r="A406" i="72" s="1"/>
  <c r="F406" i="72" s="1"/>
  <c r="A407" i="72" a="1"/>
  <c r="A407" i="72" s="1"/>
  <c r="F407" i="72" s="1"/>
  <c r="A408" i="72" a="1"/>
  <c r="A408" i="72" s="1"/>
  <c r="F408" i="72" s="1"/>
  <c r="A409" i="72" a="1"/>
  <c r="A409" i="72" s="1"/>
  <c r="F409" i="72" s="1"/>
  <c r="A410" i="72" a="1"/>
  <c r="A410" i="72" s="1"/>
  <c r="F410" i="72" s="1"/>
  <c r="A411" i="72" a="1"/>
  <c r="A411" i="72" s="1"/>
  <c r="F411" i="72" s="1"/>
  <c r="A412" i="72" a="1"/>
  <c r="A412" i="72" s="1"/>
  <c r="F412" i="72" s="1"/>
  <c r="A413" i="72" a="1"/>
  <c r="A413" i="72" s="1"/>
  <c r="F413" i="72" s="1"/>
  <c r="A414" i="72" a="1"/>
  <c r="A414" i="72" s="1"/>
  <c r="F414" i="72" s="1"/>
  <c r="A415" i="72" a="1"/>
  <c r="A415" i="72" s="1"/>
  <c r="F415" i="72" s="1"/>
  <c r="A416" i="72" a="1"/>
  <c r="A416" i="72" s="1"/>
  <c r="F416" i="72" s="1"/>
  <c r="A417" i="72" a="1"/>
  <c r="A417" i="72" s="1"/>
  <c r="F417" i="72" s="1"/>
  <c r="A418" i="72" a="1"/>
  <c r="A418" i="72" s="1"/>
  <c r="F418" i="72" s="1"/>
  <c r="A419" i="72" a="1"/>
  <c r="A419" i="72" s="1"/>
  <c r="F419" i="72" s="1"/>
  <c r="A420" i="72" a="1"/>
  <c r="A420" i="72" s="1"/>
  <c r="F420" i="72" s="1"/>
  <c r="A421" i="72" a="1"/>
  <c r="A421" i="72" s="1"/>
  <c r="F421" i="72" s="1"/>
  <c r="A422" i="72" a="1"/>
  <c r="A422" i="72" s="1"/>
  <c r="F422" i="72" s="1"/>
  <c r="A423" i="72" a="1"/>
  <c r="A423" i="72" s="1"/>
  <c r="F423" i="72" s="1"/>
  <c r="A424" i="72" a="1"/>
  <c r="A424" i="72" s="1"/>
  <c r="F424" i="72" s="1"/>
  <c r="A425" i="72" a="1"/>
  <c r="A425" i="72" s="1"/>
  <c r="F425" i="72" s="1"/>
  <c r="A426" i="72" a="1"/>
  <c r="A426" i="72" s="1"/>
  <c r="F426" i="72" s="1"/>
  <c r="A427" i="72" a="1"/>
  <c r="A427" i="72" s="1"/>
  <c r="F427" i="72" s="1"/>
  <c r="A428" i="72" a="1"/>
  <c r="A428" i="72" s="1"/>
  <c r="F428" i="72" s="1"/>
  <c r="A429" i="72" a="1"/>
  <c r="A429" i="72" s="1"/>
  <c r="F429" i="72" s="1"/>
  <c r="A430" i="72" a="1"/>
  <c r="A430" i="72" s="1"/>
  <c r="F430" i="72" s="1"/>
  <c r="A431" i="72" a="1"/>
  <c r="A431" i="72" s="1"/>
  <c r="F431" i="72" s="1"/>
  <c r="A432" i="72" a="1"/>
  <c r="A432" i="72" s="1"/>
  <c r="F432" i="72" s="1"/>
  <c r="A433" i="72" a="1"/>
  <c r="A433" i="72" s="1"/>
  <c r="F433" i="72" s="1"/>
  <c r="A434" i="72" a="1"/>
  <c r="A434" i="72" s="1"/>
  <c r="F434" i="72" s="1"/>
  <c r="A435" i="72" a="1"/>
  <c r="A435" i="72" s="1"/>
  <c r="F435" i="72" s="1"/>
  <c r="A436" i="72" a="1"/>
  <c r="A436" i="72" s="1"/>
  <c r="F436" i="72" s="1"/>
  <c r="A437" i="72" a="1"/>
  <c r="A437" i="72" s="1"/>
  <c r="F437" i="72" s="1"/>
  <c r="A438" i="72" a="1"/>
  <c r="A438" i="72" s="1"/>
  <c r="F438" i="72" s="1"/>
  <c r="A439" i="72" a="1"/>
  <c r="A439" i="72" s="1"/>
  <c r="F439" i="72" s="1"/>
  <c r="A440" i="72" a="1"/>
  <c r="A440" i="72" s="1"/>
  <c r="F440" i="72" s="1"/>
  <c r="A441" i="72" a="1"/>
  <c r="A441" i="72" s="1"/>
  <c r="F441" i="72" s="1"/>
  <c r="A442" i="72" a="1"/>
  <c r="A442" i="72" s="1"/>
  <c r="F442" i="72" s="1"/>
  <c r="A443" i="72" a="1"/>
  <c r="A443" i="72" s="1"/>
  <c r="F443" i="72" s="1"/>
  <c r="A444" i="72" a="1"/>
  <c r="A444" i="72" s="1"/>
  <c r="F444" i="72" s="1"/>
  <c r="A445" i="72" a="1"/>
  <c r="A445" i="72" s="1"/>
  <c r="F445" i="72" s="1"/>
  <c r="A446" i="72" a="1"/>
  <c r="A446" i="72" s="1"/>
  <c r="F446" i="72" s="1"/>
  <c r="A447" i="72" a="1"/>
  <c r="A447" i="72" s="1"/>
  <c r="F447" i="72" s="1"/>
  <c r="A448" i="72" a="1"/>
  <c r="A448" i="72" s="1"/>
  <c r="F448" i="72" s="1"/>
  <c r="A449" i="72" a="1"/>
  <c r="A449" i="72" s="1"/>
  <c r="F449" i="72" s="1"/>
  <c r="A450" i="72" a="1"/>
  <c r="A450" i="72" s="1"/>
  <c r="F450" i="72" s="1"/>
  <c r="A451" i="72" a="1"/>
  <c r="A451" i="72" s="1"/>
  <c r="F451" i="72" s="1"/>
  <c r="A452" i="72" a="1"/>
  <c r="A452" i="72" s="1"/>
  <c r="F452" i="72" s="1"/>
  <c r="A453" i="72" a="1"/>
  <c r="A453" i="72" s="1"/>
  <c r="F453" i="72" s="1"/>
  <c r="A454" i="72" a="1"/>
  <c r="A454" i="72" s="1"/>
  <c r="F454" i="72" s="1"/>
  <c r="A455" i="72" a="1"/>
  <c r="A455" i="72" s="1"/>
  <c r="F455" i="72" s="1"/>
  <c r="A456" i="72" a="1"/>
  <c r="A456" i="72" s="1"/>
  <c r="F456" i="72" s="1"/>
  <c r="A457" i="72" a="1"/>
  <c r="A457" i="72" s="1"/>
  <c r="F457" i="72" s="1"/>
  <c r="A458" i="72" a="1"/>
  <c r="A458" i="72" s="1"/>
  <c r="F458" i="72" s="1"/>
  <c r="A459" i="72" a="1"/>
  <c r="A459" i="72" s="1"/>
  <c r="F459" i="72" s="1"/>
  <c r="A460" i="72" a="1"/>
  <c r="A460" i="72" s="1"/>
  <c r="F460" i="72" s="1"/>
  <c r="A461" i="72" a="1"/>
  <c r="A461" i="72" s="1"/>
  <c r="F461" i="72" s="1"/>
  <c r="A462" i="72" a="1"/>
  <c r="A462" i="72" s="1"/>
  <c r="F462" i="72" s="1"/>
  <c r="A463" i="72" a="1"/>
  <c r="A463" i="72" s="1"/>
  <c r="F463" i="72" s="1"/>
  <c r="A464" i="72" a="1"/>
  <c r="A464" i="72" s="1"/>
  <c r="F464" i="72" s="1"/>
  <c r="A465" i="72" a="1"/>
  <c r="A465" i="72" s="1"/>
  <c r="F465" i="72" s="1"/>
  <c r="A466" i="72" a="1"/>
  <c r="A466" i="72" s="1"/>
  <c r="F466" i="72" s="1"/>
  <c r="A467" i="72" a="1"/>
  <c r="A467" i="72" s="1"/>
  <c r="F467" i="72" s="1"/>
  <c r="A468" i="72" a="1"/>
  <c r="A468" i="72" s="1"/>
  <c r="F468" i="72" s="1"/>
  <c r="A469" i="72" a="1"/>
  <c r="A469" i="72" s="1"/>
  <c r="F469" i="72" s="1"/>
  <c r="A470" i="72" a="1"/>
  <c r="A470" i="72" s="1"/>
  <c r="F470" i="72" s="1"/>
  <c r="A471" i="72" a="1"/>
  <c r="A471" i="72" s="1"/>
  <c r="F471" i="72" s="1"/>
  <c r="A472" i="72" a="1"/>
  <c r="A472" i="72" s="1"/>
  <c r="F472" i="72" s="1"/>
  <c r="A473" i="72" a="1"/>
  <c r="A473" i="72" s="1"/>
  <c r="F473" i="72" s="1"/>
  <c r="A474" i="72" a="1"/>
  <c r="A474" i="72" s="1"/>
  <c r="F474" i="72" s="1"/>
  <c r="A475" i="72" a="1"/>
  <c r="A475" i="72" s="1"/>
  <c r="F475" i="72" s="1"/>
  <c r="A476" i="72" a="1"/>
  <c r="A476" i="72" s="1"/>
  <c r="F476" i="72" s="1"/>
  <c r="A477" i="72" a="1"/>
  <c r="A477" i="72" s="1"/>
  <c r="F477" i="72" s="1"/>
  <c r="A478" i="72" a="1"/>
  <c r="A478" i="72" s="1"/>
  <c r="F478" i="72" s="1"/>
  <c r="A479" i="72" a="1"/>
  <c r="A479" i="72" s="1"/>
  <c r="F479" i="72" s="1"/>
  <c r="A480" i="72" a="1"/>
  <c r="A480" i="72" s="1"/>
  <c r="F480" i="72" s="1"/>
  <c r="A481" i="72" a="1"/>
  <c r="A481" i="72" s="1"/>
  <c r="F481" i="72" s="1"/>
  <c r="A482" i="72" a="1"/>
  <c r="A482" i="72" s="1"/>
  <c r="F482" i="72" s="1"/>
  <c r="A483" i="72" a="1"/>
  <c r="A483" i="72" s="1"/>
  <c r="F483" i="72" s="1"/>
  <c r="A484" i="72" a="1"/>
  <c r="A484" i="72" s="1"/>
  <c r="F484" i="72" s="1"/>
  <c r="A485" i="72" a="1"/>
  <c r="A485" i="72" s="1"/>
  <c r="F485" i="72" s="1"/>
  <c r="A486" i="72" a="1"/>
  <c r="A486" i="72" s="1"/>
  <c r="F486" i="72" s="1"/>
  <c r="A487" i="72" a="1"/>
  <c r="A487" i="72" s="1"/>
  <c r="F487" i="72" s="1"/>
  <c r="A488" i="72" a="1"/>
  <c r="A488" i="72" s="1"/>
  <c r="F488" i="72" s="1"/>
  <c r="A489" i="72" a="1"/>
  <c r="A489" i="72" s="1"/>
  <c r="F489" i="72" s="1"/>
  <c r="A490" i="72" a="1"/>
  <c r="A490" i="72" s="1"/>
  <c r="F490" i="72" s="1"/>
  <c r="A491" i="72" a="1"/>
  <c r="A491" i="72" s="1"/>
  <c r="F491" i="72" s="1"/>
  <c r="A492" i="72" a="1"/>
  <c r="A492" i="72" s="1"/>
  <c r="F492" i="72" s="1"/>
  <c r="A493" i="72" a="1"/>
  <c r="A493" i="72" s="1"/>
  <c r="F493" i="72" s="1"/>
  <c r="A494" i="72" a="1"/>
  <c r="A494" i="72" s="1"/>
  <c r="F494" i="72" s="1"/>
  <c r="A495" i="72" a="1"/>
  <c r="A495" i="72" s="1"/>
  <c r="F495" i="72" s="1"/>
  <c r="A496" i="72" a="1"/>
  <c r="A496" i="72" s="1"/>
  <c r="F496" i="72" s="1"/>
  <c r="A497" i="72" a="1"/>
  <c r="A497" i="72" s="1"/>
  <c r="F497" i="72" s="1"/>
  <c r="A498" i="72" a="1"/>
  <c r="A498" i="72" s="1"/>
  <c r="F498" i="72" s="1"/>
  <c r="A499" i="72" a="1"/>
  <c r="A499" i="72" s="1"/>
  <c r="F499" i="72" s="1"/>
  <c r="A500" i="72" a="1"/>
  <c r="A500" i="72" s="1"/>
  <c r="F500" i="72" s="1"/>
  <c r="N7" i="70"/>
  <c r="F2" i="58" s="1"/>
  <c r="E7" i="70"/>
  <c r="A113" i="72" a="1"/>
  <c r="A113" i="72" s="1"/>
  <c r="F113" i="72" s="1"/>
  <c r="A118" i="72" a="1"/>
  <c r="A118" i="72" s="1"/>
  <c r="F118" i="72" s="1"/>
  <c r="A119" i="72" a="1"/>
  <c r="A119" i="72" s="1"/>
  <c r="F119" i="72" s="1"/>
  <c r="A127" i="72" a="1"/>
  <c r="A127" i="72" s="1"/>
  <c r="F127" i="72" s="1"/>
  <c r="A128" i="72" a="1"/>
  <c r="A128" i="72" s="1"/>
  <c r="F128" i="72" s="1"/>
  <c r="A129" i="72" a="1"/>
  <c r="A129" i="72" s="1"/>
  <c r="F129" i="72" s="1"/>
  <c r="A132" i="72" a="1"/>
  <c r="A132" i="72" s="1"/>
  <c r="F132" i="72" s="1"/>
  <c r="A130" i="72" a="1"/>
  <c r="A130" i="72" s="1"/>
  <c r="F130" i="72" s="1"/>
  <c r="A133" i="72" a="1"/>
  <c r="A133" i="72" s="1"/>
  <c r="F133" i="72" s="1"/>
  <c r="A131" i="72" a="1"/>
  <c r="A131" i="72" s="1"/>
  <c r="F131" i="72" s="1"/>
  <c r="A134" i="72" a="1"/>
  <c r="A134" i="72" s="1"/>
  <c r="F134" i="72" s="1"/>
  <c r="A135" i="72" a="1"/>
  <c r="A135" i="72" s="1"/>
  <c r="F135" i="72" s="1"/>
  <c r="A136" i="72" a="1"/>
  <c r="A136" i="72" s="1"/>
  <c r="F136" i="72" s="1"/>
  <c r="A137" i="72" a="1"/>
  <c r="A137" i="72" s="1"/>
  <c r="F137" i="72" s="1"/>
  <c r="A138" i="72" a="1"/>
  <c r="A138" i="72" s="1"/>
  <c r="F138" i="72" s="1"/>
  <c r="A139" i="72" a="1"/>
  <c r="A139" i="72" s="1"/>
  <c r="F139" i="72" s="1"/>
  <c r="F175" i="56"/>
  <c r="F176" i="56"/>
  <c r="F177" i="56"/>
  <c r="F178" i="56"/>
  <c r="F179" i="56"/>
  <c r="F180" i="56"/>
  <c r="F181" i="56"/>
  <c r="F182" i="56"/>
  <c r="F183" i="56"/>
  <c r="F184" i="56"/>
  <c r="F185" i="56"/>
  <c r="F186" i="56"/>
  <c r="F187" i="56"/>
  <c r="F188" i="56"/>
  <c r="F189" i="56"/>
  <c r="F190" i="56"/>
  <c r="F191" i="56"/>
  <c r="F192" i="56"/>
  <c r="F193" i="56"/>
  <c r="F194" i="56"/>
  <c r="F195" i="56"/>
  <c r="F196" i="56"/>
  <c r="F197" i="56"/>
  <c r="F198" i="56"/>
  <c r="F199" i="56"/>
  <c r="F200" i="56"/>
  <c r="F201" i="56"/>
  <c r="F202" i="56"/>
  <c r="F203" i="56"/>
  <c r="F204" i="56"/>
  <c r="F205" i="56"/>
  <c r="F206" i="56"/>
  <c r="F207" i="56"/>
  <c r="F208" i="56"/>
  <c r="F209" i="56"/>
  <c r="F210" i="56"/>
  <c r="F211" i="56"/>
  <c r="F212" i="56"/>
  <c r="F213" i="56"/>
  <c r="F214" i="56"/>
  <c r="F215" i="56"/>
  <c r="F216" i="56"/>
  <c r="F217" i="56"/>
  <c r="F218" i="56"/>
  <c r="F219" i="56"/>
  <c r="F220" i="56"/>
  <c r="F221" i="56"/>
  <c r="F222" i="56"/>
  <c r="F223" i="56"/>
  <c r="F224" i="56"/>
  <c r="F225" i="56"/>
  <c r="F226" i="56"/>
  <c r="F227" i="56"/>
  <c r="F228" i="56"/>
  <c r="F229" i="56"/>
  <c r="F230" i="56"/>
  <c r="F231" i="56"/>
  <c r="F232" i="56"/>
  <c r="F233" i="56"/>
  <c r="F234" i="56"/>
  <c r="F235" i="56"/>
  <c r="F236" i="56"/>
  <c r="F237" i="56"/>
  <c r="F238" i="56"/>
  <c r="F239" i="56"/>
  <c r="F240" i="56"/>
  <c r="F241" i="56"/>
  <c r="F242" i="56"/>
  <c r="F243" i="56"/>
  <c r="F244" i="56"/>
  <c r="F245" i="56"/>
  <c r="F246" i="56"/>
  <c r="F247" i="56"/>
  <c r="F248" i="56"/>
  <c r="F249" i="56"/>
  <c r="F250" i="56"/>
  <c r="F251" i="56"/>
  <c r="F252" i="56"/>
  <c r="F253" i="56"/>
  <c r="F254" i="56"/>
  <c r="F255" i="56"/>
  <c r="F256" i="56"/>
  <c r="F257" i="56"/>
  <c r="F258" i="56"/>
  <c r="F259" i="56"/>
  <c r="F260" i="56"/>
  <c r="F261" i="56"/>
  <c r="F262" i="56"/>
  <c r="F263" i="56"/>
  <c r="F264" i="56"/>
  <c r="F265" i="56"/>
  <c r="F266" i="56"/>
  <c r="F267" i="56"/>
  <c r="F268" i="56"/>
  <c r="F269" i="56"/>
  <c r="F270" i="56"/>
  <c r="F271" i="56"/>
  <c r="F272" i="56"/>
  <c r="F273" i="56"/>
  <c r="F274" i="56"/>
  <c r="F275" i="56"/>
  <c r="F276" i="56"/>
  <c r="F277" i="56"/>
  <c r="F278" i="56"/>
  <c r="F279" i="56"/>
  <c r="F280" i="56"/>
  <c r="F281" i="56"/>
  <c r="F282" i="56"/>
  <c r="F283" i="56"/>
  <c r="F284" i="56"/>
  <c r="F285" i="56"/>
  <c r="F286" i="56"/>
  <c r="F287" i="56"/>
  <c r="F288" i="56"/>
  <c r="F289" i="56"/>
  <c r="F290" i="56"/>
  <c r="F291" i="56"/>
  <c r="F292" i="56"/>
  <c r="F293" i="56"/>
  <c r="F294" i="56"/>
  <c r="F295" i="56"/>
  <c r="F296" i="56"/>
  <c r="F297" i="56"/>
  <c r="F298" i="56"/>
  <c r="F299" i="56"/>
  <c r="F300" i="56"/>
  <c r="F301" i="56"/>
  <c r="F302" i="56"/>
  <c r="F303" i="56"/>
  <c r="F304" i="56"/>
  <c r="F305" i="56"/>
  <c r="F306" i="56"/>
  <c r="F307" i="56"/>
  <c r="F308" i="56"/>
  <c r="F309" i="56"/>
  <c r="F310" i="56"/>
  <c r="F311" i="56"/>
  <c r="F312" i="56"/>
  <c r="F313" i="56"/>
  <c r="F314" i="56"/>
  <c r="F315" i="56"/>
  <c r="F316" i="56"/>
  <c r="F317" i="56"/>
  <c r="F318" i="56"/>
  <c r="F319" i="56"/>
  <c r="F320" i="56"/>
  <c r="F321" i="56"/>
  <c r="F322" i="56"/>
  <c r="F323" i="56"/>
  <c r="F324" i="56"/>
  <c r="F325" i="56"/>
  <c r="F326" i="56"/>
  <c r="F327" i="56"/>
  <c r="F328" i="56"/>
  <c r="F329" i="56"/>
  <c r="F330" i="56"/>
  <c r="F331" i="56"/>
  <c r="F332" i="56"/>
  <c r="F333" i="56"/>
  <c r="F334" i="56"/>
  <c r="F335" i="56"/>
  <c r="F336" i="56"/>
  <c r="F337" i="56"/>
  <c r="F338" i="56"/>
  <c r="F339" i="56"/>
  <c r="F340" i="56"/>
  <c r="F341" i="56"/>
  <c r="F342" i="56"/>
  <c r="F343" i="56"/>
  <c r="F344" i="56"/>
  <c r="F345" i="56"/>
  <c r="F346" i="56"/>
  <c r="F347" i="56"/>
  <c r="F348" i="56"/>
  <c r="F349" i="56"/>
  <c r="F350" i="56"/>
  <c r="F351" i="56"/>
  <c r="F352" i="56"/>
  <c r="F353" i="56"/>
  <c r="F354" i="56"/>
  <c r="F355" i="56"/>
  <c r="F356" i="56"/>
  <c r="F357" i="56"/>
  <c r="F358" i="56"/>
  <c r="F359" i="56"/>
  <c r="F360" i="56"/>
  <c r="F361" i="56"/>
  <c r="F362" i="56"/>
  <c r="F363" i="56"/>
  <c r="F364" i="56"/>
  <c r="F365" i="56"/>
  <c r="F366" i="56"/>
  <c r="F367" i="56"/>
  <c r="F368" i="56"/>
  <c r="F369" i="56"/>
  <c r="F370" i="56"/>
  <c r="F371" i="56"/>
  <c r="F372" i="56"/>
  <c r="F373" i="56"/>
  <c r="F374" i="56"/>
  <c r="F375" i="56"/>
  <c r="F376" i="56"/>
  <c r="F377" i="56"/>
  <c r="F378" i="56"/>
  <c r="F379" i="56"/>
  <c r="F380" i="56"/>
  <c r="F381" i="56"/>
  <c r="F382" i="56"/>
  <c r="F383" i="56"/>
  <c r="F384" i="56"/>
  <c r="F385" i="56"/>
  <c r="F386" i="56"/>
  <c r="F387" i="56"/>
  <c r="F388" i="56"/>
  <c r="F389" i="56"/>
  <c r="F390" i="56"/>
  <c r="F391" i="56"/>
  <c r="F392" i="56"/>
  <c r="F393" i="56"/>
  <c r="F394" i="56"/>
  <c r="F395" i="56"/>
  <c r="F396" i="56"/>
  <c r="F397" i="56"/>
  <c r="F398" i="56"/>
  <c r="F399" i="56"/>
  <c r="F400" i="56"/>
  <c r="F401" i="56"/>
  <c r="F402" i="56"/>
  <c r="F403" i="56"/>
  <c r="F404" i="56"/>
  <c r="F405" i="56"/>
  <c r="F406" i="56"/>
  <c r="F407" i="56"/>
  <c r="F408" i="56"/>
  <c r="F409" i="56"/>
  <c r="F410" i="56"/>
  <c r="F411" i="56"/>
  <c r="F412" i="56"/>
  <c r="F413" i="56"/>
  <c r="F414" i="56"/>
  <c r="F415" i="56"/>
  <c r="F416" i="56"/>
  <c r="F417" i="56"/>
  <c r="F418" i="56"/>
  <c r="F419" i="56"/>
  <c r="F420" i="56"/>
  <c r="F421" i="56"/>
  <c r="F422" i="56"/>
  <c r="F423" i="56"/>
  <c r="F424" i="56"/>
  <c r="F425" i="56"/>
  <c r="F426" i="56"/>
  <c r="F427" i="56"/>
  <c r="F428" i="56"/>
  <c r="F429" i="56"/>
  <c r="F430" i="56"/>
  <c r="F431" i="56"/>
  <c r="F432" i="56"/>
  <c r="F433" i="56"/>
  <c r="F434" i="56"/>
  <c r="F435" i="56"/>
  <c r="F436" i="56"/>
  <c r="F437" i="56"/>
  <c r="F438" i="56"/>
  <c r="F439" i="56"/>
  <c r="F440" i="56"/>
  <c r="F441" i="56"/>
  <c r="F442" i="56"/>
  <c r="F443" i="56"/>
  <c r="F444" i="56"/>
  <c r="F445" i="56"/>
  <c r="F446" i="56"/>
  <c r="F447" i="56"/>
  <c r="F448" i="56"/>
  <c r="F449" i="56"/>
  <c r="F450" i="56"/>
  <c r="F451" i="56"/>
  <c r="F452" i="56"/>
  <c r="F453" i="56"/>
  <c r="F454" i="56"/>
  <c r="F455" i="56"/>
  <c r="F456" i="56"/>
  <c r="F457" i="56"/>
  <c r="F458" i="56"/>
  <c r="F459" i="56"/>
  <c r="F460" i="56"/>
  <c r="F461" i="56"/>
  <c r="F462" i="56"/>
  <c r="F463" i="56"/>
  <c r="F464" i="56"/>
  <c r="F465" i="56"/>
  <c r="F466" i="56"/>
  <c r="F467" i="56"/>
  <c r="F468" i="56"/>
  <c r="F469" i="56"/>
  <c r="F470" i="56"/>
  <c r="F471" i="56"/>
  <c r="F472" i="56"/>
  <c r="F473" i="56"/>
  <c r="F474" i="56"/>
  <c r="F475" i="56"/>
  <c r="F476" i="56"/>
  <c r="F477" i="56"/>
  <c r="F478" i="56"/>
  <c r="F479" i="56"/>
  <c r="F480" i="56"/>
  <c r="F481" i="56"/>
  <c r="F482" i="56"/>
  <c r="F483" i="56"/>
  <c r="F484" i="56"/>
  <c r="F485" i="56"/>
  <c r="F486" i="56"/>
  <c r="F487" i="56"/>
  <c r="F488" i="56"/>
  <c r="F489" i="56"/>
  <c r="F490" i="56"/>
  <c r="F491" i="56"/>
  <c r="F492" i="56"/>
  <c r="F493" i="56"/>
  <c r="F494" i="56"/>
  <c r="F495" i="56"/>
  <c r="F496" i="56"/>
  <c r="F497" i="56"/>
  <c r="F498" i="56"/>
  <c r="F499" i="56"/>
  <c r="F500" i="56"/>
  <c r="Z3" i="15"/>
  <c r="Z4" i="15"/>
  <c r="Z5" i="15"/>
  <c r="Z6" i="15"/>
  <c r="Z7" i="15"/>
  <c r="Z8" i="15"/>
  <c r="Z9" i="15"/>
  <c r="Z10" i="15"/>
  <c r="Z2" i="15"/>
  <c r="W3" i="15"/>
  <c r="W4" i="15"/>
  <c r="W5" i="15"/>
  <c r="W6" i="15"/>
  <c r="W7" i="15"/>
  <c r="W8" i="15"/>
  <c r="W9" i="15"/>
  <c r="W10" i="15"/>
  <c r="W11" i="15"/>
  <c r="W12" i="15"/>
  <c r="X12" i="15" s="1"/>
  <c r="Y12" i="15" s="1"/>
  <c r="W13" i="15"/>
  <c r="X13" i="15" s="1"/>
  <c r="Y13" i="15" s="1"/>
  <c r="W2" i="15"/>
  <c r="T3" i="15"/>
  <c r="T4" i="15"/>
  <c r="T5" i="15"/>
  <c r="T6" i="15"/>
  <c r="T7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R21" i="15" s="1"/>
  <c r="S21" i="15" s="1"/>
  <c r="Q22" i="15"/>
  <c r="R22" i="15" s="1"/>
  <c r="S22" i="15" s="1"/>
  <c r="Q23" i="15"/>
  <c r="R23" i="15" s="1"/>
  <c r="S23" i="15" s="1"/>
  <c r="Q24" i="15"/>
  <c r="R24" i="15" s="1"/>
  <c r="S24" i="15" s="1"/>
  <c r="Q3" i="15"/>
  <c r="Q4" i="15"/>
  <c r="Q5" i="15"/>
  <c r="Q6" i="15"/>
  <c r="Q7" i="15"/>
  <c r="Q8" i="15"/>
  <c r="Q9" i="15"/>
  <c r="Q2" i="15"/>
  <c r="N3" i="15"/>
  <c r="N4" i="15"/>
  <c r="N5" i="15"/>
  <c r="N6" i="15"/>
  <c r="N7" i="15"/>
  <c r="N8" i="15"/>
  <c r="N9" i="15"/>
  <c r="N10" i="15"/>
  <c r="N2" i="15"/>
  <c r="K3" i="15"/>
  <c r="K4" i="15"/>
  <c r="K5" i="15"/>
  <c r="K2" i="15"/>
  <c r="H499" i="58"/>
  <c r="H497" i="58"/>
  <c r="H491" i="58"/>
  <c r="H487" i="58"/>
  <c r="H479" i="58"/>
  <c r="H476" i="58"/>
  <c r="H467" i="58"/>
  <c r="H461" i="58"/>
  <c r="H460" i="58"/>
  <c r="H444" i="58"/>
  <c r="H442" i="58"/>
  <c r="H435" i="58"/>
  <c r="H434" i="58"/>
  <c r="H427" i="58"/>
  <c r="H419" i="58"/>
  <c r="H412" i="58"/>
  <c r="H404" i="58"/>
  <c r="H400" i="58"/>
  <c r="H397" i="58"/>
  <c r="H396" i="58"/>
  <c r="H387" i="58"/>
  <c r="H383" i="58"/>
  <c r="H374" i="58"/>
  <c r="H372" i="58"/>
  <c r="H369" i="58"/>
  <c r="H364" i="58"/>
  <c r="H362" i="58"/>
  <c r="H346" i="58"/>
  <c r="H338" i="58"/>
  <c r="H335" i="58"/>
  <c r="H330" i="58"/>
  <c r="H329" i="58"/>
  <c r="H328" i="58"/>
  <c r="H325" i="58"/>
  <c r="H324" i="58"/>
  <c r="H315" i="58"/>
  <c r="H313" i="58"/>
  <c r="H312" i="58"/>
  <c r="H299" i="58"/>
  <c r="H294" i="58"/>
  <c r="H284" i="58"/>
  <c r="H281" i="58"/>
  <c r="H276" i="58"/>
  <c r="H274" i="58"/>
  <c r="H268" i="58"/>
  <c r="H265" i="58"/>
  <c r="H263" i="58"/>
  <c r="H262" i="58"/>
  <c r="H257" i="58"/>
  <c r="H253" i="58"/>
  <c r="H250" i="58"/>
  <c r="AI39" i="11"/>
  <c r="AG39" i="11"/>
  <c r="AE39" i="11"/>
  <c r="AC39" i="11"/>
  <c r="Z39" i="11"/>
  <c r="X39" i="11"/>
  <c r="V39" i="11"/>
  <c r="T39" i="11"/>
  <c r="Q39" i="11"/>
  <c r="O39" i="11"/>
  <c r="M39" i="11"/>
  <c r="K39" i="11"/>
  <c r="F39" i="11"/>
  <c r="H39" i="11"/>
  <c r="D39" i="11"/>
  <c r="B39" i="11"/>
  <c r="AG35" i="11"/>
  <c r="AE35" i="11"/>
  <c r="AC35" i="11"/>
  <c r="AG34" i="11"/>
  <c r="AE34" i="11"/>
  <c r="AC34" i="11"/>
  <c r="X35" i="11"/>
  <c r="V35" i="11"/>
  <c r="T35" i="11"/>
  <c r="X34" i="11"/>
  <c r="V34" i="11"/>
  <c r="T34" i="11"/>
  <c r="O35" i="11"/>
  <c r="M35" i="11"/>
  <c r="K35" i="11"/>
  <c r="O34" i="11"/>
  <c r="M34" i="11"/>
  <c r="K34" i="11"/>
  <c r="F35" i="11"/>
  <c r="F34" i="11"/>
  <c r="D35" i="11"/>
  <c r="D34" i="11"/>
  <c r="B35" i="11"/>
  <c r="B34" i="11"/>
  <c r="AE19" i="11"/>
  <c r="AC19" i="11"/>
  <c r="V19" i="11"/>
  <c r="T19" i="11"/>
  <c r="AG19" i="11"/>
  <c r="X19" i="11"/>
  <c r="O19" i="11"/>
  <c r="M19" i="11"/>
  <c r="AI15" i="11"/>
  <c r="AG15" i="11"/>
  <c r="AE15" i="11"/>
  <c r="AC15" i="11"/>
  <c r="AI14" i="11"/>
  <c r="AG14" i="11"/>
  <c r="AE14" i="11"/>
  <c r="AC14" i="11"/>
  <c r="Z15" i="11"/>
  <c r="X15" i="11"/>
  <c r="V15" i="11"/>
  <c r="T15" i="11"/>
  <c r="Z14" i="11"/>
  <c r="X14" i="11"/>
  <c r="V14" i="11"/>
  <c r="T14" i="11"/>
  <c r="Q15" i="11"/>
  <c r="O15" i="11"/>
  <c r="M15" i="11"/>
  <c r="K15" i="11"/>
  <c r="O14" i="11"/>
  <c r="Q14" i="11"/>
  <c r="M14" i="11"/>
  <c r="K19" i="11"/>
  <c r="K14" i="11"/>
  <c r="AG30" i="11"/>
  <c r="AE30" i="11"/>
  <c r="AC30" i="11"/>
  <c r="AG29" i="11"/>
  <c r="AE29" i="11"/>
  <c r="AC29" i="11"/>
  <c r="AG28" i="11"/>
  <c r="AE28" i="11"/>
  <c r="AC28" i="11"/>
  <c r="AG27" i="11"/>
  <c r="AE27" i="11"/>
  <c r="AC27" i="11"/>
  <c r="X30" i="11"/>
  <c r="V30" i="11"/>
  <c r="T30" i="11"/>
  <c r="X29" i="11"/>
  <c r="V29" i="11"/>
  <c r="T29" i="11"/>
  <c r="X28" i="11"/>
  <c r="V28" i="11"/>
  <c r="T28" i="11"/>
  <c r="X27" i="11"/>
  <c r="V27" i="11"/>
  <c r="T27" i="11"/>
  <c r="O30" i="11"/>
  <c r="M30" i="11"/>
  <c r="K30" i="11"/>
  <c r="O29" i="11"/>
  <c r="M29" i="11"/>
  <c r="K29" i="11"/>
  <c r="O28" i="11"/>
  <c r="M28" i="11"/>
  <c r="K28" i="11"/>
  <c r="O27" i="11"/>
  <c r="M27" i="11"/>
  <c r="K27" i="11"/>
  <c r="F30" i="11"/>
  <c r="F29" i="11"/>
  <c r="F28" i="11"/>
  <c r="F27" i="11"/>
  <c r="D30" i="11"/>
  <c r="D29" i="11"/>
  <c r="D28" i="11"/>
  <c r="D27" i="11"/>
  <c r="B30" i="11"/>
  <c r="B29" i="11"/>
  <c r="B28" i="11"/>
  <c r="B27" i="11"/>
  <c r="AG10" i="11"/>
  <c r="AE10" i="11"/>
  <c r="AC10" i="11"/>
  <c r="AG9" i="11"/>
  <c r="AE9" i="11"/>
  <c r="AC9" i="11"/>
  <c r="AG8" i="11"/>
  <c r="AE8" i="11"/>
  <c r="AC8" i="11"/>
  <c r="AG7" i="11"/>
  <c r="AE7" i="11"/>
  <c r="AC7" i="11"/>
  <c r="X10" i="11"/>
  <c r="V10" i="11"/>
  <c r="T10" i="11"/>
  <c r="X9" i="11"/>
  <c r="V9" i="11"/>
  <c r="T9" i="11"/>
  <c r="X8" i="11"/>
  <c r="V8" i="11"/>
  <c r="T8" i="11"/>
  <c r="X7" i="11"/>
  <c r="V7" i="11"/>
  <c r="T7" i="11"/>
  <c r="O10" i="11"/>
  <c r="O9" i="11"/>
  <c r="O8" i="11"/>
  <c r="O7" i="11"/>
  <c r="M7" i="11"/>
  <c r="M8" i="11"/>
  <c r="M10" i="11"/>
  <c r="M9" i="11"/>
  <c r="K8" i="11"/>
  <c r="K7" i="11"/>
  <c r="K10" i="11"/>
  <c r="K9" i="11"/>
  <c r="G1" i="15"/>
  <c r="B3" i="26"/>
  <c r="E3" i="1"/>
  <c r="B1" i="26" s="1"/>
  <c r="G2" i="22"/>
  <c r="D3" i="11"/>
  <c r="AE23" i="11" s="1"/>
  <c r="F2" i="59"/>
  <c r="AC37" i="11"/>
  <c r="T37" i="11"/>
  <c r="K37" i="11"/>
  <c r="B37" i="11"/>
  <c r="AC32" i="11"/>
  <c r="T32" i="11"/>
  <c r="K32" i="11"/>
  <c r="B32" i="11"/>
  <c r="AC25" i="11"/>
  <c r="T25" i="11"/>
  <c r="K25" i="11"/>
  <c r="B25" i="11"/>
  <c r="AC17" i="11"/>
  <c r="T17" i="11"/>
  <c r="K17" i="11"/>
  <c r="AC12" i="11"/>
  <c r="T12" i="11"/>
  <c r="K12" i="11"/>
  <c r="AC5" i="11"/>
  <c r="T5" i="11"/>
  <c r="K5" i="11"/>
  <c r="A112" i="72" a="1"/>
  <c r="A112" i="72" s="1"/>
  <c r="F112" i="72" s="1"/>
  <c r="A114" i="72" a="1"/>
  <c r="A114" i="72" s="1"/>
  <c r="F114" i="72" s="1"/>
  <c r="A115" i="72" a="1"/>
  <c r="A115" i="72" s="1"/>
  <c r="F115" i="72" s="1"/>
  <c r="A116" i="72" a="1"/>
  <c r="A116" i="72" s="1"/>
  <c r="F116" i="72" s="1"/>
  <c r="A117" i="72" a="1"/>
  <c r="A117" i="72" s="1"/>
  <c r="F117" i="72" s="1"/>
  <c r="A120" i="72" a="1"/>
  <c r="A120" i="72" s="1"/>
  <c r="F120" i="72" s="1"/>
  <c r="A121" i="72" a="1"/>
  <c r="A121" i="72" s="1"/>
  <c r="F121" i="72" s="1"/>
  <c r="A122" i="72" a="1"/>
  <c r="A122" i="72" s="1"/>
  <c r="F122" i="72" s="1"/>
  <c r="A123" i="72" a="1"/>
  <c r="A123" i="72" s="1"/>
  <c r="F123" i="72" s="1"/>
  <c r="A124" i="72" a="1"/>
  <c r="A124" i="72" s="1"/>
  <c r="F124" i="72" s="1"/>
  <c r="A125" i="72" a="1"/>
  <c r="A125" i="72" s="1"/>
  <c r="F125" i="72" s="1"/>
  <c r="A126" i="72" a="1"/>
  <c r="A126" i="72" s="1"/>
  <c r="F126" i="72" s="1"/>
  <c r="H34" i="11"/>
  <c r="H35" i="11"/>
  <c r="H185" i="58"/>
  <c r="H189" i="58"/>
  <c r="H191" i="58"/>
  <c r="H192" i="58"/>
  <c r="H196" i="58"/>
  <c r="H199" i="58"/>
  <c r="H203" i="58"/>
  <c r="G2" i="15"/>
  <c r="G3" i="15" s="1"/>
  <c r="H209" i="58"/>
  <c r="H211" i="58"/>
  <c r="H221" i="58"/>
  <c r="H233" i="58"/>
  <c r="H168" i="58"/>
  <c r="H170" i="58"/>
  <c r="T2" i="15"/>
  <c r="Q35" i="11" l="1"/>
  <c r="AI35" i="11"/>
  <c r="Z35" i="11"/>
  <c r="Q34" i="11"/>
  <c r="AI34" i="11"/>
  <c r="Z34" i="11"/>
  <c r="I27" i="58" a="1"/>
  <c r="I27" i="58" s="1"/>
  <c r="I28" i="58" a="1"/>
  <c r="I28" i="58" s="1"/>
  <c r="I25" i="58" a="1"/>
  <c r="I25" i="58" s="1"/>
  <c r="I20" i="58" a="1"/>
  <c r="I20" i="58" s="1"/>
  <c r="I21" i="58" a="1"/>
  <c r="I21" i="58" s="1"/>
  <c r="I26" i="58" a="1"/>
  <c r="I26" i="58" s="1"/>
  <c r="E28" i="72" a="1"/>
  <c r="E28" i="72" s="1"/>
  <c r="I29" i="58" a="1"/>
  <c r="I29" i="58" s="1"/>
  <c r="A14" i="56" a="1"/>
  <c r="A14" i="56" s="1"/>
  <c r="A15" i="56" a="1"/>
  <c r="A15" i="56" s="1"/>
  <c r="C15" i="56" s="1" a="1"/>
  <c r="C15" i="56" s="1"/>
  <c r="I18" i="59" a="1"/>
  <c r="I18" i="59" s="1"/>
  <c r="I23" i="59" a="1"/>
  <c r="I23" i="59" s="1"/>
  <c r="A22" i="56" a="1"/>
  <c r="A22" i="56" s="1"/>
  <c r="C22" i="56" s="1" a="1"/>
  <c r="C22" i="56" s="1"/>
  <c r="I24" i="59" a="1"/>
  <c r="I24" i="59" s="1"/>
  <c r="I25" i="59" a="1"/>
  <c r="I25" i="59" s="1"/>
  <c r="L25" i="59" s="1" a="1"/>
  <c r="L25" i="59" s="1"/>
  <c r="A23" i="56" a="1"/>
  <c r="A23" i="56" s="1"/>
  <c r="C23" i="56" s="1" a="1"/>
  <c r="C23" i="56" s="1"/>
  <c r="I26" i="59" a="1"/>
  <c r="I26" i="59" s="1"/>
  <c r="E25" i="56" a="1"/>
  <c r="E25" i="56" s="1"/>
  <c r="E26" i="56" s="1" a="1"/>
  <c r="E26" i="56" s="1"/>
  <c r="A26" i="56" s="1" a="1"/>
  <c r="A26" i="56" s="1"/>
  <c r="A2" i="56" a="1"/>
  <c r="A2" i="56" s="1"/>
  <c r="A3" i="56" a="1"/>
  <c r="A3" i="56" s="1"/>
  <c r="D3" i="56" s="1"/>
  <c r="A4" i="56" a="1"/>
  <c r="A4" i="56" s="1"/>
  <c r="C4" i="56" s="1" a="1"/>
  <c r="C4" i="56" s="1"/>
  <c r="A5" i="56" a="1"/>
  <c r="A5" i="56" s="1"/>
  <c r="A8" i="56" a="1"/>
  <c r="A8" i="56" s="1"/>
  <c r="B7" i="56" s="1" a="1"/>
  <c r="B7" i="56" s="1"/>
  <c r="A9" i="56" a="1"/>
  <c r="A9" i="56" s="1"/>
  <c r="A10" i="56" a="1"/>
  <c r="A10" i="56" s="1"/>
  <c r="I13" i="59" a="1"/>
  <c r="I13" i="59" s="1"/>
  <c r="A11" i="56" a="1"/>
  <c r="A11" i="56" s="1"/>
  <c r="I14" i="59" a="1"/>
  <c r="I14" i="59" s="1"/>
  <c r="A12" i="56" a="1"/>
  <c r="A12" i="56" s="1"/>
  <c r="A13" i="56" a="1"/>
  <c r="A13" i="56" s="1"/>
  <c r="A16" i="56" a="1"/>
  <c r="A16" i="56" s="1"/>
  <c r="A17" i="56" a="1"/>
  <c r="A17" i="56" s="1"/>
  <c r="A18" i="56" a="1"/>
  <c r="A18" i="56" s="1"/>
  <c r="A19" i="56" a="1"/>
  <c r="A19" i="56" s="1"/>
  <c r="I21" i="59" a="1"/>
  <c r="I21" i="59" s="1"/>
  <c r="I22" i="59" a="1"/>
  <c r="I22" i="59" s="1"/>
  <c r="A20" i="56" a="1"/>
  <c r="A20" i="56" s="1"/>
  <c r="A21" i="56" a="1"/>
  <c r="A21" i="56" s="1"/>
  <c r="A24" i="56" a="1"/>
  <c r="A24" i="56" s="1"/>
  <c r="C24" i="56" s="1" a="1"/>
  <c r="C24" i="56" s="1"/>
  <c r="I27" i="59" a="1"/>
  <c r="I27" i="59" s="1"/>
  <c r="L27" i="59" s="1" a="1"/>
  <c r="L27" i="59" s="1"/>
  <c r="A25" i="56" a="1"/>
  <c r="A25" i="56" s="1"/>
  <c r="I28" i="59" a="1"/>
  <c r="I28" i="59" s="1"/>
  <c r="C363" i="72" a="1"/>
  <c r="C363" i="72" s="1"/>
  <c r="Z1" i="15"/>
  <c r="C326" i="72" a="1"/>
  <c r="C326" i="72" s="1"/>
  <c r="I2" i="22"/>
  <c r="C2" i="22" s="1"/>
  <c r="D363" i="72"/>
  <c r="B363" i="72" a="1"/>
  <c r="B363" i="72" s="1"/>
  <c r="D461" i="56"/>
  <c r="D429" i="56"/>
  <c r="D349" i="56"/>
  <c r="D253" i="56"/>
  <c r="D412" i="56"/>
  <c r="D459" i="56"/>
  <c r="D347" i="56"/>
  <c r="D299" i="56"/>
  <c r="D267" i="56"/>
  <c r="D203" i="56"/>
  <c r="D187" i="56"/>
  <c r="D490" i="56"/>
  <c r="D281" i="56"/>
  <c r="D472" i="56"/>
  <c r="D328" i="56"/>
  <c r="D216" i="56"/>
  <c r="D200" i="56"/>
  <c r="D199" i="56"/>
  <c r="D326" i="56"/>
  <c r="D294" i="56"/>
  <c r="D262" i="56"/>
  <c r="D214" i="56"/>
  <c r="D453" i="56"/>
  <c r="D341" i="56"/>
  <c r="D277" i="56"/>
  <c r="D213" i="56"/>
  <c r="D197" i="56"/>
  <c r="D452" i="56"/>
  <c r="D436" i="56"/>
  <c r="D404" i="56"/>
  <c r="D292" i="56"/>
  <c r="D499" i="56"/>
  <c r="D387" i="56"/>
  <c r="D339" i="56"/>
  <c r="D482" i="56"/>
  <c r="D273" i="56"/>
  <c r="D257" i="56"/>
  <c r="D400" i="56"/>
  <c r="D336" i="56"/>
  <c r="D304" i="56"/>
  <c r="D319" i="56"/>
  <c r="D191" i="56"/>
  <c r="D175" i="56"/>
  <c r="D334" i="56"/>
  <c r="D318" i="56"/>
  <c r="D286" i="56"/>
  <c r="D254" i="56"/>
  <c r="D190" i="56"/>
  <c r="D197" i="72"/>
  <c r="C244" i="72" a="1"/>
  <c r="C244" i="72" s="1"/>
  <c r="C499" i="72" a="1"/>
  <c r="C499" i="72" s="1"/>
  <c r="C147" i="72" a="1"/>
  <c r="C147" i="72" s="1"/>
  <c r="C482" i="72" a="1"/>
  <c r="C482" i="72" s="1"/>
  <c r="C466" i="72" a="1"/>
  <c r="C466" i="72" s="1"/>
  <c r="D450" i="72"/>
  <c r="D418" i="72"/>
  <c r="D338" i="72"/>
  <c r="C290" i="72" a="1"/>
  <c r="C290" i="72" s="1"/>
  <c r="B242" i="72" a="1"/>
  <c r="B242" i="72" s="1"/>
  <c r="D194" i="72"/>
  <c r="D178" i="72"/>
  <c r="B162" i="72" a="1"/>
  <c r="B162" i="72" s="1"/>
  <c r="D146" i="72"/>
  <c r="C405" i="72" a="1"/>
  <c r="C405" i="72" s="1"/>
  <c r="B133" i="72" a="1"/>
  <c r="B133" i="72" s="1"/>
  <c r="C481" i="72" a="1"/>
  <c r="C481" i="72" s="1"/>
  <c r="C465" i="72" a="1"/>
  <c r="C465" i="72" s="1"/>
  <c r="B449" i="72" a="1"/>
  <c r="B449" i="72" s="1"/>
  <c r="D433" i="72"/>
  <c r="C417" i="72" a="1"/>
  <c r="C417" i="72" s="1"/>
  <c r="C369" i="72" a="1"/>
  <c r="C369" i="72" s="1"/>
  <c r="B353" i="72" a="1"/>
  <c r="B353" i="72" s="1"/>
  <c r="C305" i="72" a="1"/>
  <c r="C305" i="72" s="1"/>
  <c r="D289" i="72"/>
  <c r="D241" i="72"/>
  <c r="D225" i="72"/>
  <c r="D161" i="72"/>
  <c r="C145" i="72" a="1"/>
  <c r="C145" i="72" s="1"/>
  <c r="D134" i="72"/>
  <c r="B341" i="72" a="1"/>
  <c r="B341" i="72" s="1"/>
  <c r="D112" i="72"/>
  <c r="D260" i="72"/>
  <c r="D451" i="72"/>
  <c r="D496" i="72"/>
  <c r="D480" i="72"/>
  <c r="C384" i="72" a="1"/>
  <c r="C384" i="72" s="1"/>
  <c r="B368" i="72" a="1"/>
  <c r="B368" i="72" s="1"/>
  <c r="C272" i="72" a="1"/>
  <c r="C272" i="72" s="1"/>
  <c r="C240" i="72" a="1"/>
  <c r="C240" i="72" s="1"/>
  <c r="D208" i="72"/>
  <c r="B176" i="72" a="1"/>
  <c r="B176" i="72" s="1"/>
  <c r="C160" i="72" a="1"/>
  <c r="C160" i="72" s="1"/>
  <c r="C144" i="72" a="1"/>
  <c r="C144" i="72" s="1"/>
  <c r="C309" i="72" a="1"/>
  <c r="C309" i="72" s="1"/>
  <c r="D483" i="72"/>
  <c r="D126" i="72"/>
  <c r="C128" i="72" a="1"/>
  <c r="C128" i="72" s="1"/>
  <c r="D495" i="72"/>
  <c r="C479" i="72" a="1"/>
  <c r="C479" i="72" s="1"/>
  <c r="D431" i="72"/>
  <c r="B399" i="72" a="1"/>
  <c r="B399" i="72" s="1"/>
  <c r="C383" i="72" a="1"/>
  <c r="C383" i="72" s="1"/>
  <c r="C367" i="72" a="1"/>
  <c r="C367" i="72" s="1"/>
  <c r="D335" i="72"/>
  <c r="C255" i="72" a="1"/>
  <c r="C255" i="72" s="1"/>
  <c r="C159" i="72" a="1"/>
  <c r="C159" i="72" s="1"/>
  <c r="D245" i="72"/>
  <c r="D125" i="72"/>
  <c r="B127" i="72" a="1"/>
  <c r="B127" i="72" s="1"/>
  <c r="D462" i="72"/>
  <c r="B398" i="72" a="1"/>
  <c r="B398" i="72" s="1"/>
  <c r="D366" i="72"/>
  <c r="C238" i="72" a="1"/>
  <c r="C238" i="72" s="1"/>
  <c r="C222" i="72" a="1"/>
  <c r="C222" i="72" s="1"/>
  <c r="C206" i="72" a="1"/>
  <c r="C206" i="72" s="1"/>
  <c r="D174" i="72"/>
  <c r="D469" i="72"/>
  <c r="C261" i="72" a="1"/>
  <c r="C261" i="72" s="1"/>
  <c r="C468" i="72" a="1"/>
  <c r="C468" i="72" s="1"/>
  <c r="C435" i="72" a="1"/>
  <c r="C435" i="72" s="1"/>
  <c r="D124" i="72"/>
  <c r="D461" i="72"/>
  <c r="C429" i="72" a="1"/>
  <c r="C429" i="72" s="1"/>
  <c r="D381" i="72"/>
  <c r="C365" i="72" a="1"/>
  <c r="C365" i="72" s="1"/>
  <c r="B349" i="72" a="1"/>
  <c r="B349" i="72" s="1"/>
  <c r="D333" i="72"/>
  <c r="D253" i="72"/>
  <c r="D237" i="72"/>
  <c r="D157" i="72"/>
  <c r="B229" i="72" a="1"/>
  <c r="B229" i="72" s="1"/>
  <c r="B436" i="72" a="1"/>
  <c r="B436" i="72" s="1"/>
  <c r="C196" i="72" a="1"/>
  <c r="C196" i="72" s="1"/>
  <c r="D123" i="72"/>
  <c r="B476" i="72" a="1"/>
  <c r="B476" i="72" s="1"/>
  <c r="C460" i="72" a="1"/>
  <c r="C460" i="72" s="1"/>
  <c r="D428" i="72"/>
  <c r="D412" i="72"/>
  <c r="D396" i="72"/>
  <c r="D364" i="72"/>
  <c r="D348" i="72"/>
  <c r="C268" i="72" a="1"/>
  <c r="C268" i="72" s="1"/>
  <c r="C252" i="72" a="1"/>
  <c r="C252" i="72" s="1"/>
  <c r="D220" i="72"/>
  <c r="C204" i="72" a="1"/>
  <c r="C204" i="72" s="1"/>
  <c r="C188" i="72" a="1"/>
  <c r="C188" i="72" s="1"/>
  <c r="D140" i="72"/>
  <c r="C389" i="72" a="1"/>
  <c r="C389" i="72" s="1"/>
  <c r="D500" i="72"/>
  <c r="D276" i="72"/>
  <c r="C227" i="72" a="1"/>
  <c r="C227" i="72" s="1"/>
  <c r="D122" i="72"/>
  <c r="B113" i="72" a="1"/>
  <c r="B113" i="72" s="1"/>
  <c r="D475" i="72"/>
  <c r="D459" i="72"/>
  <c r="C411" i="72" a="1"/>
  <c r="C411" i="72" s="1"/>
  <c r="D395" i="72"/>
  <c r="D251" i="72"/>
  <c r="B235" i="72" a="1"/>
  <c r="B235" i="72" s="1"/>
  <c r="D203" i="72"/>
  <c r="D187" i="72"/>
  <c r="D171" i="72"/>
  <c r="C212" i="72" a="1"/>
  <c r="C212" i="72" s="1"/>
  <c r="D121" i="72"/>
  <c r="D139" i="72"/>
  <c r="D458" i="72"/>
  <c r="B442" i="72" a="1"/>
  <c r="B442" i="72" s="1"/>
  <c r="D410" i="72"/>
  <c r="D394" i="72"/>
  <c r="B378" i="72" a="1"/>
  <c r="B378" i="72" s="1"/>
  <c r="B282" i="72" a="1"/>
  <c r="B282" i="72" s="1"/>
  <c r="C266" i="72" a="1"/>
  <c r="C266" i="72" s="1"/>
  <c r="C234" i="72" a="1"/>
  <c r="C234" i="72" s="1"/>
  <c r="C170" i="72" a="1"/>
  <c r="C170" i="72" s="1"/>
  <c r="D437" i="72"/>
  <c r="D420" i="72"/>
  <c r="C180" i="72" a="1"/>
  <c r="C180" i="72" s="1"/>
  <c r="C387" i="72" a="1"/>
  <c r="C387" i="72" s="1"/>
  <c r="B243" i="72" a="1"/>
  <c r="B243" i="72" s="1"/>
  <c r="C489" i="72" a="1"/>
  <c r="C489" i="72" s="1"/>
  <c r="C457" i="72" a="1"/>
  <c r="C457" i="72" s="1"/>
  <c r="C425" i="72" a="1"/>
  <c r="C425" i="72" s="1"/>
  <c r="B345" i="72" a="1"/>
  <c r="B345" i="72" s="1"/>
  <c r="C329" i="72" a="1"/>
  <c r="C329" i="72" s="1"/>
  <c r="D313" i="72"/>
  <c r="B297" i="72" a="1"/>
  <c r="B297" i="72" s="1"/>
  <c r="B281" i="72" a="1"/>
  <c r="B281" i="72" s="1"/>
  <c r="D249" i="72"/>
  <c r="C277" i="72" a="1"/>
  <c r="C277" i="72" s="1"/>
  <c r="D452" i="72"/>
  <c r="D148" i="72"/>
  <c r="B371" i="72" a="1"/>
  <c r="B371" i="72" s="1"/>
  <c r="B149" i="72" a="1"/>
  <c r="B149" i="72" s="1"/>
  <c r="B472" i="72" a="1"/>
  <c r="B472" i="72" s="1"/>
  <c r="B456" i="72" a="1"/>
  <c r="B456" i="72" s="1"/>
  <c r="B440" i="72" a="1"/>
  <c r="B440" i="72" s="1"/>
  <c r="B376" i="72" a="1"/>
  <c r="B376" i="72" s="1"/>
  <c r="D360" i="72"/>
  <c r="C344" i="72" a="1"/>
  <c r="C344" i="72" s="1"/>
  <c r="B296" i="72" a="1"/>
  <c r="B296" i="72" s="1"/>
  <c r="C280" i="72" a="1"/>
  <c r="C280" i="72" s="1"/>
  <c r="D248" i="72"/>
  <c r="D232" i="72"/>
  <c r="D200" i="72"/>
  <c r="D184" i="72"/>
  <c r="D152" i="72"/>
  <c r="D325" i="72"/>
  <c r="B324" i="72" a="1"/>
  <c r="B324" i="72" s="1"/>
  <c r="D355" i="72"/>
  <c r="B323" i="72" a="1"/>
  <c r="B323" i="72" s="1"/>
  <c r="C149" i="72" a="1"/>
  <c r="C149" i="72" s="1"/>
  <c r="D116" i="72"/>
  <c r="C136" i="72" a="1"/>
  <c r="C136" i="72" s="1"/>
  <c r="D455" i="72"/>
  <c r="D423" i="72"/>
  <c r="C375" i="72" a="1"/>
  <c r="C375" i="72" s="1"/>
  <c r="D359" i="72"/>
  <c r="C343" i="72" a="1"/>
  <c r="C343" i="72" s="1"/>
  <c r="C279" i="72" a="1"/>
  <c r="C279" i="72" s="1"/>
  <c r="C263" i="72" a="1"/>
  <c r="C263" i="72" s="1"/>
  <c r="B231" i="72" a="1"/>
  <c r="B231" i="72" s="1"/>
  <c r="C215" i="72" a="1"/>
  <c r="C215" i="72" s="1"/>
  <c r="B183" i="72" a="1"/>
  <c r="B183" i="72" s="1"/>
  <c r="D373" i="72"/>
  <c r="C165" i="72" a="1"/>
  <c r="C165" i="72" s="1"/>
  <c r="B356" i="72" a="1"/>
  <c r="B356" i="72" s="1"/>
  <c r="D228" i="72"/>
  <c r="D115" i="72"/>
  <c r="C486" i="72" a="1"/>
  <c r="C486" i="72" s="1"/>
  <c r="D390" i="72"/>
  <c r="C358" i="72" a="1"/>
  <c r="C358" i="72" s="1"/>
  <c r="D310" i="72"/>
  <c r="D294" i="72"/>
  <c r="C246" i="72" a="1"/>
  <c r="C246" i="72" s="1"/>
  <c r="D166" i="72"/>
  <c r="D2" i="22"/>
  <c r="B3" i="22"/>
  <c r="J3" i="22" s="1"/>
  <c r="E3" i="22" s="1"/>
  <c r="J2" i="22"/>
  <c r="E2" i="22" s="1"/>
  <c r="C410" i="72" a="1"/>
  <c r="C410" i="72" s="1"/>
  <c r="C187" i="72" a="1"/>
  <c r="C187" i="72" s="1"/>
  <c r="C233" i="72" a="1"/>
  <c r="C233" i="72" s="1"/>
  <c r="B233" i="72" a="1"/>
  <c r="B233" i="72" s="1"/>
  <c r="C355" i="72" a="1"/>
  <c r="C355" i="72" s="1"/>
  <c r="C371" i="72" a="1"/>
  <c r="C371" i="72" s="1"/>
  <c r="D371" i="72"/>
  <c r="C451" i="72" a="1"/>
  <c r="C451" i="72" s="1"/>
  <c r="B147" i="72" a="1"/>
  <c r="B147" i="72" s="1"/>
  <c r="D499" i="72"/>
  <c r="B451" i="72" a="1"/>
  <c r="B451" i="72" s="1"/>
  <c r="D425" i="72"/>
  <c r="B187" i="72" a="1"/>
  <c r="B187" i="72" s="1"/>
  <c r="D149" i="72"/>
  <c r="B234" i="72" a="1"/>
  <c r="B234" i="72" s="1"/>
  <c r="B474" i="72" a="1"/>
  <c r="B474" i="72" s="1"/>
  <c r="C474" i="72" a="1"/>
  <c r="C474" i="72" s="1"/>
  <c r="B410" i="72" a="1"/>
  <c r="B410" i="72" s="1"/>
  <c r="D170" i="72"/>
  <c r="C442" i="72" a="1"/>
  <c r="C442" i="72" s="1"/>
  <c r="D406" i="72"/>
  <c r="B246" i="72" a="1"/>
  <c r="B246" i="72" s="1"/>
  <c r="D191" i="72"/>
  <c r="B191" i="72" a="1"/>
  <c r="B191" i="72" s="1"/>
  <c r="C456" i="72" a="1"/>
  <c r="C456" i="72" s="1"/>
  <c r="D456" i="72"/>
  <c r="D159" i="72"/>
  <c r="C138" i="72" a="1"/>
  <c r="C138" i="72" s="1"/>
  <c r="B305" i="72" a="1"/>
  <c r="B305" i="72" s="1"/>
  <c r="D138" i="72"/>
  <c r="C276" i="72" a="1"/>
  <c r="C276" i="72" s="1"/>
  <c r="B340" i="72" a="1"/>
  <c r="B340" i="72" s="1"/>
  <c r="C452" i="72" a="1"/>
  <c r="C452" i="72" s="1"/>
  <c r="C484" i="72" a="1"/>
  <c r="C484" i="72" s="1"/>
  <c r="B484" i="72" a="1"/>
  <c r="B484" i="72" s="1"/>
  <c r="B420" i="72" a="1"/>
  <c r="B420" i="72" s="1"/>
  <c r="C420" i="72" a="1"/>
  <c r="C420" i="72" s="1"/>
  <c r="D436" i="72"/>
  <c r="C436" i="72" a="1"/>
  <c r="C436" i="72" s="1"/>
  <c r="B276" i="72" a="1"/>
  <c r="B276" i="72" s="1"/>
  <c r="D252" i="72"/>
  <c r="C380" i="72" a="1"/>
  <c r="C380" i="72" s="1"/>
  <c r="B439" i="72" a="1"/>
  <c r="B439" i="72" s="1"/>
  <c r="D223" i="72"/>
  <c r="C260" i="72" a="1"/>
  <c r="C260" i="72" s="1"/>
  <c r="C190" i="72" a="1"/>
  <c r="C190" i="72" s="1"/>
  <c r="B138" i="72" a="1"/>
  <c r="B138" i="72" s="1"/>
  <c r="C450" i="72" a="1"/>
  <c r="C450" i="72" s="1"/>
  <c r="B390" i="72" a="1"/>
  <c r="B390" i="72" s="1"/>
  <c r="C390" i="72" a="1"/>
  <c r="C390" i="72" s="1"/>
  <c r="C406" i="72" a="1"/>
  <c r="C406" i="72" s="1"/>
  <c r="B326" i="72" a="1"/>
  <c r="B326" i="72" s="1"/>
  <c r="B406" i="72" a="1"/>
  <c r="B406" i="72" s="1"/>
  <c r="C470" i="72" a="1"/>
  <c r="C470" i="72" s="1"/>
  <c r="B498" i="72" a="1"/>
  <c r="B498" i="72" s="1"/>
  <c r="B238" i="72" a="1"/>
  <c r="B238" i="72" s="1"/>
  <c r="B365" i="72" a="1"/>
  <c r="B365" i="72" s="1"/>
  <c r="D238" i="72"/>
  <c r="C253" i="72" a="1"/>
  <c r="C253" i="72" s="1"/>
  <c r="C177" i="72" a="1"/>
  <c r="C177" i="72" s="1"/>
  <c r="B252" i="72" a="1"/>
  <c r="B252" i="72" s="1"/>
  <c r="B348" i="72" a="1"/>
  <c r="B348" i="72" s="1"/>
  <c r="C348" i="72" a="1"/>
  <c r="C348" i="72" s="1"/>
  <c r="B489" i="72" a="1"/>
  <c r="B489" i="72" s="1"/>
  <c r="D411" i="72"/>
  <c r="D399" i="72"/>
  <c r="D336" i="72"/>
  <c r="D368" i="72"/>
  <c r="B268" i="72" a="1"/>
  <c r="B268" i="72" s="1"/>
  <c r="B379" i="72" a="1"/>
  <c r="B379" i="72" s="1"/>
  <c r="C379" i="72" a="1"/>
  <c r="C379" i="72" s="1"/>
  <c r="C216" i="72" a="1"/>
  <c r="C216" i="72" s="1"/>
  <c r="D470" i="72"/>
  <c r="B470" i="72" a="1"/>
  <c r="B470" i="72" s="1"/>
  <c r="D494" i="72"/>
  <c r="C439" i="72" a="1"/>
  <c r="C439" i="72" s="1"/>
  <c r="D439" i="72"/>
  <c r="D147" i="72"/>
  <c r="D383" i="72"/>
  <c r="D298" i="72"/>
  <c r="C298" i="72" a="1"/>
  <c r="C298" i="72" s="1"/>
  <c r="D345" i="72"/>
  <c r="B329" i="72" a="1"/>
  <c r="B329" i="72" s="1"/>
  <c r="B453" i="72" a="1"/>
  <c r="B453" i="72" s="1"/>
  <c r="C453" i="72" a="1"/>
  <c r="C453" i="72" s="1"/>
  <c r="B419" i="72" a="1"/>
  <c r="B419" i="72" s="1"/>
  <c r="D384" i="72"/>
  <c r="D465" i="72"/>
  <c r="C480" i="72" a="1"/>
  <c r="C480" i="72" s="1"/>
  <c r="C496" i="72" a="1"/>
  <c r="C496" i="72" s="1"/>
  <c r="B480" i="72" a="1"/>
  <c r="B480" i="72" s="1"/>
  <c r="B450" i="72" a="1"/>
  <c r="B450" i="72" s="1"/>
  <c r="B228" i="72" a="1"/>
  <c r="B228" i="72" s="1"/>
  <c r="B465" i="72" a="1"/>
  <c r="B465" i="72" s="1"/>
  <c r="C228" i="72" a="1"/>
  <c r="C228" i="72" s="1"/>
  <c r="C494" i="72" a="1"/>
  <c r="C494" i="72" s="1"/>
  <c r="B495" i="72" a="1"/>
  <c r="B495" i="72" s="1"/>
  <c r="C495" i="72" a="1"/>
  <c r="C495" i="72" s="1"/>
  <c r="D217" i="72"/>
  <c r="B277" i="72" a="1"/>
  <c r="B277" i="72" s="1"/>
  <c r="B494" i="72" a="1"/>
  <c r="B494" i="72" s="1"/>
  <c r="C321" i="72" a="1"/>
  <c r="C321" i="72" s="1"/>
  <c r="C340" i="72" a="1"/>
  <c r="C340" i="72" s="1"/>
  <c r="D464" i="72"/>
  <c r="B180" i="72" a="1"/>
  <c r="B180" i="72" s="1"/>
  <c r="C419" i="72" a="1"/>
  <c r="C419" i="72" s="1"/>
  <c r="D446" i="72"/>
  <c r="C232" i="72" a="1"/>
  <c r="C232" i="72" s="1"/>
  <c r="D415" i="72"/>
  <c r="B496" i="72" a="1"/>
  <c r="B496" i="72" s="1"/>
  <c r="T1" i="15"/>
  <c r="W1" i="15"/>
  <c r="X3" i="15" s="1"/>
  <c r="Q1" i="15"/>
  <c r="R8" i="15" s="1"/>
  <c r="N1" i="15"/>
  <c r="K1" i="15"/>
  <c r="G4" i="15"/>
  <c r="F2" i="15"/>
  <c r="C427" i="72" a="1"/>
  <c r="C427" i="72" s="1"/>
  <c r="B427" i="72" a="1"/>
  <c r="B427" i="72" s="1"/>
  <c r="D447" i="72"/>
  <c r="D434" i="72"/>
  <c r="B434" i="72" a="1"/>
  <c r="B434" i="72" s="1"/>
  <c r="C434" i="72" a="1"/>
  <c r="C434" i="72" s="1"/>
  <c r="C192" i="72" a="1"/>
  <c r="C192" i="72" s="1"/>
  <c r="D192" i="72"/>
  <c r="B279" i="72" a="1"/>
  <c r="B279" i="72" s="1"/>
  <c r="D173" i="72"/>
  <c r="B417" i="72" a="1"/>
  <c r="B417" i="72" s="1"/>
  <c r="B173" i="72" a="1"/>
  <c r="B173" i="72" s="1"/>
  <c r="D216" i="72"/>
  <c r="C492" i="72" a="1"/>
  <c r="C492" i="72" s="1"/>
  <c r="D201" i="72"/>
  <c r="B170" i="72" a="1"/>
  <c r="B170" i="72" s="1"/>
  <c r="D189" i="72"/>
  <c r="D144" i="72"/>
  <c r="B473" i="72" a="1"/>
  <c r="B473" i="72" s="1"/>
  <c r="D290" i="72"/>
  <c r="D372" i="72"/>
  <c r="B336" i="72" a="1"/>
  <c r="B336" i="72" s="1"/>
  <c r="C356" i="72" a="1"/>
  <c r="C356" i="72" s="1"/>
  <c r="B411" i="72" a="1"/>
  <c r="B411" i="72" s="1"/>
  <c r="D353" i="72"/>
  <c r="B415" i="72" a="1"/>
  <c r="B415" i="72" s="1"/>
  <c r="C440" i="72" a="1"/>
  <c r="C440" i="72" s="1"/>
  <c r="C473" i="72" a="1"/>
  <c r="C473" i="72" s="1"/>
  <c r="B475" i="72" a="1"/>
  <c r="B475" i="72" s="1"/>
  <c r="C353" i="72" a="1"/>
  <c r="C353" i="72" s="1"/>
  <c r="D485" i="72"/>
  <c r="D204" i="72"/>
  <c r="B290" i="72" a="1"/>
  <c r="B290" i="72" s="1"/>
  <c r="C341" i="72" a="1"/>
  <c r="C341" i="72" s="1"/>
  <c r="D369" i="72"/>
  <c r="D235" i="72"/>
  <c r="B157" i="72" a="1"/>
  <c r="B157" i="72" s="1"/>
  <c r="C297" i="72" a="1"/>
  <c r="C297" i="72" s="1"/>
  <c r="C235" i="72" a="1"/>
  <c r="C235" i="72" s="1"/>
  <c r="D206" i="72"/>
  <c r="D474" i="72"/>
  <c r="C173" i="72" a="1"/>
  <c r="C173" i="72" s="1"/>
  <c r="D190" i="72"/>
  <c r="C310" i="72" a="1"/>
  <c r="C310" i="72" s="1"/>
  <c r="D218" i="72"/>
  <c r="B245" i="72" a="1"/>
  <c r="B245" i="72" s="1"/>
  <c r="B342" i="72" a="1"/>
  <c r="B342" i="72" s="1"/>
  <c r="D417" i="72"/>
  <c r="B201" i="72" a="1"/>
  <c r="B201" i="72" s="1"/>
  <c r="B218" i="72" a="1"/>
  <c r="B218" i="72" s="1"/>
  <c r="C296" i="72" a="1"/>
  <c r="C296" i="72" s="1"/>
  <c r="B425" i="72" a="1"/>
  <c r="B425" i="72" s="1"/>
  <c r="B383" i="72" a="1"/>
  <c r="B383" i="72" s="1"/>
  <c r="C403" i="72" a="1"/>
  <c r="C403" i="72" s="1"/>
  <c r="C218" i="72" a="1"/>
  <c r="C218" i="72" s="1"/>
  <c r="D261" i="72"/>
  <c r="B369" i="72" a="1"/>
  <c r="B369" i="72" s="1"/>
  <c r="B460" i="72" a="1"/>
  <c r="B460" i="72" s="1"/>
  <c r="C485" i="72" a="1"/>
  <c r="C485" i="72" s="1"/>
  <c r="B204" i="72" a="1"/>
  <c r="B204" i="72" s="1"/>
  <c r="D341" i="72"/>
  <c r="B128" i="72" a="1"/>
  <c r="B128" i="72" s="1"/>
  <c r="C122" i="72" a="1"/>
  <c r="C122" i="72" s="1"/>
  <c r="D279" i="72"/>
  <c r="C368" i="72" a="1"/>
  <c r="C368" i="72" s="1"/>
  <c r="B220" i="72" a="1"/>
  <c r="B220" i="72" s="1"/>
  <c r="D246" i="72"/>
  <c r="B261" i="72" a="1"/>
  <c r="B261" i="72" s="1"/>
  <c r="B159" i="72" a="1"/>
  <c r="B159" i="72" s="1"/>
  <c r="D340" i="72"/>
  <c r="C295" i="72" a="1"/>
  <c r="C295" i="72" s="1"/>
  <c r="B412" i="72" a="1"/>
  <c r="B412" i="72" s="1"/>
  <c r="D277" i="72"/>
  <c r="C412" i="72" a="1"/>
  <c r="C412" i="72" s="1"/>
  <c r="B403" i="72" a="1"/>
  <c r="B403" i="72" s="1"/>
  <c r="C336" i="72" a="1"/>
  <c r="C336" i="72" s="1"/>
  <c r="C475" i="72" a="1"/>
  <c r="C475" i="72" s="1"/>
  <c r="D295" i="72"/>
  <c r="D188" i="72"/>
  <c r="B424" i="72" a="1"/>
  <c r="B424" i="72" s="1"/>
  <c r="B291" i="72" a="1"/>
  <c r="B291" i="72" s="1"/>
  <c r="C191" i="72" a="1"/>
  <c r="C191" i="72" s="1"/>
  <c r="B461" i="72" a="1"/>
  <c r="B461" i="72" s="1"/>
  <c r="B295" i="72" a="1"/>
  <c r="B295" i="72" s="1"/>
  <c r="C399" i="72" a="1"/>
  <c r="C399" i="72" s="1"/>
  <c r="D145" i="72"/>
  <c r="D358" i="72"/>
  <c r="C245" i="72" a="1"/>
  <c r="C245" i="72" s="1"/>
  <c r="C201" i="72" a="1"/>
  <c r="C201" i="72" s="1"/>
  <c r="B255" i="72" a="1"/>
  <c r="B255" i="72" s="1"/>
  <c r="B216" i="72" a="1"/>
  <c r="B216" i="72" s="1"/>
  <c r="B429" i="72" a="1"/>
  <c r="B429" i="72" s="1"/>
  <c r="C438" i="72" a="1"/>
  <c r="C438" i="72" s="1"/>
  <c r="B232" i="72" a="1"/>
  <c r="B232" i="72" s="1"/>
  <c r="B485" i="72" a="1"/>
  <c r="B485" i="72" s="1"/>
  <c r="B144" i="72" a="1"/>
  <c r="B144" i="72" s="1"/>
  <c r="D427" i="72"/>
  <c r="B123" i="72" a="1"/>
  <c r="B123" i="72" s="1"/>
  <c r="D291" i="72"/>
  <c r="D233" i="72"/>
  <c r="D176" i="72"/>
  <c r="C217" i="72" a="1"/>
  <c r="C217" i="72" s="1"/>
  <c r="B190" i="72" a="1"/>
  <c r="B190" i="72" s="1"/>
  <c r="C291" i="72" a="1"/>
  <c r="C291" i="72" s="1"/>
  <c r="D347" i="72"/>
  <c r="B347" i="72" a="1"/>
  <c r="B347" i="72" s="1"/>
  <c r="D361" i="72"/>
  <c r="C361" i="72" a="1"/>
  <c r="C361" i="72" s="1"/>
  <c r="B361" i="72" a="1"/>
  <c r="B361" i="72" s="1"/>
  <c r="B114" i="72" a="1"/>
  <c r="B114" i="72" s="1"/>
  <c r="D114" i="72"/>
  <c r="D167" i="72"/>
  <c r="B479" i="72" a="1"/>
  <c r="B479" i="72" s="1"/>
  <c r="D479" i="72"/>
  <c r="C182" i="72" a="1"/>
  <c r="C182" i="72" s="1"/>
  <c r="B182" i="72" a="1"/>
  <c r="B182" i="72" s="1"/>
  <c r="B422" i="72" a="1"/>
  <c r="B422" i="72" s="1"/>
  <c r="C120" i="72" a="1"/>
  <c r="C120" i="72" s="1"/>
  <c r="C493" i="72" a="1"/>
  <c r="C493" i="72" s="1"/>
  <c r="B493" i="72" a="1"/>
  <c r="B493" i="72" s="1"/>
  <c r="D493" i="72"/>
  <c r="C478" i="72" a="1"/>
  <c r="C478" i="72" s="1"/>
  <c r="B463" i="72" a="1"/>
  <c r="B463" i="72" s="1"/>
  <c r="D463" i="72"/>
  <c r="C463" i="72" a="1"/>
  <c r="C463" i="72" s="1"/>
  <c r="D448" i="72"/>
  <c r="C448" i="72" a="1"/>
  <c r="C448" i="72" s="1"/>
  <c r="B448" i="72" a="1"/>
  <c r="B448" i="72" s="1"/>
  <c r="B333" i="72" a="1"/>
  <c r="B333" i="72" s="1"/>
  <c r="C333" i="72" a="1"/>
  <c r="C333" i="72" s="1"/>
  <c r="D317" i="72"/>
  <c r="B317" i="72" a="1"/>
  <c r="B317" i="72" s="1"/>
  <c r="C317" i="72" a="1"/>
  <c r="C317" i="72" s="1"/>
  <c r="D196" i="72"/>
  <c r="B196" i="72" a="1"/>
  <c r="B196" i="72" s="1"/>
  <c r="D165" i="72"/>
  <c r="B150" i="72" a="1"/>
  <c r="B150" i="72" s="1"/>
  <c r="D150" i="72"/>
  <c r="C150" i="72" a="1"/>
  <c r="C150" i="72" s="1"/>
  <c r="C422" i="72" a="1"/>
  <c r="C422" i="72" s="1"/>
  <c r="B478" i="72" a="1"/>
  <c r="B478" i="72" s="1"/>
  <c r="D299" i="72"/>
  <c r="D477" i="72"/>
  <c r="C477" i="72" a="1"/>
  <c r="C477" i="72" s="1"/>
  <c r="B477" i="72" a="1"/>
  <c r="B477" i="72" s="1"/>
  <c r="C447" i="72" a="1"/>
  <c r="C447" i="72" s="1"/>
  <c r="B447" i="72" a="1"/>
  <c r="B447" i="72" s="1"/>
  <c r="D301" i="72"/>
  <c r="C301" i="72" a="1"/>
  <c r="C301" i="72" s="1"/>
  <c r="B301" i="72" a="1"/>
  <c r="B301" i="72" s="1"/>
  <c r="D285" i="72"/>
  <c r="D239" i="72"/>
  <c r="D180" i="72"/>
  <c r="C164" i="72" a="1"/>
  <c r="C164" i="72" s="1"/>
  <c r="B164" i="72" a="1"/>
  <c r="B164" i="72" s="1"/>
  <c r="D164" i="72"/>
  <c r="C169" i="72" a="1"/>
  <c r="C169" i="72" s="1"/>
  <c r="B169" i="72" a="1"/>
  <c r="B169" i="72" s="1"/>
  <c r="D169" i="72"/>
  <c r="D153" i="72"/>
  <c r="C139" i="72" a="1"/>
  <c r="C139" i="72" s="1"/>
  <c r="B139" i="72" a="1"/>
  <c r="B139" i="72" s="1"/>
  <c r="A2" i="72" a="1"/>
  <c r="A2" i="72" s="1"/>
  <c r="D319" i="72"/>
  <c r="C242" i="72" a="1"/>
  <c r="C242" i="72" s="1"/>
  <c r="D242" i="72"/>
  <c r="D183" i="72"/>
  <c r="C183" i="72" a="1"/>
  <c r="C183" i="72" s="1"/>
  <c r="D449" i="72"/>
  <c r="C449" i="72" a="1"/>
  <c r="C449" i="72" s="1"/>
  <c r="D287" i="72"/>
  <c r="C287" i="72" a="1"/>
  <c r="C287" i="72" s="1"/>
  <c r="C151" i="72" a="1"/>
  <c r="C151" i="72" s="1"/>
  <c r="B151" i="72" a="1"/>
  <c r="B151" i="72" s="1"/>
  <c r="D151" i="72"/>
  <c r="D131" i="72"/>
  <c r="C131" i="72" a="1"/>
  <c r="C131" i="72" s="1"/>
  <c r="B131" i="72" a="1"/>
  <c r="B131" i="72" s="1"/>
  <c r="B334" i="72" a="1"/>
  <c r="B334" i="72" s="1"/>
  <c r="D491" i="72"/>
  <c r="C491" i="72" a="1"/>
  <c r="C491" i="72" s="1"/>
  <c r="B491" i="72" a="1"/>
  <c r="B491" i="72" s="1"/>
  <c r="B418" i="72" a="1"/>
  <c r="B418" i="72" s="1"/>
  <c r="B269" i="72" a="1"/>
  <c r="B269" i="72" s="1"/>
  <c r="C269" i="72" a="1"/>
  <c r="C269" i="72" s="1"/>
  <c r="D269" i="72"/>
  <c r="B148" i="72" a="1"/>
  <c r="B148" i="72" s="1"/>
  <c r="C148" i="72" a="1"/>
  <c r="C148" i="72" s="1"/>
  <c r="C461" i="72" a="1"/>
  <c r="C461" i="72" s="1"/>
  <c r="C153" i="72" a="1"/>
  <c r="C153" i="72" s="1"/>
  <c r="D388" i="72"/>
  <c r="C388" i="72" a="1"/>
  <c r="C388" i="72" s="1"/>
  <c r="C237" i="72" a="1"/>
  <c r="C237" i="72" s="1"/>
  <c r="B237" i="72" a="1"/>
  <c r="B237" i="72" s="1"/>
  <c r="B445" i="72" a="1"/>
  <c r="B445" i="72" s="1"/>
  <c r="C445" i="72" a="1"/>
  <c r="C445" i="72" s="1"/>
  <c r="D401" i="72"/>
  <c r="C401" i="72" a="1"/>
  <c r="C401" i="72" s="1"/>
  <c r="B374" i="72" a="1"/>
  <c r="B374" i="72" s="1"/>
  <c r="W7" i="70"/>
  <c r="D379" i="72"/>
  <c r="C288" i="72" a="1"/>
  <c r="C288" i="72" s="1"/>
  <c r="C213" i="72" a="1"/>
  <c r="C213" i="72" s="1"/>
  <c r="D213" i="72"/>
  <c r="C421" i="72" a="1"/>
  <c r="C421" i="72" s="1"/>
  <c r="B421" i="72" a="1"/>
  <c r="B421" i="72" s="1"/>
  <c r="D421" i="72"/>
  <c r="C476" i="72" a="1"/>
  <c r="C476" i="72" s="1"/>
  <c r="D476" i="72"/>
  <c r="D316" i="72"/>
  <c r="C316" i="72" a="1"/>
  <c r="C316" i="72" s="1"/>
  <c r="B284" i="72" a="1"/>
  <c r="B284" i="72" s="1"/>
  <c r="C284" i="72" a="1"/>
  <c r="C284" i="72" s="1"/>
  <c r="C254" i="72" a="1"/>
  <c r="C254" i="72" s="1"/>
  <c r="B254" i="72" a="1"/>
  <c r="B254" i="72" s="1"/>
  <c r="C152" i="72" a="1"/>
  <c r="C152" i="72" s="1"/>
  <c r="D490" i="72"/>
  <c r="B432" i="72" a="1"/>
  <c r="B432" i="72" s="1"/>
  <c r="C432" i="72" a="1"/>
  <c r="C432" i="72" s="1"/>
  <c r="D403" i="72"/>
  <c r="D305" i="72"/>
  <c r="C121" i="72" a="1"/>
  <c r="C121" i="72" s="1"/>
  <c r="D132" i="72"/>
  <c r="B132" i="72" a="1"/>
  <c r="B132" i="72" s="1"/>
  <c r="C132" i="72" a="1"/>
  <c r="C132" i="72" s="1"/>
  <c r="C488" i="72" a="1"/>
  <c r="C488" i="72" s="1"/>
  <c r="B488" i="72" a="1"/>
  <c r="B488" i="72" s="1"/>
  <c r="D488" i="72"/>
  <c r="D444" i="72"/>
  <c r="B197" i="72" a="1"/>
  <c r="B197" i="72" s="1"/>
  <c r="C197" i="72" a="1"/>
  <c r="C197" i="72" s="1"/>
  <c r="B153" i="72" a="1"/>
  <c r="B153" i="72" s="1"/>
  <c r="B121" i="72" a="1"/>
  <c r="B121" i="72" s="1"/>
  <c r="D422" i="72"/>
  <c r="B165" i="72" a="1"/>
  <c r="B165" i="72" s="1"/>
  <c r="B487" i="72" a="1"/>
  <c r="B487" i="72" s="1"/>
  <c r="C487" i="72" a="1"/>
  <c r="C487" i="72" s="1"/>
  <c r="B188" i="72" a="1"/>
  <c r="B188" i="72" s="1"/>
  <c r="B452" i="72" a="1"/>
  <c r="B452" i="72" s="1"/>
  <c r="D429" i="72"/>
  <c r="D356" i="72"/>
  <c r="D342" i="72"/>
  <c r="D156" i="72"/>
  <c r="B338" i="72" a="1"/>
  <c r="B338" i="72" s="1"/>
  <c r="D160" i="72"/>
  <c r="C176" i="72" a="1"/>
  <c r="C176" i="72" s="1"/>
  <c r="B222" i="72" a="1"/>
  <c r="B222" i="72" s="1"/>
  <c r="C342" i="72" a="1"/>
  <c r="C342" i="72" s="1"/>
  <c r="B343" i="72" a="1"/>
  <c r="B343" i="72" s="1"/>
  <c r="D498" i="72"/>
  <c r="D457" i="72"/>
  <c r="D344" i="72"/>
  <c r="C338" i="72" a="1"/>
  <c r="C338" i="72" s="1"/>
  <c r="C415" i="72" a="1"/>
  <c r="C415" i="72" s="1"/>
  <c r="B457" i="72" a="1"/>
  <c r="B457" i="72" s="1"/>
  <c r="B145" i="72" a="1"/>
  <c r="B145" i="72" s="1"/>
  <c r="B384" i="72" a="1"/>
  <c r="B384" i="72" s="1"/>
  <c r="B206" i="72" a="1"/>
  <c r="B206" i="72" s="1"/>
  <c r="B455" i="72" a="1"/>
  <c r="B455" i="72" s="1"/>
  <c r="D326" i="72"/>
  <c r="C498" i="72" a="1"/>
  <c r="C498" i="72" s="1"/>
  <c r="B499" i="72" a="1"/>
  <c r="B499" i="72" s="1"/>
  <c r="D175" i="72"/>
  <c r="B156" i="72" a="1"/>
  <c r="B156" i="72" s="1"/>
  <c r="D413" i="72"/>
  <c r="B192" i="72" a="1"/>
  <c r="B192" i="72" s="1"/>
  <c r="B298" i="72" a="1"/>
  <c r="B298" i="72" s="1"/>
  <c r="C455" i="72" a="1"/>
  <c r="C455" i="72" s="1"/>
  <c r="B126" i="72" a="1"/>
  <c r="B126" i="72" s="1"/>
  <c r="D424" i="72"/>
  <c r="C424" i="72" a="1"/>
  <c r="C424" i="72" s="1"/>
  <c r="D23" i="11"/>
  <c r="V23" i="11"/>
  <c r="V3" i="11"/>
  <c r="M3" i="11"/>
  <c r="M23" i="11"/>
  <c r="D454" i="72"/>
  <c r="B454" i="72" a="1"/>
  <c r="B454" i="72" s="1"/>
  <c r="C454" i="72" a="1"/>
  <c r="C454" i="72" s="1"/>
  <c r="D311" i="72"/>
  <c r="C397" i="72" a="1"/>
  <c r="C397" i="72" s="1"/>
  <c r="B397" i="72" a="1"/>
  <c r="B397" i="72" s="1"/>
  <c r="B118" i="72" a="1"/>
  <c r="B118" i="72" s="1"/>
  <c r="C118" i="72" a="1"/>
  <c r="C118" i="72" s="1"/>
  <c r="D293" i="72"/>
  <c r="B293" i="72" a="1"/>
  <c r="B293" i="72" s="1"/>
  <c r="C408" i="72" a="1"/>
  <c r="C408" i="72" s="1"/>
  <c r="D408" i="72"/>
  <c r="D351" i="72"/>
  <c r="C351" i="72" a="1"/>
  <c r="C351" i="72" s="1"/>
  <c r="B351" i="72" a="1"/>
  <c r="B351" i="72" s="1"/>
  <c r="B117" i="72" a="1"/>
  <c r="B117" i="72" s="1"/>
  <c r="C117" i="72" a="1"/>
  <c r="C117" i="72" s="1"/>
  <c r="D117" i="72"/>
  <c r="C306" i="72" a="1"/>
  <c r="C306" i="72" s="1"/>
  <c r="D306" i="72"/>
  <c r="B320" i="72" a="1"/>
  <c r="B320" i="72" s="1"/>
  <c r="B273" i="72" a="1"/>
  <c r="B273" i="72" s="1"/>
  <c r="C273" i="72" a="1"/>
  <c r="C273" i="72" s="1"/>
  <c r="D185" i="72"/>
  <c r="C391" i="72" a="1"/>
  <c r="C391" i="72" s="1"/>
  <c r="D391" i="72"/>
  <c r="B391" i="72" a="1"/>
  <c r="B391" i="72" s="1"/>
  <c r="C304" i="72" a="1"/>
  <c r="C304" i="72" s="1"/>
  <c r="B304" i="72" a="1"/>
  <c r="B304" i="72" s="1"/>
  <c r="D304" i="72"/>
  <c r="C318" i="72" a="1"/>
  <c r="C318" i="72" s="1"/>
  <c r="B318" i="72" a="1"/>
  <c r="B318" i="72" s="1"/>
  <c r="D318" i="72"/>
  <c r="D198" i="72"/>
  <c r="C198" i="72" a="1"/>
  <c r="C198" i="72" s="1"/>
  <c r="D409" i="72"/>
  <c r="C409" i="72" a="1"/>
  <c r="C409" i="72" s="1"/>
  <c r="B409" i="72" a="1"/>
  <c r="B409" i="72" s="1"/>
  <c r="D270" i="72"/>
  <c r="C270" i="72" a="1"/>
  <c r="C270" i="72" s="1"/>
  <c r="B270" i="72" a="1"/>
  <c r="B270" i="72" s="1"/>
  <c r="B330" i="72" a="1"/>
  <c r="B330" i="72" s="1"/>
  <c r="B211" i="72" a="1"/>
  <c r="B211" i="72" s="1"/>
  <c r="D211" i="72"/>
  <c r="C211" i="72" a="1"/>
  <c r="C211" i="72" s="1"/>
  <c r="B430" i="72" a="1"/>
  <c r="B430" i="72" s="1"/>
  <c r="C315" i="72" a="1"/>
  <c r="C315" i="72" s="1"/>
  <c r="D283" i="72"/>
  <c r="D386" i="72"/>
  <c r="C386" i="72" a="1"/>
  <c r="C386" i="72" s="1"/>
  <c r="D357" i="72"/>
  <c r="B357" i="72" a="1"/>
  <c r="B357" i="72" s="1"/>
  <c r="C357" i="72" a="1"/>
  <c r="C357" i="72" s="1"/>
  <c r="C221" i="72" a="1"/>
  <c r="C221" i="72" s="1"/>
  <c r="D221" i="72"/>
  <c r="B221" i="72" a="1"/>
  <c r="B221" i="72" s="1"/>
  <c r="B441" i="72" a="1"/>
  <c r="B441" i="72" s="1"/>
  <c r="D441" i="72"/>
  <c r="C441" i="72" a="1"/>
  <c r="C441" i="72" s="1"/>
  <c r="C335" i="72" a="1"/>
  <c r="C335" i="72" s="1"/>
  <c r="C158" i="72" a="1"/>
  <c r="C158" i="72" s="1"/>
  <c r="B189" i="72" a="1"/>
  <c r="B189" i="72" s="1"/>
  <c r="C126" i="72" a="1"/>
  <c r="C126" i="72" s="1"/>
  <c r="D478" i="72"/>
  <c r="D339" i="72"/>
  <c r="D255" i="72"/>
  <c r="D231" i="72"/>
  <c r="B310" i="72" a="1"/>
  <c r="B310" i="72" s="1"/>
  <c r="C418" i="72" a="1"/>
  <c r="C418" i="72" s="1"/>
  <c r="C156" i="72" a="1"/>
  <c r="C156" i="72" s="1"/>
  <c r="B227" i="72" a="1"/>
  <c r="B227" i="72" s="1"/>
  <c r="C157" i="72" a="1"/>
  <c r="C157" i="72" s="1"/>
  <c r="B414" i="72" a="1"/>
  <c r="B414" i="72" s="1"/>
  <c r="C334" i="72" a="1"/>
  <c r="C334" i="72" s="1"/>
  <c r="C414" i="72" a="1"/>
  <c r="C414" i="72" s="1"/>
  <c r="C378" i="72" a="1"/>
  <c r="C378" i="72" s="1"/>
  <c r="D362" i="72"/>
  <c r="C174" i="72" a="1"/>
  <c r="C174" i="72" s="1"/>
  <c r="D405" i="72"/>
  <c r="D414" i="72"/>
  <c r="D349" i="72"/>
  <c r="D229" i="72"/>
  <c r="B160" i="72" a="1"/>
  <c r="B160" i="72" s="1"/>
  <c r="B167" i="72" a="1"/>
  <c r="B167" i="72" s="1"/>
  <c r="C362" i="72" a="1"/>
  <c r="C362" i="72" s="1"/>
  <c r="B174" i="72" a="1"/>
  <c r="B174" i="72" s="1"/>
  <c r="B428" i="72" a="1"/>
  <c r="B428" i="72" s="1"/>
  <c r="D466" i="72"/>
  <c r="D453" i="72"/>
  <c r="D282" i="72"/>
  <c r="D240" i="72"/>
  <c r="C446" i="72" a="1"/>
  <c r="C446" i="72" s="1"/>
  <c r="B208" i="72" a="1"/>
  <c r="B208" i="72" s="1"/>
  <c r="C167" i="72" a="1"/>
  <c r="C167" i="72" s="1"/>
  <c r="B344" i="72" a="1"/>
  <c r="B344" i="72" s="1"/>
  <c r="C323" i="72" a="1"/>
  <c r="C323" i="72" s="1"/>
  <c r="B337" i="72" a="1"/>
  <c r="B337" i="72" s="1"/>
  <c r="B309" i="72" a="1"/>
  <c r="B309" i="72" s="1"/>
  <c r="B362" i="72" a="1"/>
  <c r="B362" i="72" s="1"/>
  <c r="D393" i="72"/>
  <c r="D337" i="72"/>
  <c r="B260" i="72" a="1"/>
  <c r="B260" i="72" s="1"/>
  <c r="C208" i="72" a="1"/>
  <c r="C208" i="72" s="1"/>
  <c r="C171" i="72" a="1"/>
  <c r="C171" i="72" s="1"/>
  <c r="C347" i="72" a="1"/>
  <c r="C347" i="72" s="1"/>
  <c r="C189" i="72" a="1"/>
  <c r="C189" i="72" s="1"/>
  <c r="D487" i="72"/>
  <c r="D389" i="72"/>
  <c r="D254" i="72"/>
  <c r="B226" i="72" a="1"/>
  <c r="B226" i="72" s="1"/>
  <c r="B466" i="72" a="1"/>
  <c r="B466" i="72" s="1"/>
  <c r="B375" i="72" a="1"/>
  <c r="B375" i="72" s="1"/>
  <c r="C116" i="72" a="1"/>
  <c r="C116" i="72" s="1"/>
  <c r="D375" i="72"/>
  <c r="D268" i="72"/>
  <c r="C281" i="72" a="1"/>
  <c r="C281" i="72" s="1"/>
  <c r="C226" i="72" a="1"/>
  <c r="C226" i="72" s="1"/>
  <c r="B200" i="72" a="1"/>
  <c r="B200" i="72" s="1"/>
  <c r="B360" i="72" a="1"/>
  <c r="B360" i="72" s="1"/>
  <c r="B387" i="72" a="1"/>
  <c r="B387" i="72" s="1"/>
  <c r="C428" i="72" a="1"/>
  <c r="C428" i="72" s="1"/>
  <c r="B116" i="72" a="1"/>
  <c r="B116" i="72" s="1"/>
  <c r="D432" i="72"/>
  <c r="C200" i="72" a="1"/>
  <c r="C200" i="72" s="1"/>
  <c r="C360" i="72" a="1"/>
  <c r="C360" i="72" s="1"/>
  <c r="D297" i="72"/>
  <c r="D127" i="72"/>
  <c r="C127" i="72" a="1"/>
  <c r="C127" i="72" s="1"/>
  <c r="B335" i="72" a="1"/>
  <c r="B335" i="72" s="1"/>
  <c r="D158" i="72"/>
  <c r="D468" i="72"/>
  <c r="D334" i="72"/>
  <c r="D309" i="72"/>
  <c r="C225" i="72" a="1"/>
  <c r="C225" i="72" s="1"/>
  <c r="B486" i="72" a="1"/>
  <c r="B486" i="72" s="1"/>
  <c r="D143" i="72"/>
  <c r="B112" i="72" a="1"/>
  <c r="B112" i="72" s="1"/>
  <c r="D296" i="72"/>
  <c r="D226" i="72"/>
  <c r="B203" i="72" a="1"/>
  <c r="B203" i="72" s="1"/>
  <c r="B240" i="72" a="1"/>
  <c r="B240" i="72" s="1"/>
  <c r="C349" i="72" a="1"/>
  <c r="C349" i="72" s="1"/>
  <c r="B158" i="72" a="1"/>
  <c r="B158" i="72" s="1"/>
  <c r="D142" i="72"/>
  <c r="D473" i="72"/>
  <c r="D250" i="72"/>
  <c r="C203" i="72" a="1"/>
  <c r="C203" i="72" s="1"/>
  <c r="B405" i="72" a="1"/>
  <c r="B405" i="72" s="1"/>
  <c r="B213" i="72" a="1"/>
  <c r="B213" i="72" s="1"/>
  <c r="D128" i="72"/>
  <c r="D257" i="72"/>
  <c r="C257" i="72" a="1"/>
  <c r="C257" i="72" s="1"/>
  <c r="B257" i="72" a="1"/>
  <c r="B257" i="72" s="1"/>
  <c r="C497" i="72" a="1"/>
  <c r="C497" i="72" s="1"/>
  <c r="B497" i="72" a="1"/>
  <c r="B497" i="72" s="1"/>
  <c r="D497" i="72"/>
  <c r="C402" i="72" a="1"/>
  <c r="C402" i="72" s="1"/>
  <c r="B402" i="72" a="1"/>
  <c r="B402" i="72" s="1"/>
  <c r="D402" i="72"/>
  <c r="D378" i="72"/>
  <c r="D322" i="72"/>
  <c r="C322" i="72" a="1"/>
  <c r="C322" i="72" s="1"/>
  <c r="B322" i="72" a="1"/>
  <c r="B322" i="72" s="1"/>
  <c r="D256" i="72"/>
  <c r="C256" i="72" a="1"/>
  <c r="C256" i="72" s="1"/>
  <c r="B256" i="72" a="1"/>
  <c r="B256" i="72" s="1"/>
  <c r="D440" i="72"/>
  <c r="D377" i="72"/>
  <c r="C377" i="72" a="1"/>
  <c r="C377" i="72" s="1"/>
  <c r="B377" i="72" a="1"/>
  <c r="B377" i="72" s="1"/>
  <c r="B321" i="72" a="1"/>
  <c r="B321" i="72" s="1"/>
  <c r="D321" i="72"/>
  <c r="D202" i="72"/>
  <c r="C202" i="72" a="1"/>
  <c r="C202" i="72" s="1"/>
  <c r="B202" i="72" a="1"/>
  <c r="B202" i="72" s="1"/>
  <c r="D119" i="72"/>
  <c r="C119" i="72" a="1"/>
  <c r="C119" i="72" s="1"/>
  <c r="B119" i="72" a="1"/>
  <c r="B119" i="72" s="1"/>
  <c r="D214" i="72"/>
  <c r="C214" i="72" a="1"/>
  <c r="C214" i="72" s="1"/>
  <c r="B214" i="72" a="1"/>
  <c r="B214" i="72" s="1"/>
  <c r="D172" i="72"/>
  <c r="C172" i="72" a="1"/>
  <c r="C172" i="72" s="1"/>
  <c r="B172" i="72" a="1"/>
  <c r="B172" i="72" s="1"/>
  <c r="C124" i="72" a="1"/>
  <c r="C124" i="72" s="1"/>
  <c r="C426" i="72" a="1"/>
  <c r="C426" i="72" s="1"/>
  <c r="D426" i="72"/>
  <c r="B426" i="72" a="1"/>
  <c r="B426" i="72" s="1"/>
  <c r="D400" i="72"/>
  <c r="C400" i="72" a="1"/>
  <c r="C400" i="72" s="1"/>
  <c r="B400" i="72" a="1"/>
  <c r="B400" i="72" s="1"/>
  <c r="C332" i="72" a="1"/>
  <c r="C332" i="72" s="1"/>
  <c r="B332" i="72" a="1"/>
  <c r="B332" i="72" s="1"/>
  <c r="D332" i="72"/>
  <c r="C267" i="72" a="1"/>
  <c r="C267" i="72" s="1"/>
  <c r="B267" i="72" a="1"/>
  <c r="B267" i="72" s="1"/>
  <c r="D267" i="72"/>
  <c r="C186" i="72" a="1"/>
  <c r="C186" i="72" s="1"/>
  <c r="D186" i="72"/>
  <c r="B186" i="72" a="1"/>
  <c r="B186" i="72" s="1"/>
  <c r="D155" i="72"/>
  <c r="C155" i="72" a="1"/>
  <c r="C155" i="72" s="1"/>
  <c r="B155" i="72" a="1"/>
  <c r="B155" i="72" s="1"/>
  <c r="C115" i="72" a="1"/>
  <c r="C115" i="72" s="1"/>
  <c r="C331" i="72" a="1"/>
  <c r="C331" i="72" s="1"/>
  <c r="B331" i="72" a="1"/>
  <c r="B331" i="72" s="1"/>
  <c r="D331" i="72"/>
  <c r="C154" i="72" a="1"/>
  <c r="C154" i="72" s="1"/>
  <c r="B154" i="72" a="1"/>
  <c r="B154" i="72" s="1"/>
  <c r="D154" i="72"/>
  <c r="D236" i="72"/>
  <c r="C236" i="72" a="1"/>
  <c r="C236" i="72" s="1"/>
  <c r="B236" i="72" a="1"/>
  <c r="B236" i="72" s="1"/>
  <c r="B212" i="72" a="1"/>
  <c r="B212" i="72" s="1"/>
  <c r="D212" i="72"/>
  <c r="D136" i="72"/>
  <c r="B136" i="72" a="1"/>
  <c r="B136" i="72" s="1"/>
  <c r="C113" i="72" a="1"/>
  <c r="C113" i="72" s="1"/>
  <c r="D113" i="72"/>
  <c r="C292" i="72" a="1"/>
  <c r="C292" i="72" s="1"/>
  <c r="B292" i="72" a="1"/>
  <c r="B292" i="72" s="1"/>
  <c r="D292" i="72"/>
  <c r="B265" i="72" a="1"/>
  <c r="B265" i="72" s="1"/>
  <c r="D265" i="72"/>
  <c r="C265" i="72" a="1"/>
  <c r="C265" i="72" s="1"/>
  <c r="D168" i="72"/>
  <c r="C168" i="72" a="1"/>
  <c r="C168" i="72" s="1"/>
  <c r="B168" i="72" a="1"/>
  <c r="B168" i="72" s="1"/>
  <c r="C114" i="72" a="1"/>
  <c r="C114" i="72" s="1"/>
  <c r="C462" i="72" a="1"/>
  <c r="C462" i="72" s="1"/>
  <c r="B462" i="72" a="1"/>
  <c r="B462" i="72" s="1"/>
  <c r="D385" i="72"/>
  <c r="C385" i="72" a="1"/>
  <c r="C385" i="72" s="1"/>
  <c r="B385" i="72" a="1"/>
  <c r="B385" i="72" s="1"/>
  <c r="C264" i="72" a="1"/>
  <c r="C264" i="72" s="1"/>
  <c r="B264" i="72" a="1"/>
  <c r="B264" i="72" s="1"/>
  <c r="D264" i="72"/>
  <c r="B134" i="72" a="1"/>
  <c r="B134" i="72" s="1"/>
  <c r="C134" i="72" a="1"/>
  <c r="C134" i="72" s="1"/>
  <c r="D343" i="72"/>
  <c r="C275" i="72" a="1"/>
  <c r="C275" i="72" s="1"/>
  <c r="D275" i="72"/>
  <c r="B275" i="72" a="1"/>
  <c r="B275" i="72" s="1"/>
  <c r="B327" i="72" a="1"/>
  <c r="B327" i="72" s="1"/>
  <c r="C327" i="72" a="1"/>
  <c r="C327" i="72" s="1"/>
  <c r="D327" i="72"/>
  <c r="B316" i="72" a="1"/>
  <c r="B316" i="72" s="1"/>
  <c r="C274" i="72" a="1"/>
  <c r="C274" i="72" s="1"/>
  <c r="B274" i="72" a="1"/>
  <c r="B274" i="72" s="1"/>
  <c r="D274" i="72"/>
  <c r="D234" i="72"/>
  <c r="D195" i="72"/>
  <c r="C195" i="72" a="1"/>
  <c r="C195" i="72" s="1"/>
  <c r="B195" i="72" a="1"/>
  <c r="B195" i="72" s="1"/>
  <c r="C181" i="72" a="1"/>
  <c r="C181" i="72" s="1"/>
  <c r="D181" i="72"/>
  <c r="B181" i="72" a="1"/>
  <c r="B181" i="72" s="1"/>
  <c r="C303" i="72" a="1"/>
  <c r="C303" i="72" s="1"/>
  <c r="B303" i="72" a="1"/>
  <c r="B303" i="72" s="1"/>
  <c r="D303" i="72"/>
  <c r="C262" i="72" a="1"/>
  <c r="C262" i="72" s="1"/>
  <c r="B262" i="72" a="1"/>
  <c r="B262" i="72" s="1"/>
  <c r="D262" i="72"/>
  <c r="C209" i="72" a="1"/>
  <c r="C209" i="72" s="1"/>
  <c r="B209" i="72" a="1"/>
  <c r="B209" i="72" s="1"/>
  <c r="D209" i="72"/>
  <c r="D302" i="72"/>
  <c r="C302" i="72" a="1"/>
  <c r="C302" i="72" s="1"/>
  <c r="B302" i="72" a="1"/>
  <c r="B302" i="72" s="1"/>
  <c r="D193" i="72"/>
  <c r="C193" i="72" a="1"/>
  <c r="C193" i="72" s="1"/>
  <c r="B193" i="72" a="1"/>
  <c r="B193" i="72" s="1"/>
  <c r="C179" i="72" a="1"/>
  <c r="C179" i="72" s="1"/>
  <c r="B179" i="72" a="1"/>
  <c r="B179" i="72" s="1"/>
  <c r="D179" i="72"/>
  <c r="C163" i="72" a="1"/>
  <c r="C163" i="72" s="1"/>
  <c r="B163" i="72" a="1"/>
  <c r="B163" i="72" s="1"/>
  <c r="D163" i="72"/>
  <c r="B130" i="72" a="1"/>
  <c r="B130" i="72" s="1"/>
  <c r="C130" i="72" a="1"/>
  <c r="C130" i="72" s="1"/>
  <c r="B500" i="72" a="1"/>
  <c r="B500" i="72" s="1"/>
  <c r="D352" i="72"/>
  <c r="C352" i="72" a="1"/>
  <c r="C352" i="72" s="1"/>
  <c r="B352" i="72" a="1"/>
  <c r="B352" i="72" s="1"/>
  <c r="D314" i="72"/>
  <c r="C314" i="72" a="1"/>
  <c r="C314" i="72" s="1"/>
  <c r="B314" i="72" a="1"/>
  <c r="B314" i="72" s="1"/>
  <c r="D286" i="72"/>
  <c r="C286" i="72" a="1"/>
  <c r="C286" i="72" s="1"/>
  <c r="B286" i="72" a="1"/>
  <c r="B286" i="72" s="1"/>
  <c r="D207" i="72"/>
  <c r="C207" i="72" a="1"/>
  <c r="C207" i="72" s="1"/>
  <c r="B207" i="72" a="1"/>
  <c r="B207" i="72" s="1"/>
  <c r="D162" i="72"/>
  <c r="C162" i="72" a="1"/>
  <c r="C162" i="72" s="1"/>
  <c r="D471" i="72"/>
  <c r="C471" i="72" a="1"/>
  <c r="C471" i="72" s="1"/>
  <c r="B471" i="72" a="1"/>
  <c r="B471" i="72" s="1"/>
  <c r="B380" i="72" a="1"/>
  <c r="B380" i="72" s="1"/>
  <c r="D380" i="72"/>
  <c r="D365" i="72"/>
  <c r="C300" i="72" a="1"/>
  <c r="C300" i="72" s="1"/>
  <c r="D300" i="72"/>
  <c r="B300" i="72" a="1"/>
  <c r="B300" i="72" s="1"/>
  <c r="D230" i="72"/>
  <c r="C230" i="72" a="1"/>
  <c r="C230" i="72" s="1"/>
  <c r="B230" i="72" a="1"/>
  <c r="B230" i="72" s="1"/>
  <c r="D129" i="72"/>
  <c r="C129" i="72" a="1"/>
  <c r="C129" i="72" s="1"/>
  <c r="B129" i="72" a="1"/>
  <c r="B129" i="72" s="1"/>
  <c r="C312" i="72" a="1"/>
  <c r="C312" i="72" s="1"/>
  <c r="B312" i="72" a="1"/>
  <c r="B312" i="72" s="1"/>
  <c r="C271" i="72" a="1"/>
  <c r="C271" i="72" s="1"/>
  <c r="B271" i="72" a="1"/>
  <c r="B271" i="72" s="1"/>
  <c r="D271" i="72"/>
  <c r="B258" i="72" a="1"/>
  <c r="B258" i="72" s="1"/>
  <c r="D258" i="72"/>
  <c r="C258" i="72" a="1"/>
  <c r="C258" i="72" s="1"/>
  <c r="C205" i="72" a="1"/>
  <c r="C205" i="72" s="1"/>
  <c r="B205" i="72" a="1"/>
  <c r="B205" i="72" s="1"/>
  <c r="D205" i="72"/>
  <c r="D486" i="72"/>
  <c r="D472" i="72"/>
  <c r="D460" i="72"/>
  <c r="D374" i="72"/>
  <c r="D329" i="72"/>
  <c r="D281" i="72"/>
  <c r="D227" i="72"/>
  <c r="B210" i="72" a="1"/>
  <c r="B210" i="72" s="1"/>
  <c r="B299" i="72" a="1"/>
  <c r="B299" i="72" s="1"/>
  <c r="C430" i="72" a="1"/>
  <c r="C430" i="72" s="1"/>
  <c r="B469" i="72" a="1"/>
  <c r="B469" i="72" s="1"/>
  <c r="B459" i="72" a="1"/>
  <c r="B459" i="72" s="1"/>
  <c r="B311" i="72" a="1"/>
  <c r="B311" i="72" s="1"/>
  <c r="D482" i="72"/>
  <c r="D435" i="72"/>
  <c r="D280" i="72"/>
  <c r="D243" i="72"/>
  <c r="B468" i="72" a="1"/>
  <c r="B468" i="72" s="1"/>
  <c r="B285" i="72" a="1"/>
  <c r="B285" i="72" s="1"/>
  <c r="C299" i="72" a="1"/>
  <c r="C299" i="72" s="1"/>
  <c r="B433" i="72" a="1"/>
  <c r="B433" i="72" s="1"/>
  <c r="B251" i="72" a="1"/>
  <c r="B251" i="72" s="1"/>
  <c r="B339" i="72" a="1"/>
  <c r="B339" i="72" s="1"/>
  <c r="B396" i="72" a="1"/>
  <c r="B396" i="72" s="1"/>
  <c r="C320" i="72" a="1"/>
  <c r="C320" i="72" s="1"/>
  <c r="B408" i="72" a="1"/>
  <c r="B408" i="72" s="1"/>
  <c r="C472" i="72" a="1"/>
  <c r="C472" i="72" s="1"/>
  <c r="B358" i="72" a="1"/>
  <c r="B358" i="72" s="1"/>
  <c r="B241" i="72" a="1"/>
  <c r="B241" i="72" s="1"/>
  <c r="B319" i="72" a="1"/>
  <c r="B319" i="72" s="1"/>
  <c r="C459" i="72" a="1"/>
  <c r="C459" i="72" s="1"/>
  <c r="C311" i="72" a="1"/>
  <c r="C311" i="72" s="1"/>
  <c r="D328" i="72"/>
  <c r="D367" i="72"/>
  <c r="D272" i="72"/>
  <c r="D219" i="72"/>
  <c r="B185" i="72" a="1"/>
  <c r="B185" i="72" s="1"/>
  <c r="C210" i="72" a="1"/>
  <c r="C210" i="72" s="1"/>
  <c r="B249" i="72" a="1"/>
  <c r="B249" i="72" s="1"/>
  <c r="B306" i="72" a="1"/>
  <c r="B306" i="72" s="1"/>
  <c r="B354" i="72" a="1"/>
  <c r="B354" i="72" s="1"/>
  <c r="C433" i="72" a="1"/>
  <c r="C433" i="72" s="1"/>
  <c r="C194" i="72" a="1"/>
  <c r="C194" i="72" s="1"/>
  <c r="C251" i="72" a="1"/>
  <c r="C251" i="72" s="1"/>
  <c r="C339" i="72" a="1"/>
  <c r="C339" i="72" s="1"/>
  <c r="B328" i="72" a="1"/>
  <c r="B328" i="72" s="1"/>
  <c r="B283" i="72" a="1"/>
  <c r="B283" i="72" s="1"/>
  <c r="C241" i="72" a="1"/>
  <c r="C241" i="72" s="1"/>
  <c r="B458" i="72" a="1"/>
  <c r="B458" i="72" s="1"/>
  <c r="D324" i="72"/>
  <c r="D323" i="72"/>
  <c r="D288" i="72"/>
  <c r="D263" i="72"/>
  <c r="D215" i="72"/>
  <c r="D182" i="72"/>
  <c r="D210" i="72"/>
  <c r="C249" i="72" a="1"/>
  <c r="C249" i="72" s="1"/>
  <c r="C285" i="72" a="1"/>
  <c r="C285" i="72" s="1"/>
  <c r="C354" i="72" a="1"/>
  <c r="C354" i="72" s="1"/>
  <c r="B272" i="72" a="1"/>
  <c r="B272" i="72" s="1"/>
  <c r="C328" i="72" a="1"/>
  <c r="C328" i="72" s="1"/>
  <c r="C376" i="72" a="1"/>
  <c r="C376" i="72" s="1"/>
  <c r="B482" i="72" a="1"/>
  <c r="B482" i="72" s="1"/>
  <c r="C283" i="72" a="1"/>
  <c r="C283" i="72" s="1"/>
  <c r="C458" i="72" a="1"/>
  <c r="C458" i="72" s="1"/>
  <c r="B280" i="72" a="1"/>
  <c r="B280" i="72" s="1"/>
  <c r="C319" i="72" a="1"/>
  <c r="C319" i="72" s="1"/>
  <c r="D489" i="72"/>
  <c r="D419" i="72"/>
  <c r="D397" i="72"/>
  <c r="D320" i="72"/>
  <c r="D354" i="72"/>
  <c r="D284" i="72"/>
  <c r="D244" i="72"/>
  <c r="D273" i="72"/>
  <c r="C185" i="72" a="1"/>
  <c r="C185" i="72" s="1"/>
  <c r="B217" i="72" a="1"/>
  <c r="B217" i="72" s="1"/>
  <c r="B253" i="72" a="1"/>
  <c r="B253" i="72" s="1"/>
  <c r="B446" i="72" a="1"/>
  <c r="B446" i="72" s="1"/>
  <c r="B194" i="72" a="1"/>
  <c r="B194" i="72" s="1"/>
  <c r="B350" i="72" a="1"/>
  <c r="B350" i="72" s="1"/>
  <c r="C243" i="72" a="1"/>
  <c r="C243" i="72" s="1"/>
  <c r="B289" i="72" a="1"/>
  <c r="B289" i="72" s="1"/>
  <c r="B177" i="72" a="1"/>
  <c r="B177" i="72" s="1"/>
  <c r="C374" i="72" a="1"/>
  <c r="C374" i="72" s="1"/>
  <c r="D481" i="72"/>
  <c r="D315" i="72"/>
  <c r="D350" i="72"/>
  <c r="D266" i="72"/>
  <c r="B288" i="72" a="1"/>
  <c r="B288" i="72" s="1"/>
  <c r="C350" i="72" a="1"/>
  <c r="C350" i="72" s="1"/>
  <c r="B386" i="72" a="1"/>
  <c r="B386" i="72" s="1"/>
  <c r="D442" i="72"/>
  <c r="D307" i="72"/>
  <c r="B219" i="72" a="1"/>
  <c r="B219" i="72" s="1"/>
  <c r="B307" i="72" a="1"/>
  <c r="B307" i="72" s="1"/>
  <c r="B389" i="72" a="1"/>
  <c r="B389" i="72" s="1"/>
  <c r="B367" i="72" a="1"/>
  <c r="B367" i="72" s="1"/>
  <c r="D484" i="72"/>
  <c r="D445" i="72"/>
  <c r="C398" i="72" a="1"/>
  <c r="C398" i="72" s="1"/>
  <c r="C219" i="72" a="1"/>
  <c r="C219" i="72" s="1"/>
  <c r="C307" i="72" a="1"/>
  <c r="C307" i="72" s="1"/>
  <c r="C293" i="72" a="1"/>
  <c r="C293" i="72" s="1"/>
  <c r="B294" i="72" a="1"/>
  <c r="B294" i="72" s="1"/>
  <c r="D376" i="72"/>
  <c r="D330" i="72"/>
  <c r="B224" i="72" a="1"/>
  <c r="B224" i="72" s="1"/>
  <c r="B401" i="72" a="1"/>
  <c r="B401" i="72" s="1"/>
  <c r="B481" i="72" a="1"/>
  <c r="B481" i="72" s="1"/>
  <c r="C469" i="72" a="1"/>
  <c r="C469" i="72" s="1"/>
  <c r="B244" i="72" a="1"/>
  <c r="B244" i="72" s="1"/>
  <c r="C294" i="72" a="1"/>
  <c r="C294" i="72" s="1"/>
  <c r="B373" i="72" a="1"/>
  <c r="B373" i="72" s="1"/>
  <c r="C224" i="72" a="1"/>
  <c r="C224" i="72" s="1"/>
  <c r="B215" i="72" a="1"/>
  <c r="B215" i="72" s="1"/>
  <c r="B315" i="72" a="1"/>
  <c r="B315" i="72" s="1"/>
  <c r="C324" i="72" a="1"/>
  <c r="C324" i="72" s="1"/>
  <c r="C373" i="72" a="1"/>
  <c r="C373" i="72" s="1"/>
  <c r="D430" i="72"/>
  <c r="D398" i="72"/>
  <c r="D224" i="72"/>
  <c r="C330" i="72" a="1"/>
  <c r="C330" i="72" s="1"/>
  <c r="B266" i="72" a="1"/>
  <c r="B266" i="72" s="1"/>
  <c r="D387" i="72"/>
  <c r="D177" i="72"/>
  <c r="B263" i="72" a="1"/>
  <c r="B263" i="72" s="1"/>
  <c r="C337" i="72" a="1"/>
  <c r="C337" i="72" s="1"/>
  <c r="B198" i="72" a="1"/>
  <c r="B198" i="72" s="1"/>
  <c r="D381" i="56"/>
  <c r="D413" i="56"/>
  <c r="D306" i="56"/>
  <c r="D440" i="56"/>
  <c r="D450" i="56"/>
  <c r="D360" i="56"/>
  <c r="D296" i="56"/>
  <c r="D488" i="56"/>
  <c r="D280" i="56"/>
  <c r="D221" i="56"/>
  <c r="D338" i="56"/>
  <c r="D402" i="56"/>
  <c r="D498" i="56"/>
  <c r="D355" i="56"/>
  <c r="D371" i="56"/>
  <c r="D298" i="56"/>
  <c r="D329" i="56"/>
  <c r="D393" i="56"/>
  <c r="H407" i="58"/>
  <c r="D189" i="56"/>
  <c r="H181" i="58"/>
  <c r="D366" i="56"/>
  <c r="D270" i="56"/>
  <c r="D302" i="56"/>
  <c r="D350" i="56"/>
  <c r="D425" i="56"/>
  <c r="D473" i="56"/>
  <c r="D249" i="56"/>
  <c r="D185" i="56"/>
  <c r="D206" i="56"/>
  <c r="H477" i="58"/>
  <c r="H493" i="58"/>
  <c r="H317" i="58"/>
  <c r="D352" i="56"/>
  <c r="D256" i="56"/>
  <c r="D288" i="56"/>
  <c r="D432" i="56"/>
  <c r="H483" i="58"/>
  <c r="H451" i="58"/>
  <c r="H323" i="58"/>
  <c r="H403" i="58"/>
  <c r="H438" i="58"/>
  <c r="D362" i="56"/>
  <c r="D394" i="56"/>
  <c r="D186" i="56"/>
  <c r="D282" i="56"/>
  <c r="D378" i="56"/>
  <c r="H492" i="58"/>
  <c r="H348" i="58"/>
  <c r="H198" i="58"/>
  <c r="H309" i="58"/>
  <c r="H319" i="58"/>
  <c r="H339" i="58"/>
  <c r="H355" i="58"/>
  <c r="H371" i="58"/>
  <c r="D301" i="56"/>
  <c r="H390" i="58"/>
  <c r="G4" i="58"/>
  <c r="H310" i="58"/>
  <c r="H486" i="58"/>
  <c r="D423" i="56"/>
  <c r="H287" i="58"/>
  <c r="H305" i="58"/>
  <c r="H463" i="58"/>
  <c r="D340" i="56"/>
  <c r="D487" i="56"/>
  <c r="D183" i="56"/>
  <c r="D215" i="56"/>
  <c r="H495" i="58"/>
  <c r="H417" i="58"/>
  <c r="D332" i="56"/>
  <c r="D476" i="56"/>
  <c r="H406" i="58"/>
  <c r="D396" i="56"/>
  <c r="H426" i="58"/>
  <c r="H375" i="58"/>
  <c r="H283" i="58"/>
  <c r="D285" i="56"/>
  <c r="H311" i="58"/>
  <c r="D205" i="56"/>
  <c r="D212" i="56"/>
  <c r="H341" i="58"/>
  <c r="H453" i="58"/>
  <c r="D196" i="56"/>
  <c r="D357" i="56"/>
  <c r="H469" i="58"/>
  <c r="D420" i="56"/>
  <c r="H277" i="58"/>
  <c r="D484" i="56"/>
  <c r="D244" i="56"/>
  <c r="D308" i="56"/>
  <c r="D437" i="56"/>
  <c r="H420" i="58"/>
  <c r="D181" i="56"/>
  <c r="D500" i="56"/>
  <c r="H327" i="58"/>
  <c r="H293" i="58"/>
  <c r="H432" i="58"/>
  <c r="H389" i="58"/>
  <c r="D325" i="56"/>
  <c r="H437" i="58"/>
  <c r="D463" i="56"/>
  <c r="H478" i="58"/>
  <c r="H433" i="58"/>
  <c r="D284" i="56"/>
  <c r="H481" i="58"/>
  <c r="D348" i="56"/>
  <c r="H226" i="58"/>
  <c r="H219" i="58"/>
  <c r="D323" i="56"/>
  <c r="H472" i="58"/>
  <c r="H465" i="58"/>
  <c r="H352" i="58"/>
  <c r="D243" i="56"/>
  <c r="H320" i="58"/>
  <c r="D179" i="56"/>
  <c r="D419" i="56"/>
  <c r="D467" i="56"/>
  <c r="H401" i="58"/>
  <c r="D307" i="56"/>
  <c r="H448" i="58"/>
  <c r="H240" i="58"/>
  <c r="D195" i="56"/>
  <c r="H370" i="58"/>
  <c r="H368" i="58"/>
  <c r="H229" i="58"/>
  <c r="H256" i="58"/>
  <c r="D275" i="56"/>
  <c r="H206" i="58"/>
  <c r="H298" i="58"/>
  <c r="H471" i="58"/>
  <c r="D291" i="56"/>
  <c r="H296" i="58"/>
  <c r="H228" i="58"/>
  <c r="H222" i="58"/>
  <c r="H392" i="58"/>
  <c r="D211" i="56"/>
  <c r="H416" i="58"/>
  <c r="H337" i="58"/>
  <c r="H297" i="58"/>
  <c r="H321" i="58"/>
  <c r="H332" i="58"/>
  <c r="D272" i="56"/>
  <c r="D276" i="56"/>
  <c r="D198" i="56"/>
  <c r="D264" i="56"/>
  <c r="D180" i="56"/>
  <c r="D248" i="56"/>
  <c r="H436" i="58"/>
  <c r="D316" i="56"/>
  <c r="D260" i="56"/>
  <c r="B115" i="72" a="1"/>
  <c r="B115" i="72" s="1"/>
  <c r="B124" i="72" a="1"/>
  <c r="B124" i="72" s="1"/>
  <c r="C135" i="72" a="1"/>
  <c r="C135" i="72" s="1"/>
  <c r="B135" i="72" a="1"/>
  <c r="B135" i="72" s="1"/>
  <c r="D135" i="72"/>
  <c r="C123" i="72" a="1"/>
  <c r="C123" i="72" s="1"/>
  <c r="C112" i="72" a="1"/>
  <c r="C112" i="72" s="1"/>
  <c r="C125" i="72" a="1"/>
  <c r="C125" i="72" s="1"/>
  <c r="B125" i="72" a="1"/>
  <c r="B125" i="72" s="1"/>
  <c r="B122" i="72" a="1"/>
  <c r="B122" i="72" s="1"/>
  <c r="B120" i="72" a="1"/>
  <c r="B120" i="72" s="1"/>
  <c r="D120" i="72"/>
  <c r="H238" i="58"/>
  <c r="D202" i="56"/>
  <c r="C137" i="72" a="1"/>
  <c r="C137" i="72" s="1"/>
  <c r="C133" i="72" a="1"/>
  <c r="C133" i="72" s="1"/>
  <c r="H318" i="58"/>
  <c r="D133" i="72"/>
  <c r="D118" i="72"/>
  <c r="D130" i="72"/>
  <c r="D141" i="72"/>
  <c r="B137" i="72" a="1"/>
  <c r="B137" i="72" s="1"/>
  <c r="B492" i="72" a="1"/>
  <c r="B492" i="72" s="1"/>
  <c r="D492" i="72"/>
  <c r="C416" i="72" a="1"/>
  <c r="C416" i="72" s="1"/>
  <c r="B416" i="72" a="1"/>
  <c r="B416" i="72" s="1"/>
  <c r="D416" i="72"/>
  <c r="C404" i="72" a="1"/>
  <c r="C404" i="72" s="1"/>
  <c r="B404" i="72" a="1"/>
  <c r="B404" i="72" s="1"/>
  <c r="D404" i="72"/>
  <c r="B392" i="72" a="1"/>
  <c r="B392" i="72" s="1"/>
  <c r="C392" i="72" a="1"/>
  <c r="C392" i="72" s="1"/>
  <c r="D392" i="72"/>
  <c r="D382" i="72"/>
  <c r="C382" i="72" a="1"/>
  <c r="C382" i="72" s="1"/>
  <c r="B382" i="72" a="1"/>
  <c r="B382" i="72" s="1"/>
  <c r="B370" i="72" a="1"/>
  <c r="B370" i="72" s="1"/>
  <c r="D370" i="72"/>
  <c r="C370" i="72" a="1"/>
  <c r="C370" i="72" s="1"/>
  <c r="C346" i="72" a="1"/>
  <c r="C346" i="72" s="1"/>
  <c r="B346" i="72" a="1"/>
  <c r="B346" i="72" s="1"/>
  <c r="D346" i="72"/>
  <c r="C278" i="72" a="1"/>
  <c r="C278" i="72" s="1"/>
  <c r="D278" i="72"/>
  <c r="B278" i="72" a="1"/>
  <c r="B278" i="72" s="1"/>
  <c r="B259" i="72" a="1"/>
  <c r="B259" i="72" s="1"/>
  <c r="C259" i="72" a="1"/>
  <c r="C259" i="72" s="1"/>
  <c r="D259" i="72"/>
  <c r="C247" i="72" a="1"/>
  <c r="C247" i="72" s="1"/>
  <c r="B247" i="72" a="1"/>
  <c r="B247" i="72" s="1"/>
  <c r="D247" i="72"/>
  <c r="D222" i="72"/>
  <c r="C141" i="72" a="1"/>
  <c r="C141" i="72" s="1"/>
  <c r="B141" i="72" a="1"/>
  <c r="B141" i="72" s="1"/>
  <c r="D137" i="72"/>
  <c r="H231" i="58"/>
  <c r="C437" i="72" a="1"/>
  <c r="C437" i="72" s="1"/>
  <c r="B437" i="72" a="1"/>
  <c r="B437" i="72" s="1"/>
  <c r="B366" i="72" a="1"/>
  <c r="B366" i="72" s="1"/>
  <c r="C366" i="72" a="1"/>
  <c r="C366" i="72" s="1"/>
  <c r="C231" i="72" a="1"/>
  <c r="C231" i="72" s="1"/>
  <c r="B178" i="72" a="1"/>
  <c r="B178" i="72" s="1"/>
  <c r="C178" i="72" a="1"/>
  <c r="C178" i="72" s="1"/>
  <c r="B287" i="72" a="1"/>
  <c r="B287" i="72" s="1"/>
  <c r="B152" i="72" a="1"/>
  <c r="B152" i="72" s="1"/>
  <c r="B435" i="72" a="1"/>
  <c r="B435" i="72" s="1"/>
  <c r="B388" i="72" a="1"/>
  <c r="B388" i="72" s="1"/>
  <c r="C364" i="72" a="1"/>
  <c r="C364" i="72" s="1"/>
  <c r="B364" i="72" a="1"/>
  <c r="B364" i="72" s="1"/>
  <c r="C229" i="72" a="1"/>
  <c r="C229" i="72" s="1"/>
  <c r="C199" i="72" a="1"/>
  <c r="C199" i="72" s="1"/>
  <c r="D199" i="72"/>
  <c r="B199" i="72" a="1"/>
  <c r="B199" i="72" s="1"/>
  <c r="C175" i="72" a="1"/>
  <c r="C175" i="72" s="1"/>
  <c r="B175" i="72" a="1"/>
  <c r="B175" i="72" s="1"/>
  <c r="B423" i="72" a="1"/>
  <c r="B423" i="72" s="1"/>
  <c r="C423" i="72" a="1"/>
  <c r="C423" i="72" s="1"/>
  <c r="C308" i="72" a="1"/>
  <c r="C308" i="72" s="1"/>
  <c r="B308" i="72" a="1"/>
  <c r="B308" i="72" s="1"/>
  <c r="D308" i="72"/>
  <c r="B239" i="72" a="1"/>
  <c r="B239" i="72" s="1"/>
  <c r="C239" i="72" a="1"/>
  <c r="C239" i="72" s="1"/>
  <c r="C161" i="72" a="1"/>
  <c r="C161" i="72" s="1"/>
  <c r="B161" i="72" a="1"/>
  <c r="B161" i="72" s="1"/>
  <c r="C444" i="72" a="1"/>
  <c r="C444" i="72" s="1"/>
  <c r="B444" i="72" a="1"/>
  <c r="B444" i="72" s="1"/>
  <c r="B483" i="72" a="1"/>
  <c r="B483" i="72" s="1"/>
  <c r="C483" i="72" a="1"/>
  <c r="C483" i="72" s="1"/>
  <c r="B443" i="72" a="1"/>
  <c r="B443" i="72" s="1"/>
  <c r="D443" i="72"/>
  <c r="C443" i="72" a="1"/>
  <c r="C443" i="72" s="1"/>
  <c r="C325" i="72" a="1"/>
  <c r="C325" i="72" s="1"/>
  <c r="B325" i="72" a="1"/>
  <c r="B325" i="72" s="1"/>
  <c r="B146" i="72" a="1"/>
  <c r="B146" i="72" s="1"/>
  <c r="C146" i="72" a="1"/>
  <c r="C146" i="72" s="1"/>
  <c r="C431" i="72" a="1"/>
  <c r="C431" i="72" s="1"/>
  <c r="B431" i="72" a="1"/>
  <c r="B431" i="72" s="1"/>
  <c r="B407" i="72" a="1"/>
  <c r="B407" i="72" s="1"/>
  <c r="D407" i="72"/>
  <c r="C407" i="72" a="1"/>
  <c r="C407" i="72" s="1"/>
  <c r="C396" i="72" a="1"/>
  <c r="C396" i="72" s="1"/>
  <c r="C282" i="72" a="1"/>
  <c r="C282" i="72" s="1"/>
  <c r="B225" i="72" a="1"/>
  <c r="B225" i="72" s="1"/>
  <c r="C184" i="72" a="1"/>
  <c r="C184" i="72" s="1"/>
  <c r="B184" i="72" a="1"/>
  <c r="B184" i="72" s="1"/>
  <c r="B171" i="72" a="1"/>
  <c r="B171" i="72" s="1"/>
  <c r="C395" i="72" a="1"/>
  <c r="C395" i="72" s="1"/>
  <c r="B395" i="72" a="1"/>
  <c r="B395" i="72" s="1"/>
  <c r="C359" i="72" a="1"/>
  <c r="C359" i="72" s="1"/>
  <c r="B359" i="72" a="1"/>
  <c r="B359" i="72" s="1"/>
  <c r="C250" i="72" a="1"/>
  <c r="C250" i="72" s="1"/>
  <c r="B250" i="72" a="1"/>
  <c r="B250" i="72" s="1"/>
  <c r="C467" i="72" a="1"/>
  <c r="C467" i="72" s="1"/>
  <c r="D467" i="72"/>
  <c r="B467" i="72" a="1"/>
  <c r="B467" i="72" s="1"/>
  <c r="B394" i="72" a="1"/>
  <c r="B394" i="72" s="1"/>
  <c r="C394" i="72" a="1"/>
  <c r="C394" i="72" s="1"/>
  <c r="B372" i="72" a="1"/>
  <c r="B372" i="72" s="1"/>
  <c r="C372" i="72" a="1"/>
  <c r="C372" i="72" s="1"/>
  <c r="B143" i="72" a="1"/>
  <c r="B143" i="72" s="1"/>
  <c r="C143" i="72" a="1"/>
  <c r="C143" i="72" s="1"/>
  <c r="C393" i="72" a="1"/>
  <c r="C393" i="72" s="1"/>
  <c r="B393" i="72" a="1"/>
  <c r="B393" i="72" s="1"/>
  <c r="C248" i="72" a="1"/>
  <c r="C248" i="72" s="1"/>
  <c r="B248" i="72" a="1"/>
  <c r="B248" i="72" s="1"/>
  <c r="C223" i="72" a="1"/>
  <c r="C223" i="72" s="1"/>
  <c r="B223" i="72" a="1"/>
  <c r="B223" i="72" s="1"/>
  <c r="B142" i="72" a="1"/>
  <c r="B142" i="72" s="1"/>
  <c r="C142" i="72" a="1"/>
  <c r="C142" i="72" s="1"/>
  <c r="C464" i="72" a="1"/>
  <c r="C464" i="72" s="1"/>
  <c r="B464" i="72" a="1"/>
  <c r="B464" i="72" s="1"/>
  <c r="C381" i="72" a="1"/>
  <c r="C381" i="72" s="1"/>
  <c r="B381" i="72" a="1"/>
  <c r="B381" i="72" s="1"/>
  <c r="C345" i="72" a="1"/>
  <c r="C345" i="72" s="1"/>
  <c r="C313" i="72" a="1"/>
  <c r="C313" i="72" s="1"/>
  <c r="B313" i="72" a="1"/>
  <c r="B313" i="72" s="1"/>
  <c r="B140" i="72" a="1"/>
  <c r="B140" i="72" s="1"/>
  <c r="C140" i="72" a="1"/>
  <c r="C140" i="72" s="1"/>
  <c r="B355" i="72" a="1"/>
  <c r="B355" i="72" s="1"/>
  <c r="C166" i="72" a="1"/>
  <c r="C166" i="72" s="1"/>
  <c r="B166" i="72" a="1"/>
  <c r="B166" i="72" s="1"/>
  <c r="B490" i="72" a="1"/>
  <c r="B490" i="72" s="1"/>
  <c r="C490" i="72" a="1"/>
  <c r="C490" i="72" s="1"/>
  <c r="D438" i="72"/>
  <c r="B438" i="72" a="1"/>
  <c r="B438" i="72" s="1"/>
  <c r="B413" i="72" a="1"/>
  <c r="B413" i="72" s="1"/>
  <c r="C413" i="72" a="1"/>
  <c r="C413" i="72" s="1"/>
  <c r="C289" i="72" a="1"/>
  <c r="C289" i="72" s="1"/>
  <c r="C220" i="72" a="1"/>
  <c r="C220" i="72" s="1"/>
  <c r="C500" i="72" a="1"/>
  <c r="C500" i="72" s="1"/>
  <c r="D312" i="72"/>
  <c r="H343" i="58"/>
  <c r="H391" i="58"/>
  <c r="H359" i="58"/>
  <c r="H247" i="58"/>
  <c r="H279" i="58"/>
  <c r="H340" i="58"/>
  <c r="H260" i="58"/>
  <c r="H302" i="58"/>
  <c r="D337" i="56"/>
  <c r="H388" i="58"/>
  <c r="D193" i="56"/>
  <c r="D303" i="56"/>
  <c r="D289" i="56"/>
  <c r="D225" i="56"/>
  <c r="D207" i="56"/>
  <c r="H498" i="58"/>
  <c r="H356" i="58"/>
  <c r="D351" i="56"/>
  <c r="D495" i="56"/>
  <c r="H254" i="58"/>
  <c r="H452" i="58"/>
  <c r="H182" i="58"/>
  <c r="H350" i="58"/>
  <c r="H450" i="58"/>
  <c r="H354" i="58"/>
  <c r="H462" i="58"/>
  <c r="H290" i="58"/>
  <c r="H270" i="58"/>
  <c r="D447" i="56"/>
  <c r="D367" i="56"/>
  <c r="H466" i="58"/>
  <c r="H174" i="58"/>
  <c r="H382" i="58"/>
  <c r="H482" i="58"/>
  <c r="H322" i="58"/>
  <c r="D321" i="56"/>
  <c r="H249" i="58"/>
  <c r="H425" i="58"/>
  <c r="H409" i="58"/>
  <c r="D331" i="56"/>
  <c r="H441" i="58"/>
  <c r="H489" i="58"/>
  <c r="H361" i="58"/>
  <c r="H345" i="58"/>
  <c r="H377" i="58"/>
  <c r="D235" i="56"/>
  <c r="H473" i="58"/>
  <c r="D315" i="56"/>
  <c r="D491" i="56"/>
  <c r="D411" i="56"/>
  <c r="D475" i="56"/>
  <c r="H175" i="58"/>
  <c r="D310" i="56"/>
  <c r="H447" i="58"/>
  <c r="H367" i="58"/>
  <c r="D342" i="56"/>
  <c r="H431" i="58"/>
  <c r="D182" i="56"/>
  <c r="H258" i="58"/>
  <c r="D345" i="56"/>
  <c r="D201" i="56"/>
  <c r="H201" i="58"/>
  <c r="D426" i="56"/>
  <c r="H411" i="58"/>
  <c r="D210" i="56"/>
  <c r="H395" i="58"/>
  <c r="H363" i="58"/>
  <c r="H344" i="58"/>
  <c r="D178" i="56"/>
  <c r="D287" i="56"/>
  <c r="H213" i="58"/>
  <c r="D322" i="56"/>
  <c r="D290" i="56"/>
  <c r="H456" i="58"/>
  <c r="H376" i="58"/>
  <c r="D194" i="56"/>
  <c r="H331" i="58"/>
  <c r="H5" i="58"/>
  <c r="D247" i="56"/>
  <c r="D407" i="56"/>
  <c r="D375" i="56"/>
  <c r="H252" i="58"/>
  <c r="H295" i="58"/>
  <c r="D311" i="56"/>
  <c r="H490" i="58"/>
  <c r="H394" i="58"/>
  <c r="D343" i="56"/>
  <c r="D327" i="56"/>
  <c r="D359" i="56"/>
  <c r="H248" i="58"/>
  <c r="D295" i="56"/>
  <c r="D263" i="56"/>
  <c r="D470" i="56"/>
  <c r="D391" i="56"/>
  <c r="D279" i="56"/>
  <c r="H326" i="58"/>
  <c r="H264" i="58"/>
  <c r="D184" i="56"/>
  <c r="H402" i="58"/>
  <c r="H418" i="58"/>
  <c r="H261" i="58"/>
  <c r="H308" i="58"/>
  <c r="D317" i="56"/>
  <c r="D236" i="56"/>
  <c r="D266" i="56"/>
  <c r="H188" i="58"/>
  <c r="H457" i="58"/>
  <c r="D344" i="56"/>
  <c r="D312" i="56"/>
  <c r="H223" i="58"/>
  <c r="H314" i="58"/>
  <c r="H410" i="58"/>
  <c r="H459" i="58"/>
  <c r="D389" i="56"/>
  <c r="H204" i="58"/>
  <c r="H333" i="58"/>
  <c r="H365" i="58"/>
  <c r="H413" i="58"/>
  <c r="H445" i="58"/>
  <c r="H232" i="58"/>
  <c r="H288" i="58"/>
  <c r="H303" i="58"/>
  <c r="H480" i="58"/>
  <c r="H300" i="58"/>
  <c r="D209" i="56"/>
  <c r="D177" i="56"/>
  <c r="D324" i="56"/>
  <c r="D188" i="56"/>
  <c r="D305" i="56"/>
  <c r="D204" i="56"/>
  <c r="H292" i="58"/>
  <c r="H307" i="58"/>
  <c r="H464" i="58"/>
  <c r="D208" i="56"/>
  <c r="D192" i="56"/>
  <c r="D176" i="56"/>
  <c r="D330" i="56"/>
  <c r="H193" i="58"/>
  <c r="H246" i="58"/>
  <c r="H278" i="58"/>
  <c r="H208" i="58"/>
  <c r="H212" i="58"/>
  <c r="H184" i="58"/>
  <c r="H176" i="58"/>
  <c r="H500" i="58"/>
  <c r="H439" i="58"/>
  <c r="H454" i="58"/>
  <c r="D421" i="56"/>
  <c r="H408" i="58"/>
  <c r="H424" i="58"/>
  <c r="D455" i="56"/>
  <c r="H171" i="58"/>
  <c r="H285" i="58"/>
  <c r="H378" i="58"/>
  <c r="D497" i="56"/>
  <c r="D471" i="56"/>
  <c r="H210" i="58"/>
  <c r="H286" i="58"/>
  <c r="H301" i="58"/>
  <c r="H347" i="58"/>
  <c r="H379" i="58"/>
  <c r="H443" i="58"/>
  <c r="H458" i="58"/>
  <c r="D464" i="56"/>
  <c r="H271" i="58"/>
  <c r="H428" i="58"/>
  <c r="H381" i="58"/>
  <c r="H429" i="58"/>
  <c r="H475" i="58"/>
  <c r="H241" i="58"/>
  <c r="H398" i="58"/>
  <c r="H430" i="58"/>
  <c r="H446" i="58"/>
  <c r="D368" i="56"/>
  <c r="D283" i="56"/>
  <c r="D314" i="56"/>
  <c r="H187" i="58"/>
  <c r="H242" i="58"/>
  <c r="H304" i="58"/>
  <c r="H415" i="58"/>
  <c r="H243" i="58"/>
  <c r="H259" i="58"/>
  <c r="D427" i="56"/>
  <c r="D382" i="56"/>
  <c r="D226" i="56"/>
  <c r="H353" i="58"/>
  <c r="H173" i="58"/>
  <c r="H235" i="58"/>
  <c r="H186" i="58"/>
  <c r="H217" i="58"/>
  <c r="D410" i="56"/>
  <c r="D259" i="56"/>
  <c r="D485" i="56"/>
  <c r="D438" i="56"/>
  <c r="D229" i="56"/>
  <c r="H225" i="58"/>
  <c r="D228" i="56"/>
  <c r="D271" i="56"/>
  <c r="D435" i="56"/>
  <c r="D239" i="56"/>
  <c r="H195" i="58"/>
  <c r="D224" i="56"/>
  <c r="D430" i="56"/>
  <c r="D222" i="56"/>
  <c r="D220" i="56"/>
  <c r="D399" i="56"/>
  <c r="D458" i="56"/>
  <c r="D233" i="56"/>
  <c r="D397" i="56"/>
  <c r="D246" i="56"/>
  <c r="D232" i="56"/>
  <c r="D245" i="56"/>
  <c r="D265" i="56"/>
  <c r="D356" i="56"/>
  <c r="D313" i="56"/>
  <c r="D268" i="56"/>
  <c r="D278" i="56"/>
  <c r="D309" i="56"/>
  <c r="H269" i="58"/>
  <c r="H351" i="58"/>
  <c r="H202" i="58"/>
  <c r="H194" i="58"/>
  <c r="H440" i="58"/>
  <c r="H165" i="58"/>
  <c r="H227" i="58"/>
  <c r="H6" i="58"/>
  <c r="H234" i="58"/>
  <c r="H273" i="58"/>
  <c r="H384" i="58"/>
  <c r="H494" i="58"/>
  <c r="H200" i="58"/>
  <c r="H178" i="58"/>
  <c r="H164" i="58"/>
  <c r="H386" i="58"/>
  <c r="H455" i="58"/>
  <c r="H468" i="58"/>
  <c r="H218" i="58"/>
  <c r="H373" i="58"/>
  <c r="H224" i="58"/>
  <c r="H183" i="58"/>
  <c r="H405" i="58"/>
  <c r="H190" i="58"/>
  <c r="H291" i="58"/>
  <c r="H230" i="58"/>
  <c r="H162" i="58"/>
  <c r="H237" i="58"/>
  <c r="H197" i="58"/>
  <c r="H488" i="58"/>
  <c r="H214" i="58"/>
  <c r="H7" i="58"/>
  <c r="H282" i="58"/>
  <c r="H306" i="58"/>
  <c r="H449" i="58"/>
  <c r="H474" i="58"/>
  <c r="H166" i="58"/>
  <c r="D384" i="56"/>
  <c r="D370" i="56"/>
  <c r="D293" i="56"/>
  <c r="D238" i="56"/>
  <c r="D218" i="56"/>
  <c r="D446" i="56"/>
  <c r="D433" i="56"/>
  <c r="D383" i="56"/>
  <c r="D217" i="56"/>
  <c r="D445" i="56"/>
  <c r="D227" i="56"/>
  <c r="D406" i="56"/>
  <c r="D274" i="56"/>
  <c r="D261" i="56"/>
  <c r="D442" i="56"/>
  <c r="D392" i="56"/>
  <c r="D457" i="56"/>
  <c r="D403" i="56"/>
  <c r="D416" i="56"/>
  <c r="D363" i="56"/>
  <c r="D234" i="56"/>
  <c r="D483" i="56"/>
  <c r="D300" i="56"/>
  <c r="D223" i="56"/>
  <c r="D466" i="56"/>
  <c r="D255" i="56"/>
  <c r="D242" i="56"/>
  <c r="D494" i="56"/>
  <c r="D241" i="56"/>
  <c r="D231" i="56"/>
  <c r="D358" i="56"/>
  <c r="D240" i="56"/>
  <c r="D230" i="56"/>
  <c r="D252" i="56"/>
  <c r="D492" i="56"/>
  <c r="D448" i="56"/>
  <c r="D385" i="56"/>
  <c r="D251" i="56"/>
  <c r="D219" i="56"/>
  <c r="D250" i="56"/>
  <c r="D390" i="56"/>
  <c r="D335" i="56"/>
  <c r="D409" i="56"/>
  <c r="D269" i="56"/>
  <c r="D493" i="56"/>
  <c r="D258" i="56"/>
  <c r="D237" i="56"/>
  <c r="D388" i="56"/>
  <c r="D297" i="56"/>
  <c r="H216" i="58"/>
  <c r="H169" i="58"/>
  <c r="H163" i="58"/>
  <c r="H172" i="58"/>
  <c r="H167" i="58"/>
  <c r="H161" i="58"/>
  <c r="H160" i="58"/>
  <c r="H215" i="58"/>
  <c r="H220" i="58"/>
  <c r="H236" i="58"/>
  <c r="H180" i="58"/>
  <c r="H205" i="58"/>
  <c r="H179" i="58"/>
  <c r="H177" i="58"/>
  <c r="H207" i="58"/>
  <c r="H267" i="58"/>
  <c r="H342" i="58"/>
  <c r="H380" i="58"/>
  <c r="H470" i="58"/>
  <c r="H496" i="58"/>
  <c r="H484" i="58"/>
  <c r="H244" i="58"/>
  <c r="H245" i="58"/>
  <c r="H255" i="58"/>
  <c r="H422" i="58"/>
  <c r="H393" i="58"/>
  <c r="H334" i="58"/>
  <c r="H357" i="58"/>
  <c r="H358" i="58"/>
  <c r="H280" i="58"/>
  <c r="H289" i="58"/>
  <c r="H349" i="58"/>
  <c r="H239" i="58"/>
  <c r="H336" i="58"/>
  <c r="H360" i="58"/>
  <c r="H316" i="58"/>
  <c r="H251" i="58"/>
  <c r="H272" i="58"/>
  <c r="H266" i="58"/>
  <c r="H275" i="58"/>
  <c r="H366" i="58"/>
  <c r="H423" i="58"/>
  <c r="H399" i="58"/>
  <c r="H485" i="58"/>
  <c r="H385" i="58"/>
  <c r="H421" i="58"/>
  <c r="H414" i="58"/>
  <c r="D480" i="56"/>
  <c r="D373" i="56"/>
  <c r="D361" i="56"/>
  <c r="D333" i="56"/>
  <c r="D479" i="56"/>
  <c r="D456" i="56"/>
  <c r="D405" i="56"/>
  <c r="D372" i="56"/>
  <c r="D478" i="56"/>
  <c r="D477" i="56"/>
  <c r="D444" i="56"/>
  <c r="D424" i="56"/>
  <c r="D415" i="56"/>
  <c r="D346" i="56"/>
  <c r="D454" i="56"/>
  <c r="D443" i="56"/>
  <c r="D414" i="56"/>
  <c r="D489" i="56"/>
  <c r="D369" i="56"/>
  <c r="D474" i="56"/>
  <c r="D401" i="56"/>
  <c r="D451" i="56"/>
  <c r="D486" i="56"/>
  <c r="D462" i="56"/>
  <c r="D441" i="56"/>
  <c r="D431" i="56"/>
  <c r="D380" i="56"/>
  <c r="D449" i="56"/>
  <c r="D379" i="56"/>
  <c r="D496" i="56"/>
  <c r="D439" i="56"/>
  <c r="D398" i="56"/>
  <c r="D365" i="56"/>
  <c r="D460" i="56"/>
  <c r="D377" i="56"/>
  <c r="D364" i="56"/>
  <c r="D354" i="56"/>
  <c r="D469" i="56"/>
  <c r="D376" i="56"/>
  <c r="D353" i="56"/>
  <c r="D468" i="56"/>
  <c r="D428" i="56"/>
  <c r="D408" i="56"/>
  <c r="D320" i="56"/>
  <c r="D418" i="56"/>
  <c r="D386" i="56"/>
  <c r="D481" i="56"/>
  <c r="D417" i="56"/>
  <c r="D395" i="56"/>
  <c r="D374" i="56"/>
  <c r="D422" i="56"/>
  <c r="D465" i="56"/>
  <c r="D434" i="56"/>
  <c r="AA5" i="15" l="1"/>
  <c r="AA3" i="15"/>
  <c r="X11" i="15"/>
  <c r="U6" i="15"/>
  <c r="U8" i="15"/>
  <c r="U7" i="15"/>
  <c r="AA10" i="15"/>
  <c r="AA9" i="15"/>
  <c r="AA8" i="15"/>
  <c r="U2" i="15"/>
  <c r="U5" i="15"/>
  <c r="O4" i="15"/>
  <c r="O11" i="15"/>
  <c r="O10" i="15"/>
  <c r="AA4" i="15"/>
  <c r="X8" i="15"/>
  <c r="B15" i="56" a="1"/>
  <c r="B15" i="56" s="1"/>
  <c r="J25" i="59" a="1"/>
  <c r="J25" i="59" s="1"/>
  <c r="K25" i="59" a="1"/>
  <c r="K25" i="59" s="1"/>
  <c r="E29" i="72" a="1"/>
  <c r="E29" i="72" s="1"/>
  <c r="E30" i="72" s="1" a="1"/>
  <c r="E30" i="72" s="1"/>
  <c r="E31" i="72" s="1" a="1"/>
  <c r="E31" i="72" s="1"/>
  <c r="I30" i="58" a="1"/>
  <c r="I30" i="58" s="1"/>
  <c r="K29" i="58" a="1"/>
  <c r="K29" i="58" s="1"/>
  <c r="J29" i="58" a="1"/>
  <c r="J29" i="58" s="1"/>
  <c r="L29" i="58" a="1"/>
  <c r="L29" i="58" s="1"/>
  <c r="B22" i="56" a="1"/>
  <c r="B22" i="56" s="1"/>
  <c r="L24" i="59" a="1"/>
  <c r="L24" i="59" s="1"/>
  <c r="J24" i="59" a="1"/>
  <c r="J24" i="59" s="1"/>
  <c r="K24" i="59" a="1"/>
  <c r="K24" i="59" s="1"/>
  <c r="K23" i="59" a="1"/>
  <c r="K23" i="59" s="1"/>
  <c r="L23" i="59" a="1"/>
  <c r="L23" i="59" s="1"/>
  <c r="J23" i="59" a="1"/>
  <c r="J23" i="59" s="1"/>
  <c r="J18" i="59" a="1"/>
  <c r="J18" i="59" s="1"/>
  <c r="K18" i="59" a="1"/>
  <c r="K18" i="59" s="1"/>
  <c r="L18" i="59" a="1"/>
  <c r="L18" i="59" s="1"/>
  <c r="C14" i="56" a="1"/>
  <c r="C14" i="56" s="1"/>
  <c r="B14" i="56" a="1"/>
  <c r="B14" i="56" s="1"/>
  <c r="E27" i="56" a="1"/>
  <c r="E27" i="56" s="1"/>
  <c r="A27" i="56" s="1" a="1"/>
  <c r="A27" i="56" s="1"/>
  <c r="B26" i="56" s="1" a="1"/>
  <c r="B26" i="56" s="1"/>
  <c r="J26" i="59" a="1"/>
  <c r="J26" i="59" s="1"/>
  <c r="K26" i="59" a="1"/>
  <c r="K26" i="59" s="1"/>
  <c r="L26" i="59" a="1"/>
  <c r="L26" i="59" s="1"/>
  <c r="B23" i="56" a="1"/>
  <c r="B23" i="56" s="1"/>
  <c r="B24" i="56" a="1"/>
  <c r="B24" i="56" s="1"/>
  <c r="AA7" i="15"/>
  <c r="AA6" i="15"/>
  <c r="C25" i="56" a="1"/>
  <c r="C25" i="56" s="1"/>
  <c r="C19" i="56" a="1"/>
  <c r="C19" i="56" s="1"/>
  <c r="B19" i="56" a="1"/>
  <c r="B19" i="56" s="1"/>
  <c r="L13" i="59" a="1"/>
  <c r="L13" i="59" s="1"/>
  <c r="J13" i="59" a="1"/>
  <c r="J13" i="59" s="1"/>
  <c r="K13" i="59" a="1"/>
  <c r="K13" i="59" s="1"/>
  <c r="C18" i="56" a="1"/>
  <c r="C18" i="56" s="1"/>
  <c r="B18" i="56" a="1"/>
  <c r="B18" i="56" s="1"/>
  <c r="C10" i="56" a="1"/>
  <c r="C10" i="56" s="1"/>
  <c r="B10" i="56" a="1"/>
  <c r="B10" i="56" s="1"/>
  <c r="C17" i="56" a="1"/>
  <c r="C17" i="56" s="1"/>
  <c r="B17" i="56" a="1"/>
  <c r="B17" i="56" s="1"/>
  <c r="C9" i="56" a="1"/>
  <c r="C9" i="56" s="1"/>
  <c r="B9" i="56" a="1"/>
  <c r="B9" i="56" s="1"/>
  <c r="K27" i="59" a="1"/>
  <c r="K27" i="59" s="1"/>
  <c r="C16" i="56" a="1"/>
  <c r="C16" i="56" s="1"/>
  <c r="B16" i="56" a="1"/>
  <c r="B16" i="56" s="1"/>
  <c r="C8" i="56" a="1"/>
  <c r="C8" i="56" s="1"/>
  <c r="B8" i="56" a="1"/>
  <c r="B8" i="56" s="1"/>
  <c r="J27" i="59" a="1"/>
  <c r="J27" i="59" s="1"/>
  <c r="B21" i="56" a="1"/>
  <c r="B21" i="56" s="1"/>
  <c r="C21" i="56" a="1"/>
  <c r="C21" i="56" s="1"/>
  <c r="B13" i="56" a="1"/>
  <c r="B13" i="56" s="1"/>
  <c r="C13" i="56" a="1"/>
  <c r="C13" i="56" s="1"/>
  <c r="B4" i="56" a="1"/>
  <c r="B4" i="56" s="1"/>
  <c r="C5" i="56" a="1"/>
  <c r="C5" i="56" s="1"/>
  <c r="B5" i="56" a="1"/>
  <c r="B5" i="56" s="1"/>
  <c r="C20" i="56" a="1"/>
  <c r="C20" i="56" s="1"/>
  <c r="B20" i="56" a="1"/>
  <c r="B20" i="56" s="1"/>
  <c r="B12" i="56" a="1"/>
  <c r="B12" i="56" s="1"/>
  <c r="C12" i="56" a="1"/>
  <c r="C12" i="56" s="1"/>
  <c r="L22" i="59" a="1"/>
  <c r="L22" i="59" s="1"/>
  <c r="J22" i="59" a="1"/>
  <c r="J22" i="59" s="1"/>
  <c r="K22" i="59" a="1"/>
  <c r="K22" i="59" s="1"/>
  <c r="J14" i="59" a="1"/>
  <c r="J14" i="59" s="1"/>
  <c r="L14" i="59" a="1"/>
  <c r="L14" i="59" s="1"/>
  <c r="K14" i="59" a="1"/>
  <c r="K14" i="59" s="1"/>
  <c r="C3" i="56" a="1"/>
  <c r="C3" i="56" s="1"/>
  <c r="F3" i="56" s="1"/>
  <c r="B3" i="56" a="1"/>
  <c r="B3" i="56" s="1"/>
  <c r="B25" i="56" a="1"/>
  <c r="B25" i="56" s="1"/>
  <c r="J21" i="59" a="1"/>
  <c r="J21" i="59" s="1"/>
  <c r="L21" i="59" a="1"/>
  <c r="L21" i="59" s="1"/>
  <c r="K21" i="59" a="1"/>
  <c r="K21" i="59" s="1"/>
  <c r="C11" i="56" a="1"/>
  <c r="C11" i="56" s="1"/>
  <c r="B11" i="56" a="1"/>
  <c r="B11" i="56" s="1"/>
  <c r="C2" i="56" a="1"/>
  <c r="C2" i="56" s="1"/>
  <c r="F2" i="56" s="1"/>
  <c r="B2" i="56" a="1"/>
  <c r="B2" i="56" s="1"/>
  <c r="J28" i="59" a="1"/>
  <c r="J28" i="59" s="1"/>
  <c r="K28" i="59" a="1"/>
  <c r="K28" i="59" s="1"/>
  <c r="L28" i="59" a="1"/>
  <c r="L28" i="59" s="1"/>
  <c r="C26" i="56" a="1"/>
  <c r="C26" i="56" s="1"/>
  <c r="I29" i="59" a="1"/>
  <c r="I29" i="59" s="1"/>
  <c r="X2" i="15"/>
  <c r="X9" i="15"/>
  <c r="X4" i="15"/>
  <c r="X5" i="15"/>
  <c r="X6" i="15"/>
  <c r="X7" i="15"/>
  <c r="AA2" i="15"/>
  <c r="L3" i="15"/>
  <c r="L6" i="15"/>
  <c r="O9" i="15"/>
  <c r="D2" i="56"/>
  <c r="D3" i="22"/>
  <c r="I3" i="22"/>
  <c r="C3" i="22" s="1"/>
  <c r="G2" i="56"/>
  <c r="G3" i="56" s="1"/>
  <c r="G5" i="58"/>
  <c r="G6" i="58" s="1"/>
  <c r="G7" i="58" s="1"/>
  <c r="H13" i="59"/>
  <c r="H11" i="59"/>
  <c r="H10" i="59"/>
  <c r="J13" i="58" a="1"/>
  <c r="J13" i="58" s="1"/>
  <c r="K13" i="58" a="1"/>
  <c r="K13" i="58" s="1"/>
  <c r="L13" i="58" a="1"/>
  <c r="L13" i="58" s="1"/>
  <c r="H9" i="59"/>
  <c r="H8" i="59"/>
  <c r="J17" i="58" a="1"/>
  <c r="J17" i="58" s="1"/>
  <c r="K17" i="58" a="1"/>
  <c r="K17" i="58" s="1"/>
  <c r="L17" i="58" a="1"/>
  <c r="L17" i="58" s="1"/>
  <c r="J28" i="58" a="1"/>
  <c r="J28" i="58" s="1"/>
  <c r="K28" i="58" a="1"/>
  <c r="K28" i="58" s="1"/>
  <c r="L28" i="58" a="1"/>
  <c r="L28" i="58" s="1"/>
  <c r="H7" i="59"/>
  <c r="J12" i="58" a="1"/>
  <c r="J12" i="58" s="1"/>
  <c r="K12" i="58" a="1"/>
  <c r="K12" i="58" s="1"/>
  <c r="L12" i="58" a="1"/>
  <c r="L12" i="58" s="1"/>
  <c r="L23" i="58" a="1"/>
  <c r="L23" i="58" s="1"/>
  <c r="J23" i="58" a="1"/>
  <c r="J23" i="58" s="1"/>
  <c r="K23" i="58" a="1"/>
  <c r="K23" i="58" s="1"/>
  <c r="J16" i="58" a="1"/>
  <c r="J16" i="58" s="1"/>
  <c r="K16" i="58" a="1"/>
  <c r="K16" i="58" s="1"/>
  <c r="L16" i="58" a="1"/>
  <c r="L16" i="58" s="1"/>
  <c r="L20" i="58" a="1"/>
  <c r="L20" i="58" s="1"/>
  <c r="J20" i="58" a="1"/>
  <c r="J20" i="58" s="1"/>
  <c r="K20" i="58" a="1"/>
  <c r="K20" i="58" s="1"/>
  <c r="L27" i="58" a="1"/>
  <c r="L27" i="58" s="1"/>
  <c r="K27" i="58" a="1"/>
  <c r="K27" i="58" s="1"/>
  <c r="J27" i="58" a="1"/>
  <c r="J27" i="58" s="1"/>
  <c r="J19" i="58" a="1"/>
  <c r="J19" i="58" s="1"/>
  <c r="K19" i="58" a="1"/>
  <c r="K19" i="58" s="1"/>
  <c r="L19" i="58" a="1"/>
  <c r="L19" i="58" s="1"/>
  <c r="J15" i="58" a="1"/>
  <c r="J15" i="58" s="1"/>
  <c r="K15" i="58" a="1"/>
  <c r="K15" i="58" s="1"/>
  <c r="L15" i="58" a="1"/>
  <c r="L15" i="58" s="1"/>
  <c r="J26" i="58" a="1"/>
  <c r="J26" i="58" s="1"/>
  <c r="L26" i="58" a="1"/>
  <c r="L26" i="58" s="1"/>
  <c r="K26" i="58" a="1"/>
  <c r="K26" i="58" s="1"/>
  <c r="J21" i="58" a="1"/>
  <c r="J21" i="58" s="1"/>
  <c r="K21" i="58" a="1"/>
  <c r="K21" i="58" s="1"/>
  <c r="L21" i="58" a="1"/>
  <c r="L21" i="58" s="1"/>
  <c r="B4" i="22"/>
  <c r="B5" i="22" s="1"/>
  <c r="J5" i="22" s="1"/>
  <c r="E5" i="22" s="1"/>
  <c r="H12" i="59"/>
  <c r="L4" i="58" a="1"/>
  <c r="L4" i="58" s="1"/>
  <c r="J4" i="58" a="1"/>
  <c r="J4" i="58" s="1"/>
  <c r="K4" i="58" a="1"/>
  <c r="K4" i="58" s="1"/>
  <c r="J14" i="58" a="1"/>
  <c r="J14" i="58" s="1"/>
  <c r="K14" i="58" a="1"/>
  <c r="K14" i="58" s="1"/>
  <c r="L14" i="58" a="1"/>
  <c r="L14" i="58" s="1"/>
  <c r="H4" i="59"/>
  <c r="J18" i="58" a="1"/>
  <c r="J18" i="58" s="1"/>
  <c r="L18" i="58" a="1"/>
  <c r="L18" i="58" s="1"/>
  <c r="K18" i="58" a="1"/>
  <c r="K18" i="58" s="1"/>
  <c r="L25" i="58" a="1"/>
  <c r="L25" i="58" s="1"/>
  <c r="K25" i="58" a="1"/>
  <c r="K25" i="58" s="1"/>
  <c r="J25" i="58" a="1"/>
  <c r="J25" i="58" s="1"/>
  <c r="H14" i="59"/>
  <c r="C2" i="72" a="1"/>
  <c r="C2" i="72" s="1"/>
  <c r="F2" i="72" s="1"/>
  <c r="R20" i="15"/>
  <c r="U3" i="15"/>
  <c r="U4" i="15"/>
  <c r="R19" i="15"/>
  <c r="E5" i="65"/>
  <c r="L5" i="15"/>
  <c r="R18" i="15"/>
  <c r="X10" i="15"/>
  <c r="R17" i="15"/>
  <c r="R13" i="15"/>
  <c r="R16" i="15"/>
  <c r="R14" i="15"/>
  <c r="R15" i="15"/>
  <c r="L2" i="15"/>
  <c r="R5" i="15"/>
  <c r="R4" i="15"/>
  <c r="R11" i="15"/>
  <c r="R6" i="15"/>
  <c r="R9" i="15"/>
  <c r="R10" i="15"/>
  <c r="R12" i="15"/>
  <c r="R7" i="15"/>
  <c r="R3" i="15"/>
  <c r="R2" i="15"/>
  <c r="O6" i="15"/>
  <c r="O8" i="15"/>
  <c r="O5" i="15"/>
  <c r="O3" i="15"/>
  <c r="O2" i="15"/>
  <c r="O7" i="15"/>
  <c r="L4" i="15"/>
  <c r="G5" i="15"/>
  <c r="U5" i="65"/>
  <c r="Q5" i="2"/>
  <c r="I5" i="65"/>
  <c r="Q5" i="65"/>
  <c r="U5" i="2"/>
  <c r="M5" i="65"/>
  <c r="M5" i="2"/>
  <c r="I5" i="2"/>
  <c r="E5" i="2"/>
  <c r="G2" i="72"/>
  <c r="D2" i="72"/>
  <c r="A3" i="72" a="1"/>
  <c r="A3" i="72" s="1"/>
  <c r="G4" i="59"/>
  <c r="AB10" i="15" l="1"/>
  <c r="Y11" i="15"/>
  <c r="V7" i="15"/>
  <c r="AB9" i="15"/>
  <c r="AB2" i="15"/>
  <c r="AB8" i="15"/>
  <c r="V5" i="15"/>
  <c r="M4" i="15"/>
  <c r="Y4" i="15"/>
  <c r="I32" i="58" a="1"/>
  <c r="I32" i="58" s="1"/>
  <c r="J32" i="58" s="1" a="1"/>
  <c r="J32" i="58" s="1"/>
  <c r="I31" i="58" a="1"/>
  <c r="I31" i="58" s="1"/>
  <c r="J31" i="58" s="1" a="1"/>
  <c r="J31" i="58" s="1"/>
  <c r="Y5" i="15"/>
  <c r="M3" i="15"/>
  <c r="Y10" i="15"/>
  <c r="E32" i="72" a="1"/>
  <c r="E32" i="72" s="1"/>
  <c r="I33" i="58" a="1"/>
  <c r="I33" i="58" s="1"/>
  <c r="L30" i="58" a="1"/>
  <c r="L30" i="58" s="1"/>
  <c r="K30" i="58" a="1"/>
  <c r="K30" i="58" s="1"/>
  <c r="J30" i="58" a="1"/>
  <c r="J30" i="58" s="1"/>
  <c r="E28" i="56" a="1"/>
  <c r="E28" i="56" s="1"/>
  <c r="E29" i="56" s="1" a="1"/>
  <c r="E29" i="56" s="1"/>
  <c r="I31" i="59" s="1" a="1"/>
  <c r="I31" i="59" s="1"/>
  <c r="AB7" i="15"/>
  <c r="AB6" i="15"/>
  <c r="Y6" i="15"/>
  <c r="Y3" i="15"/>
  <c r="M6" i="15"/>
  <c r="J29" i="59" a="1"/>
  <c r="J29" i="59" s="1"/>
  <c r="L29" i="59" a="1"/>
  <c r="L29" i="59" s="1"/>
  <c r="K29" i="59" a="1"/>
  <c r="K29" i="59" s="1"/>
  <c r="C27" i="56" a="1"/>
  <c r="C27" i="56" s="1"/>
  <c r="I30" i="59" a="1"/>
  <c r="I30" i="59" s="1"/>
  <c r="A28" i="56" a="1"/>
  <c r="A28" i="56" s="1"/>
  <c r="B27" i="56" s="1" a="1"/>
  <c r="B27" i="56" s="1"/>
  <c r="Y2" i="15"/>
  <c r="Y7" i="15"/>
  <c r="AB5" i="15"/>
  <c r="AB4" i="15"/>
  <c r="AB3" i="15"/>
  <c r="Y9" i="15"/>
  <c r="Y8" i="15"/>
  <c r="P9" i="15"/>
  <c r="D4" i="22"/>
  <c r="D5" i="22"/>
  <c r="J4" i="22"/>
  <c r="E4" i="22" s="1"/>
  <c r="I5" i="22"/>
  <c r="C5" i="22" s="1"/>
  <c r="B6" i="22"/>
  <c r="B7" i="22" s="1"/>
  <c r="J7" i="22" s="1"/>
  <c r="E7" i="22" s="1"/>
  <c r="I4" i="22"/>
  <c r="C4" i="22" s="1"/>
  <c r="H15" i="59"/>
  <c r="S20" i="15"/>
  <c r="P2" i="15"/>
  <c r="F6" i="56"/>
  <c r="V2" i="15"/>
  <c r="S19" i="15"/>
  <c r="A4" i="72" a="1"/>
  <c r="A4" i="72" s="1"/>
  <c r="M2" i="15"/>
  <c r="M5" i="15"/>
  <c r="S18" i="15"/>
  <c r="S17" i="15"/>
  <c r="S7" i="15"/>
  <c r="S16" i="15"/>
  <c r="S9" i="15"/>
  <c r="S11" i="15"/>
  <c r="S5" i="15"/>
  <c r="S15" i="15"/>
  <c r="S14" i="15"/>
  <c r="S2" i="15"/>
  <c r="S13" i="15"/>
  <c r="S3" i="15"/>
  <c r="S8" i="15"/>
  <c r="S12" i="15"/>
  <c r="S10" i="15"/>
  <c r="S6" i="15"/>
  <c r="S4" i="15"/>
  <c r="P7" i="15"/>
  <c r="P3" i="15"/>
  <c r="P5" i="15"/>
  <c r="P6" i="15"/>
  <c r="P8" i="15"/>
  <c r="G6" i="15"/>
  <c r="C3" i="72" a="1"/>
  <c r="C3" i="72" s="1"/>
  <c r="F3" i="72" s="1"/>
  <c r="D3" i="72"/>
  <c r="B2" i="72" a="1"/>
  <c r="B2" i="72" s="1"/>
  <c r="G3" i="72"/>
  <c r="G5" i="59"/>
  <c r="F4" i="56"/>
  <c r="D4" i="56"/>
  <c r="G4" i="56"/>
  <c r="K32" i="58" l="1" a="1"/>
  <c r="K32" i="58" s="1"/>
  <c r="L32" i="58" a="1"/>
  <c r="L32" i="58" s="1"/>
  <c r="E33" i="72" a="1"/>
  <c r="E33" i="72" s="1"/>
  <c r="E34" i="72" s="1" a="1"/>
  <c r="E34" i="72" s="1"/>
  <c r="E35" i="72" s="1" a="1"/>
  <c r="E35" i="72" s="1"/>
  <c r="I34" i="58" a="1"/>
  <c r="I34" i="58" s="1"/>
  <c r="K31" i="58" a="1"/>
  <c r="K31" i="58" s="1"/>
  <c r="L31" i="58" a="1"/>
  <c r="L31" i="58" s="1"/>
  <c r="J33" i="58" a="1"/>
  <c r="J33" i="58" s="1"/>
  <c r="L33" i="58" a="1"/>
  <c r="L33" i="58" s="1"/>
  <c r="K33" i="58" a="1"/>
  <c r="K33" i="58" s="1"/>
  <c r="J31" i="59" a="1"/>
  <c r="J31" i="59" s="1"/>
  <c r="K31" i="59" a="1"/>
  <c r="K31" i="59" s="1"/>
  <c r="L31" i="59" a="1"/>
  <c r="L31" i="59" s="1"/>
  <c r="L30" i="59" a="1"/>
  <c r="L30" i="59" s="1"/>
  <c r="J30" i="59" a="1"/>
  <c r="J30" i="59" s="1"/>
  <c r="K30" i="59" a="1"/>
  <c r="K30" i="59" s="1"/>
  <c r="A29" i="56" a="1"/>
  <c r="A29" i="56" s="1"/>
  <c r="B28" i="56" s="1" a="1"/>
  <c r="B28" i="56" s="1"/>
  <c r="E30" i="56" a="1"/>
  <c r="E30" i="56" s="1"/>
  <c r="I32" i="59" s="1" a="1"/>
  <c r="I32" i="59" s="1"/>
  <c r="C28" i="56" a="1"/>
  <c r="C28" i="56" s="1"/>
  <c r="I6" i="22"/>
  <c r="C6" i="22" s="1"/>
  <c r="J6" i="22"/>
  <c r="E6" i="22" s="1"/>
  <c r="D6" i="22"/>
  <c r="I7" i="22"/>
  <c r="C7" i="22" s="1"/>
  <c r="B8" i="22"/>
  <c r="D8" i="22" s="1"/>
  <c r="D7" i="22"/>
  <c r="H16" i="59"/>
  <c r="B3" i="72" a="1"/>
  <c r="B3" i="72" s="1"/>
  <c r="G5" i="56"/>
  <c r="G6" i="56" s="1"/>
  <c r="D5" i="56"/>
  <c r="F5" i="56"/>
  <c r="D6" i="56"/>
  <c r="A5" i="72" a="1"/>
  <c r="A5" i="72" s="1"/>
  <c r="D4" i="72"/>
  <c r="C4" i="72" a="1"/>
  <c r="C4" i="72" s="1"/>
  <c r="F4" i="72" s="1"/>
  <c r="G7" i="15"/>
  <c r="G4" i="72"/>
  <c r="G6" i="59"/>
  <c r="H8" i="58"/>
  <c r="G8" i="58"/>
  <c r="I36" i="58" l="1" a="1"/>
  <c r="I36" i="58" s="1"/>
  <c r="K36" i="58" s="1" a="1"/>
  <c r="K36" i="58" s="1"/>
  <c r="I35" i="58" a="1"/>
  <c r="I35" i="58" s="1"/>
  <c r="L35" i="58" s="1" a="1"/>
  <c r="L35" i="58" s="1"/>
  <c r="J34" i="58" a="1"/>
  <c r="J34" i="58" s="1"/>
  <c r="L34" i="58" a="1"/>
  <c r="L34" i="58" s="1"/>
  <c r="K34" i="58" a="1"/>
  <c r="K34" i="58" s="1"/>
  <c r="E36" i="72" a="1"/>
  <c r="E36" i="72" s="1"/>
  <c r="I37" i="58" a="1"/>
  <c r="I37" i="58" s="1"/>
  <c r="I8" i="22"/>
  <c r="C8" i="22" s="1"/>
  <c r="L32" i="59" a="1"/>
  <c r="L32" i="59" s="1"/>
  <c r="K32" i="59" a="1"/>
  <c r="K32" i="59" s="1"/>
  <c r="J32" i="59" a="1"/>
  <c r="J32" i="59" s="1"/>
  <c r="E31" i="56" a="1"/>
  <c r="E31" i="56" s="1"/>
  <c r="I33" i="59" s="1" a="1"/>
  <c r="I33" i="59" s="1"/>
  <c r="A30" i="56" a="1"/>
  <c r="A30" i="56" s="1"/>
  <c r="B29" i="56" s="1" a="1"/>
  <c r="B29" i="56" s="1"/>
  <c r="C29" i="56" a="1"/>
  <c r="C29" i="56" s="1"/>
  <c r="J8" i="22"/>
  <c r="E8" i="22" s="1"/>
  <c r="B9" i="22"/>
  <c r="I9" i="22" s="1"/>
  <c r="C9" i="22" s="1"/>
  <c r="H17" i="59"/>
  <c r="B4" i="72" a="1"/>
  <c r="B4" i="72" s="1"/>
  <c r="G7" i="59"/>
  <c r="F7" i="56"/>
  <c r="A6" i="72" a="1"/>
  <c r="A6" i="72" s="1"/>
  <c r="C5" i="72" a="1"/>
  <c r="C5" i="72" s="1"/>
  <c r="F5" i="72" s="1"/>
  <c r="D5" i="72"/>
  <c r="G8" i="15"/>
  <c r="A8" i="72" a="1"/>
  <c r="A8" i="72" s="1"/>
  <c r="G5" i="72"/>
  <c r="H9" i="58"/>
  <c r="G9" i="58"/>
  <c r="J36" i="58" l="1" a="1"/>
  <c r="J36" i="58" s="1"/>
  <c r="L36" i="58" a="1"/>
  <c r="L36" i="58" s="1"/>
  <c r="J35" i="58" a="1"/>
  <c r="J35" i="58" s="1"/>
  <c r="K35" i="58" a="1"/>
  <c r="K35" i="58" s="1"/>
  <c r="E37" i="72" a="1"/>
  <c r="E37" i="72" s="1"/>
  <c r="I38" i="58" a="1"/>
  <c r="I38" i="58" s="1"/>
  <c r="D9" i="22"/>
  <c r="J9" i="22"/>
  <c r="E9" i="22" s="1"/>
  <c r="K37" i="58" a="1"/>
  <c r="K37" i="58" s="1"/>
  <c r="L37" i="58" a="1"/>
  <c r="L37" i="58" s="1"/>
  <c r="J37" i="58" a="1"/>
  <c r="J37" i="58" s="1"/>
  <c r="K33" i="59" a="1"/>
  <c r="K33" i="59" s="1"/>
  <c r="J33" i="59" a="1"/>
  <c r="J33" i="59" s="1"/>
  <c r="L33" i="59" a="1"/>
  <c r="L33" i="59" s="1"/>
  <c r="C30" i="56" a="1"/>
  <c r="C30" i="56" s="1"/>
  <c r="E32" i="56" a="1"/>
  <c r="E32" i="56" s="1"/>
  <c r="I34" i="59" s="1" a="1"/>
  <c r="I34" i="59" s="1"/>
  <c r="A31" i="56" a="1"/>
  <c r="A31" i="56" s="1"/>
  <c r="B30" i="56" s="1" a="1"/>
  <c r="B30" i="56" s="1"/>
  <c r="F8" i="56"/>
  <c r="H18" i="59"/>
  <c r="B5" i="72" a="1"/>
  <c r="B5" i="72" s="1"/>
  <c r="G8" i="59"/>
  <c r="G7" i="56"/>
  <c r="G8" i="56" s="1"/>
  <c r="D7" i="56"/>
  <c r="A7" i="72" a="1"/>
  <c r="A7" i="72" s="1"/>
  <c r="D6" i="72"/>
  <c r="C6" i="72" a="1"/>
  <c r="C6" i="72" s="1"/>
  <c r="F6" i="72" s="1"/>
  <c r="G6" i="72"/>
  <c r="Q6" i="2"/>
  <c r="I6" i="2"/>
  <c r="M6" i="2"/>
  <c r="I6" i="65"/>
  <c r="M6" i="65"/>
  <c r="E6" i="2"/>
  <c r="Q6" i="65"/>
  <c r="U6" i="65"/>
  <c r="E6" i="65"/>
  <c r="U6" i="2"/>
  <c r="G9" i="15"/>
  <c r="D8" i="72"/>
  <c r="C8" i="72" a="1"/>
  <c r="C8" i="72" s="1"/>
  <c r="F8" i="72" s="1"/>
  <c r="A9" i="72" a="1"/>
  <c r="A9" i="72" s="1"/>
  <c r="G10" i="58"/>
  <c r="H10" i="58"/>
  <c r="H11" i="58" s="1"/>
  <c r="D8" i="56"/>
  <c r="K38" i="58" l="1" a="1"/>
  <c r="K38" i="58" s="1"/>
  <c r="L38" i="58" a="1"/>
  <c r="L38" i="58" s="1"/>
  <c r="J38" i="58" a="1"/>
  <c r="J38" i="58" s="1"/>
  <c r="E38" i="72" a="1"/>
  <c r="E38" i="72" s="1"/>
  <c r="I39" i="58" a="1"/>
  <c r="I39" i="58" s="1"/>
  <c r="B6" i="72" a="1"/>
  <c r="B6" i="72" s="1"/>
  <c r="L34" i="59" a="1"/>
  <c r="L34" i="59" s="1"/>
  <c r="K34" i="59" a="1"/>
  <c r="K34" i="59" s="1"/>
  <c r="J34" i="59" a="1"/>
  <c r="J34" i="59" s="1"/>
  <c r="C31" i="56" a="1"/>
  <c r="C31" i="56" s="1"/>
  <c r="B31" i="56" a="1"/>
  <c r="B31" i="56" s="1"/>
  <c r="E33" i="56" a="1"/>
  <c r="E33" i="56" s="1"/>
  <c r="A32" i="56" a="1"/>
  <c r="A32" i="56" s="1"/>
  <c r="G11" i="58"/>
  <c r="B7" i="72" a="1"/>
  <c r="B7" i="72" s="1"/>
  <c r="B8" i="72" a="1"/>
  <c r="B8" i="72" s="1"/>
  <c r="G9" i="59"/>
  <c r="G7" i="72"/>
  <c r="D7" i="72"/>
  <c r="C7" i="72" a="1"/>
  <c r="C7" i="72" s="1"/>
  <c r="F7" i="72" s="1"/>
  <c r="G10" i="15"/>
  <c r="A10" i="72" a="1"/>
  <c r="A10" i="72" s="1"/>
  <c r="C9" i="72" a="1"/>
  <c r="C9" i="72" s="1"/>
  <c r="F9" i="72" s="1"/>
  <c r="D9" i="72"/>
  <c r="F9" i="56"/>
  <c r="D9" i="56"/>
  <c r="G9" i="56"/>
  <c r="K39" i="58" l="1" a="1"/>
  <c r="K39" i="58" s="1"/>
  <c r="L39" i="58" a="1"/>
  <c r="L39" i="58" s="1"/>
  <c r="J39" i="58" a="1"/>
  <c r="J39" i="58" s="1"/>
  <c r="E39" i="72" a="1"/>
  <c r="E39" i="72" s="1"/>
  <c r="I40" i="58" a="1"/>
  <c r="I40" i="58" s="1"/>
  <c r="C32" i="56" a="1"/>
  <c r="C32" i="56" s="1"/>
  <c r="B32" i="56" a="1"/>
  <c r="B32" i="56" s="1"/>
  <c r="E34" i="56" a="1"/>
  <c r="E34" i="56" s="1"/>
  <c r="I36" i="59" s="1" a="1"/>
  <c r="I36" i="59" s="1"/>
  <c r="I35" i="59" a="1"/>
  <c r="I35" i="59" s="1"/>
  <c r="A33" i="56" a="1"/>
  <c r="A33" i="56" s="1"/>
  <c r="F10" i="72"/>
  <c r="F11" i="56"/>
  <c r="H19" i="59"/>
  <c r="B9" i="72" a="1"/>
  <c r="B9" i="72" s="1"/>
  <c r="G10" i="59"/>
  <c r="H12" i="58"/>
  <c r="D11" i="56"/>
  <c r="F10" i="56"/>
  <c r="D10" i="56"/>
  <c r="G12" i="58"/>
  <c r="G8" i="72"/>
  <c r="G11" i="15"/>
  <c r="C10" i="72" a="1"/>
  <c r="C10" i="72" s="1"/>
  <c r="D10" i="72"/>
  <c r="A11" i="72" a="1"/>
  <c r="A11" i="72" s="1"/>
  <c r="G10" i="56"/>
  <c r="G11" i="56" s="1"/>
  <c r="E40" i="72" l="1" a="1"/>
  <c r="E40" i="72" s="1"/>
  <c r="I41" i="58" a="1"/>
  <c r="I41" i="58" s="1"/>
  <c r="L40" i="58" a="1"/>
  <c r="L40" i="58" s="1"/>
  <c r="J40" i="58" a="1"/>
  <c r="J40" i="58" s="1"/>
  <c r="K40" i="58" a="1"/>
  <c r="K40" i="58" s="1"/>
  <c r="K36" i="59" a="1"/>
  <c r="K36" i="59" s="1"/>
  <c r="L36" i="59" a="1"/>
  <c r="L36" i="59" s="1"/>
  <c r="J36" i="59" a="1"/>
  <c r="J36" i="59" s="1"/>
  <c r="L35" i="59" a="1"/>
  <c r="L35" i="59" s="1"/>
  <c r="K35" i="59" a="1"/>
  <c r="K35" i="59" s="1"/>
  <c r="J35" i="59" a="1"/>
  <c r="J35" i="59" s="1"/>
  <c r="C33" i="56" a="1"/>
  <c r="C33" i="56" s="1"/>
  <c r="B33" i="56" a="1"/>
  <c r="B33" i="56" s="1"/>
  <c r="E35" i="56" a="1"/>
  <c r="E35" i="56" s="1"/>
  <c r="I37" i="59" s="1" a="1"/>
  <c r="I37" i="59" s="1"/>
  <c r="A34" i="56" a="1"/>
  <c r="A34" i="56" s="1"/>
  <c r="H20" i="59"/>
  <c r="B10" i="72" a="1"/>
  <c r="B10" i="72" s="1"/>
  <c r="G11" i="59"/>
  <c r="G9" i="72"/>
  <c r="G12" i="15"/>
  <c r="A12" i="72" a="1"/>
  <c r="A12" i="72" s="1"/>
  <c r="D11" i="72"/>
  <c r="C11" i="72" a="1"/>
  <c r="C11" i="72" s="1"/>
  <c r="F11" i="72" s="1"/>
  <c r="H13" i="58"/>
  <c r="G13" i="58"/>
  <c r="K41" i="58" l="1" a="1"/>
  <c r="K41" i="58" s="1"/>
  <c r="J41" i="58" a="1"/>
  <c r="J41" i="58" s="1"/>
  <c r="L41" i="58" a="1"/>
  <c r="L41" i="58" s="1"/>
  <c r="E41" i="72" a="1"/>
  <c r="E41" i="72" s="1"/>
  <c r="I42" i="58" a="1"/>
  <c r="I42" i="58" s="1"/>
  <c r="J37" i="59" a="1"/>
  <c r="J37" i="59" s="1"/>
  <c r="L37" i="59" a="1"/>
  <c r="L37" i="59" s="1"/>
  <c r="K37" i="59" a="1"/>
  <c r="K37" i="59" s="1"/>
  <c r="E36" i="56" a="1"/>
  <c r="E36" i="56" s="1"/>
  <c r="I38" i="59" s="1" a="1"/>
  <c r="I38" i="59" s="1"/>
  <c r="A35" i="56" a="1"/>
  <c r="A35" i="56" s="1"/>
  <c r="B34" i="56" s="1" a="1"/>
  <c r="B34" i="56" s="1"/>
  <c r="C34" i="56" a="1"/>
  <c r="C34" i="56" s="1"/>
  <c r="H21" i="59"/>
  <c r="B11" i="72" a="1"/>
  <c r="B11" i="72" s="1"/>
  <c r="G12" i="59"/>
  <c r="G10" i="72"/>
  <c r="G13" i="15"/>
  <c r="D12" i="72"/>
  <c r="C12" i="72" a="1"/>
  <c r="C12" i="72" s="1"/>
  <c r="F12" i="72" s="1"/>
  <c r="A13" i="72" a="1"/>
  <c r="A13" i="72" s="1"/>
  <c r="G14" i="58"/>
  <c r="F12" i="56"/>
  <c r="D12" i="56"/>
  <c r="G12" i="56"/>
  <c r="H14" i="58"/>
  <c r="E42" i="72" l="1" a="1"/>
  <c r="E42" i="72" s="1"/>
  <c r="I44" i="58" s="1" a="1"/>
  <c r="I44" i="58" s="1"/>
  <c r="I43" i="58" a="1"/>
  <c r="I43" i="58" s="1"/>
  <c r="J42" i="58" a="1"/>
  <c r="J42" i="58" s="1"/>
  <c r="K42" i="58" a="1"/>
  <c r="K42" i="58" s="1"/>
  <c r="L42" i="58" a="1"/>
  <c r="L42" i="58" s="1"/>
  <c r="A36" i="56" a="1"/>
  <c r="A36" i="56" s="1"/>
  <c r="B35" i="56" s="1" a="1"/>
  <c r="B35" i="56" s="1"/>
  <c r="E37" i="56" a="1"/>
  <c r="E37" i="56" s="1"/>
  <c r="I39" i="59" s="1" a="1"/>
  <c r="I39" i="59" s="1"/>
  <c r="C35" i="56" a="1"/>
  <c r="C35" i="56" s="1"/>
  <c r="L38" i="59" a="1"/>
  <c r="L38" i="59" s="1"/>
  <c r="J38" i="59" a="1"/>
  <c r="J38" i="59" s="1"/>
  <c r="K38" i="59" a="1"/>
  <c r="K38" i="59" s="1"/>
  <c r="G14" i="15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F7" i="15"/>
  <c r="H23" i="59"/>
  <c r="F13" i="56"/>
  <c r="H22" i="59"/>
  <c r="B12" i="72" a="1"/>
  <c r="B12" i="72" s="1"/>
  <c r="G13" i="59"/>
  <c r="H16" i="58"/>
  <c r="G11" i="72"/>
  <c r="C13" i="72" a="1"/>
  <c r="C13" i="72" s="1"/>
  <c r="F13" i="72" s="1"/>
  <c r="D13" i="72"/>
  <c r="A14" i="72" a="1"/>
  <c r="A14" i="72" s="1"/>
  <c r="G13" i="56"/>
  <c r="D13" i="56"/>
  <c r="H15" i="58"/>
  <c r="G15" i="58"/>
  <c r="G16" i="58" s="1"/>
  <c r="E43" i="72" l="1" a="1"/>
  <c r="E43" i="72" s="1"/>
  <c r="E44" i="72" s="1" a="1"/>
  <c r="E44" i="72" s="1"/>
  <c r="L43" i="58" a="1"/>
  <c r="L43" i="58" s="1"/>
  <c r="K43" i="58" a="1"/>
  <c r="K43" i="58" s="1"/>
  <c r="J43" i="58" a="1"/>
  <c r="J43" i="58" s="1"/>
  <c r="K44" i="58" a="1"/>
  <c r="K44" i="58" s="1"/>
  <c r="J44" i="58" a="1"/>
  <c r="J44" i="58" s="1"/>
  <c r="L44" i="58" a="1"/>
  <c r="L44" i="58" s="1"/>
  <c r="F13" i="15"/>
  <c r="E16" i="2" s="1"/>
  <c r="E38" i="56" a="1"/>
  <c r="E38" i="56" s="1"/>
  <c r="I40" i="59" s="1" a="1"/>
  <c r="I40" i="59" s="1"/>
  <c r="A37" i="56" a="1"/>
  <c r="A37" i="56" s="1"/>
  <c r="C37" i="56" s="1" a="1"/>
  <c r="C37" i="56" s="1"/>
  <c r="C36" i="56" a="1"/>
  <c r="C36" i="56" s="1"/>
  <c r="F19" i="15"/>
  <c r="M22" i="65" s="1"/>
  <c r="F43" i="15"/>
  <c r="M46" i="65" s="1"/>
  <c r="F22" i="15"/>
  <c r="M25" i="2" s="1"/>
  <c r="F59" i="15"/>
  <c r="E62" i="2" s="1"/>
  <c r="F41" i="15"/>
  <c r="I44" i="2" s="1"/>
  <c r="F20" i="15"/>
  <c r="U23" i="2" s="1"/>
  <c r="F61" i="15"/>
  <c r="M64" i="2" s="1"/>
  <c r="F62" i="15"/>
  <c r="Q65" i="2" s="1"/>
  <c r="I11" i="65"/>
  <c r="F25" i="15"/>
  <c r="I28" i="2" s="1"/>
  <c r="E42" i="2"/>
  <c r="F37" i="15"/>
  <c r="F16" i="15"/>
  <c r="U19" i="2" s="1"/>
  <c r="F9" i="15"/>
  <c r="U12" i="2" s="1"/>
  <c r="F14" i="15"/>
  <c r="I17" i="65" s="1"/>
  <c r="F48" i="15"/>
  <c r="E51" i="2" s="1"/>
  <c r="F17" i="15"/>
  <c r="M20" i="65" s="1"/>
  <c r="F47" i="15"/>
  <c r="M50" i="2" s="1"/>
  <c r="Q60" i="2"/>
  <c r="F12" i="15"/>
  <c r="Q15" i="2" s="1"/>
  <c r="F23" i="15"/>
  <c r="E26" i="2" s="1"/>
  <c r="F63" i="15"/>
  <c r="U66" i="2" s="1"/>
  <c r="E58" i="65"/>
  <c r="E35" i="2"/>
  <c r="F15" i="15"/>
  <c r="U18" i="2" s="1"/>
  <c r="F11" i="15"/>
  <c r="Q14" i="65" s="1"/>
  <c r="M55" i="65"/>
  <c r="F38" i="15"/>
  <c r="U41" i="65" s="1"/>
  <c r="E33" i="65"/>
  <c r="F10" i="15"/>
  <c r="E13" i="65" s="1"/>
  <c r="F45" i="15"/>
  <c r="E48" i="65" s="1"/>
  <c r="F40" i="15"/>
  <c r="U43" i="2" s="1"/>
  <c r="E47" i="65"/>
  <c r="Q57" i="65"/>
  <c r="F28" i="15"/>
  <c r="I31" i="2" s="1"/>
  <c r="F36" i="15"/>
  <c r="I39" i="2" s="1"/>
  <c r="M36" i="2"/>
  <c r="U37" i="65"/>
  <c r="F60" i="15"/>
  <c r="U63" i="2" s="1"/>
  <c r="F29" i="15"/>
  <c r="I32" i="65" s="1"/>
  <c r="I38" i="65"/>
  <c r="F66" i="15"/>
  <c r="M69" i="2" s="1"/>
  <c r="F67" i="15"/>
  <c r="I70" i="65" s="1"/>
  <c r="F42" i="15"/>
  <c r="M45" i="2" s="1"/>
  <c r="E53" i="2"/>
  <c r="Q52" i="65"/>
  <c r="F31" i="15"/>
  <c r="M34" i="2" s="1"/>
  <c r="F21" i="15"/>
  <c r="I24" i="65" s="1"/>
  <c r="F18" i="15"/>
  <c r="I21" i="2" s="1"/>
  <c r="F64" i="15"/>
  <c r="E67" i="65" s="1"/>
  <c r="M61" i="2"/>
  <c r="F65" i="15"/>
  <c r="U68" i="65" s="1"/>
  <c r="F46" i="15"/>
  <c r="Q49" i="2" s="1"/>
  <c r="F26" i="15"/>
  <c r="U29" i="65" s="1"/>
  <c r="F24" i="15"/>
  <c r="Q27" i="2" s="1"/>
  <c r="F27" i="15"/>
  <c r="U30" i="65" s="1"/>
  <c r="Q10" i="2"/>
  <c r="M10" i="65"/>
  <c r="I10" i="2"/>
  <c r="Q10" i="65"/>
  <c r="E10" i="2"/>
  <c r="I10" i="65"/>
  <c r="U10" i="2"/>
  <c r="E10" i="65"/>
  <c r="U10" i="65"/>
  <c r="M10" i="2"/>
  <c r="K39" i="59" a="1"/>
  <c r="K39" i="59" s="1"/>
  <c r="L39" i="59" a="1"/>
  <c r="L39" i="59" s="1"/>
  <c r="J39" i="59" a="1"/>
  <c r="J39" i="59" s="1"/>
  <c r="H24" i="59"/>
  <c r="G14" i="59"/>
  <c r="G17" i="58"/>
  <c r="H17" i="58"/>
  <c r="G12" i="72"/>
  <c r="D14" i="72"/>
  <c r="C14" i="72" a="1"/>
  <c r="C14" i="72" s="1"/>
  <c r="F14" i="72" s="1"/>
  <c r="A15" i="72" a="1"/>
  <c r="A15" i="72" s="1"/>
  <c r="B13" i="72" a="1"/>
  <c r="B13" i="72" s="1"/>
  <c r="I54" i="2"/>
  <c r="E54" i="65"/>
  <c r="Q54" i="2"/>
  <c r="U54" i="2"/>
  <c r="E54" i="2"/>
  <c r="M54" i="2"/>
  <c r="M54" i="65"/>
  <c r="U54" i="65"/>
  <c r="I54" i="65"/>
  <c r="Q54" i="65"/>
  <c r="D14" i="56"/>
  <c r="G14" i="56"/>
  <c r="M22" i="2" l="1"/>
  <c r="U51" i="2"/>
  <c r="E22" i="65"/>
  <c r="Q51" i="2"/>
  <c r="E46" i="2"/>
  <c r="I25" i="65"/>
  <c r="U51" i="65"/>
  <c r="U46" i="2"/>
  <c r="U25" i="65"/>
  <c r="H56" i="15"/>
  <c r="M25" i="65"/>
  <c r="I51" i="2"/>
  <c r="I25" i="2"/>
  <c r="E25" i="2"/>
  <c r="I46" i="65"/>
  <c r="E46" i="65"/>
  <c r="M46" i="2"/>
  <c r="M51" i="65"/>
  <c r="I51" i="65"/>
  <c r="U46" i="65"/>
  <c r="Q46" i="2"/>
  <c r="I46" i="2"/>
  <c r="H53" i="15"/>
  <c r="H51" i="15"/>
  <c r="H67" i="15"/>
  <c r="I67" i="15" s="1"/>
  <c r="J67" i="15" s="1"/>
  <c r="H48" i="15"/>
  <c r="M70" i="2"/>
  <c r="U70" i="65"/>
  <c r="E70" i="2"/>
  <c r="E51" i="65"/>
  <c r="E70" i="65"/>
  <c r="M56" i="65"/>
  <c r="I70" i="2"/>
  <c r="Q64" i="2"/>
  <c r="Q51" i="65"/>
  <c r="I16" i="2"/>
  <c r="H37" i="15"/>
  <c r="M51" i="2"/>
  <c r="M39" i="2"/>
  <c r="E64" i="65"/>
  <c r="Q69" i="2"/>
  <c r="U37" i="2"/>
  <c r="U69" i="65"/>
  <c r="H66" i="15"/>
  <c r="I66" i="15" s="1"/>
  <c r="J66" i="15" s="1"/>
  <c r="E69" i="2"/>
  <c r="I69" i="2"/>
  <c r="E42" i="65"/>
  <c r="I16" i="65"/>
  <c r="I69" i="65"/>
  <c r="M16" i="65"/>
  <c r="E69" i="65"/>
  <c r="H43" i="15"/>
  <c r="Q16" i="2"/>
  <c r="H61" i="15"/>
  <c r="I61" i="15" s="1"/>
  <c r="J61" i="15" s="1"/>
  <c r="U40" i="2"/>
  <c r="Q23" i="65"/>
  <c r="M65" i="2"/>
  <c r="Q39" i="65"/>
  <c r="H62" i="15"/>
  <c r="I62" i="15" s="1"/>
  <c r="J62" i="15" s="1"/>
  <c r="I52" i="2"/>
  <c r="E15" i="65"/>
  <c r="U23" i="65"/>
  <c r="Q15" i="65"/>
  <c r="I23" i="65"/>
  <c r="M15" i="65"/>
  <c r="U52" i="2"/>
  <c r="M52" i="2"/>
  <c r="M15" i="2"/>
  <c r="E52" i="65"/>
  <c r="I15" i="65"/>
  <c r="U65" i="2"/>
  <c r="E15" i="2"/>
  <c r="U56" i="65"/>
  <c r="E60" i="65"/>
  <c r="U25" i="2"/>
  <c r="M56" i="2"/>
  <c r="Q56" i="2"/>
  <c r="H57" i="15"/>
  <c r="Q25" i="2"/>
  <c r="H34" i="15"/>
  <c r="I40" i="65"/>
  <c r="E37" i="65"/>
  <c r="Q52" i="2"/>
  <c r="M60" i="2"/>
  <c r="Q40" i="2"/>
  <c r="E23" i="2"/>
  <c r="M16" i="2"/>
  <c r="U15" i="65"/>
  <c r="M37" i="2"/>
  <c r="M52" i="65"/>
  <c r="I60" i="2"/>
  <c r="I40" i="2"/>
  <c r="I23" i="2"/>
  <c r="I15" i="2"/>
  <c r="M40" i="65"/>
  <c r="U52" i="65"/>
  <c r="M41" i="2"/>
  <c r="Q23" i="2"/>
  <c r="I65" i="65"/>
  <c r="E52" i="2"/>
  <c r="Q66" i="65"/>
  <c r="U39" i="2"/>
  <c r="M65" i="65"/>
  <c r="Q56" i="65"/>
  <c r="H49" i="15"/>
  <c r="Q58" i="65"/>
  <c r="Q26" i="65"/>
  <c r="Q40" i="65"/>
  <c r="I65" i="2"/>
  <c r="I56" i="2"/>
  <c r="I52" i="65"/>
  <c r="Q50" i="2"/>
  <c r="M26" i="65"/>
  <c r="E23" i="65"/>
  <c r="U65" i="65"/>
  <c r="M64" i="65"/>
  <c r="E50" i="65"/>
  <c r="E16" i="65"/>
  <c r="E41" i="65"/>
  <c r="E62" i="65"/>
  <c r="U16" i="65"/>
  <c r="H41" i="15"/>
  <c r="I41" i="2"/>
  <c r="U44" i="2"/>
  <c r="Q41" i="65"/>
  <c r="H59" i="15"/>
  <c r="I59" i="15" s="1"/>
  <c r="I62" i="2"/>
  <c r="M37" i="65"/>
  <c r="Q12" i="65"/>
  <c r="Q44" i="2"/>
  <c r="I62" i="65"/>
  <c r="I57" i="2"/>
  <c r="E35" i="65"/>
  <c r="Q35" i="2"/>
  <c r="E44" i="2"/>
  <c r="Q37" i="2"/>
  <c r="E44" i="65"/>
  <c r="E37" i="2"/>
  <c r="M44" i="2"/>
  <c r="E40" i="65"/>
  <c r="Q62" i="65"/>
  <c r="Q65" i="65"/>
  <c r="Q37" i="65"/>
  <c r="I64" i="2"/>
  <c r="Q44" i="65"/>
  <c r="E40" i="2"/>
  <c r="U12" i="65"/>
  <c r="M62" i="65"/>
  <c r="E65" i="2"/>
  <c r="E64" i="2"/>
  <c r="I44" i="65"/>
  <c r="M42" i="2"/>
  <c r="U40" i="65"/>
  <c r="U26" i="65"/>
  <c r="U62" i="2"/>
  <c r="E65" i="65"/>
  <c r="Q64" i="65"/>
  <c r="U44" i="65"/>
  <c r="M42" i="65"/>
  <c r="M40" i="2"/>
  <c r="I26" i="2"/>
  <c r="E31" i="2"/>
  <c r="U35" i="65"/>
  <c r="I53" i="65"/>
  <c r="Q62" i="2"/>
  <c r="U64" i="2"/>
  <c r="U42" i="2"/>
  <c r="E55" i="2"/>
  <c r="Q29" i="65"/>
  <c r="E31" i="65"/>
  <c r="M35" i="65"/>
  <c r="M62" i="2"/>
  <c r="I37" i="65"/>
  <c r="I56" i="65"/>
  <c r="U64" i="65"/>
  <c r="I42" i="65"/>
  <c r="E41" i="2"/>
  <c r="Q16" i="65"/>
  <c r="Q28" i="2"/>
  <c r="U62" i="65"/>
  <c r="I37" i="2"/>
  <c r="E56" i="2"/>
  <c r="U42" i="65"/>
  <c r="M41" i="65"/>
  <c r="U16" i="2"/>
  <c r="M28" i="65"/>
  <c r="U56" i="2"/>
  <c r="H39" i="15"/>
  <c r="H38" i="15"/>
  <c r="M28" i="2"/>
  <c r="U15" i="2"/>
  <c r="I45" i="58" a="1"/>
  <c r="I45" i="58" s="1"/>
  <c r="K45" i="58" s="1" a="1"/>
  <c r="K45" i="58" s="1"/>
  <c r="E45" i="72" a="1"/>
  <c r="E45" i="72" s="1"/>
  <c r="I46" i="58" a="1"/>
  <c r="I46" i="58" s="1"/>
  <c r="A38" i="56" a="1"/>
  <c r="A38" i="56" s="1"/>
  <c r="C38" i="56" s="1" a="1"/>
  <c r="C38" i="56" s="1"/>
  <c r="E39" i="56" a="1"/>
  <c r="E39" i="56" s="1"/>
  <c r="I41" i="59" s="1" a="1"/>
  <c r="I41" i="59" s="1"/>
  <c r="L41" i="59" s="1" a="1"/>
  <c r="L41" i="59" s="1"/>
  <c r="B36" i="56" a="1"/>
  <c r="B36" i="56" s="1"/>
  <c r="Q53" i="2"/>
  <c r="U66" i="65"/>
  <c r="E17" i="65"/>
  <c r="E19" i="65"/>
  <c r="Q58" i="2"/>
  <c r="U70" i="2"/>
  <c r="I64" i="65"/>
  <c r="M44" i="65"/>
  <c r="Q26" i="2"/>
  <c r="M14" i="2"/>
  <c r="M70" i="65"/>
  <c r="I58" i="65"/>
  <c r="U53" i="2"/>
  <c r="Q70" i="2"/>
  <c r="Q50" i="65"/>
  <c r="Q22" i="2"/>
  <c r="M53" i="2"/>
  <c r="Q70" i="65"/>
  <c r="I60" i="65"/>
  <c r="H52" i="15"/>
  <c r="Q42" i="2"/>
  <c r="Q45" i="65"/>
  <c r="I42" i="2"/>
  <c r="Q38" i="2"/>
  <c r="Q60" i="65"/>
  <c r="Q55" i="2"/>
  <c r="H35" i="15"/>
  <c r="E55" i="65"/>
  <c r="E38" i="2"/>
  <c r="M60" i="65"/>
  <c r="U55" i="2"/>
  <c r="U60" i="2"/>
  <c r="M31" i="65"/>
  <c r="M31" i="2"/>
  <c r="Q69" i="65"/>
  <c r="U67" i="65"/>
  <c r="U67" i="2"/>
  <c r="H3" i="15"/>
  <c r="M67" i="2"/>
  <c r="M69" i="65"/>
  <c r="U31" i="2"/>
  <c r="I41" i="65"/>
  <c r="U31" i="65"/>
  <c r="E53" i="65"/>
  <c r="E56" i="65"/>
  <c r="U69" i="2"/>
  <c r="I36" i="65"/>
  <c r="I55" i="2"/>
  <c r="Q41" i="2"/>
  <c r="E29" i="65"/>
  <c r="I31" i="65"/>
  <c r="H64" i="15"/>
  <c r="I64" i="15" s="1"/>
  <c r="J64" i="15" s="1"/>
  <c r="I35" i="65"/>
  <c r="M53" i="65"/>
  <c r="E36" i="2"/>
  <c r="E60" i="2"/>
  <c r="U41" i="2"/>
  <c r="E29" i="2"/>
  <c r="Q31" i="65"/>
  <c r="Q35" i="65"/>
  <c r="Q68" i="65"/>
  <c r="Q38" i="65"/>
  <c r="M55" i="2"/>
  <c r="H54" i="15"/>
  <c r="I28" i="65"/>
  <c r="I68" i="2"/>
  <c r="Q57" i="2"/>
  <c r="H50" i="15"/>
  <c r="M39" i="65"/>
  <c r="M45" i="65"/>
  <c r="Q36" i="2"/>
  <c r="U38" i="2"/>
  <c r="I55" i="65"/>
  <c r="Q31" i="2"/>
  <c r="I67" i="2"/>
  <c r="Q43" i="2"/>
  <c r="E22" i="2"/>
  <c r="U19" i="65"/>
  <c r="U58" i="65"/>
  <c r="E57" i="2"/>
  <c r="I48" i="65"/>
  <c r="I12" i="2"/>
  <c r="U22" i="2"/>
  <c r="H32" i="15"/>
  <c r="H42" i="15"/>
  <c r="U39" i="65"/>
  <c r="H65" i="15"/>
  <c r="I65" i="15" s="1"/>
  <c r="J65" i="15" s="1"/>
  <c r="I45" i="65"/>
  <c r="I53" i="2"/>
  <c r="I39" i="65"/>
  <c r="U45" i="2"/>
  <c r="Q36" i="65"/>
  <c r="Q68" i="2"/>
  <c r="I38" i="2"/>
  <c r="M57" i="65"/>
  <c r="Q12" i="2"/>
  <c r="E67" i="2"/>
  <c r="Q45" i="2"/>
  <c r="E68" i="65"/>
  <c r="E45" i="2"/>
  <c r="H33" i="15"/>
  <c r="U38" i="65"/>
  <c r="I66" i="2"/>
  <c r="U45" i="65"/>
  <c r="H17" i="15"/>
  <c r="H36" i="15"/>
  <c r="Q39" i="2"/>
  <c r="H30" i="15"/>
  <c r="M68" i="2"/>
  <c r="M38" i="2"/>
  <c r="E45" i="65"/>
  <c r="E68" i="2"/>
  <c r="I66" i="65"/>
  <c r="M66" i="2"/>
  <c r="E39" i="65"/>
  <c r="E39" i="2"/>
  <c r="I45" i="2"/>
  <c r="U68" i="2"/>
  <c r="H63" i="15"/>
  <c r="I63" i="15" s="1"/>
  <c r="J63" i="15" s="1"/>
  <c r="E66" i="65"/>
  <c r="I35" i="2"/>
  <c r="E66" i="2"/>
  <c r="M68" i="65"/>
  <c r="I68" i="65"/>
  <c r="E38" i="65"/>
  <c r="U55" i="65"/>
  <c r="M66" i="65"/>
  <c r="E57" i="65"/>
  <c r="I26" i="65"/>
  <c r="Q29" i="2"/>
  <c r="Q21" i="65"/>
  <c r="Q66" i="2"/>
  <c r="E33" i="2"/>
  <c r="M26" i="2"/>
  <c r="U53" i="65"/>
  <c r="E58" i="2"/>
  <c r="E43" i="65"/>
  <c r="M58" i="2"/>
  <c r="Q53" i="65"/>
  <c r="I36" i="2"/>
  <c r="U58" i="2"/>
  <c r="M17" i="2"/>
  <c r="I13" i="2"/>
  <c r="U36" i="65"/>
  <c r="H55" i="15"/>
  <c r="M17" i="65"/>
  <c r="Q63" i="65"/>
  <c r="I48" i="2"/>
  <c r="U21" i="65"/>
  <c r="E63" i="65"/>
  <c r="U36" i="2"/>
  <c r="I63" i="65"/>
  <c r="I29" i="65"/>
  <c r="I22" i="2"/>
  <c r="M38" i="65"/>
  <c r="M63" i="65"/>
  <c r="U57" i="65"/>
  <c r="M29" i="2"/>
  <c r="I22" i="65"/>
  <c r="U35" i="2"/>
  <c r="M35" i="2"/>
  <c r="Q43" i="65"/>
  <c r="I57" i="65"/>
  <c r="M57" i="2"/>
  <c r="Q21" i="2"/>
  <c r="U61" i="2"/>
  <c r="U33" i="65"/>
  <c r="Q55" i="65"/>
  <c r="U57" i="2"/>
  <c r="Q42" i="65"/>
  <c r="U60" i="65"/>
  <c r="Q63" i="2"/>
  <c r="I58" i="2"/>
  <c r="U26" i="2"/>
  <c r="M29" i="65"/>
  <c r="I21" i="65"/>
  <c r="M9" i="2"/>
  <c r="Q9" i="65"/>
  <c r="E9" i="65"/>
  <c r="I9" i="2"/>
  <c r="U9" i="2"/>
  <c r="Q9" i="2"/>
  <c r="M9" i="65"/>
  <c r="I9" i="65"/>
  <c r="U9" i="65"/>
  <c r="E9" i="2"/>
  <c r="U8" i="2"/>
  <c r="E8" i="65"/>
  <c r="U8" i="65"/>
  <c r="M8" i="65"/>
  <c r="M8" i="2"/>
  <c r="Q8" i="65"/>
  <c r="I8" i="2"/>
  <c r="I8" i="65"/>
  <c r="E8" i="2"/>
  <c r="Q8" i="2"/>
  <c r="I59" i="65"/>
  <c r="E59" i="2"/>
  <c r="Q7" i="2"/>
  <c r="E7" i="65"/>
  <c r="M7" i="2"/>
  <c r="Q7" i="65"/>
  <c r="M7" i="65"/>
  <c r="I7" i="2"/>
  <c r="I7" i="65"/>
  <c r="U7" i="2"/>
  <c r="E7" i="2"/>
  <c r="U7" i="65"/>
  <c r="U30" i="2"/>
  <c r="M21" i="2"/>
  <c r="I20" i="2"/>
  <c r="U11" i="65"/>
  <c r="H7" i="15"/>
  <c r="M63" i="2"/>
  <c r="M43" i="65"/>
  <c r="E21" i="65"/>
  <c r="H10" i="15"/>
  <c r="Q59" i="2"/>
  <c r="Q48" i="65"/>
  <c r="Q61" i="2"/>
  <c r="Q17" i="65"/>
  <c r="U20" i="2"/>
  <c r="H28" i="15"/>
  <c r="E21" i="2"/>
  <c r="Q14" i="2"/>
  <c r="Q24" i="65"/>
  <c r="H13" i="15"/>
  <c r="I47" i="2"/>
  <c r="H19" i="15"/>
  <c r="H20" i="15"/>
  <c r="M36" i="65"/>
  <c r="E36" i="65"/>
  <c r="E63" i="2"/>
  <c r="I63" i="2"/>
  <c r="M58" i="65"/>
  <c r="U43" i="65"/>
  <c r="Q47" i="2"/>
  <c r="H47" i="15"/>
  <c r="U29" i="2"/>
  <c r="E17" i="2"/>
  <c r="E28" i="2"/>
  <c r="Q22" i="65"/>
  <c r="E18" i="65"/>
  <c r="U11" i="2"/>
  <c r="H26" i="15"/>
  <c r="H29" i="15"/>
  <c r="H22" i="15"/>
  <c r="U63" i="65"/>
  <c r="M43" i="2"/>
  <c r="U47" i="65"/>
  <c r="E50" i="2"/>
  <c r="M14" i="65"/>
  <c r="E30" i="65"/>
  <c r="I17" i="2"/>
  <c r="Q28" i="65"/>
  <c r="U22" i="65"/>
  <c r="H4" i="15"/>
  <c r="H60" i="15"/>
  <c r="I60" i="15" s="1"/>
  <c r="J60" i="15" s="1"/>
  <c r="I43" i="65"/>
  <c r="U50" i="2"/>
  <c r="M24" i="65"/>
  <c r="E20" i="2"/>
  <c r="H8" i="15"/>
  <c r="H2" i="15"/>
  <c r="H15" i="15"/>
  <c r="H23" i="15"/>
  <c r="H40" i="15"/>
  <c r="E47" i="2"/>
  <c r="U50" i="65"/>
  <c r="I32" i="2"/>
  <c r="H25" i="15"/>
  <c r="H16" i="15"/>
  <c r="H5" i="15"/>
  <c r="I50" i="2"/>
  <c r="U48" i="65"/>
  <c r="I29" i="2"/>
  <c r="U17" i="2"/>
  <c r="E32" i="65"/>
  <c r="E11" i="2"/>
  <c r="M47" i="65"/>
  <c r="I14" i="2"/>
  <c r="E24" i="65"/>
  <c r="I30" i="2"/>
  <c r="M47" i="2"/>
  <c r="U14" i="2"/>
  <c r="M23" i="2"/>
  <c r="U24" i="2"/>
  <c r="M30" i="2"/>
  <c r="M12" i="2"/>
  <c r="I47" i="65"/>
  <c r="U32" i="2"/>
  <c r="M13" i="2"/>
  <c r="H44" i="15"/>
  <c r="E14" i="65"/>
  <c r="M23" i="65"/>
  <c r="E12" i="65"/>
  <c r="U32" i="65"/>
  <c r="U13" i="2"/>
  <c r="U14" i="65"/>
  <c r="M24" i="2"/>
  <c r="E30" i="2"/>
  <c r="E12" i="2"/>
  <c r="E25" i="65"/>
  <c r="U21" i="2"/>
  <c r="M21" i="65"/>
  <c r="Q25" i="65"/>
  <c r="E24" i="2"/>
  <c r="I30" i="65"/>
  <c r="E32" i="2"/>
  <c r="U47" i="2"/>
  <c r="I50" i="65"/>
  <c r="I14" i="65"/>
  <c r="I24" i="2"/>
  <c r="Q30" i="65"/>
  <c r="Q32" i="2"/>
  <c r="Q13" i="2"/>
  <c r="H9" i="15"/>
  <c r="H12" i="15"/>
  <c r="Q47" i="65"/>
  <c r="E14" i="2"/>
  <c r="Q24" i="2"/>
  <c r="Q30" i="2"/>
  <c r="M49" i="65"/>
  <c r="M32" i="2"/>
  <c r="M13" i="65"/>
  <c r="M34" i="65"/>
  <c r="Q13" i="65"/>
  <c r="M12" i="65"/>
  <c r="I12" i="65"/>
  <c r="U13" i="65"/>
  <c r="I13" i="65"/>
  <c r="Q48" i="2"/>
  <c r="E13" i="2"/>
  <c r="E49" i="65"/>
  <c r="H45" i="15"/>
  <c r="M67" i="65"/>
  <c r="B37" i="56" a="1"/>
  <c r="B37" i="56" s="1"/>
  <c r="L40" i="59" a="1"/>
  <c r="L40" i="59" s="1"/>
  <c r="J40" i="59" a="1"/>
  <c r="J40" i="59" s="1"/>
  <c r="K40" i="59" a="1"/>
  <c r="K40" i="59" s="1"/>
  <c r="J41" i="59" a="1"/>
  <c r="J41" i="59" s="1"/>
  <c r="U17" i="65"/>
  <c r="M48" i="2"/>
  <c r="U28" i="2"/>
  <c r="Q32" i="65"/>
  <c r="E48" i="2"/>
  <c r="I49" i="2"/>
  <c r="U49" i="2"/>
  <c r="I49" i="65"/>
  <c r="U49" i="65"/>
  <c r="M30" i="65"/>
  <c r="Q17" i="2"/>
  <c r="H58" i="15"/>
  <c r="E28" i="65"/>
  <c r="M32" i="65"/>
  <c r="Q33" i="2"/>
  <c r="M48" i="65"/>
  <c r="M49" i="2"/>
  <c r="H11" i="15"/>
  <c r="H6" i="15"/>
  <c r="H24" i="15"/>
  <c r="Q46" i="65"/>
  <c r="M50" i="65"/>
  <c r="E26" i="65"/>
  <c r="U24" i="65"/>
  <c r="U28" i="65"/>
  <c r="U48" i="2"/>
  <c r="E43" i="2"/>
  <c r="Q33" i="65"/>
  <c r="U18" i="65"/>
  <c r="I34" i="2"/>
  <c r="Q20" i="65"/>
  <c r="Q11" i="65"/>
  <c r="Q18" i="65"/>
  <c r="U34" i="65"/>
  <c r="U20" i="65"/>
  <c r="M11" i="65"/>
  <c r="M59" i="2"/>
  <c r="U33" i="2"/>
  <c r="M18" i="65"/>
  <c r="I20" i="65"/>
  <c r="M11" i="2"/>
  <c r="E49" i="2"/>
  <c r="U27" i="65"/>
  <c r="M18" i="2"/>
  <c r="I27" i="2"/>
  <c r="M20" i="2"/>
  <c r="I11" i="2"/>
  <c r="E59" i="65"/>
  <c r="I27" i="65"/>
  <c r="H21" i="15"/>
  <c r="I43" i="2"/>
  <c r="I61" i="2"/>
  <c r="I18" i="65"/>
  <c r="E34" i="2"/>
  <c r="E20" i="65"/>
  <c r="Q11" i="2"/>
  <c r="I33" i="65"/>
  <c r="U27" i="2"/>
  <c r="U34" i="2"/>
  <c r="Q61" i="65"/>
  <c r="M19" i="65"/>
  <c r="I59" i="2"/>
  <c r="M27" i="2"/>
  <c r="M19" i="2"/>
  <c r="U59" i="2"/>
  <c r="M33" i="65"/>
  <c r="M33" i="2"/>
  <c r="Q27" i="65"/>
  <c r="Q18" i="2"/>
  <c r="I18" i="2"/>
  <c r="E34" i="65"/>
  <c r="Q19" i="65"/>
  <c r="E61" i="65"/>
  <c r="Q59" i="65"/>
  <c r="M27" i="65"/>
  <c r="E18" i="2"/>
  <c r="Q34" i="2"/>
  <c r="E19" i="2"/>
  <c r="I19" i="2"/>
  <c r="U59" i="65"/>
  <c r="H14" i="15"/>
  <c r="H27" i="15"/>
  <c r="H18" i="15"/>
  <c r="H31" i="15"/>
  <c r="M59" i="65"/>
  <c r="E61" i="2"/>
  <c r="I33" i="2"/>
  <c r="E27" i="65"/>
  <c r="Q19" i="2"/>
  <c r="I19" i="65"/>
  <c r="I61" i="65"/>
  <c r="E27" i="2"/>
  <c r="I34" i="65"/>
  <c r="Q20" i="2"/>
  <c r="E11" i="65"/>
  <c r="M61" i="65"/>
  <c r="U61" i="65"/>
  <c r="Q34" i="65"/>
  <c r="Q67" i="2"/>
  <c r="Q67" i="65"/>
  <c r="I67" i="65"/>
  <c r="Q49" i="65"/>
  <c r="H46" i="15"/>
  <c r="A39" i="56" a="1"/>
  <c r="A39" i="56" s="1"/>
  <c r="B38" i="56" s="1" a="1"/>
  <c r="B38" i="56" s="1"/>
  <c r="E40" i="56" a="1"/>
  <c r="E40" i="56" s="1"/>
  <c r="F15" i="56"/>
  <c r="F14" i="56"/>
  <c r="H25" i="59"/>
  <c r="G15" i="59"/>
  <c r="G13" i="72"/>
  <c r="A16" i="72" a="1"/>
  <c r="A16" i="72" s="1"/>
  <c r="D15" i="72"/>
  <c r="C15" i="72" a="1"/>
  <c r="C15" i="72" s="1"/>
  <c r="F15" i="72" s="1"/>
  <c r="B14" i="72" a="1"/>
  <c r="B14" i="72" s="1"/>
  <c r="H18" i="58"/>
  <c r="G18" i="58"/>
  <c r="G15" i="56"/>
  <c r="D15" i="56"/>
  <c r="L45" i="58" l="1" a="1"/>
  <c r="L45" i="58" s="1"/>
  <c r="J45" i="58" a="1"/>
  <c r="J45" i="58" s="1"/>
  <c r="E46" i="72" a="1"/>
  <c r="E46" i="72" s="1"/>
  <c r="I47" i="58" a="1"/>
  <c r="I47" i="58" s="1"/>
  <c r="K46" i="58" a="1"/>
  <c r="K46" i="58" s="1"/>
  <c r="L46" i="58" a="1"/>
  <c r="L46" i="58" s="1"/>
  <c r="J46" i="58" a="1"/>
  <c r="J46" i="58" s="1"/>
  <c r="I50" i="58" a="1"/>
  <c r="I50" i="58" s="1"/>
  <c r="K41" i="59" a="1"/>
  <c r="K41" i="59" s="1"/>
  <c r="H1" i="15"/>
  <c r="I57" i="15" s="1"/>
  <c r="I42" i="59" a="1"/>
  <c r="I42" i="59" s="1"/>
  <c r="E41" i="56" a="1"/>
  <c r="E41" i="56" s="1"/>
  <c r="I43" i="59" s="1" a="1"/>
  <c r="I43" i="59" s="1"/>
  <c r="A40" i="56" a="1"/>
  <c r="A40" i="56" s="1"/>
  <c r="B39" i="56" s="1" a="1"/>
  <c r="B39" i="56" s="1"/>
  <c r="C39" i="56" a="1"/>
  <c r="C39" i="56" s="1"/>
  <c r="H26" i="59"/>
  <c r="B15" i="72" a="1"/>
  <c r="B15" i="72" s="1"/>
  <c r="G16" i="59"/>
  <c r="G14" i="72"/>
  <c r="A17" i="72" a="1"/>
  <c r="A17" i="72" s="1"/>
  <c r="D16" i="72"/>
  <c r="C16" i="72" a="1"/>
  <c r="C16" i="72" s="1"/>
  <c r="F16" i="72" s="1"/>
  <c r="G19" i="58"/>
  <c r="G16" i="56"/>
  <c r="D16" i="56"/>
  <c r="F16" i="56"/>
  <c r="I58" i="15" l="1"/>
  <c r="I52" i="15"/>
  <c r="I56" i="15"/>
  <c r="I55" i="15"/>
  <c r="I53" i="15"/>
  <c r="I54" i="15"/>
  <c r="I26" i="15"/>
  <c r="I51" i="15"/>
  <c r="I50" i="15"/>
  <c r="I45" i="15"/>
  <c r="I47" i="15"/>
  <c r="I48" i="15"/>
  <c r="I49" i="15"/>
  <c r="I46" i="15"/>
  <c r="I44" i="15"/>
  <c r="I43" i="15"/>
  <c r="I42" i="15"/>
  <c r="I41" i="15"/>
  <c r="I40" i="15"/>
  <c r="I39" i="15"/>
  <c r="I38" i="15"/>
  <c r="I37" i="15"/>
  <c r="I36" i="15"/>
  <c r="I35" i="15"/>
  <c r="I34" i="15"/>
  <c r="J47" i="58" a="1"/>
  <c r="J47" i="58" s="1"/>
  <c r="K47" i="58" a="1"/>
  <c r="K47" i="58" s="1"/>
  <c r="L47" i="58" a="1"/>
  <c r="L47" i="58" s="1"/>
  <c r="E47" i="72" a="1"/>
  <c r="E47" i="72" s="1"/>
  <c r="I48" i="58" a="1"/>
  <c r="I48" i="58" s="1"/>
  <c r="I51" i="58" a="1"/>
  <c r="I51" i="58" s="1"/>
  <c r="K50" i="58" a="1"/>
  <c r="K50" i="58" s="1"/>
  <c r="L50" i="58" a="1"/>
  <c r="L50" i="58" s="1"/>
  <c r="J50" i="58" a="1"/>
  <c r="J50" i="58" s="1"/>
  <c r="I31" i="15"/>
  <c r="I5" i="15"/>
  <c r="I10" i="15"/>
  <c r="I28" i="15"/>
  <c r="I33" i="15"/>
  <c r="I25" i="15"/>
  <c r="I24" i="15"/>
  <c r="I32" i="15"/>
  <c r="I16" i="15"/>
  <c r="I29" i="15"/>
  <c r="I27" i="15"/>
  <c r="I20" i="15"/>
  <c r="I13" i="15"/>
  <c r="I7" i="15"/>
  <c r="I9" i="15"/>
  <c r="I12" i="15"/>
  <c r="I18" i="15"/>
  <c r="I19" i="15"/>
  <c r="L43" i="59" a="1"/>
  <c r="L43" i="59" s="1"/>
  <c r="J43" i="59" a="1"/>
  <c r="J43" i="59" s="1"/>
  <c r="K43" i="59" a="1"/>
  <c r="K43" i="59" s="1"/>
  <c r="I30" i="15"/>
  <c r="I6" i="15"/>
  <c r="I8" i="15"/>
  <c r="I4" i="15"/>
  <c r="I14" i="15"/>
  <c r="I3" i="15"/>
  <c r="I23" i="15"/>
  <c r="I17" i="15"/>
  <c r="I2" i="15"/>
  <c r="I15" i="15"/>
  <c r="I11" i="15"/>
  <c r="I22" i="15"/>
  <c r="I21" i="15"/>
  <c r="C40" i="56" a="1"/>
  <c r="C40" i="56" s="1"/>
  <c r="E42" i="56" a="1"/>
  <c r="E42" i="56" s="1"/>
  <c r="I44" i="59" s="1" a="1"/>
  <c r="I44" i="59" s="1"/>
  <c r="A41" i="56" a="1"/>
  <c r="A41" i="56" s="1"/>
  <c r="B40" i="56" s="1" a="1"/>
  <c r="B40" i="56" s="1"/>
  <c r="L42" i="59" a="1"/>
  <c r="L42" i="59" s="1"/>
  <c r="K42" i="59" a="1"/>
  <c r="K42" i="59" s="1"/>
  <c r="J42" i="59" a="1"/>
  <c r="J42" i="59" s="1"/>
  <c r="H28" i="59"/>
  <c r="H27" i="59"/>
  <c r="B16" i="72" a="1"/>
  <c r="B16" i="72" s="1"/>
  <c r="G17" i="59"/>
  <c r="G15" i="72"/>
  <c r="A18" i="72" a="1"/>
  <c r="A18" i="72" s="1"/>
  <c r="D17" i="72"/>
  <c r="C17" i="72" a="1"/>
  <c r="C17" i="72" s="1"/>
  <c r="F17" i="72" s="1"/>
  <c r="G17" i="56"/>
  <c r="D18" i="56"/>
  <c r="F18" i="56"/>
  <c r="D17" i="56"/>
  <c r="F17" i="56"/>
  <c r="H19" i="58"/>
  <c r="J52" i="15" l="1"/>
  <c r="J24" i="15"/>
  <c r="J42" i="15"/>
  <c r="J40" i="15"/>
  <c r="J41" i="15"/>
  <c r="J38" i="15"/>
  <c r="J37" i="15"/>
  <c r="J39" i="15"/>
  <c r="J34" i="15"/>
  <c r="J35" i="15"/>
  <c r="J48" i="58" a="1"/>
  <c r="J48" i="58" s="1"/>
  <c r="K48" i="58" a="1"/>
  <c r="K48" i="58" s="1"/>
  <c r="L48" i="58" a="1"/>
  <c r="L48" i="58" s="1"/>
  <c r="E48" i="72" a="1"/>
  <c r="E48" i="72" s="1"/>
  <c r="E49" i="72" s="1" a="1"/>
  <c r="E49" i="72" s="1"/>
  <c r="E50" i="72" s="1" a="1"/>
  <c r="E50" i="72" s="1"/>
  <c r="I49" i="58" a="1"/>
  <c r="I49" i="58" s="1"/>
  <c r="L51" i="58" a="1"/>
  <c r="L51" i="58" s="1"/>
  <c r="J51" i="58" a="1"/>
  <c r="J51" i="58" s="1"/>
  <c r="K51" i="58" a="1"/>
  <c r="K51" i="58" s="1"/>
  <c r="J33" i="15"/>
  <c r="G18" i="56"/>
  <c r="J23" i="15"/>
  <c r="J21" i="15"/>
  <c r="J19" i="15"/>
  <c r="L44" i="59" a="1"/>
  <c r="L44" i="59" s="1"/>
  <c r="K44" i="59" a="1"/>
  <c r="K44" i="59" s="1"/>
  <c r="J44" i="59" a="1"/>
  <c r="J44" i="59" s="1"/>
  <c r="E43" i="56" a="1"/>
  <c r="E43" i="56" s="1"/>
  <c r="E44" i="56" s="1" a="1"/>
  <c r="E44" i="56" s="1"/>
  <c r="I46" i="59" s="1" a="1"/>
  <c r="I46" i="59" s="1"/>
  <c r="A42" i="56" a="1"/>
  <c r="A42" i="56" s="1"/>
  <c r="B41" i="56" s="1" a="1"/>
  <c r="B41" i="56" s="1"/>
  <c r="J17" i="15"/>
  <c r="J28" i="15"/>
  <c r="J29" i="15"/>
  <c r="J6" i="15"/>
  <c r="J16" i="15"/>
  <c r="J26" i="15"/>
  <c r="J22" i="15"/>
  <c r="J11" i="15"/>
  <c r="J18" i="15"/>
  <c r="J32" i="15"/>
  <c r="J27" i="15"/>
  <c r="J14" i="15"/>
  <c r="J4" i="15"/>
  <c r="J3" i="15"/>
  <c r="J15" i="15"/>
  <c r="J30" i="15"/>
  <c r="J10" i="15"/>
  <c r="J20" i="15"/>
  <c r="J8" i="15"/>
  <c r="J25" i="15"/>
  <c r="J7" i="15"/>
  <c r="J5" i="15"/>
  <c r="J2" i="15"/>
  <c r="J13" i="15"/>
  <c r="J9" i="15"/>
  <c r="J12" i="15"/>
  <c r="C41" i="56" a="1"/>
  <c r="C41" i="56" s="1"/>
  <c r="G18" i="59"/>
  <c r="G16" i="72"/>
  <c r="A19" i="72" a="1"/>
  <c r="A19" i="72" s="1"/>
  <c r="B17" i="72" a="1"/>
  <c r="B17" i="72" s="1"/>
  <c r="C18" i="72" a="1"/>
  <c r="C18" i="72" s="1"/>
  <c r="F18" i="72" s="1"/>
  <c r="D18" i="72"/>
  <c r="H20" i="58"/>
  <c r="G20" i="58"/>
  <c r="E51" i="72" l="1" a="1"/>
  <c r="E51" i="72" s="1"/>
  <c r="I52" i="58" a="1"/>
  <c r="I52" i="58" s="1"/>
  <c r="J49" i="58" a="1"/>
  <c r="J49" i="58" s="1"/>
  <c r="K49" i="58" a="1"/>
  <c r="K49" i="58" s="1"/>
  <c r="L49" i="58" a="1"/>
  <c r="L49" i="58" s="1"/>
  <c r="I45" i="59" a="1"/>
  <c r="I45" i="59" s="1"/>
  <c r="J45" i="59" s="1" a="1"/>
  <c r="J45" i="59" s="1"/>
  <c r="A43" i="56" a="1"/>
  <c r="A43" i="56" s="1"/>
  <c r="C43" i="56" s="1" a="1"/>
  <c r="C43" i="56" s="1"/>
  <c r="L46" i="59" a="1"/>
  <c r="L46" i="59" s="1"/>
  <c r="K46" i="59" a="1"/>
  <c r="K46" i="59" s="1"/>
  <c r="J46" i="59" a="1"/>
  <c r="J46" i="59" s="1"/>
  <c r="C42" i="56" a="1"/>
  <c r="C42" i="56" s="1"/>
  <c r="A44" i="56" a="1"/>
  <c r="A44" i="56" s="1"/>
  <c r="E45" i="56" a="1"/>
  <c r="E45" i="56" s="1"/>
  <c r="F19" i="56"/>
  <c r="H29" i="59"/>
  <c r="G19" i="59"/>
  <c r="G17" i="72"/>
  <c r="A20" i="72" a="1"/>
  <c r="A20" i="72" s="1"/>
  <c r="D19" i="72"/>
  <c r="C19" i="72" a="1"/>
  <c r="C19" i="72" s="1"/>
  <c r="F19" i="72" s="1"/>
  <c r="B18" i="72" a="1"/>
  <c r="B18" i="72" s="1"/>
  <c r="H21" i="58"/>
  <c r="D19" i="56"/>
  <c r="G19" i="56"/>
  <c r="G21" i="58"/>
  <c r="J52" i="58" l="1" a="1"/>
  <c r="J52" i="58" s="1"/>
  <c r="K52" i="58" a="1"/>
  <c r="K52" i="58" s="1"/>
  <c r="L52" i="58" a="1"/>
  <c r="L52" i="58" s="1"/>
  <c r="E52" i="72" a="1"/>
  <c r="E52" i="72" s="1"/>
  <c r="I53" i="58" a="1"/>
  <c r="I53" i="58" s="1"/>
  <c r="K45" i="59" a="1"/>
  <c r="K45" i="59" s="1"/>
  <c r="L45" i="59" a="1"/>
  <c r="L45" i="59" s="1"/>
  <c r="B42" i="56" a="1"/>
  <c r="B42" i="56" s="1"/>
  <c r="E46" i="56" a="1"/>
  <c r="E46" i="56" s="1"/>
  <c r="A45" i="56" a="1"/>
  <c r="A45" i="56" s="1"/>
  <c r="B44" i="56" s="1" a="1"/>
  <c r="B44" i="56" s="1"/>
  <c r="I47" i="59" a="1"/>
  <c r="I47" i="59" s="1"/>
  <c r="C44" i="56" a="1"/>
  <c r="C44" i="56" s="1"/>
  <c r="B43" i="56" a="1"/>
  <c r="B43" i="56" s="1"/>
  <c r="F20" i="56"/>
  <c r="H31" i="59"/>
  <c r="H30" i="59"/>
  <c r="G20" i="59"/>
  <c r="G18" i="72"/>
  <c r="A21" i="72" a="1"/>
  <c r="A21" i="72" s="1"/>
  <c r="C20" i="72" a="1"/>
  <c r="C20" i="72" s="1"/>
  <c r="F20" i="72" s="1"/>
  <c r="D20" i="72"/>
  <c r="B19" i="72" a="1"/>
  <c r="B19" i="72" s="1"/>
  <c r="G20" i="56"/>
  <c r="H22" i="58"/>
  <c r="G22" i="58"/>
  <c r="D20" i="56"/>
  <c r="L53" i="58" l="1" a="1"/>
  <c r="L53" i="58" s="1"/>
  <c r="J53" i="58" a="1"/>
  <c r="J53" i="58" s="1"/>
  <c r="K53" i="58" a="1"/>
  <c r="K53" i="58" s="1"/>
  <c r="E53" i="72" a="1"/>
  <c r="E53" i="72" s="1"/>
  <c r="I54" i="58" a="1"/>
  <c r="I54" i="58" s="1"/>
  <c r="L47" i="59" a="1"/>
  <c r="L47" i="59" s="1"/>
  <c r="J47" i="59" a="1"/>
  <c r="J47" i="59" s="1"/>
  <c r="K47" i="59" a="1"/>
  <c r="K47" i="59" s="1"/>
  <c r="C45" i="56" a="1"/>
  <c r="C45" i="56" s="1"/>
  <c r="E47" i="56" a="1"/>
  <c r="E47" i="56" s="1"/>
  <c r="I48" i="59" a="1"/>
  <c r="I48" i="59" s="1"/>
  <c r="A46" i="56" a="1"/>
  <c r="A46" i="56" s="1"/>
  <c r="B45" i="56" s="1" a="1"/>
  <c r="B45" i="56" s="1"/>
  <c r="F21" i="56"/>
  <c r="F21" i="72"/>
  <c r="G21" i="59"/>
  <c r="G19" i="72"/>
  <c r="G20" i="72" s="1"/>
  <c r="G21" i="72" s="1"/>
  <c r="A22" i="72" a="1"/>
  <c r="A22" i="72" s="1"/>
  <c r="D21" i="72"/>
  <c r="C21" i="72" a="1"/>
  <c r="C21" i="72" s="1"/>
  <c r="B20" i="72" a="1"/>
  <c r="B20" i="72" s="1"/>
  <c r="G23" i="58"/>
  <c r="H23" i="58"/>
  <c r="D21" i="56"/>
  <c r="G21" i="56"/>
  <c r="E54" i="72" l="1" a="1"/>
  <c r="E54" i="72" s="1"/>
  <c r="I55" i="58" a="1"/>
  <c r="I55" i="58" s="1"/>
  <c r="J54" i="58" a="1"/>
  <c r="J54" i="58" s="1"/>
  <c r="L54" i="58" a="1"/>
  <c r="L54" i="58" s="1"/>
  <c r="K54" i="58" a="1"/>
  <c r="K54" i="58" s="1"/>
  <c r="C46" i="56" a="1"/>
  <c r="C46" i="56" s="1"/>
  <c r="K48" i="59" a="1"/>
  <c r="K48" i="59" s="1"/>
  <c r="L48" i="59" a="1"/>
  <c r="L48" i="59" s="1"/>
  <c r="J48" i="59" a="1"/>
  <c r="J48" i="59" s="1"/>
  <c r="I49" i="59" a="1"/>
  <c r="I49" i="59" s="1"/>
  <c r="E48" i="56" a="1"/>
  <c r="E48" i="56" s="1"/>
  <c r="A47" i="56" a="1"/>
  <c r="A47" i="56" s="1"/>
  <c r="C47" i="56" s="1" a="1"/>
  <c r="C47" i="56" s="1"/>
  <c r="H32" i="59"/>
  <c r="G22" i="59"/>
  <c r="A23" i="72" a="1"/>
  <c r="A23" i="72" s="1"/>
  <c r="G22" i="72"/>
  <c r="C22" i="72" a="1"/>
  <c r="C22" i="72" s="1"/>
  <c r="F22" i="72" s="1"/>
  <c r="D22" i="72"/>
  <c r="B21" i="72" a="1"/>
  <c r="B21" i="72" s="1"/>
  <c r="G24" i="58"/>
  <c r="H24" i="58"/>
  <c r="F22" i="56"/>
  <c r="D22" i="56"/>
  <c r="G22" i="56"/>
  <c r="E55" i="72" l="1" a="1"/>
  <c r="E55" i="72" s="1"/>
  <c r="I56" i="58" a="1"/>
  <c r="I56" i="58" s="1"/>
  <c r="J55" i="58" a="1"/>
  <c r="J55" i="58" s="1"/>
  <c r="L55" i="58" a="1"/>
  <c r="L55" i="58" s="1"/>
  <c r="K55" i="58" a="1"/>
  <c r="K55" i="58" s="1"/>
  <c r="B46" i="56" a="1"/>
  <c r="B46" i="56" s="1"/>
  <c r="I50" i="59" a="1"/>
  <c r="I50" i="59" s="1"/>
  <c r="E49" i="56" a="1"/>
  <c r="E49" i="56" s="1"/>
  <c r="A48" i="56" a="1"/>
  <c r="A48" i="56" s="1"/>
  <c r="L49" i="59" a="1"/>
  <c r="L49" i="59" s="1"/>
  <c r="K49" i="59" a="1"/>
  <c r="K49" i="59" s="1"/>
  <c r="J49" i="59" a="1"/>
  <c r="J49" i="59" s="1"/>
  <c r="F23" i="56"/>
  <c r="H33" i="59"/>
  <c r="B22" i="72" a="1"/>
  <c r="B22" i="72" s="1"/>
  <c r="G23" i="59"/>
  <c r="A24" i="72" a="1"/>
  <c r="A24" i="72" s="1"/>
  <c r="G23" i="72"/>
  <c r="C23" i="72" a="1"/>
  <c r="C23" i="72" s="1"/>
  <c r="F23" i="72" s="1"/>
  <c r="D23" i="72"/>
  <c r="G23" i="56"/>
  <c r="H25" i="58"/>
  <c r="G25" i="58"/>
  <c r="D23" i="56"/>
  <c r="E56" i="72" l="1" a="1"/>
  <c r="E56" i="72" s="1"/>
  <c r="I57" i="58" a="1"/>
  <c r="I57" i="58" s="1"/>
  <c r="J56" i="58" a="1"/>
  <c r="J56" i="58" s="1"/>
  <c r="K56" i="58" a="1"/>
  <c r="K56" i="58" s="1"/>
  <c r="L56" i="58" a="1"/>
  <c r="L56" i="58" s="1"/>
  <c r="B47" i="56" a="1"/>
  <c r="B47" i="56" s="1"/>
  <c r="C48" i="56" a="1"/>
  <c r="C48" i="56" s="1"/>
  <c r="E50" i="56" a="1"/>
  <c r="E50" i="56" s="1"/>
  <c r="I51" i="59" a="1"/>
  <c r="I51" i="59" s="1"/>
  <c r="A49" i="56" a="1"/>
  <c r="A49" i="56" s="1"/>
  <c r="J50" i="59" a="1"/>
  <c r="J50" i="59" s="1"/>
  <c r="K50" i="59" a="1"/>
  <c r="K50" i="59" s="1"/>
  <c r="L50" i="59" a="1"/>
  <c r="L50" i="59" s="1"/>
  <c r="H34" i="59"/>
  <c r="G24" i="59"/>
  <c r="B23" i="72" a="1"/>
  <c r="B23" i="72" s="1"/>
  <c r="A25" i="72" a="1"/>
  <c r="A25" i="72" s="1"/>
  <c r="G24" i="72"/>
  <c r="D24" i="72"/>
  <c r="C24" i="72" a="1"/>
  <c r="C24" i="72" s="1"/>
  <c r="F24" i="72" s="1"/>
  <c r="A27" i="72" a="1"/>
  <c r="A27" i="72" s="1"/>
  <c r="G24" i="56"/>
  <c r="F24" i="56"/>
  <c r="D24" i="56"/>
  <c r="H26" i="58"/>
  <c r="G26" i="58"/>
  <c r="E57" i="72" l="1" a="1"/>
  <c r="E57" i="72" s="1"/>
  <c r="I58" i="58" a="1"/>
  <c r="I58" i="58" s="1"/>
  <c r="K57" i="58" a="1"/>
  <c r="K57" i="58" s="1"/>
  <c r="J57" i="58" a="1"/>
  <c r="J57" i="58" s="1"/>
  <c r="L57" i="58" a="1"/>
  <c r="L57" i="58" s="1"/>
  <c r="B48" i="56" a="1"/>
  <c r="B48" i="56" s="1"/>
  <c r="C49" i="56" a="1"/>
  <c r="C49" i="56" s="1"/>
  <c r="I52" i="59" a="1"/>
  <c r="I52" i="59" s="1"/>
  <c r="E51" i="56" a="1"/>
  <c r="E51" i="56" s="1"/>
  <c r="I53" i="59" s="1" a="1"/>
  <c r="I53" i="59" s="1"/>
  <c r="K53" i="59" s="1" a="1"/>
  <c r="K53" i="59" s="1"/>
  <c r="A50" i="56" a="1"/>
  <c r="A50" i="56" s="1"/>
  <c r="L51" i="59" a="1"/>
  <c r="L51" i="59" s="1"/>
  <c r="J51" i="59" a="1"/>
  <c r="J51" i="59" s="1"/>
  <c r="K51" i="59" a="1"/>
  <c r="K51" i="59" s="1"/>
  <c r="F25" i="56"/>
  <c r="H35" i="59"/>
  <c r="B24" i="72" a="1"/>
  <c r="B24" i="72" s="1"/>
  <c r="G25" i="59"/>
  <c r="A26" i="72" a="1"/>
  <c r="A26" i="72" s="1"/>
  <c r="B25" i="72" s="1" a="1"/>
  <c r="B25" i="72" s="1"/>
  <c r="G25" i="72"/>
  <c r="D25" i="72"/>
  <c r="C25" i="72" a="1"/>
  <c r="C25" i="72" s="1"/>
  <c r="F25" i="72" s="1"/>
  <c r="C27" i="72" a="1"/>
  <c r="C27" i="72" s="1"/>
  <c r="F27" i="72" s="1"/>
  <c r="D27" i="72"/>
  <c r="A28" i="72" a="1"/>
  <c r="A28" i="72" s="1"/>
  <c r="G25" i="56"/>
  <c r="D25" i="56"/>
  <c r="G27" i="58"/>
  <c r="H27" i="58"/>
  <c r="E58" i="72" l="1" a="1"/>
  <c r="E58" i="72" s="1"/>
  <c r="E59" i="72" s="1" a="1"/>
  <c r="E59" i="72" s="1"/>
  <c r="I59" i="58" a="1"/>
  <c r="I59" i="58" s="1"/>
  <c r="L58" i="58" a="1"/>
  <c r="L58" i="58" s="1"/>
  <c r="J58" i="58" a="1"/>
  <c r="J58" i="58" s="1"/>
  <c r="K58" i="58" a="1"/>
  <c r="K58" i="58" s="1"/>
  <c r="L53" i="59" a="1"/>
  <c r="L53" i="59" s="1"/>
  <c r="J53" i="59" a="1"/>
  <c r="J53" i="59" s="1"/>
  <c r="B49" i="56" a="1"/>
  <c r="B49" i="56" s="1"/>
  <c r="C50" i="56" a="1"/>
  <c r="C50" i="56" s="1"/>
  <c r="A51" i="56" a="1"/>
  <c r="A51" i="56" s="1"/>
  <c r="B50" i="56" s="1" a="1"/>
  <c r="B50" i="56" s="1"/>
  <c r="E52" i="56" a="1"/>
  <c r="E52" i="56" s="1"/>
  <c r="K52" i="59" a="1"/>
  <c r="K52" i="59" s="1"/>
  <c r="L52" i="59" a="1"/>
  <c r="L52" i="59" s="1"/>
  <c r="J52" i="59" a="1"/>
  <c r="J52" i="59" s="1"/>
  <c r="F26" i="56"/>
  <c r="H36" i="59"/>
  <c r="G26" i="59"/>
  <c r="G26" i="72"/>
  <c r="G27" i="72" s="1"/>
  <c r="G28" i="72" s="1"/>
  <c r="D26" i="72"/>
  <c r="C26" i="72" a="1"/>
  <c r="C26" i="72" s="1"/>
  <c r="F26" i="72" s="1"/>
  <c r="B26" i="72" a="1"/>
  <c r="B26" i="72" s="1"/>
  <c r="C28" i="72" a="1"/>
  <c r="C28" i="72" s="1"/>
  <c r="F28" i="72" s="1"/>
  <c r="D28" i="72"/>
  <c r="A29" i="72" a="1"/>
  <c r="A29" i="72" s="1"/>
  <c r="B27" i="72" a="1"/>
  <c r="B27" i="72" s="1"/>
  <c r="H28" i="58"/>
  <c r="D26" i="56"/>
  <c r="G26" i="56"/>
  <c r="G28" i="58"/>
  <c r="I60" i="58" l="1" a="1"/>
  <c r="I60" i="58" s="1"/>
  <c r="J60" i="58" s="1" a="1"/>
  <c r="J60" i="58" s="1"/>
  <c r="L59" i="58" a="1"/>
  <c r="L59" i="58" s="1"/>
  <c r="J59" i="58" a="1"/>
  <c r="J59" i="58" s="1"/>
  <c r="K59" i="58" a="1"/>
  <c r="K59" i="58" s="1"/>
  <c r="E60" i="72" a="1"/>
  <c r="E60" i="72" s="1"/>
  <c r="I61" i="58" a="1"/>
  <c r="I61" i="58" s="1"/>
  <c r="C51" i="56" a="1"/>
  <c r="C51" i="56" s="1"/>
  <c r="I54" i="59" a="1"/>
  <c r="I54" i="59" s="1"/>
  <c r="E53" i="56" a="1"/>
  <c r="E53" i="56" s="1"/>
  <c r="I55" i="59" s="1" a="1"/>
  <c r="I55" i="59" s="1"/>
  <c r="A52" i="56" a="1"/>
  <c r="A52" i="56" s="1"/>
  <c r="B51" i="56" s="1" a="1"/>
  <c r="B51" i="56" s="1"/>
  <c r="F27" i="56"/>
  <c r="G27" i="59"/>
  <c r="C29" i="72" a="1"/>
  <c r="C29" i="72" s="1"/>
  <c r="F29" i="72" s="1"/>
  <c r="D29" i="72"/>
  <c r="A30" i="72" a="1"/>
  <c r="A30" i="72" s="1"/>
  <c r="G29" i="72"/>
  <c r="B28" i="72" a="1"/>
  <c r="B28" i="72" s="1"/>
  <c r="D27" i="56"/>
  <c r="H29" i="58"/>
  <c r="G29" i="58"/>
  <c r="G27" i="56"/>
  <c r="K60" i="58" l="1" a="1"/>
  <c r="K60" i="58" s="1"/>
  <c r="L60" i="58" a="1"/>
  <c r="L60" i="58" s="1"/>
  <c r="E61" i="72" a="1"/>
  <c r="E61" i="72" s="1"/>
  <c r="I62" i="58" a="1"/>
  <c r="I62" i="58" s="1"/>
  <c r="J61" i="58" a="1"/>
  <c r="J61" i="58" s="1"/>
  <c r="L61" i="58" a="1"/>
  <c r="L61" i="58" s="1"/>
  <c r="K61" i="58" a="1"/>
  <c r="K61" i="58" s="1"/>
  <c r="J55" i="59" a="1"/>
  <c r="J55" i="59" s="1"/>
  <c r="L55" i="59" a="1"/>
  <c r="L55" i="59" s="1"/>
  <c r="K55" i="59" a="1"/>
  <c r="K55" i="59" s="1"/>
  <c r="C52" i="56" a="1"/>
  <c r="C52" i="56" s="1"/>
  <c r="E54" i="56" a="1"/>
  <c r="E54" i="56" s="1"/>
  <c r="I56" i="59" s="1" a="1"/>
  <c r="I56" i="59" s="1"/>
  <c r="A53" i="56" a="1"/>
  <c r="A53" i="56" s="1"/>
  <c r="J54" i="59" a="1"/>
  <c r="J54" i="59" s="1"/>
  <c r="L54" i="59" a="1"/>
  <c r="L54" i="59" s="1"/>
  <c r="K54" i="59" a="1"/>
  <c r="K54" i="59" s="1"/>
  <c r="H38" i="59"/>
  <c r="H37" i="59"/>
  <c r="H39" i="59"/>
  <c r="B29" i="72" a="1"/>
  <c r="B29" i="72" s="1"/>
  <c r="G28" i="59"/>
  <c r="C30" i="72" a="1"/>
  <c r="C30" i="72" s="1"/>
  <c r="F30" i="72" s="1"/>
  <c r="D30" i="72"/>
  <c r="A31" i="72" a="1"/>
  <c r="A31" i="72" s="1"/>
  <c r="G30" i="72"/>
  <c r="G30" i="58"/>
  <c r="G28" i="56"/>
  <c r="H30" i="58"/>
  <c r="F28" i="56"/>
  <c r="D28" i="56"/>
  <c r="L62" i="58" l="1" a="1"/>
  <c r="L62" i="58" s="1"/>
  <c r="K62" i="58" a="1"/>
  <c r="K62" i="58" s="1"/>
  <c r="J62" i="58" a="1"/>
  <c r="J62" i="58" s="1"/>
  <c r="E62" i="72" a="1"/>
  <c r="E62" i="72" s="1"/>
  <c r="I63" i="58" a="1"/>
  <c r="I63" i="58" s="1"/>
  <c r="J56" i="59" a="1"/>
  <c r="J56" i="59" s="1"/>
  <c r="L56" i="59" a="1"/>
  <c r="L56" i="59" s="1"/>
  <c r="K56" i="59" a="1"/>
  <c r="K56" i="59" s="1"/>
  <c r="C53" i="56" a="1"/>
  <c r="C53" i="56" s="1"/>
  <c r="E55" i="56" a="1"/>
  <c r="E55" i="56" s="1"/>
  <c r="I57" i="59" s="1" a="1"/>
  <c r="I57" i="59" s="1"/>
  <c r="A54" i="56" a="1"/>
  <c r="A54" i="56" s="1"/>
  <c r="B53" i="56" s="1" a="1"/>
  <c r="B53" i="56" s="1"/>
  <c r="B52" i="56" a="1"/>
  <c r="B52" i="56" s="1"/>
  <c r="F29" i="56"/>
  <c r="H40" i="59"/>
  <c r="B30" i="72" a="1"/>
  <c r="B30" i="72" s="1"/>
  <c r="G29" i="59"/>
  <c r="G31" i="58"/>
  <c r="G31" i="72"/>
  <c r="A32" i="72" a="1"/>
  <c r="A32" i="72" s="1"/>
  <c r="D31" i="72"/>
  <c r="C31" i="72" a="1"/>
  <c r="C31" i="72" s="1"/>
  <c r="F31" i="72" s="1"/>
  <c r="H31" i="58"/>
  <c r="D29" i="56"/>
  <c r="G29" i="56"/>
  <c r="L63" i="58" l="1" a="1"/>
  <c r="L63" i="58" s="1"/>
  <c r="J63" i="58" a="1"/>
  <c r="J63" i="58" s="1"/>
  <c r="K63" i="58" a="1"/>
  <c r="K63" i="58" s="1"/>
  <c r="I64" i="58" a="1"/>
  <c r="I64" i="58" s="1"/>
  <c r="E63" i="72" a="1"/>
  <c r="E63" i="72" s="1"/>
  <c r="L57" i="59" a="1"/>
  <c r="L57" i="59" s="1"/>
  <c r="J57" i="59" a="1"/>
  <c r="J57" i="59" s="1"/>
  <c r="K57" i="59" a="1"/>
  <c r="K57" i="59" s="1"/>
  <c r="C54" i="56" a="1"/>
  <c r="C54" i="56" s="1"/>
  <c r="E56" i="56" a="1"/>
  <c r="E56" i="56" s="1"/>
  <c r="I58" i="59" s="1" a="1"/>
  <c r="I58" i="59" s="1"/>
  <c r="A55" i="56" a="1"/>
  <c r="A55" i="56" s="1"/>
  <c r="H41" i="59"/>
  <c r="G30" i="59"/>
  <c r="B31" i="72" a="1"/>
  <c r="B31" i="72" s="1"/>
  <c r="C32" i="72" a="1"/>
  <c r="C32" i="72" s="1"/>
  <c r="F32" i="72" s="1"/>
  <c r="D32" i="72"/>
  <c r="A33" i="72" a="1"/>
  <c r="A33" i="72" s="1"/>
  <c r="G32" i="72"/>
  <c r="G30" i="56"/>
  <c r="D30" i="56"/>
  <c r="F30" i="56"/>
  <c r="H32" i="58"/>
  <c r="G32" i="58"/>
  <c r="E64" i="72" l="1" a="1"/>
  <c r="E64" i="72" s="1"/>
  <c r="I65" i="58" a="1"/>
  <c r="I65" i="58" s="1"/>
  <c r="L64" i="58" a="1"/>
  <c r="L64" i="58" s="1"/>
  <c r="J64" i="58" a="1"/>
  <c r="J64" i="58" s="1"/>
  <c r="K64" i="58" a="1"/>
  <c r="K64" i="58" s="1"/>
  <c r="K58" i="59" a="1"/>
  <c r="K58" i="59" s="1"/>
  <c r="J58" i="59" a="1"/>
  <c r="J58" i="59" s="1"/>
  <c r="L58" i="59" a="1"/>
  <c r="L58" i="59" s="1"/>
  <c r="C55" i="56" a="1"/>
  <c r="C55" i="56" s="1"/>
  <c r="A56" i="56" a="1"/>
  <c r="A56" i="56" s="1"/>
  <c r="E57" i="56" a="1"/>
  <c r="E57" i="56" s="1"/>
  <c r="B54" i="56" a="1"/>
  <c r="B54" i="56" s="1"/>
  <c r="B32" i="72" a="1"/>
  <c r="B32" i="72" s="1"/>
  <c r="G31" i="59"/>
  <c r="C33" i="72" a="1"/>
  <c r="C33" i="72" s="1"/>
  <c r="F33" i="72" s="1"/>
  <c r="D33" i="72"/>
  <c r="G33" i="72"/>
  <c r="A34" i="72" a="1"/>
  <c r="A34" i="72" s="1"/>
  <c r="F31" i="56"/>
  <c r="D31" i="56"/>
  <c r="G31" i="56"/>
  <c r="H33" i="58"/>
  <c r="G33" i="58"/>
  <c r="E65" i="72" l="1" a="1"/>
  <c r="E65" i="72" s="1"/>
  <c r="E66" i="72" s="1" a="1"/>
  <c r="E66" i="72" s="1"/>
  <c r="I66" i="58" a="1"/>
  <c r="I66" i="58" s="1"/>
  <c r="K65" i="58" a="1"/>
  <c r="K65" i="58" s="1"/>
  <c r="J65" i="58" a="1"/>
  <c r="J65" i="58" s="1"/>
  <c r="L65" i="58" a="1"/>
  <c r="L65" i="58" s="1"/>
  <c r="G32" i="59"/>
  <c r="C56" i="56" a="1"/>
  <c r="C56" i="56" s="1"/>
  <c r="I59" i="59" a="1"/>
  <c r="I59" i="59" s="1"/>
  <c r="E58" i="56" a="1"/>
  <c r="E58" i="56" s="1"/>
  <c r="A57" i="56" a="1"/>
  <c r="A57" i="56" s="1"/>
  <c r="B56" i="56" s="1" a="1"/>
  <c r="B56" i="56" s="1"/>
  <c r="B55" i="56" a="1"/>
  <c r="B55" i="56" s="1"/>
  <c r="H43" i="59"/>
  <c r="F32" i="56"/>
  <c r="H42" i="59"/>
  <c r="H44" i="59"/>
  <c r="C34" i="72" a="1"/>
  <c r="C34" i="72" s="1"/>
  <c r="F34" i="72" s="1"/>
  <c r="D34" i="72"/>
  <c r="G34" i="72"/>
  <c r="B33" i="72" a="1"/>
  <c r="B33" i="72" s="1"/>
  <c r="A35" i="72" a="1"/>
  <c r="A35" i="72" s="1"/>
  <c r="G34" i="58"/>
  <c r="H34" i="58"/>
  <c r="D32" i="56"/>
  <c r="G32" i="56"/>
  <c r="I67" i="58" l="1" a="1"/>
  <c r="I67" i="58" s="1"/>
  <c r="J67" i="58" s="1" a="1"/>
  <c r="J67" i="58" s="1"/>
  <c r="L66" i="58" a="1"/>
  <c r="L66" i="58" s="1"/>
  <c r="J66" i="58" a="1"/>
  <c r="J66" i="58" s="1"/>
  <c r="K66" i="58" a="1"/>
  <c r="K66" i="58" s="1"/>
  <c r="E67" i="72" a="1"/>
  <c r="E67" i="72" s="1"/>
  <c r="I68" i="58" a="1"/>
  <c r="I68" i="58" s="1"/>
  <c r="G33" i="59"/>
  <c r="G34" i="59" s="1"/>
  <c r="G35" i="59" s="1"/>
  <c r="C57" i="56" a="1"/>
  <c r="C57" i="56" s="1"/>
  <c r="I60" i="59" a="1"/>
  <c r="I60" i="59" s="1"/>
  <c r="A58" i="56" a="1"/>
  <c r="A58" i="56" s="1"/>
  <c r="E59" i="56" a="1"/>
  <c r="E59" i="56" s="1"/>
  <c r="K59" i="59" a="1"/>
  <c r="K59" i="59" s="1"/>
  <c r="J59" i="59" a="1"/>
  <c r="J59" i="59" s="1"/>
  <c r="L59" i="59" a="1"/>
  <c r="L59" i="59" s="1"/>
  <c r="F33" i="56"/>
  <c r="H45" i="59"/>
  <c r="B34" i="72" a="1"/>
  <c r="B34" i="72" s="1"/>
  <c r="A36" i="72" a="1"/>
  <c r="A36" i="72" s="1"/>
  <c r="G35" i="72"/>
  <c r="D35" i="72"/>
  <c r="C35" i="72" a="1"/>
  <c r="C35" i="72" s="1"/>
  <c r="F35" i="72" s="1"/>
  <c r="H35" i="58"/>
  <c r="D33" i="56"/>
  <c r="G35" i="58"/>
  <c r="G33" i="56"/>
  <c r="K67" i="58" l="1" a="1"/>
  <c r="K67" i="58" s="1"/>
  <c r="L67" i="58" a="1"/>
  <c r="L67" i="58" s="1"/>
  <c r="E68" i="72" a="1"/>
  <c r="E68" i="72" s="1"/>
  <c r="I69" i="58" a="1"/>
  <c r="I69" i="58" s="1"/>
  <c r="J68" i="58" a="1"/>
  <c r="J68" i="58" s="1"/>
  <c r="K68" i="58" a="1"/>
  <c r="K68" i="58" s="1"/>
  <c r="L68" i="58" a="1"/>
  <c r="L68" i="58" s="1"/>
  <c r="I61" i="59" a="1"/>
  <c r="I61" i="59" s="1"/>
  <c r="E60" i="56" a="1"/>
  <c r="E60" i="56" s="1"/>
  <c r="A59" i="56" a="1"/>
  <c r="A59" i="56" s="1"/>
  <c r="B58" i="56" s="1" a="1"/>
  <c r="B58" i="56" s="1"/>
  <c r="C58" i="56" a="1"/>
  <c r="C58" i="56" s="1"/>
  <c r="K60" i="59" a="1"/>
  <c r="K60" i="59" s="1"/>
  <c r="L60" i="59" a="1"/>
  <c r="L60" i="59" s="1"/>
  <c r="J60" i="59" a="1"/>
  <c r="J60" i="59" s="1"/>
  <c r="B57" i="56" a="1"/>
  <c r="B57" i="56" s="1"/>
  <c r="F34" i="56"/>
  <c r="H46" i="59"/>
  <c r="B35" i="72" a="1"/>
  <c r="B35" i="72" s="1"/>
  <c r="G36" i="72"/>
  <c r="A37" i="72" a="1"/>
  <c r="A37" i="72" s="1"/>
  <c r="D36" i="72"/>
  <c r="C36" i="72" a="1"/>
  <c r="C36" i="72" s="1"/>
  <c r="F36" i="72" s="1"/>
  <c r="G36" i="59"/>
  <c r="H36" i="58"/>
  <c r="H37" i="58" s="1"/>
  <c r="D34" i="56"/>
  <c r="G36" i="58"/>
  <c r="G34" i="56"/>
  <c r="E69" i="72" l="1" a="1"/>
  <c r="E69" i="72" s="1"/>
  <c r="I70" i="58" a="1"/>
  <c r="I70" i="58" s="1"/>
  <c r="J69" i="58" a="1"/>
  <c r="J69" i="58" s="1"/>
  <c r="K69" i="58" a="1"/>
  <c r="K69" i="58" s="1"/>
  <c r="L69" i="58" a="1"/>
  <c r="L69" i="58" s="1"/>
  <c r="I78" i="58" a="1"/>
  <c r="I78" i="58" s="1"/>
  <c r="C59" i="56" a="1"/>
  <c r="C59" i="56" s="1"/>
  <c r="I62" i="59" a="1"/>
  <c r="I62" i="59" s="1"/>
  <c r="E61" i="56" a="1"/>
  <c r="E61" i="56" s="1"/>
  <c r="A60" i="56" a="1"/>
  <c r="A60" i="56" s="1"/>
  <c r="L61" i="59" a="1"/>
  <c r="L61" i="59" s="1"/>
  <c r="K61" i="59" a="1"/>
  <c r="K61" i="59" s="1"/>
  <c r="J61" i="59" a="1"/>
  <c r="J61" i="59" s="1"/>
  <c r="B36" i="72" a="1"/>
  <c r="B36" i="72" s="1"/>
  <c r="A38" i="72" a="1"/>
  <c r="A38" i="72" s="1"/>
  <c r="C37" i="72" a="1"/>
  <c r="C37" i="72" s="1"/>
  <c r="F37" i="72" s="1"/>
  <c r="D37" i="72"/>
  <c r="G37" i="72"/>
  <c r="G35" i="56"/>
  <c r="G37" i="58"/>
  <c r="G37" i="59"/>
  <c r="F35" i="56"/>
  <c r="D35" i="56"/>
  <c r="E70" i="72" l="1" a="1"/>
  <c r="E70" i="72" s="1"/>
  <c r="E71" i="72" s="1" a="1"/>
  <c r="E71" i="72" s="1"/>
  <c r="I71" i="58" a="1"/>
  <c r="I71" i="58" s="1"/>
  <c r="J70" i="58" a="1"/>
  <c r="J70" i="58" s="1"/>
  <c r="L70" i="58" a="1"/>
  <c r="L70" i="58" s="1"/>
  <c r="K70" i="58" a="1"/>
  <c r="K70" i="58" s="1"/>
  <c r="K78" i="58" a="1"/>
  <c r="K78" i="58" s="1"/>
  <c r="L78" i="58" a="1"/>
  <c r="L78" i="58" s="1"/>
  <c r="J78" i="58" a="1"/>
  <c r="J78" i="58" s="1"/>
  <c r="C60" i="56" a="1"/>
  <c r="C60" i="56" s="1"/>
  <c r="A61" i="56" a="1"/>
  <c r="A61" i="56" s="1"/>
  <c r="I63" i="59" a="1"/>
  <c r="I63" i="59" s="1"/>
  <c r="E62" i="56" a="1"/>
  <c r="E62" i="56" s="1"/>
  <c r="K62" i="59" a="1"/>
  <c r="K62" i="59" s="1"/>
  <c r="J62" i="59" a="1"/>
  <c r="J62" i="59" s="1"/>
  <c r="L62" i="59" a="1"/>
  <c r="L62" i="59" s="1"/>
  <c r="B59" i="56" a="1"/>
  <c r="B59" i="56" s="1"/>
  <c r="F36" i="56"/>
  <c r="H48" i="59"/>
  <c r="H47" i="59"/>
  <c r="H49" i="59"/>
  <c r="B37" i="72" a="1"/>
  <c r="B37" i="72" s="1"/>
  <c r="G38" i="72"/>
  <c r="C38" i="72" a="1"/>
  <c r="C38" i="72" s="1"/>
  <c r="F38" i="72" s="1"/>
  <c r="D38" i="72"/>
  <c r="A39" i="72" a="1"/>
  <c r="A39" i="72" s="1"/>
  <c r="D36" i="56"/>
  <c r="H38" i="58"/>
  <c r="G38" i="58"/>
  <c r="G36" i="56"/>
  <c r="G38" i="59"/>
  <c r="I72" i="58" l="1" a="1"/>
  <c r="I72" i="58" s="1"/>
  <c r="J72" i="58" s="1" a="1"/>
  <c r="J72" i="58" s="1"/>
  <c r="J71" i="58" a="1"/>
  <c r="J71" i="58" s="1"/>
  <c r="K71" i="58" a="1"/>
  <c r="K71" i="58" s="1"/>
  <c r="L71" i="58" a="1"/>
  <c r="L71" i="58" s="1"/>
  <c r="E72" i="72" a="1"/>
  <c r="E72" i="72" s="1"/>
  <c r="I73" i="58" a="1"/>
  <c r="I73" i="58" s="1"/>
  <c r="C61" i="56" a="1"/>
  <c r="C61" i="56" s="1"/>
  <c r="B60" i="56" a="1"/>
  <c r="B60" i="56" s="1"/>
  <c r="I64" i="59" a="1"/>
  <c r="I64" i="59" s="1"/>
  <c r="A62" i="56" a="1"/>
  <c r="A62" i="56" s="1"/>
  <c r="E63" i="56" a="1"/>
  <c r="E63" i="56" s="1"/>
  <c r="K63" i="59" a="1"/>
  <c r="K63" i="59" s="1"/>
  <c r="J63" i="59" a="1"/>
  <c r="J63" i="59" s="1"/>
  <c r="L63" i="59" a="1"/>
  <c r="L63" i="59" s="1"/>
  <c r="H50" i="59"/>
  <c r="B38" i="72" a="1"/>
  <c r="B38" i="72" s="1"/>
  <c r="A40" i="72" a="1"/>
  <c r="A40" i="72" s="1"/>
  <c r="D39" i="72"/>
  <c r="C39" i="72" a="1"/>
  <c r="C39" i="72" s="1"/>
  <c r="F39" i="72" s="1"/>
  <c r="G39" i="72"/>
  <c r="G39" i="59"/>
  <c r="H39" i="58"/>
  <c r="F37" i="56"/>
  <c r="D37" i="56"/>
  <c r="G37" i="56"/>
  <c r="G39" i="58"/>
  <c r="L72" i="58" l="1" a="1"/>
  <c r="L72" i="58" s="1"/>
  <c r="K72" i="58" a="1"/>
  <c r="K72" i="58" s="1"/>
  <c r="L73" i="58" a="1"/>
  <c r="L73" i="58" s="1"/>
  <c r="K73" i="58" a="1"/>
  <c r="K73" i="58" s="1"/>
  <c r="J73" i="58" a="1"/>
  <c r="J73" i="58" s="1"/>
  <c r="I74" i="58" a="1"/>
  <c r="I74" i="58" s="1"/>
  <c r="E73" i="72" a="1"/>
  <c r="E73" i="72" s="1"/>
  <c r="E64" i="56" a="1"/>
  <c r="E64" i="56" s="1"/>
  <c r="I65" i="59" a="1"/>
  <c r="I65" i="59" s="1"/>
  <c r="A63" i="56" a="1"/>
  <c r="A63" i="56" s="1"/>
  <c r="B62" i="56" s="1" a="1"/>
  <c r="B62" i="56" s="1"/>
  <c r="C62" i="56" a="1"/>
  <c r="C62" i="56" s="1"/>
  <c r="K64" i="59" a="1"/>
  <c r="K64" i="59" s="1"/>
  <c r="L64" i="59" a="1"/>
  <c r="L64" i="59" s="1"/>
  <c r="J64" i="59" a="1"/>
  <c r="J64" i="59" s="1"/>
  <c r="B61" i="56" a="1"/>
  <c r="B61" i="56" s="1"/>
  <c r="H51" i="59"/>
  <c r="B39" i="72" a="1"/>
  <c r="B39" i="72" s="1"/>
  <c r="A41" i="72" a="1"/>
  <c r="A41" i="72" s="1"/>
  <c r="G40" i="72"/>
  <c r="D40" i="72"/>
  <c r="C40" i="72" a="1"/>
  <c r="C40" i="72" s="1"/>
  <c r="F40" i="72" s="1"/>
  <c r="D39" i="56"/>
  <c r="F39" i="56"/>
  <c r="D38" i="56"/>
  <c r="F38" i="56"/>
  <c r="G40" i="59"/>
  <c r="G41" i="59" s="1"/>
  <c r="H40" i="58"/>
  <c r="G40" i="58"/>
  <c r="G38" i="56"/>
  <c r="G39" i="56" s="1"/>
  <c r="E74" i="72" l="1" a="1"/>
  <c r="E74" i="72" s="1"/>
  <c r="I75" i="58" a="1"/>
  <c r="I75" i="58" s="1"/>
  <c r="K74" i="58" a="1"/>
  <c r="K74" i="58" s="1"/>
  <c r="J74" i="58" a="1"/>
  <c r="J74" i="58" s="1"/>
  <c r="L74" i="58" a="1"/>
  <c r="L74" i="58" s="1"/>
  <c r="I66" i="59" a="1"/>
  <c r="I66" i="59" s="1"/>
  <c r="A64" i="56" a="1"/>
  <c r="A64" i="56" s="1"/>
  <c r="B63" i="56" s="1" a="1"/>
  <c r="B63" i="56" s="1"/>
  <c r="E65" i="56" a="1"/>
  <c r="E65" i="56" s="1"/>
  <c r="K65" i="59" a="1"/>
  <c r="K65" i="59" s="1"/>
  <c r="L65" i="59" a="1"/>
  <c r="L65" i="59" s="1"/>
  <c r="J65" i="59" a="1"/>
  <c r="J65" i="59" s="1"/>
  <c r="C63" i="56" a="1"/>
  <c r="C63" i="56" s="1"/>
  <c r="H52" i="59"/>
  <c r="B40" i="72" a="1"/>
  <c r="B40" i="72" s="1"/>
  <c r="A42" i="72" a="1"/>
  <c r="A42" i="72" s="1"/>
  <c r="D41" i="72"/>
  <c r="C41" i="72" a="1"/>
  <c r="C41" i="72" s="1"/>
  <c r="F41" i="72" s="1"/>
  <c r="G41" i="72"/>
  <c r="H41" i="58"/>
  <c r="G42" i="59"/>
  <c r="G43" i="59" s="1"/>
  <c r="G41" i="58"/>
  <c r="E75" i="72" l="1" a="1"/>
  <c r="E75" i="72" s="1"/>
  <c r="I76" i="58" a="1"/>
  <c r="I76" i="58" s="1"/>
  <c r="K75" i="58" a="1"/>
  <c r="K75" i="58" s="1"/>
  <c r="J75" i="58" a="1"/>
  <c r="J75" i="58" s="1"/>
  <c r="L75" i="58" a="1"/>
  <c r="L75" i="58" s="1"/>
  <c r="E66" i="56" a="1"/>
  <c r="E66" i="56" s="1"/>
  <c r="E67" i="56" s="1" a="1"/>
  <c r="E67" i="56" s="1"/>
  <c r="A65" i="56" a="1"/>
  <c r="A65" i="56" s="1"/>
  <c r="B64" i="56" s="1" a="1"/>
  <c r="B64" i="56" s="1"/>
  <c r="I67" i="59" a="1"/>
  <c r="I67" i="59" s="1"/>
  <c r="C64" i="56" a="1"/>
  <c r="C64" i="56" s="1"/>
  <c r="L66" i="59" a="1"/>
  <c r="L66" i="59" s="1"/>
  <c r="K66" i="59" a="1"/>
  <c r="K66" i="59" s="1"/>
  <c r="J66" i="59" a="1"/>
  <c r="J66" i="59" s="1"/>
  <c r="F40" i="56"/>
  <c r="H53" i="59"/>
  <c r="B41" i="72" a="1"/>
  <c r="B41" i="72" s="1"/>
  <c r="G40" i="56"/>
  <c r="A43" i="72" a="1"/>
  <c r="A43" i="72" s="1"/>
  <c r="D42" i="72"/>
  <c r="C42" i="72" a="1"/>
  <c r="C42" i="72" s="1"/>
  <c r="F42" i="72" s="1"/>
  <c r="G42" i="72"/>
  <c r="G42" i="58"/>
  <c r="H42" i="58"/>
  <c r="D40" i="56"/>
  <c r="E76" i="72" l="1" a="1"/>
  <c r="E76" i="72" s="1"/>
  <c r="E77" i="72" s="1" a="1"/>
  <c r="E77" i="72" s="1"/>
  <c r="I77" i="58" a="1"/>
  <c r="I77" i="58" s="1"/>
  <c r="J76" i="58" a="1"/>
  <c r="J76" i="58" s="1"/>
  <c r="K76" i="58" a="1"/>
  <c r="K76" i="58" s="1"/>
  <c r="L76" i="58" a="1"/>
  <c r="L76" i="58" s="1"/>
  <c r="A66" i="56" a="1"/>
  <c r="A66" i="56" s="1"/>
  <c r="C66" i="56" s="1" a="1"/>
  <c r="C66" i="56" s="1"/>
  <c r="I68" i="59" a="1"/>
  <c r="I68" i="59" s="1"/>
  <c r="K68" i="59" s="1" a="1"/>
  <c r="K68" i="59" s="1"/>
  <c r="J67" i="59" a="1"/>
  <c r="J67" i="59" s="1"/>
  <c r="L67" i="59" a="1"/>
  <c r="L67" i="59" s="1"/>
  <c r="K67" i="59" a="1"/>
  <c r="K67" i="59" s="1"/>
  <c r="C65" i="56" a="1"/>
  <c r="C65" i="56" s="1"/>
  <c r="I69" i="59" a="1"/>
  <c r="I69" i="59" s="1"/>
  <c r="A67" i="56" a="1"/>
  <c r="A67" i="56" s="1"/>
  <c r="E68" i="56" a="1"/>
  <c r="E68" i="56" s="1"/>
  <c r="F41" i="56"/>
  <c r="H54" i="59"/>
  <c r="B42" i="72" a="1"/>
  <c r="B42" i="72" s="1"/>
  <c r="A44" i="72" a="1"/>
  <c r="A44" i="72" s="1"/>
  <c r="C43" i="72" a="1"/>
  <c r="C43" i="72" s="1"/>
  <c r="F43" i="72" s="1"/>
  <c r="D43" i="72"/>
  <c r="G43" i="72"/>
  <c r="D41" i="56"/>
  <c r="H43" i="58"/>
  <c r="G43" i="58"/>
  <c r="G41" i="56"/>
  <c r="E78" i="72" l="1" a="1"/>
  <c r="E78" i="72" s="1"/>
  <c r="I79" i="58" a="1"/>
  <c r="I79" i="58" s="1"/>
  <c r="E79" i="72" a="1"/>
  <c r="E79" i="72" s="1"/>
  <c r="I80" i="58" a="1"/>
  <c r="I80" i="58" s="1"/>
  <c r="K77" i="58" a="1"/>
  <c r="K77" i="58" s="1"/>
  <c r="J77" i="58" a="1"/>
  <c r="J77" i="58" s="1"/>
  <c r="L77" i="58" a="1"/>
  <c r="L77" i="58" s="1"/>
  <c r="B65" i="56" a="1"/>
  <c r="B65" i="56" s="1"/>
  <c r="L68" i="59" a="1"/>
  <c r="L68" i="59" s="1"/>
  <c r="J68" i="59" a="1"/>
  <c r="J68" i="59" s="1"/>
  <c r="C67" i="56" a="1"/>
  <c r="C67" i="56" s="1"/>
  <c r="L69" i="59" a="1"/>
  <c r="L69" i="59" s="1"/>
  <c r="K69" i="59" a="1"/>
  <c r="K69" i="59" s="1"/>
  <c r="J69" i="59" a="1"/>
  <c r="J69" i="59" s="1"/>
  <c r="B66" i="56" a="1"/>
  <c r="B66" i="56" s="1"/>
  <c r="E69" i="56" a="1"/>
  <c r="E69" i="56" s="1"/>
  <c r="I71" i="59" s="1" a="1"/>
  <c r="I71" i="59" s="1"/>
  <c r="A68" i="56" a="1"/>
  <c r="A68" i="56" s="1"/>
  <c r="B67" i="56" s="1" a="1"/>
  <c r="B67" i="56" s="1"/>
  <c r="I70" i="59" a="1"/>
  <c r="I70" i="59" s="1"/>
  <c r="F42" i="56"/>
  <c r="H55" i="59"/>
  <c r="A45" i="72" a="1"/>
  <c r="A45" i="72" s="1"/>
  <c r="C44" i="72" a="1"/>
  <c r="C44" i="72" s="1"/>
  <c r="F44" i="72" s="1"/>
  <c r="D44" i="72"/>
  <c r="B43" i="72" a="1"/>
  <c r="B43" i="72" s="1"/>
  <c r="G44" i="72"/>
  <c r="G44" i="59"/>
  <c r="H44" i="58"/>
  <c r="D42" i="56"/>
  <c r="G42" i="56"/>
  <c r="G44" i="58"/>
  <c r="J79" i="58" l="1" a="1"/>
  <c r="J79" i="58" s="1"/>
  <c r="K79" i="58" a="1"/>
  <c r="K79" i="58" s="1"/>
  <c r="L79" i="58" a="1"/>
  <c r="L79" i="58" s="1"/>
  <c r="J80" i="58" a="1"/>
  <c r="J80" i="58" s="1"/>
  <c r="K80" i="58" a="1"/>
  <c r="K80" i="58" s="1"/>
  <c r="L80" i="58" a="1"/>
  <c r="L80" i="58" s="1"/>
  <c r="E80" i="72" a="1"/>
  <c r="E80" i="72" s="1"/>
  <c r="I82" i="58" s="1" a="1"/>
  <c r="I82" i="58" s="1"/>
  <c r="I81" i="58" a="1"/>
  <c r="I81" i="58" s="1"/>
  <c r="K71" i="59" a="1"/>
  <c r="K71" i="59" s="1"/>
  <c r="L71" i="59" a="1"/>
  <c r="L71" i="59" s="1"/>
  <c r="J71" i="59" a="1"/>
  <c r="J71" i="59" s="1"/>
  <c r="L70" i="59" a="1"/>
  <c r="L70" i="59" s="1"/>
  <c r="J70" i="59" a="1"/>
  <c r="J70" i="59" s="1"/>
  <c r="K70" i="59" a="1"/>
  <c r="K70" i="59" s="1"/>
  <c r="C68" i="56" a="1"/>
  <c r="C68" i="56" s="1"/>
  <c r="E70" i="56" a="1"/>
  <c r="E70" i="56" s="1"/>
  <c r="A69" i="56" a="1"/>
  <c r="A69" i="56" s="1"/>
  <c r="F43" i="56"/>
  <c r="H56" i="59"/>
  <c r="B44" i="72" a="1"/>
  <c r="B44" i="72" s="1"/>
  <c r="A46" i="72" a="1"/>
  <c r="A46" i="72" s="1"/>
  <c r="D45" i="72"/>
  <c r="C45" i="72" a="1"/>
  <c r="C45" i="72" s="1"/>
  <c r="F45" i="72" s="1"/>
  <c r="G45" i="72"/>
  <c r="G45" i="58"/>
  <c r="H45" i="58"/>
  <c r="G45" i="59"/>
  <c r="G43" i="56"/>
  <c r="D43" i="56"/>
  <c r="K82" i="58" l="1" a="1"/>
  <c r="K82" i="58" s="1"/>
  <c r="J82" i="58" a="1"/>
  <c r="J82" i="58" s="1"/>
  <c r="L82" i="58" a="1"/>
  <c r="L82" i="58" s="1"/>
  <c r="J81" i="58" a="1"/>
  <c r="J81" i="58" s="1"/>
  <c r="K81" i="58" a="1"/>
  <c r="K81" i="58" s="1"/>
  <c r="L81" i="58" a="1"/>
  <c r="L81" i="58" s="1"/>
  <c r="E81" i="72" a="1"/>
  <c r="E81" i="72" s="1"/>
  <c r="A80" i="72" a="1"/>
  <c r="A80" i="72" s="1"/>
  <c r="C69" i="56" a="1"/>
  <c r="C69" i="56" s="1"/>
  <c r="I72" i="59" a="1"/>
  <c r="I72" i="59" s="1"/>
  <c r="E71" i="56" a="1"/>
  <c r="E71" i="56" s="1"/>
  <c r="I73" i="59" s="1" a="1"/>
  <c r="I73" i="59" s="1"/>
  <c r="A70" i="56" a="1"/>
  <c r="A70" i="56" s="1"/>
  <c r="B69" i="56" s="1" a="1"/>
  <c r="B69" i="56" s="1"/>
  <c r="B68" i="56" a="1"/>
  <c r="B68" i="56" s="1"/>
  <c r="F44" i="56"/>
  <c r="H57" i="59"/>
  <c r="B45" i="72" a="1"/>
  <c r="B45" i="72" s="1"/>
  <c r="A47" i="72" a="1"/>
  <c r="A47" i="72" s="1"/>
  <c r="C46" i="72" a="1"/>
  <c r="C46" i="72" s="1"/>
  <c r="F46" i="72" s="1"/>
  <c r="D46" i="72"/>
  <c r="G46" i="72"/>
  <c r="G46" i="58"/>
  <c r="G44" i="56"/>
  <c r="D44" i="56"/>
  <c r="H46" i="58"/>
  <c r="G46" i="59"/>
  <c r="D80" i="72" l="1"/>
  <c r="C80" i="72" a="1"/>
  <c r="C80" i="72" s="1"/>
  <c r="F80" i="72" s="1"/>
  <c r="A81" i="72" a="1"/>
  <c r="A81" i="72" s="1"/>
  <c r="I83" i="58" a="1"/>
  <c r="I83" i="58" s="1"/>
  <c r="E82" i="72" a="1"/>
  <c r="E82" i="72" s="1"/>
  <c r="I84" i="58" s="1" a="1"/>
  <c r="I84" i="58" s="1"/>
  <c r="K73" i="59" a="1"/>
  <c r="K73" i="59" s="1"/>
  <c r="L73" i="59" a="1"/>
  <c r="L73" i="59" s="1"/>
  <c r="J73" i="59" a="1"/>
  <c r="J73" i="59" s="1"/>
  <c r="A71" i="56" a="1"/>
  <c r="A71" i="56" s="1"/>
  <c r="B70" i="56" s="1" a="1"/>
  <c r="B70" i="56" s="1"/>
  <c r="E72" i="56" a="1"/>
  <c r="E72" i="56" s="1"/>
  <c r="J72" i="59" a="1"/>
  <c r="J72" i="59" s="1"/>
  <c r="K72" i="59" a="1"/>
  <c r="K72" i="59" s="1"/>
  <c r="L72" i="59" a="1"/>
  <c r="L72" i="59" s="1"/>
  <c r="C70" i="56" a="1"/>
  <c r="C70" i="56" s="1"/>
  <c r="H58" i="59"/>
  <c r="B46" i="72" a="1"/>
  <c r="B46" i="72" s="1"/>
  <c r="A48" i="72" a="1"/>
  <c r="A48" i="72" s="1"/>
  <c r="C47" i="72" a="1"/>
  <c r="C47" i="72" s="1"/>
  <c r="F47" i="72" s="1"/>
  <c r="D47" i="72"/>
  <c r="G47" i="72"/>
  <c r="H47" i="58"/>
  <c r="G47" i="59"/>
  <c r="G45" i="56"/>
  <c r="D45" i="56"/>
  <c r="F45" i="56"/>
  <c r="G47" i="58"/>
  <c r="J84" i="58" l="1" a="1"/>
  <c r="J84" i="58" s="1"/>
  <c r="K84" i="58" a="1"/>
  <c r="K84" i="58" s="1"/>
  <c r="L84" i="58" a="1"/>
  <c r="L84" i="58" s="1"/>
  <c r="A82" i="72" a="1"/>
  <c r="A82" i="72" s="1"/>
  <c r="B81" i="72" s="1" a="1"/>
  <c r="B81" i="72" s="1"/>
  <c r="E83" i="72" a="1"/>
  <c r="E83" i="72" s="1"/>
  <c r="J83" i="58" a="1"/>
  <c r="J83" i="58" s="1"/>
  <c r="K83" i="58" a="1"/>
  <c r="K83" i="58" s="1"/>
  <c r="L83" i="58" a="1"/>
  <c r="L83" i="58" s="1"/>
  <c r="D81" i="72"/>
  <c r="C81" i="72" a="1"/>
  <c r="C81" i="72" s="1"/>
  <c r="F81" i="72" s="1"/>
  <c r="B80" i="72" a="1"/>
  <c r="B80" i="72" s="1"/>
  <c r="E73" i="56" a="1"/>
  <c r="E73" i="56" s="1"/>
  <c r="I74" i="59" a="1"/>
  <c r="I74" i="59" s="1"/>
  <c r="A72" i="56" a="1"/>
  <c r="A72" i="56" s="1"/>
  <c r="B71" i="56" s="1" a="1"/>
  <c r="B71" i="56" s="1"/>
  <c r="C71" i="56" a="1"/>
  <c r="C71" i="56" s="1"/>
  <c r="H59" i="59"/>
  <c r="B47" i="72" a="1"/>
  <c r="B47" i="72" s="1"/>
  <c r="A49" i="72" a="1"/>
  <c r="A49" i="72" s="1"/>
  <c r="G48" i="72"/>
  <c r="C48" i="72" a="1"/>
  <c r="C48" i="72" s="1"/>
  <c r="F48" i="72" s="1"/>
  <c r="D48" i="72"/>
  <c r="F46" i="56"/>
  <c r="D46" i="56"/>
  <c r="H48" i="58"/>
  <c r="G46" i="56"/>
  <c r="G48" i="59"/>
  <c r="G48" i="58"/>
  <c r="I85" i="58" l="1" a="1"/>
  <c r="I85" i="58" s="1"/>
  <c r="A83" i="72" a="1"/>
  <c r="A83" i="72" s="1"/>
  <c r="B82" i="72" s="1" a="1"/>
  <c r="B82" i="72" s="1"/>
  <c r="E84" i="72" a="1"/>
  <c r="E84" i="72" s="1"/>
  <c r="I86" i="58" s="1" a="1"/>
  <c r="I86" i="58" s="1"/>
  <c r="D82" i="72"/>
  <c r="C82" i="72" a="1"/>
  <c r="C82" i="72" s="1"/>
  <c r="F82" i="72" s="1"/>
  <c r="C72" i="56" a="1"/>
  <c r="C72" i="56" s="1"/>
  <c r="K74" i="59" a="1"/>
  <c r="K74" i="59" s="1"/>
  <c r="L74" i="59" a="1"/>
  <c r="L74" i="59" s="1"/>
  <c r="J74" i="59" a="1"/>
  <c r="J74" i="59" s="1"/>
  <c r="A73" i="56" a="1"/>
  <c r="A73" i="56" s="1"/>
  <c r="C73" i="56" s="1" a="1"/>
  <c r="C73" i="56" s="1"/>
  <c r="I75" i="59" a="1"/>
  <c r="I75" i="59" s="1"/>
  <c r="E74" i="56" a="1"/>
  <c r="E74" i="56" s="1"/>
  <c r="F47" i="56"/>
  <c r="H60" i="59"/>
  <c r="B48" i="72" a="1"/>
  <c r="B48" i="72" s="1"/>
  <c r="A50" i="72" a="1"/>
  <c r="A50" i="72" s="1"/>
  <c r="G49" i="72"/>
  <c r="C49" i="72" a="1"/>
  <c r="C49" i="72" s="1"/>
  <c r="F49" i="72" s="1"/>
  <c r="D49" i="72"/>
  <c r="G47" i="56"/>
  <c r="D47" i="56"/>
  <c r="G49" i="59"/>
  <c r="H49" i="58"/>
  <c r="G49" i="58"/>
  <c r="J86" i="58" l="1" a="1"/>
  <c r="J86" i="58" s="1"/>
  <c r="K86" i="58" a="1"/>
  <c r="K86" i="58" s="1"/>
  <c r="L86" i="58" a="1"/>
  <c r="L86" i="58" s="1"/>
  <c r="E85" i="72" a="1"/>
  <c r="E85" i="72" s="1"/>
  <c r="A84" i="72" a="1"/>
  <c r="A84" i="72" s="1"/>
  <c r="C83" i="72" a="1"/>
  <c r="C83" i="72" s="1"/>
  <c r="F83" i="72" s="1"/>
  <c r="D83" i="72"/>
  <c r="L85" i="58" a="1"/>
  <c r="L85" i="58" s="1"/>
  <c r="J85" i="58" a="1"/>
  <c r="J85" i="58" s="1"/>
  <c r="K85" i="58" a="1"/>
  <c r="K85" i="58" s="1"/>
  <c r="F50" i="72"/>
  <c r="B72" i="56" a="1"/>
  <c r="B72" i="56" s="1"/>
  <c r="I76" i="59" a="1"/>
  <c r="I76" i="59" s="1"/>
  <c r="E75" i="56" a="1"/>
  <c r="E75" i="56" s="1"/>
  <c r="A74" i="56" a="1"/>
  <c r="A74" i="56" s="1"/>
  <c r="L75" i="59" a="1"/>
  <c r="L75" i="59" s="1"/>
  <c r="J75" i="59" a="1"/>
  <c r="J75" i="59" s="1"/>
  <c r="K75" i="59" a="1"/>
  <c r="K75" i="59" s="1"/>
  <c r="H61" i="59"/>
  <c r="B49" i="72" a="1"/>
  <c r="B49" i="72" s="1"/>
  <c r="G48" i="56"/>
  <c r="A51" i="72" a="1"/>
  <c r="A51" i="72" s="1"/>
  <c r="G50" i="72"/>
  <c r="C50" i="72" a="1"/>
  <c r="C50" i="72" s="1"/>
  <c r="D50" i="72"/>
  <c r="G50" i="58"/>
  <c r="G50" i="59"/>
  <c r="H50" i="58"/>
  <c r="F48" i="56"/>
  <c r="D48" i="56"/>
  <c r="B83" i="72" l="1" a="1"/>
  <c r="B83" i="72" s="1"/>
  <c r="C84" i="72" a="1"/>
  <c r="C84" i="72" s="1"/>
  <c r="F84" i="72" s="1"/>
  <c r="D84" i="72"/>
  <c r="I87" i="58" a="1"/>
  <c r="I87" i="58" s="1"/>
  <c r="E86" i="72" a="1"/>
  <c r="E86" i="72" s="1"/>
  <c r="A85" i="72" a="1"/>
  <c r="A85" i="72" s="1"/>
  <c r="B73" i="56" a="1"/>
  <c r="B73" i="56" s="1"/>
  <c r="C74" i="56" a="1"/>
  <c r="C74" i="56" s="1"/>
  <c r="I77" i="59" a="1"/>
  <c r="I77" i="59" s="1"/>
  <c r="E76" i="56" a="1"/>
  <c r="E76" i="56" s="1"/>
  <c r="A75" i="56" a="1"/>
  <c r="A75" i="56" s="1"/>
  <c r="B74" i="56" s="1" a="1"/>
  <c r="B74" i="56" s="1"/>
  <c r="K76" i="59" a="1"/>
  <c r="K76" i="59" s="1"/>
  <c r="J76" i="59" a="1"/>
  <c r="J76" i="59" s="1"/>
  <c r="L76" i="59" a="1"/>
  <c r="L76" i="59" s="1"/>
  <c r="F49" i="56"/>
  <c r="H62" i="59"/>
  <c r="B50" i="72" a="1"/>
  <c r="B50" i="72" s="1"/>
  <c r="G51" i="72"/>
  <c r="D51" i="72"/>
  <c r="C51" i="72" a="1"/>
  <c r="C51" i="72" s="1"/>
  <c r="F51" i="72" s="1"/>
  <c r="A52" i="72" a="1"/>
  <c r="A52" i="72" s="1"/>
  <c r="G51" i="58"/>
  <c r="D49" i="56"/>
  <c r="H51" i="58"/>
  <c r="G51" i="59"/>
  <c r="G49" i="56"/>
  <c r="C85" i="72" l="1" a="1"/>
  <c r="C85" i="72" s="1"/>
  <c r="F85" i="72" s="1"/>
  <c r="D85" i="72"/>
  <c r="I88" i="58" a="1"/>
  <c r="I88" i="58" s="1"/>
  <c r="A86" i="72" a="1"/>
  <c r="A86" i="72" s="1"/>
  <c r="E87" i="72" a="1"/>
  <c r="E87" i="72" s="1"/>
  <c r="B84" i="72" a="1"/>
  <c r="B84" i="72" s="1"/>
  <c r="K87" i="58" a="1"/>
  <c r="K87" i="58" s="1"/>
  <c r="L87" i="58" a="1"/>
  <c r="L87" i="58" s="1"/>
  <c r="J87" i="58" a="1"/>
  <c r="J87" i="58" s="1"/>
  <c r="C75" i="56" a="1"/>
  <c r="C75" i="56" s="1"/>
  <c r="E77" i="56" a="1"/>
  <c r="E77" i="56" s="1"/>
  <c r="A76" i="56" a="1"/>
  <c r="A76" i="56" s="1"/>
  <c r="I78" i="59" a="1"/>
  <c r="I78" i="59" s="1"/>
  <c r="L77" i="59" a="1"/>
  <c r="L77" i="59" s="1"/>
  <c r="J77" i="59" a="1"/>
  <c r="J77" i="59" s="1"/>
  <c r="K77" i="59" a="1"/>
  <c r="K77" i="59" s="1"/>
  <c r="F50" i="56"/>
  <c r="G52" i="59"/>
  <c r="H63" i="59"/>
  <c r="B51" i="72" a="1"/>
  <c r="B51" i="72" s="1"/>
  <c r="A53" i="72" a="1"/>
  <c r="A53" i="72" s="1"/>
  <c r="D52" i="72"/>
  <c r="C52" i="72" a="1"/>
  <c r="C52" i="72" s="1"/>
  <c r="F52" i="72" s="1"/>
  <c r="G52" i="72"/>
  <c r="G50" i="56"/>
  <c r="D50" i="56"/>
  <c r="H52" i="58"/>
  <c r="G52" i="58"/>
  <c r="I89" i="58" l="1" a="1"/>
  <c r="I89" i="58" s="1"/>
  <c r="E88" i="72" a="1"/>
  <c r="E88" i="72" s="1"/>
  <c r="A87" i="72" a="1"/>
  <c r="A87" i="72" s="1"/>
  <c r="B85" i="72" a="1"/>
  <c r="B85" i="72" s="1"/>
  <c r="D86" i="72"/>
  <c r="C86" i="72" a="1"/>
  <c r="C86" i="72" s="1"/>
  <c r="F86" i="72" s="1"/>
  <c r="L88" i="58" a="1"/>
  <c r="L88" i="58" s="1"/>
  <c r="K88" i="58" a="1"/>
  <c r="K88" i="58" s="1"/>
  <c r="J88" i="58" a="1"/>
  <c r="J88" i="58" s="1"/>
  <c r="K78" i="59" a="1"/>
  <c r="K78" i="59" s="1"/>
  <c r="J78" i="59" a="1"/>
  <c r="J78" i="59" s="1"/>
  <c r="L78" i="59" a="1"/>
  <c r="L78" i="59" s="1"/>
  <c r="C76" i="56" a="1"/>
  <c r="C76" i="56" s="1"/>
  <c r="E78" i="56" a="1"/>
  <c r="E78" i="56" s="1"/>
  <c r="I79" i="59" a="1"/>
  <c r="I79" i="59" s="1"/>
  <c r="A77" i="56" a="1"/>
  <c r="A77" i="56" s="1"/>
  <c r="B76" i="56" s="1" a="1"/>
  <c r="B76" i="56" s="1"/>
  <c r="B75" i="56" a="1"/>
  <c r="B75" i="56" s="1"/>
  <c r="F51" i="56"/>
  <c r="H64" i="59"/>
  <c r="D53" i="72"/>
  <c r="C53" i="72" a="1"/>
  <c r="C53" i="72" s="1"/>
  <c r="F53" i="72" s="1"/>
  <c r="G53" i="72"/>
  <c r="A54" i="72" a="1"/>
  <c r="A54" i="72" s="1"/>
  <c r="B52" i="72" a="1"/>
  <c r="B52" i="72" s="1"/>
  <c r="H53" i="58"/>
  <c r="D51" i="56"/>
  <c r="G51" i="56"/>
  <c r="G53" i="58"/>
  <c r="G53" i="59"/>
  <c r="B86" i="72" l="1" a="1"/>
  <c r="B86" i="72" s="1"/>
  <c r="C87" i="72" a="1"/>
  <c r="C87" i="72" s="1"/>
  <c r="F87" i="72" s="1"/>
  <c r="D87" i="72"/>
  <c r="E89" i="72" a="1"/>
  <c r="E89" i="72" s="1"/>
  <c r="I91" i="58" s="1" a="1"/>
  <c r="I91" i="58" s="1"/>
  <c r="I90" i="58" a="1"/>
  <c r="I90" i="58" s="1"/>
  <c r="A88" i="72" a="1"/>
  <c r="A88" i="72" s="1"/>
  <c r="K89" i="58" a="1"/>
  <c r="K89" i="58" s="1"/>
  <c r="L89" i="58" a="1"/>
  <c r="L89" i="58" s="1"/>
  <c r="J89" i="58" a="1"/>
  <c r="J89" i="58" s="1"/>
  <c r="E79" i="56" a="1"/>
  <c r="E79" i="56" s="1"/>
  <c r="I80" i="59" a="1"/>
  <c r="I80" i="59" s="1"/>
  <c r="A78" i="56" a="1"/>
  <c r="A78" i="56" s="1"/>
  <c r="B77" i="56" s="1" a="1"/>
  <c r="B77" i="56" s="1"/>
  <c r="C77" i="56" a="1"/>
  <c r="C77" i="56" s="1"/>
  <c r="K79" i="59" a="1"/>
  <c r="K79" i="59" s="1"/>
  <c r="L79" i="59" a="1"/>
  <c r="L79" i="59" s="1"/>
  <c r="J79" i="59" a="1"/>
  <c r="J79" i="59" s="1"/>
  <c r="G54" i="59"/>
  <c r="H65" i="59"/>
  <c r="D54" i="72"/>
  <c r="C54" i="72" a="1"/>
  <c r="C54" i="72" s="1"/>
  <c r="F54" i="72" s="1"/>
  <c r="G54" i="72"/>
  <c r="B53" i="72" a="1"/>
  <c r="B53" i="72" s="1"/>
  <c r="A55" i="72" a="1"/>
  <c r="A55" i="72" s="1"/>
  <c r="F52" i="56"/>
  <c r="D52" i="56"/>
  <c r="G52" i="56"/>
  <c r="G54" i="58"/>
  <c r="H54" i="58"/>
  <c r="K91" i="58" l="1" a="1"/>
  <c r="K91" i="58" s="1"/>
  <c r="L91" i="58" a="1"/>
  <c r="L91" i="58" s="1"/>
  <c r="J91" i="58" a="1"/>
  <c r="J91" i="58" s="1"/>
  <c r="D88" i="72"/>
  <c r="C88" i="72" a="1"/>
  <c r="C88" i="72" s="1"/>
  <c r="F88" i="72" s="1"/>
  <c r="L90" i="58" a="1"/>
  <c r="L90" i="58" s="1"/>
  <c r="K90" i="58" a="1"/>
  <c r="K90" i="58" s="1"/>
  <c r="J90" i="58" a="1"/>
  <c r="J90" i="58" s="1"/>
  <c r="A89" i="72" a="1"/>
  <c r="A89" i="72" s="1"/>
  <c r="E90" i="72" a="1"/>
  <c r="E90" i="72" s="1"/>
  <c r="I92" i="58" s="1" a="1"/>
  <c r="I92" i="58" s="1"/>
  <c r="B87" i="72" a="1"/>
  <c r="B87" i="72" s="1"/>
  <c r="C78" i="56" a="1"/>
  <c r="C78" i="56" s="1"/>
  <c r="L80" i="59" a="1"/>
  <c r="L80" i="59" s="1"/>
  <c r="K80" i="59" a="1"/>
  <c r="K80" i="59" s="1"/>
  <c r="J80" i="59" a="1"/>
  <c r="J80" i="59" s="1"/>
  <c r="E80" i="56" a="1"/>
  <c r="E80" i="56" s="1"/>
  <c r="I82" i="59" s="1" a="1"/>
  <c r="I82" i="59" s="1"/>
  <c r="A79" i="56" a="1"/>
  <c r="A79" i="56" s="1"/>
  <c r="B78" i="56" s="1" a="1"/>
  <c r="B78" i="56" s="1"/>
  <c r="I81" i="59" a="1"/>
  <c r="I81" i="59" s="1"/>
  <c r="F53" i="56"/>
  <c r="G55" i="59"/>
  <c r="H66" i="59"/>
  <c r="A56" i="72" a="1"/>
  <c r="A56" i="72" s="1"/>
  <c r="B54" i="72" a="1"/>
  <c r="B54" i="72" s="1"/>
  <c r="C55" i="72" a="1"/>
  <c r="C55" i="72" s="1"/>
  <c r="F55" i="72" s="1"/>
  <c r="D55" i="72"/>
  <c r="G55" i="72"/>
  <c r="G53" i="56"/>
  <c r="G55" i="58"/>
  <c r="H55" i="58"/>
  <c r="D53" i="56"/>
  <c r="J92" i="58" l="1" a="1"/>
  <c r="J92" i="58" s="1"/>
  <c r="K92" i="58" a="1"/>
  <c r="K92" i="58" s="1"/>
  <c r="L92" i="58" a="1"/>
  <c r="L92" i="58" s="1"/>
  <c r="E91" i="72" a="1"/>
  <c r="E91" i="72" s="1"/>
  <c r="A90" i="72" a="1"/>
  <c r="A90" i="72" s="1"/>
  <c r="D89" i="72"/>
  <c r="C89" i="72" a="1"/>
  <c r="C89" i="72" s="1"/>
  <c r="F89" i="72" s="1"/>
  <c r="B88" i="72" a="1"/>
  <c r="B88" i="72" s="1"/>
  <c r="J82" i="59" a="1"/>
  <c r="J82" i="59" s="1"/>
  <c r="K82" i="59" a="1"/>
  <c r="K82" i="59" s="1"/>
  <c r="L82" i="59" a="1"/>
  <c r="L82" i="59" s="1"/>
  <c r="J81" i="59" a="1"/>
  <c r="J81" i="59" s="1"/>
  <c r="L81" i="59" a="1"/>
  <c r="L81" i="59" s="1"/>
  <c r="K81" i="59" a="1"/>
  <c r="K81" i="59" s="1"/>
  <c r="C79" i="56" a="1"/>
  <c r="C79" i="56" s="1"/>
  <c r="E81" i="56" a="1"/>
  <c r="E81" i="56" s="1"/>
  <c r="A80" i="56" a="1"/>
  <c r="A80" i="56" s="1"/>
  <c r="B79" i="56" s="1" a="1"/>
  <c r="B79" i="56" s="1"/>
  <c r="F54" i="56"/>
  <c r="G56" i="59"/>
  <c r="H67" i="59"/>
  <c r="G56" i="72"/>
  <c r="B55" i="72" a="1"/>
  <c r="B55" i="72" s="1"/>
  <c r="C56" i="72" a="1"/>
  <c r="C56" i="72" s="1"/>
  <c r="F56" i="72" s="1"/>
  <c r="D56" i="72"/>
  <c r="A57" i="72" a="1"/>
  <c r="A57" i="72" s="1"/>
  <c r="H56" i="58"/>
  <c r="G56" i="58"/>
  <c r="D54" i="56"/>
  <c r="G54" i="56"/>
  <c r="B89" i="72" l="1" a="1"/>
  <c r="B89" i="72" s="1"/>
  <c r="C90" i="72" a="1"/>
  <c r="C90" i="72" s="1"/>
  <c r="F90" i="72" s="1"/>
  <c r="D90" i="72"/>
  <c r="I93" i="58" a="1"/>
  <c r="I93" i="58" s="1"/>
  <c r="E92" i="72" a="1"/>
  <c r="E92" i="72" s="1"/>
  <c r="A91" i="72" a="1"/>
  <c r="A91" i="72" s="1"/>
  <c r="E82" i="56" a="1"/>
  <c r="E82" i="56" s="1"/>
  <c r="E83" i="56" s="1" a="1"/>
  <c r="E83" i="56" s="1"/>
  <c r="I83" i="59" a="1"/>
  <c r="I83" i="59" s="1"/>
  <c r="A81" i="56" a="1"/>
  <c r="A81" i="56" s="1"/>
  <c r="B80" i="56" s="1" a="1"/>
  <c r="B80" i="56" s="1"/>
  <c r="C80" i="56" a="1"/>
  <c r="C80" i="56" s="1"/>
  <c r="A82" i="56" a="1"/>
  <c r="A82" i="56" s="1"/>
  <c r="I84" i="59" a="1"/>
  <c r="I84" i="59" s="1"/>
  <c r="H68" i="59"/>
  <c r="A58" i="72" a="1"/>
  <c r="A58" i="72" s="1"/>
  <c r="B56" i="72" a="1"/>
  <c r="B56" i="72" s="1"/>
  <c r="C57" i="72" a="1"/>
  <c r="C57" i="72" s="1"/>
  <c r="F57" i="72" s="1"/>
  <c r="D57" i="72"/>
  <c r="G57" i="72"/>
  <c r="G57" i="58"/>
  <c r="H57" i="58"/>
  <c r="G55" i="56"/>
  <c r="G57" i="59"/>
  <c r="D55" i="56"/>
  <c r="F55" i="56"/>
  <c r="C91" i="72" l="1" a="1"/>
  <c r="C91" i="72" s="1"/>
  <c r="F91" i="72" s="1"/>
  <c r="D91" i="72"/>
  <c r="L93" i="58" a="1"/>
  <c r="L93" i="58" s="1"/>
  <c r="J93" i="58" a="1"/>
  <c r="J93" i="58" s="1"/>
  <c r="K93" i="58" a="1"/>
  <c r="K93" i="58" s="1"/>
  <c r="B90" i="72" a="1"/>
  <c r="B90" i="72" s="1"/>
  <c r="I94" i="58" a="1"/>
  <c r="I94" i="58" s="1"/>
  <c r="E93" i="72" a="1"/>
  <c r="E93" i="72" s="1"/>
  <c r="A92" i="72" a="1"/>
  <c r="A92" i="72" s="1"/>
  <c r="E84" i="56" a="1"/>
  <c r="E84" i="56" s="1"/>
  <c r="I86" i="59" s="1" a="1"/>
  <c r="I86" i="59" s="1"/>
  <c r="I85" i="59" a="1"/>
  <c r="I85" i="59" s="1"/>
  <c r="A83" i="56" a="1"/>
  <c r="A83" i="56" s="1"/>
  <c r="C81" i="56" a="1"/>
  <c r="C81" i="56" s="1"/>
  <c r="B81" i="56" a="1"/>
  <c r="B81" i="56" s="1"/>
  <c r="J83" i="59" a="1"/>
  <c r="J83" i="59" s="1"/>
  <c r="L83" i="59" a="1"/>
  <c r="L83" i="59" s="1"/>
  <c r="K83" i="59" a="1"/>
  <c r="K83" i="59" s="1"/>
  <c r="L84" i="59" a="1"/>
  <c r="L84" i="59" s="1"/>
  <c r="J84" i="59" a="1"/>
  <c r="J84" i="59" s="1"/>
  <c r="K84" i="59" a="1"/>
  <c r="K84" i="59" s="1"/>
  <c r="C82" i="56" a="1"/>
  <c r="C82" i="56" s="1"/>
  <c r="B82" i="56" a="1"/>
  <c r="B82" i="56" s="1"/>
  <c r="F56" i="56"/>
  <c r="H69" i="59"/>
  <c r="G58" i="72"/>
  <c r="B57" i="72" a="1"/>
  <c r="B57" i="72" s="1"/>
  <c r="C58" i="72" a="1"/>
  <c r="C58" i="72" s="1"/>
  <c r="F58" i="72" s="1"/>
  <c r="D58" i="72"/>
  <c r="A59" i="72" a="1"/>
  <c r="A59" i="72" s="1"/>
  <c r="G58" i="59"/>
  <c r="H58" i="58"/>
  <c r="G58" i="58"/>
  <c r="D56" i="56"/>
  <c r="G56" i="56"/>
  <c r="B91" i="72" l="1" a="1"/>
  <c r="B91" i="72" s="1"/>
  <c r="D92" i="72"/>
  <c r="C92" i="72" a="1"/>
  <c r="C92" i="72" s="1"/>
  <c r="F92" i="72" s="1"/>
  <c r="I95" i="58" a="1"/>
  <c r="I95" i="58" s="1"/>
  <c r="E94" i="72" a="1"/>
  <c r="E94" i="72" s="1"/>
  <c r="A93" i="72" a="1"/>
  <c r="A93" i="72" s="1"/>
  <c r="B92" i="72" s="1" a="1"/>
  <c r="B92" i="72" s="1"/>
  <c r="J94" i="58" a="1"/>
  <c r="J94" i="58" s="1"/>
  <c r="K94" i="58" a="1"/>
  <c r="K94" i="58" s="1"/>
  <c r="L94" i="58" a="1"/>
  <c r="L94" i="58" s="1"/>
  <c r="A84" i="56" a="1"/>
  <c r="A84" i="56" s="1"/>
  <c r="C84" i="56" s="1" a="1"/>
  <c r="C84" i="56" s="1"/>
  <c r="E85" i="56" a="1"/>
  <c r="E85" i="56" s="1"/>
  <c r="I87" i="59" s="1" a="1"/>
  <c r="I87" i="59" s="1"/>
  <c r="L87" i="59" s="1" a="1"/>
  <c r="L87" i="59" s="1"/>
  <c r="L86" i="59" a="1"/>
  <c r="L86" i="59" s="1"/>
  <c r="J86" i="59" a="1"/>
  <c r="J86" i="59" s="1"/>
  <c r="K86" i="59" a="1"/>
  <c r="K86" i="59" s="1"/>
  <c r="C83" i="56" a="1"/>
  <c r="C83" i="56" s="1"/>
  <c r="K85" i="59" a="1"/>
  <c r="K85" i="59" s="1"/>
  <c r="L85" i="59" a="1"/>
  <c r="L85" i="59" s="1"/>
  <c r="J85" i="59" a="1"/>
  <c r="J85" i="59" s="1"/>
  <c r="F57" i="56"/>
  <c r="G59" i="59"/>
  <c r="H70" i="59"/>
  <c r="B58" i="72" a="1"/>
  <c r="B58" i="72" s="1"/>
  <c r="A60" i="72" a="1"/>
  <c r="A60" i="72" s="1"/>
  <c r="G59" i="72"/>
  <c r="C59" i="72" a="1"/>
  <c r="C59" i="72" s="1"/>
  <c r="F59" i="72" s="1"/>
  <c r="D59" i="72"/>
  <c r="G57" i="56"/>
  <c r="G59" i="58"/>
  <c r="H59" i="58"/>
  <c r="D57" i="56"/>
  <c r="I96" i="58" l="1" a="1"/>
  <c r="I96" i="58" s="1"/>
  <c r="A94" i="72" a="1"/>
  <c r="A94" i="72" s="1"/>
  <c r="E95" i="72" a="1"/>
  <c r="E95" i="72" s="1"/>
  <c r="L95" i="58" a="1"/>
  <c r="L95" i="58" s="1"/>
  <c r="K95" i="58" a="1"/>
  <c r="K95" i="58" s="1"/>
  <c r="J95" i="58" a="1"/>
  <c r="J95" i="58" s="1"/>
  <c r="C93" i="72" a="1"/>
  <c r="C93" i="72" s="1"/>
  <c r="F93" i="72" s="1"/>
  <c r="D93" i="72"/>
  <c r="B83" i="56" a="1"/>
  <c r="B83" i="56" s="1"/>
  <c r="A85" i="56" a="1"/>
  <c r="A85" i="56" s="1"/>
  <c r="C85" i="56" s="1" a="1"/>
  <c r="C85" i="56" s="1"/>
  <c r="E86" i="56" a="1"/>
  <c r="E86" i="56" s="1"/>
  <c r="A86" i="56" s="1" a="1"/>
  <c r="A86" i="56" s="1"/>
  <c r="K87" i="59" a="1"/>
  <c r="K87" i="59" s="1"/>
  <c r="J87" i="59" a="1"/>
  <c r="J87" i="59" s="1"/>
  <c r="H71" i="59"/>
  <c r="G60" i="72"/>
  <c r="A61" i="72" a="1"/>
  <c r="A61" i="72" s="1"/>
  <c r="B59" i="72" a="1"/>
  <c r="B59" i="72" s="1"/>
  <c r="C60" i="72" a="1"/>
  <c r="C60" i="72" s="1"/>
  <c r="F60" i="72" s="1"/>
  <c r="D60" i="72"/>
  <c r="H60" i="58"/>
  <c r="F58" i="56"/>
  <c r="D58" i="56"/>
  <c r="G58" i="56"/>
  <c r="G60" i="59"/>
  <c r="G60" i="58"/>
  <c r="E96" i="72" l="1" a="1"/>
  <c r="E96" i="72" s="1"/>
  <c r="E97" i="72" s="1" a="1"/>
  <c r="E97" i="72" s="1"/>
  <c r="I97" i="58" a="1"/>
  <c r="I97" i="58" s="1"/>
  <c r="A95" i="72" a="1"/>
  <c r="A95" i="72" s="1"/>
  <c r="B94" i="72" s="1" a="1"/>
  <c r="B94" i="72" s="1"/>
  <c r="B93" i="72" a="1"/>
  <c r="B93" i="72" s="1"/>
  <c r="D94" i="72"/>
  <c r="C94" i="72" a="1"/>
  <c r="C94" i="72" s="1"/>
  <c r="F94" i="72" s="1"/>
  <c r="L96" i="58" a="1"/>
  <c r="L96" i="58" s="1"/>
  <c r="K96" i="58" a="1"/>
  <c r="K96" i="58" s="1"/>
  <c r="J96" i="58" a="1"/>
  <c r="J96" i="58" s="1"/>
  <c r="I106" i="58" a="1"/>
  <c r="I106" i="58" s="1"/>
  <c r="B85" i="56" a="1"/>
  <c r="B85" i="56" s="1"/>
  <c r="B84" i="56" a="1"/>
  <c r="B84" i="56" s="1"/>
  <c r="E87" i="56" a="1"/>
  <c r="E87" i="56" s="1"/>
  <c r="I88" i="59" a="1"/>
  <c r="I88" i="59" s="1"/>
  <c r="C86" i="56" a="1"/>
  <c r="C86" i="56" s="1"/>
  <c r="F59" i="56"/>
  <c r="H72" i="59"/>
  <c r="B60" i="72" a="1"/>
  <c r="B60" i="72" s="1"/>
  <c r="C61" i="72" a="1"/>
  <c r="C61" i="72" s="1"/>
  <c r="F61" i="72" s="1"/>
  <c r="D61" i="72"/>
  <c r="A62" i="72" a="1"/>
  <c r="A62" i="72" s="1"/>
  <c r="G61" i="72"/>
  <c r="H61" i="58"/>
  <c r="D59" i="56"/>
  <c r="G61" i="58"/>
  <c r="G59" i="56"/>
  <c r="G61" i="59"/>
  <c r="A96" i="72" l="1" a="1"/>
  <c r="A96" i="72" s="1"/>
  <c r="B95" i="72" s="1" a="1"/>
  <c r="B95" i="72" s="1"/>
  <c r="I98" i="58" a="1"/>
  <c r="I98" i="58" s="1"/>
  <c r="K98" i="58" s="1" a="1"/>
  <c r="K98" i="58" s="1"/>
  <c r="D95" i="72"/>
  <c r="C95" i="72" a="1"/>
  <c r="C95" i="72" s="1"/>
  <c r="F95" i="72" s="1"/>
  <c r="J97" i="58" a="1"/>
  <c r="J97" i="58" s="1"/>
  <c r="L97" i="58" a="1"/>
  <c r="L97" i="58" s="1"/>
  <c r="K97" i="58" a="1"/>
  <c r="K97" i="58" s="1"/>
  <c r="A97" i="72" a="1"/>
  <c r="A97" i="72" s="1"/>
  <c r="I99" i="58" a="1"/>
  <c r="I99" i="58" s="1"/>
  <c r="E98" i="72" a="1"/>
  <c r="E98" i="72" s="1"/>
  <c r="I107" i="58" a="1"/>
  <c r="I107" i="58" s="1"/>
  <c r="L106" i="58" a="1"/>
  <c r="L106" i="58" s="1"/>
  <c r="K106" i="58" a="1"/>
  <c r="K106" i="58" s="1"/>
  <c r="J106" i="58" a="1"/>
  <c r="J106" i="58" s="1"/>
  <c r="I110" i="58" a="1"/>
  <c r="I110" i="58" s="1"/>
  <c r="J88" i="59" a="1"/>
  <c r="J88" i="59" s="1"/>
  <c r="K88" i="59" a="1"/>
  <c r="K88" i="59" s="1"/>
  <c r="L88" i="59" a="1"/>
  <c r="L88" i="59" s="1"/>
  <c r="I89" i="59" a="1"/>
  <c r="I89" i="59" s="1"/>
  <c r="E88" i="56" a="1"/>
  <c r="E88" i="56" s="1"/>
  <c r="A87" i="56" a="1"/>
  <c r="A87" i="56" s="1"/>
  <c r="G62" i="59"/>
  <c r="H73" i="59"/>
  <c r="A63" i="72" a="1"/>
  <c r="A63" i="72" s="1"/>
  <c r="G62" i="72"/>
  <c r="D62" i="72"/>
  <c r="C62" i="72" a="1"/>
  <c r="C62" i="72" s="1"/>
  <c r="F62" i="72" s="1"/>
  <c r="B61" i="72" a="1"/>
  <c r="B61" i="72" s="1"/>
  <c r="G60" i="56"/>
  <c r="G62" i="58"/>
  <c r="F60" i="56"/>
  <c r="D60" i="56"/>
  <c r="H62" i="58"/>
  <c r="L98" i="58" l="1" a="1"/>
  <c r="L98" i="58" s="1"/>
  <c r="J98" i="58" a="1"/>
  <c r="J98" i="58" s="1"/>
  <c r="C96" i="72" a="1"/>
  <c r="C96" i="72" s="1"/>
  <c r="F96" i="72" s="1"/>
  <c r="D96" i="72"/>
  <c r="B96" i="72" a="1"/>
  <c r="B96" i="72" s="1"/>
  <c r="D97" i="72"/>
  <c r="C97" i="72" a="1"/>
  <c r="C97" i="72" s="1"/>
  <c r="F97" i="72" s="1"/>
  <c r="A98" i="72" a="1"/>
  <c r="A98" i="72" s="1"/>
  <c r="I100" i="58" a="1"/>
  <c r="I100" i="58" s="1"/>
  <c r="E99" i="72" a="1"/>
  <c r="E99" i="72" s="1"/>
  <c r="I101" i="58" s="1" a="1"/>
  <c r="I101" i="58" s="1"/>
  <c r="J99" i="58" a="1"/>
  <c r="J99" i="58" s="1"/>
  <c r="K99" i="58" a="1"/>
  <c r="K99" i="58" s="1"/>
  <c r="L99" i="58" a="1"/>
  <c r="L99" i="58" s="1"/>
  <c r="I108" i="58" a="1"/>
  <c r="I108" i="58" s="1"/>
  <c r="A106" i="72" a="1"/>
  <c r="A106" i="72" s="1"/>
  <c r="K107" i="58" a="1"/>
  <c r="K107" i="58" s="1"/>
  <c r="J107" i="58" a="1"/>
  <c r="J107" i="58" s="1"/>
  <c r="L107" i="58" a="1"/>
  <c r="L107" i="58" s="1"/>
  <c r="K110" i="58" a="1"/>
  <c r="K110" i="58" s="1"/>
  <c r="L110" i="58" a="1"/>
  <c r="L110" i="58" s="1"/>
  <c r="J110" i="58" a="1"/>
  <c r="J110" i="58" s="1"/>
  <c r="A88" i="56" a="1"/>
  <c r="A88" i="56" s="1"/>
  <c r="C88" i="56" s="1" a="1"/>
  <c r="C88" i="56" s="1"/>
  <c r="E89" i="56" a="1"/>
  <c r="E89" i="56" s="1"/>
  <c r="I90" i="59" a="1"/>
  <c r="I90" i="59" s="1"/>
  <c r="C87" i="56" a="1"/>
  <c r="C87" i="56" s="1"/>
  <c r="B86" i="56" a="1"/>
  <c r="B86" i="56" s="1"/>
  <c r="J89" i="59" a="1"/>
  <c r="J89" i="59" s="1"/>
  <c r="L89" i="59" a="1"/>
  <c r="L89" i="59" s="1"/>
  <c r="K89" i="59" a="1"/>
  <c r="K89" i="59" s="1"/>
  <c r="H74" i="59"/>
  <c r="B62" i="72" a="1"/>
  <c r="B62" i="72" s="1"/>
  <c r="A64" i="72" a="1"/>
  <c r="A64" i="72" s="1"/>
  <c r="G63" i="72"/>
  <c r="D63" i="72"/>
  <c r="C63" i="72" a="1"/>
  <c r="C63" i="72" s="1"/>
  <c r="F63" i="72" s="1"/>
  <c r="D61" i="56"/>
  <c r="F61" i="56"/>
  <c r="H63" i="58"/>
  <c r="G63" i="58"/>
  <c r="G61" i="56"/>
  <c r="G63" i="59"/>
  <c r="J101" i="58" l="1" a="1"/>
  <c r="J101" i="58" s="1"/>
  <c r="K101" i="58" a="1"/>
  <c r="K101" i="58" s="1"/>
  <c r="L101" i="58" a="1"/>
  <c r="L101" i="58" s="1"/>
  <c r="J100" i="58" a="1"/>
  <c r="J100" i="58" s="1"/>
  <c r="L100" i="58" a="1"/>
  <c r="L100" i="58" s="1"/>
  <c r="K100" i="58" a="1"/>
  <c r="K100" i="58" s="1"/>
  <c r="D98" i="72"/>
  <c r="C98" i="72" a="1"/>
  <c r="C98" i="72" s="1"/>
  <c r="F98" i="72" s="1"/>
  <c r="B97" i="72" a="1"/>
  <c r="B97" i="72" s="1"/>
  <c r="E100" i="72" a="1"/>
  <c r="E100" i="72" s="1"/>
  <c r="I102" i="58" s="1" a="1"/>
  <c r="I102" i="58" s="1"/>
  <c r="A99" i="72" a="1"/>
  <c r="A99" i="72" s="1"/>
  <c r="I105" i="58" a="1"/>
  <c r="I105" i="58" s="1"/>
  <c r="D106" i="72"/>
  <c r="C106" i="72" a="1"/>
  <c r="C106" i="72" s="1"/>
  <c r="F106" i="72" s="1"/>
  <c r="L108" i="58" a="1"/>
  <c r="L108" i="58" s="1"/>
  <c r="K108" i="58" a="1"/>
  <c r="K108" i="58" s="1"/>
  <c r="J108" i="58" a="1"/>
  <c r="J108" i="58" s="1"/>
  <c r="I109" i="58" a="1"/>
  <c r="I109" i="58" s="1"/>
  <c r="A107" i="72" a="1"/>
  <c r="A107" i="72" s="1"/>
  <c r="A110" i="72" a="1"/>
  <c r="A110" i="72" s="1"/>
  <c r="B87" i="56" a="1"/>
  <c r="B87" i="56" s="1"/>
  <c r="L90" i="59" a="1"/>
  <c r="L90" i="59" s="1"/>
  <c r="J90" i="59" a="1"/>
  <c r="J90" i="59" s="1"/>
  <c r="K90" i="59" a="1"/>
  <c r="K90" i="59" s="1"/>
  <c r="I91" i="59" a="1"/>
  <c r="I91" i="59" s="1"/>
  <c r="E90" i="56" a="1"/>
  <c r="E90" i="56" s="1"/>
  <c r="A89" i="56" a="1"/>
  <c r="A89" i="56" s="1"/>
  <c r="F62" i="56"/>
  <c r="H75" i="59"/>
  <c r="G64" i="72"/>
  <c r="A65" i="72" a="1"/>
  <c r="A65" i="72" s="1"/>
  <c r="B63" i="72" a="1"/>
  <c r="B63" i="72" s="1"/>
  <c r="D64" i="72"/>
  <c r="C64" i="72" a="1"/>
  <c r="C64" i="72" s="1"/>
  <c r="F64" i="72" s="1"/>
  <c r="A73" i="72" a="1"/>
  <c r="A73" i="72" s="1"/>
  <c r="G62" i="56"/>
  <c r="G64" i="59"/>
  <c r="D62" i="56"/>
  <c r="G64" i="58"/>
  <c r="H64" i="58"/>
  <c r="L102" i="58" l="1" a="1"/>
  <c r="L102" i="58" s="1"/>
  <c r="K102" i="58" a="1"/>
  <c r="K102" i="58" s="1"/>
  <c r="J102" i="58" a="1"/>
  <c r="J102" i="58" s="1"/>
  <c r="C99" i="72" a="1"/>
  <c r="C99" i="72" s="1"/>
  <c r="F99" i="72" s="1"/>
  <c r="D99" i="72"/>
  <c r="E101" i="72" a="1"/>
  <c r="E101" i="72" s="1"/>
  <c r="I103" i="58" s="1" a="1"/>
  <c r="I103" i="58" s="1"/>
  <c r="A100" i="72" a="1"/>
  <c r="A100" i="72" s="1"/>
  <c r="B98" i="72" a="1"/>
  <c r="B98" i="72" s="1"/>
  <c r="L105" i="58" a="1"/>
  <c r="L105" i="58" s="1"/>
  <c r="K105" i="58" a="1"/>
  <c r="K105" i="58" s="1"/>
  <c r="J105" i="58" a="1"/>
  <c r="J105" i="58" s="1"/>
  <c r="C107" i="72" a="1"/>
  <c r="C107" i="72" s="1"/>
  <c r="D107" i="72"/>
  <c r="F107" i="72"/>
  <c r="A108" i="72" a="1"/>
  <c r="A108" i="72" s="1"/>
  <c r="B107" i="72" s="1" a="1"/>
  <c r="B107" i="72" s="1"/>
  <c r="K109" i="58" a="1"/>
  <c r="K109" i="58" s="1"/>
  <c r="L109" i="58" a="1"/>
  <c r="L109" i="58" s="1"/>
  <c r="J109" i="58" a="1"/>
  <c r="J109" i="58" s="1"/>
  <c r="B106" i="72" a="1"/>
  <c r="B106" i="72" s="1"/>
  <c r="A111" i="72" a="1"/>
  <c r="A111" i="72" s="1"/>
  <c r="F110" i="72"/>
  <c r="C110" i="72" a="1"/>
  <c r="C110" i="72" s="1"/>
  <c r="B110" i="72" a="1"/>
  <c r="B110" i="72" s="1"/>
  <c r="D110" i="72"/>
  <c r="B88" i="56" a="1"/>
  <c r="B88" i="56" s="1"/>
  <c r="C89" i="56" a="1"/>
  <c r="C89" i="56" s="1"/>
  <c r="I92" i="59" a="1"/>
  <c r="I92" i="59" s="1"/>
  <c r="E91" i="56" a="1"/>
  <c r="E91" i="56" s="1"/>
  <c r="A90" i="56" a="1"/>
  <c r="A90" i="56" s="1"/>
  <c r="L91" i="59" a="1"/>
  <c r="L91" i="59" s="1"/>
  <c r="K91" i="59" a="1"/>
  <c r="K91" i="59" s="1"/>
  <c r="J91" i="59" a="1"/>
  <c r="J91" i="59" s="1"/>
  <c r="F63" i="56"/>
  <c r="H76" i="59"/>
  <c r="B64" i="72" a="1"/>
  <c r="B64" i="72" s="1"/>
  <c r="C65" i="72" a="1"/>
  <c r="C65" i="72" s="1"/>
  <c r="F65" i="72" s="1"/>
  <c r="D65" i="72"/>
  <c r="A66" i="72" a="1"/>
  <c r="A66" i="72" s="1"/>
  <c r="G65" i="72"/>
  <c r="A74" i="72" a="1"/>
  <c r="A74" i="72" s="1"/>
  <c r="B73" i="72" s="1" a="1"/>
  <c r="B73" i="72" s="1"/>
  <c r="D73" i="72"/>
  <c r="C73" i="72" a="1"/>
  <c r="C73" i="72" s="1"/>
  <c r="F73" i="72" s="1"/>
  <c r="G65" i="58"/>
  <c r="G65" i="59"/>
  <c r="D63" i="56"/>
  <c r="H65" i="58"/>
  <c r="G63" i="56"/>
  <c r="J103" i="58" l="1" a="1"/>
  <c r="J103" i="58" s="1"/>
  <c r="L103" i="58" a="1"/>
  <c r="L103" i="58" s="1"/>
  <c r="K103" i="58" a="1"/>
  <c r="K103" i="58" s="1"/>
  <c r="B99" i="72" a="1"/>
  <c r="B99" i="72" s="1"/>
  <c r="C100" i="72" a="1"/>
  <c r="C100" i="72" s="1"/>
  <c r="F100" i="72" s="1"/>
  <c r="D100" i="72"/>
  <c r="E102" i="72" a="1"/>
  <c r="E102" i="72" s="1"/>
  <c r="A102" i="72" s="1" a="1"/>
  <c r="A102" i="72" s="1"/>
  <c r="A101" i="72" a="1"/>
  <c r="A101" i="72" s="1"/>
  <c r="I111" i="58" a="1"/>
  <c r="I111" i="58" s="1"/>
  <c r="A109" i="72" a="1"/>
  <c r="A109" i="72" s="1"/>
  <c r="C108" i="72" a="1"/>
  <c r="C108" i="72" s="1"/>
  <c r="F108" i="72"/>
  <c r="D108" i="72"/>
  <c r="F111" i="72"/>
  <c r="B111" i="72" a="1"/>
  <c r="B111" i="72" s="1"/>
  <c r="D111" i="72"/>
  <c r="C111" i="72" a="1"/>
  <c r="C111" i="72" s="1"/>
  <c r="B89" i="56" a="1"/>
  <c r="B89" i="56" s="1"/>
  <c r="C90" i="56" a="1"/>
  <c r="C90" i="56" s="1"/>
  <c r="I93" i="59" a="1"/>
  <c r="I93" i="59" s="1"/>
  <c r="E92" i="56" a="1"/>
  <c r="E92" i="56" s="1"/>
  <c r="A91" i="56" a="1"/>
  <c r="A91" i="56" s="1"/>
  <c r="B90" i="56" s="1" a="1"/>
  <c r="B90" i="56" s="1"/>
  <c r="J92" i="59" a="1"/>
  <c r="J92" i="59" s="1"/>
  <c r="K92" i="59" a="1"/>
  <c r="K92" i="59" s="1"/>
  <c r="L92" i="59" a="1"/>
  <c r="L92" i="59" s="1"/>
  <c r="F64" i="56"/>
  <c r="H77" i="59"/>
  <c r="G66" i="59"/>
  <c r="G66" i="72"/>
  <c r="B65" i="72" a="1"/>
  <c r="B65" i="72" s="1"/>
  <c r="D66" i="72"/>
  <c r="C66" i="72" a="1"/>
  <c r="C66" i="72" s="1"/>
  <c r="F66" i="72" s="1"/>
  <c r="A67" i="72" a="1"/>
  <c r="A67" i="72" s="1"/>
  <c r="D74" i="72"/>
  <c r="C74" i="72" a="1"/>
  <c r="C74" i="72" s="1"/>
  <c r="F74" i="72" s="1"/>
  <c r="G64" i="56"/>
  <c r="D64" i="56"/>
  <c r="H66" i="58"/>
  <c r="G66" i="58"/>
  <c r="C102" i="72" l="1" a="1"/>
  <c r="C102" i="72" s="1"/>
  <c r="F102" i="72" s="1"/>
  <c r="D102" i="72"/>
  <c r="D101" i="72"/>
  <c r="C101" i="72" a="1"/>
  <c r="C101" i="72" s="1"/>
  <c r="F101" i="72" s="1"/>
  <c r="B101" i="72" a="1"/>
  <c r="B101" i="72" s="1"/>
  <c r="B100" i="72" a="1"/>
  <c r="B100" i="72" s="1"/>
  <c r="I104" i="58" a="1"/>
  <c r="I104" i="58" s="1"/>
  <c r="E103" i="72" a="1"/>
  <c r="E103" i="72" s="1"/>
  <c r="B108" i="72" a="1"/>
  <c r="B108" i="72" s="1"/>
  <c r="F109" i="72"/>
  <c r="D109" i="72"/>
  <c r="C109" i="72" a="1"/>
  <c r="C109" i="72" s="1"/>
  <c r="B109" i="72" a="1"/>
  <c r="B109" i="72" s="1"/>
  <c r="J111" i="58" a="1"/>
  <c r="J111" i="58" s="1"/>
  <c r="L111" i="58" a="1"/>
  <c r="L111" i="58" s="1"/>
  <c r="K111" i="58" a="1"/>
  <c r="K111" i="58" s="1"/>
  <c r="C91" i="56" a="1"/>
  <c r="C91" i="56" s="1"/>
  <c r="I94" i="59" a="1"/>
  <c r="I94" i="59" s="1"/>
  <c r="E93" i="56" a="1"/>
  <c r="E93" i="56" s="1"/>
  <c r="A92" i="56" a="1"/>
  <c r="A92" i="56" s="1"/>
  <c r="B91" i="56" s="1" a="1"/>
  <c r="B91" i="56" s="1"/>
  <c r="J93" i="59" a="1"/>
  <c r="J93" i="59" s="1"/>
  <c r="K93" i="59" a="1"/>
  <c r="K93" i="59" s="1"/>
  <c r="L93" i="59" a="1"/>
  <c r="L93" i="59" s="1"/>
  <c r="F65" i="56"/>
  <c r="H78" i="59"/>
  <c r="A68" i="72" a="1"/>
  <c r="A68" i="72" s="1"/>
  <c r="B66" i="72" a="1"/>
  <c r="B66" i="72" s="1"/>
  <c r="D67" i="72"/>
  <c r="C67" i="72" a="1"/>
  <c r="C67" i="72" s="1"/>
  <c r="F67" i="72" s="1"/>
  <c r="G67" i="72"/>
  <c r="H67" i="58"/>
  <c r="D65" i="56"/>
  <c r="G65" i="56"/>
  <c r="G67" i="58"/>
  <c r="G67" i="59"/>
  <c r="E104" i="72" l="1" a="1"/>
  <c r="E104" i="72" s="1"/>
  <c r="A103" i="72" a="1"/>
  <c r="A103" i="72" s="1"/>
  <c r="L104" i="58" a="1"/>
  <c r="L104" i="58" s="1"/>
  <c r="K104" i="58" a="1"/>
  <c r="K104" i="58" s="1"/>
  <c r="J104" i="58" a="1"/>
  <c r="J104" i="58" s="1"/>
  <c r="L94" i="59" a="1"/>
  <c r="L94" i="59" s="1"/>
  <c r="K94" i="59" a="1"/>
  <c r="K94" i="59" s="1"/>
  <c r="J94" i="59" a="1"/>
  <c r="J94" i="59" s="1"/>
  <c r="C92" i="56" a="1"/>
  <c r="C92" i="56" s="1"/>
  <c r="E94" i="56" a="1"/>
  <c r="E94" i="56" s="1"/>
  <c r="I95" i="59" a="1"/>
  <c r="I95" i="59" s="1"/>
  <c r="A93" i="56" a="1"/>
  <c r="A93" i="56" s="1"/>
  <c r="B92" i="56" s="1" a="1"/>
  <c r="B92" i="56" s="1"/>
  <c r="H79" i="59"/>
  <c r="G68" i="72"/>
  <c r="B67" i="72" a="1"/>
  <c r="B67" i="72" s="1"/>
  <c r="C68" i="72" a="1"/>
  <c r="C68" i="72" s="1"/>
  <c r="F68" i="72" s="1"/>
  <c r="D68" i="72"/>
  <c r="A69" i="72" a="1"/>
  <c r="A69" i="72" s="1"/>
  <c r="A71" i="72" a="1"/>
  <c r="A71" i="72" s="1"/>
  <c r="G68" i="59"/>
  <c r="G69" i="59" s="1"/>
  <c r="G70" i="59" s="1"/>
  <c r="G68" i="58"/>
  <c r="G66" i="56"/>
  <c r="D66" i="56"/>
  <c r="F66" i="56"/>
  <c r="H68" i="58"/>
  <c r="C103" i="72" l="1" a="1"/>
  <c r="C103" i="72" s="1"/>
  <c r="F103" i="72" s="1"/>
  <c r="D103" i="72"/>
  <c r="B102" i="72" a="1"/>
  <c r="B102" i="72" s="1"/>
  <c r="E105" i="72" a="1"/>
  <c r="E105" i="72" s="1"/>
  <c r="A104" i="72" a="1"/>
  <c r="A104" i="72" s="1"/>
  <c r="L95" i="59" a="1"/>
  <c r="L95" i="59" s="1"/>
  <c r="J95" i="59" a="1"/>
  <c r="J95" i="59" s="1"/>
  <c r="K95" i="59" a="1"/>
  <c r="K95" i="59" s="1"/>
  <c r="E95" i="56" a="1"/>
  <c r="E95" i="56" s="1"/>
  <c r="I96" i="59" a="1"/>
  <c r="I96" i="59" s="1"/>
  <c r="A94" i="56" a="1"/>
  <c r="A94" i="56" s="1"/>
  <c r="C94" i="56" s="1" a="1"/>
  <c r="C94" i="56" s="1"/>
  <c r="C93" i="56" a="1"/>
  <c r="C93" i="56" s="1"/>
  <c r="F67" i="56"/>
  <c r="H80" i="59"/>
  <c r="B68" i="72" a="1"/>
  <c r="B68" i="72" s="1"/>
  <c r="D69" i="72"/>
  <c r="C69" i="72" a="1"/>
  <c r="C69" i="72" s="1"/>
  <c r="F69" i="72" s="1"/>
  <c r="A70" i="72" a="1"/>
  <c r="A70" i="72" s="1"/>
  <c r="G69" i="72"/>
  <c r="A72" i="72" a="1"/>
  <c r="A72" i="72" s="1"/>
  <c r="B71" i="72" s="1" a="1"/>
  <c r="B71" i="72" s="1"/>
  <c r="A78" i="72" a="1"/>
  <c r="A78" i="72" s="1"/>
  <c r="C71" i="72" a="1"/>
  <c r="C71" i="72" s="1"/>
  <c r="F71" i="72" s="1"/>
  <c r="D71" i="72"/>
  <c r="D67" i="56"/>
  <c r="H69" i="58"/>
  <c r="G67" i="56"/>
  <c r="G69" i="58"/>
  <c r="B103" i="72" l="1" a="1"/>
  <c r="B103" i="72" s="1"/>
  <c r="D104" i="72"/>
  <c r="C104" i="72" a="1"/>
  <c r="C104" i="72" s="1"/>
  <c r="F104" i="72" s="1"/>
  <c r="E106" i="72" a="1"/>
  <c r="E106" i="72" s="1"/>
  <c r="E107" i="72" s="1" a="1"/>
  <c r="E107" i="72" s="1"/>
  <c r="E108" i="72" s="1" a="1"/>
  <c r="E108" i="72" s="1"/>
  <c r="E109" i="72" s="1" a="1"/>
  <c r="E109" i="72" s="1"/>
  <c r="E110" i="72" s="1" a="1"/>
  <c r="E110" i="72" s="1"/>
  <c r="E111" i="72" s="1" a="1"/>
  <c r="E111" i="72" s="1"/>
  <c r="E112" i="72" s="1" a="1"/>
  <c r="E112" i="72" s="1"/>
  <c r="E113" i="72" s="1" a="1"/>
  <c r="E113" i="72" s="1"/>
  <c r="E114" i="72" s="1" a="1"/>
  <c r="E114" i="72" s="1"/>
  <c r="E115" i="72" s="1" a="1"/>
  <c r="E115" i="72" s="1"/>
  <c r="E116" i="72" s="1" a="1"/>
  <c r="E116" i="72" s="1"/>
  <c r="E117" i="72" s="1" a="1"/>
  <c r="E117" i="72" s="1"/>
  <c r="E118" i="72" s="1" a="1"/>
  <c r="E118" i="72" s="1"/>
  <c r="E119" i="72" s="1" a="1"/>
  <c r="E119" i="72" s="1"/>
  <c r="E120" i="72" s="1" a="1"/>
  <c r="E120" i="72" s="1"/>
  <c r="E121" i="72" s="1" a="1"/>
  <c r="E121" i="72" s="1"/>
  <c r="E122" i="72" s="1" a="1"/>
  <c r="E122" i="72" s="1"/>
  <c r="E123" i="72" s="1" a="1"/>
  <c r="E123" i="72" s="1"/>
  <c r="E124" i="72" s="1" a="1"/>
  <c r="E124" i="72" s="1"/>
  <c r="E125" i="72" s="1" a="1"/>
  <c r="E125" i="72" s="1"/>
  <c r="E126" i="72" s="1" a="1"/>
  <c r="E126" i="72" s="1"/>
  <c r="E127" i="72" s="1" a="1"/>
  <c r="E127" i="72" s="1"/>
  <c r="E128" i="72" s="1" a="1"/>
  <c r="E128" i="72" s="1"/>
  <c r="E129" i="72" s="1" a="1"/>
  <c r="E129" i="72" s="1"/>
  <c r="E130" i="72" s="1" a="1"/>
  <c r="E130" i="72" s="1"/>
  <c r="E131" i="72" s="1" a="1"/>
  <c r="E131" i="72" s="1"/>
  <c r="E132" i="72" s="1" a="1"/>
  <c r="E132" i="72" s="1"/>
  <c r="E133" i="72" s="1" a="1"/>
  <c r="E133" i="72" s="1"/>
  <c r="E134" i="72" s="1" a="1"/>
  <c r="E134" i="72" s="1"/>
  <c r="E135" i="72" s="1" a="1"/>
  <c r="E135" i="72" s="1"/>
  <c r="E136" i="72" s="1" a="1"/>
  <c r="E136" i="72" s="1"/>
  <c r="E137" i="72" s="1" a="1"/>
  <c r="E137" i="72" s="1"/>
  <c r="E138" i="72" s="1" a="1"/>
  <c r="E138" i="72" s="1"/>
  <c r="E139" i="72" s="1" a="1"/>
  <c r="E139" i="72" s="1"/>
  <c r="E140" i="72" s="1" a="1"/>
  <c r="E140" i="72" s="1"/>
  <c r="E141" i="72" s="1" a="1"/>
  <c r="E141" i="72" s="1"/>
  <c r="E142" i="72" s="1" a="1"/>
  <c r="E142" i="72" s="1"/>
  <c r="E143" i="72" s="1" a="1"/>
  <c r="E143" i="72" s="1"/>
  <c r="E144" i="72" s="1" a="1"/>
  <c r="E144" i="72" s="1"/>
  <c r="E145" i="72" s="1" a="1"/>
  <c r="E145" i="72" s="1"/>
  <c r="E146" i="72" s="1" a="1"/>
  <c r="E146" i="72" s="1"/>
  <c r="E147" i="72" s="1" a="1"/>
  <c r="E147" i="72" s="1"/>
  <c r="E148" i="72" s="1" a="1"/>
  <c r="E148" i="72" s="1"/>
  <c r="E149" i="72" s="1" a="1"/>
  <c r="E149" i="72" s="1"/>
  <c r="E150" i="72" s="1" a="1"/>
  <c r="E150" i="72" s="1"/>
  <c r="E151" i="72" s="1" a="1"/>
  <c r="E151" i="72" s="1"/>
  <c r="E152" i="72" s="1" a="1"/>
  <c r="E152" i="72" s="1"/>
  <c r="E153" i="72" s="1" a="1"/>
  <c r="E153" i="72" s="1"/>
  <c r="E154" i="72" s="1" a="1"/>
  <c r="E154" i="72" s="1"/>
  <c r="E155" i="72" s="1" a="1"/>
  <c r="E155" i="72" s="1"/>
  <c r="E156" i="72" s="1" a="1"/>
  <c r="E156" i="72" s="1"/>
  <c r="E157" i="72" s="1" a="1"/>
  <c r="E157" i="72" s="1"/>
  <c r="E158" i="72" s="1" a="1"/>
  <c r="E158" i="72" s="1"/>
  <c r="E159" i="72" s="1" a="1"/>
  <c r="E159" i="72" s="1"/>
  <c r="E160" i="72" s="1" a="1"/>
  <c r="E160" i="72" s="1"/>
  <c r="E161" i="72" s="1" a="1"/>
  <c r="E161" i="72" s="1"/>
  <c r="E162" i="72" s="1" a="1"/>
  <c r="E162" i="72" s="1"/>
  <c r="E163" i="72" s="1" a="1"/>
  <c r="E163" i="72" s="1"/>
  <c r="E164" i="72" s="1" a="1"/>
  <c r="E164" i="72" s="1"/>
  <c r="E165" i="72" s="1" a="1"/>
  <c r="E165" i="72" s="1"/>
  <c r="E166" i="72" s="1" a="1"/>
  <c r="E166" i="72" s="1"/>
  <c r="E167" i="72" s="1" a="1"/>
  <c r="E167" i="72" s="1"/>
  <c r="E168" i="72" s="1" a="1"/>
  <c r="E168" i="72" s="1"/>
  <c r="E169" i="72" s="1" a="1"/>
  <c r="E169" i="72" s="1"/>
  <c r="E170" i="72" s="1" a="1"/>
  <c r="E170" i="72" s="1"/>
  <c r="E171" i="72" s="1" a="1"/>
  <c r="E171" i="72" s="1"/>
  <c r="E172" i="72" s="1" a="1"/>
  <c r="E172" i="72" s="1"/>
  <c r="E173" i="72" s="1" a="1"/>
  <c r="E173" i="72" s="1"/>
  <c r="E174" i="72" s="1" a="1"/>
  <c r="E174" i="72" s="1"/>
  <c r="E175" i="72" s="1" a="1"/>
  <c r="E175" i="72" s="1"/>
  <c r="E176" i="72" s="1" a="1"/>
  <c r="E176" i="72" s="1"/>
  <c r="E177" i="72" s="1" a="1"/>
  <c r="E177" i="72" s="1"/>
  <c r="E178" i="72" s="1" a="1"/>
  <c r="E178" i="72" s="1"/>
  <c r="E179" i="72" s="1" a="1"/>
  <c r="E179" i="72" s="1"/>
  <c r="E180" i="72" s="1" a="1"/>
  <c r="E180" i="72" s="1"/>
  <c r="E181" i="72" s="1" a="1"/>
  <c r="E181" i="72" s="1"/>
  <c r="E182" i="72" s="1" a="1"/>
  <c r="E182" i="72" s="1"/>
  <c r="E183" i="72" s="1" a="1"/>
  <c r="E183" i="72" s="1"/>
  <c r="E184" i="72" s="1" a="1"/>
  <c r="E184" i="72" s="1"/>
  <c r="E185" i="72" s="1" a="1"/>
  <c r="E185" i="72" s="1"/>
  <c r="E186" i="72" s="1" a="1"/>
  <c r="E186" i="72" s="1"/>
  <c r="E187" i="72" s="1" a="1"/>
  <c r="E187" i="72" s="1"/>
  <c r="E188" i="72" s="1" a="1"/>
  <c r="E188" i="72" s="1"/>
  <c r="E189" i="72" s="1" a="1"/>
  <c r="E189" i="72" s="1"/>
  <c r="E190" i="72" s="1" a="1"/>
  <c r="E190" i="72" s="1"/>
  <c r="E191" i="72" s="1" a="1"/>
  <c r="E191" i="72" s="1"/>
  <c r="E192" i="72" s="1" a="1"/>
  <c r="E192" i="72" s="1"/>
  <c r="E193" i="72" s="1" a="1"/>
  <c r="E193" i="72" s="1"/>
  <c r="E194" i="72" s="1" a="1"/>
  <c r="E194" i="72" s="1"/>
  <c r="E195" i="72" s="1" a="1"/>
  <c r="E195" i="72" s="1"/>
  <c r="E196" i="72" s="1" a="1"/>
  <c r="E196" i="72" s="1"/>
  <c r="E197" i="72" s="1" a="1"/>
  <c r="E197" i="72" s="1"/>
  <c r="E198" i="72" s="1" a="1"/>
  <c r="E198" i="72" s="1"/>
  <c r="E199" i="72" s="1" a="1"/>
  <c r="E199" i="72" s="1"/>
  <c r="E200" i="72" s="1" a="1"/>
  <c r="E200" i="72" s="1"/>
  <c r="E201" i="72" s="1" a="1"/>
  <c r="E201" i="72" s="1"/>
  <c r="E202" i="72" s="1" a="1"/>
  <c r="E202" i="72" s="1"/>
  <c r="E203" i="72" s="1" a="1"/>
  <c r="E203" i="72" s="1"/>
  <c r="E204" i="72" s="1" a="1"/>
  <c r="E204" i="72" s="1"/>
  <c r="E205" i="72" s="1" a="1"/>
  <c r="E205" i="72" s="1"/>
  <c r="E206" i="72" s="1" a="1"/>
  <c r="E206" i="72" s="1"/>
  <c r="E207" i="72" s="1" a="1"/>
  <c r="E207" i="72" s="1"/>
  <c r="E208" i="72" s="1" a="1"/>
  <c r="E208" i="72" s="1"/>
  <c r="E209" i="72" s="1" a="1"/>
  <c r="E209" i="72" s="1"/>
  <c r="E210" i="72" s="1" a="1"/>
  <c r="E210" i="72" s="1"/>
  <c r="E211" i="72" s="1" a="1"/>
  <c r="E211" i="72" s="1"/>
  <c r="E212" i="72" s="1" a="1"/>
  <c r="E212" i="72" s="1"/>
  <c r="E213" i="72" s="1" a="1"/>
  <c r="E213" i="72" s="1"/>
  <c r="E214" i="72" s="1" a="1"/>
  <c r="E214" i="72" s="1"/>
  <c r="E215" i="72" s="1" a="1"/>
  <c r="E215" i="72" s="1"/>
  <c r="E216" i="72" s="1" a="1"/>
  <c r="E216" i="72" s="1"/>
  <c r="E217" i="72" s="1" a="1"/>
  <c r="E217" i="72" s="1"/>
  <c r="E218" i="72" s="1" a="1"/>
  <c r="E218" i="72" s="1"/>
  <c r="E219" i="72" s="1" a="1"/>
  <c r="E219" i="72" s="1"/>
  <c r="E220" i="72" s="1" a="1"/>
  <c r="E220" i="72" s="1"/>
  <c r="E221" i="72" s="1" a="1"/>
  <c r="E221" i="72" s="1"/>
  <c r="E222" i="72" s="1" a="1"/>
  <c r="E222" i="72" s="1"/>
  <c r="E223" i="72" s="1" a="1"/>
  <c r="E223" i="72" s="1"/>
  <c r="E224" i="72" s="1" a="1"/>
  <c r="E224" i="72" s="1"/>
  <c r="E225" i="72" s="1" a="1"/>
  <c r="E225" i="72" s="1"/>
  <c r="E226" i="72" s="1" a="1"/>
  <c r="E226" i="72" s="1"/>
  <c r="E227" i="72" s="1" a="1"/>
  <c r="E227" i="72" s="1"/>
  <c r="E228" i="72" s="1" a="1"/>
  <c r="E228" i="72" s="1"/>
  <c r="E229" i="72" s="1" a="1"/>
  <c r="E229" i="72" s="1"/>
  <c r="E230" i="72" s="1" a="1"/>
  <c r="E230" i="72" s="1"/>
  <c r="E231" i="72" s="1" a="1"/>
  <c r="E231" i="72" s="1"/>
  <c r="E232" i="72" s="1" a="1"/>
  <c r="E232" i="72" s="1"/>
  <c r="E233" i="72" s="1" a="1"/>
  <c r="E233" i="72" s="1"/>
  <c r="E234" i="72" s="1" a="1"/>
  <c r="E234" i="72" s="1"/>
  <c r="E235" i="72" s="1" a="1"/>
  <c r="E235" i="72" s="1"/>
  <c r="E236" i="72" s="1" a="1"/>
  <c r="E236" i="72" s="1"/>
  <c r="E237" i="72" s="1" a="1"/>
  <c r="E237" i="72" s="1"/>
  <c r="E238" i="72" s="1" a="1"/>
  <c r="E238" i="72" s="1"/>
  <c r="E239" i="72" s="1" a="1"/>
  <c r="E239" i="72" s="1"/>
  <c r="E240" i="72" s="1" a="1"/>
  <c r="E240" i="72" s="1"/>
  <c r="E241" i="72" s="1" a="1"/>
  <c r="E241" i="72" s="1"/>
  <c r="E242" i="72" s="1" a="1"/>
  <c r="E242" i="72" s="1"/>
  <c r="E243" i="72" s="1" a="1"/>
  <c r="E243" i="72" s="1"/>
  <c r="E244" i="72" s="1" a="1"/>
  <c r="E244" i="72" s="1"/>
  <c r="E245" i="72" s="1" a="1"/>
  <c r="E245" i="72" s="1"/>
  <c r="E246" i="72" s="1" a="1"/>
  <c r="E246" i="72" s="1"/>
  <c r="E247" i="72" s="1" a="1"/>
  <c r="E247" i="72" s="1"/>
  <c r="E248" i="72" s="1" a="1"/>
  <c r="E248" i="72" s="1"/>
  <c r="E249" i="72" s="1" a="1"/>
  <c r="E249" i="72" s="1"/>
  <c r="E250" i="72" s="1" a="1"/>
  <c r="E250" i="72" s="1"/>
  <c r="E251" i="72" s="1" a="1"/>
  <c r="E251" i="72" s="1"/>
  <c r="E252" i="72" s="1" a="1"/>
  <c r="E252" i="72" s="1"/>
  <c r="E253" i="72" s="1" a="1"/>
  <c r="E253" i="72" s="1"/>
  <c r="E254" i="72" s="1" a="1"/>
  <c r="E254" i="72" s="1"/>
  <c r="E255" i="72" s="1" a="1"/>
  <c r="E255" i="72" s="1"/>
  <c r="E256" i="72" s="1" a="1"/>
  <c r="E256" i="72" s="1"/>
  <c r="E257" i="72" s="1" a="1"/>
  <c r="E257" i="72" s="1"/>
  <c r="E258" i="72" s="1" a="1"/>
  <c r="E258" i="72" s="1"/>
  <c r="E259" i="72" s="1" a="1"/>
  <c r="E259" i="72" s="1"/>
  <c r="E260" i="72" s="1" a="1"/>
  <c r="E260" i="72" s="1"/>
  <c r="E261" i="72" s="1" a="1"/>
  <c r="E261" i="72" s="1"/>
  <c r="E262" i="72" s="1" a="1"/>
  <c r="E262" i="72" s="1"/>
  <c r="E263" i="72" s="1" a="1"/>
  <c r="E263" i="72" s="1"/>
  <c r="E264" i="72" s="1" a="1"/>
  <c r="E264" i="72" s="1"/>
  <c r="E265" i="72" s="1" a="1"/>
  <c r="E265" i="72" s="1"/>
  <c r="E266" i="72" s="1" a="1"/>
  <c r="E266" i="72" s="1"/>
  <c r="E267" i="72" s="1" a="1"/>
  <c r="E267" i="72" s="1"/>
  <c r="E268" i="72" s="1" a="1"/>
  <c r="E268" i="72" s="1"/>
  <c r="E269" i="72" s="1" a="1"/>
  <c r="E269" i="72" s="1"/>
  <c r="E270" i="72" s="1" a="1"/>
  <c r="E270" i="72" s="1"/>
  <c r="E271" i="72" s="1" a="1"/>
  <c r="E271" i="72" s="1"/>
  <c r="E272" i="72" s="1" a="1"/>
  <c r="E272" i="72" s="1"/>
  <c r="E273" i="72" s="1" a="1"/>
  <c r="E273" i="72" s="1"/>
  <c r="E274" i="72" s="1" a="1"/>
  <c r="E274" i="72" s="1"/>
  <c r="E275" i="72" s="1" a="1"/>
  <c r="E275" i="72" s="1"/>
  <c r="E276" i="72" s="1" a="1"/>
  <c r="E276" i="72" s="1"/>
  <c r="E277" i="72" s="1" a="1"/>
  <c r="E277" i="72" s="1"/>
  <c r="E278" i="72" s="1" a="1"/>
  <c r="E278" i="72" s="1"/>
  <c r="E279" i="72" s="1" a="1"/>
  <c r="E279" i="72" s="1"/>
  <c r="E280" i="72" s="1" a="1"/>
  <c r="E280" i="72" s="1"/>
  <c r="E281" i="72" s="1" a="1"/>
  <c r="E281" i="72" s="1"/>
  <c r="E282" i="72" s="1" a="1"/>
  <c r="E282" i="72" s="1"/>
  <c r="E283" i="72" s="1" a="1"/>
  <c r="E283" i="72" s="1"/>
  <c r="E284" i="72" s="1" a="1"/>
  <c r="E284" i="72" s="1"/>
  <c r="E285" i="72" s="1" a="1"/>
  <c r="E285" i="72" s="1"/>
  <c r="E286" i="72" s="1" a="1"/>
  <c r="E286" i="72" s="1"/>
  <c r="E287" i="72" s="1" a="1"/>
  <c r="E287" i="72" s="1"/>
  <c r="E288" i="72" s="1" a="1"/>
  <c r="E288" i="72" s="1"/>
  <c r="E289" i="72" s="1" a="1"/>
  <c r="E289" i="72" s="1"/>
  <c r="E290" i="72" s="1" a="1"/>
  <c r="E290" i="72" s="1"/>
  <c r="E291" i="72" s="1" a="1"/>
  <c r="E291" i="72" s="1"/>
  <c r="E292" i="72" s="1" a="1"/>
  <c r="E292" i="72" s="1"/>
  <c r="E293" i="72" s="1" a="1"/>
  <c r="E293" i="72" s="1"/>
  <c r="E294" i="72" s="1" a="1"/>
  <c r="E294" i="72" s="1"/>
  <c r="E295" i="72" s="1" a="1"/>
  <c r="E295" i="72" s="1"/>
  <c r="E296" i="72" s="1" a="1"/>
  <c r="E296" i="72" s="1"/>
  <c r="E297" i="72" s="1" a="1"/>
  <c r="E297" i="72" s="1"/>
  <c r="E298" i="72" s="1" a="1"/>
  <c r="E298" i="72" s="1"/>
  <c r="E299" i="72" s="1" a="1"/>
  <c r="E299" i="72" s="1"/>
  <c r="E300" i="72" s="1" a="1"/>
  <c r="E300" i="72" s="1"/>
  <c r="E301" i="72" s="1" a="1"/>
  <c r="E301" i="72" s="1"/>
  <c r="E302" i="72" s="1" a="1"/>
  <c r="E302" i="72" s="1"/>
  <c r="E303" i="72" s="1" a="1"/>
  <c r="E303" i="72" s="1"/>
  <c r="E304" i="72" s="1" a="1"/>
  <c r="E304" i="72" s="1"/>
  <c r="E305" i="72" s="1" a="1"/>
  <c r="E305" i="72" s="1"/>
  <c r="E306" i="72" s="1" a="1"/>
  <c r="E306" i="72" s="1"/>
  <c r="E307" i="72" s="1" a="1"/>
  <c r="E307" i="72" s="1"/>
  <c r="E308" i="72" s="1" a="1"/>
  <c r="E308" i="72" s="1"/>
  <c r="E309" i="72" s="1" a="1"/>
  <c r="E309" i="72" s="1"/>
  <c r="E310" i="72" s="1" a="1"/>
  <c r="E310" i="72" s="1"/>
  <c r="E311" i="72" s="1" a="1"/>
  <c r="E311" i="72" s="1"/>
  <c r="E312" i="72" s="1" a="1"/>
  <c r="E312" i="72" s="1"/>
  <c r="E313" i="72" s="1" a="1"/>
  <c r="E313" i="72" s="1"/>
  <c r="E314" i="72" s="1" a="1"/>
  <c r="E314" i="72" s="1"/>
  <c r="E315" i="72" s="1" a="1"/>
  <c r="E315" i="72" s="1"/>
  <c r="E316" i="72" s="1" a="1"/>
  <c r="E316" i="72" s="1"/>
  <c r="E317" i="72" s="1" a="1"/>
  <c r="E317" i="72" s="1"/>
  <c r="E318" i="72" s="1" a="1"/>
  <c r="E318" i="72" s="1"/>
  <c r="E319" i="72" s="1" a="1"/>
  <c r="E319" i="72" s="1"/>
  <c r="E320" i="72" s="1" a="1"/>
  <c r="E320" i="72" s="1"/>
  <c r="E321" i="72" s="1" a="1"/>
  <c r="E321" i="72" s="1"/>
  <c r="E322" i="72" s="1" a="1"/>
  <c r="E322" i="72" s="1"/>
  <c r="E323" i="72" s="1" a="1"/>
  <c r="E323" i="72" s="1"/>
  <c r="E324" i="72" s="1" a="1"/>
  <c r="E324" i="72" s="1"/>
  <c r="E325" i="72" s="1" a="1"/>
  <c r="E325" i="72" s="1"/>
  <c r="E326" i="72" s="1" a="1"/>
  <c r="E326" i="72" s="1"/>
  <c r="E327" i="72" s="1" a="1"/>
  <c r="E327" i="72" s="1"/>
  <c r="E328" i="72" s="1" a="1"/>
  <c r="E328" i="72" s="1"/>
  <c r="E329" i="72" s="1" a="1"/>
  <c r="E329" i="72" s="1"/>
  <c r="E330" i="72" s="1" a="1"/>
  <c r="E330" i="72" s="1"/>
  <c r="E331" i="72" s="1" a="1"/>
  <c r="E331" i="72" s="1"/>
  <c r="E332" i="72" s="1" a="1"/>
  <c r="E332" i="72" s="1"/>
  <c r="E333" i="72" s="1" a="1"/>
  <c r="E333" i="72" s="1"/>
  <c r="E334" i="72" s="1" a="1"/>
  <c r="E334" i="72" s="1"/>
  <c r="E335" i="72" s="1" a="1"/>
  <c r="E335" i="72" s="1"/>
  <c r="E336" i="72" s="1" a="1"/>
  <c r="E336" i="72" s="1"/>
  <c r="E337" i="72" s="1" a="1"/>
  <c r="E337" i="72" s="1"/>
  <c r="E338" i="72" s="1" a="1"/>
  <c r="E338" i="72" s="1"/>
  <c r="E339" i="72" s="1" a="1"/>
  <c r="E339" i="72" s="1"/>
  <c r="E340" i="72" s="1" a="1"/>
  <c r="E340" i="72" s="1"/>
  <c r="E341" i="72" s="1" a="1"/>
  <c r="E341" i="72" s="1"/>
  <c r="E342" i="72" s="1" a="1"/>
  <c r="E342" i="72" s="1"/>
  <c r="E343" i="72" s="1" a="1"/>
  <c r="E343" i="72" s="1"/>
  <c r="E344" i="72" s="1" a="1"/>
  <c r="E344" i="72" s="1"/>
  <c r="E345" i="72" s="1" a="1"/>
  <c r="E345" i="72" s="1"/>
  <c r="E346" i="72" s="1" a="1"/>
  <c r="E346" i="72" s="1"/>
  <c r="E347" i="72" s="1" a="1"/>
  <c r="E347" i="72" s="1"/>
  <c r="E348" i="72" s="1" a="1"/>
  <c r="E348" i="72" s="1"/>
  <c r="E349" i="72" s="1" a="1"/>
  <c r="E349" i="72" s="1"/>
  <c r="E350" i="72" s="1" a="1"/>
  <c r="E350" i="72" s="1"/>
  <c r="E351" i="72" s="1" a="1"/>
  <c r="E351" i="72" s="1"/>
  <c r="E352" i="72" s="1" a="1"/>
  <c r="E352" i="72" s="1"/>
  <c r="E353" i="72" s="1" a="1"/>
  <c r="E353" i="72" s="1"/>
  <c r="E354" i="72" s="1" a="1"/>
  <c r="E354" i="72" s="1"/>
  <c r="E355" i="72" s="1" a="1"/>
  <c r="E355" i="72" s="1"/>
  <c r="E356" i="72" s="1" a="1"/>
  <c r="E356" i="72" s="1"/>
  <c r="E357" i="72" s="1" a="1"/>
  <c r="E357" i="72" s="1"/>
  <c r="E358" i="72" s="1" a="1"/>
  <c r="E358" i="72" s="1"/>
  <c r="E359" i="72" s="1" a="1"/>
  <c r="E359" i="72" s="1"/>
  <c r="E360" i="72" s="1" a="1"/>
  <c r="E360" i="72" s="1"/>
  <c r="E361" i="72" s="1" a="1"/>
  <c r="E361" i="72" s="1"/>
  <c r="E362" i="72" s="1" a="1"/>
  <c r="E362" i="72" s="1"/>
  <c r="E363" i="72" s="1" a="1"/>
  <c r="E363" i="72" s="1"/>
  <c r="E364" i="72" s="1" a="1"/>
  <c r="E364" i="72" s="1"/>
  <c r="E365" i="72" s="1" a="1"/>
  <c r="E365" i="72" s="1"/>
  <c r="E366" i="72" s="1" a="1"/>
  <c r="E366" i="72" s="1"/>
  <c r="E367" i="72" s="1" a="1"/>
  <c r="E367" i="72" s="1"/>
  <c r="E368" i="72" s="1" a="1"/>
  <c r="E368" i="72" s="1"/>
  <c r="E369" i="72" s="1" a="1"/>
  <c r="E369" i="72" s="1"/>
  <c r="E370" i="72" s="1" a="1"/>
  <c r="E370" i="72" s="1"/>
  <c r="E371" i="72" s="1" a="1"/>
  <c r="E371" i="72" s="1"/>
  <c r="E372" i="72" s="1" a="1"/>
  <c r="E372" i="72" s="1"/>
  <c r="E373" i="72" s="1" a="1"/>
  <c r="E373" i="72" s="1"/>
  <c r="E374" i="72" s="1" a="1"/>
  <c r="E374" i="72" s="1"/>
  <c r="E375" i="72" s="1" a="1"/>
  <c r="E375" i="72" s="1"/>
  <c r="E376" i="72" s="1" a="1"/>
  <c r="E376" i="72" s="1"/>
  <c r="E377" i="72" s="1" a="1"/>
  <c r="E377" i="72" s="1"/>
  <c r="E378" i="72" s="1" a="1"/>
  <c r="E378" i="72" s="1"/>
  <c r="E379" i="72" s="1" a="1"/>
  <c r="E379" i="72" s="1"/>
  <c r="E380" i="72" s="1" a="1"/>
  <c r="E380" i="72" s="1"/>
  <c r="E381" i="72" s="1" a="1"/>
  <c r="E381" i="72" s="1"/>
  <c r="E382" i="72" s="1" a="1"/>
  <c r="E382" i="72" s="1"/>
  <c r="E383" i="72" s="1" a="1"/>
  <c r="E383" i="72" s="1"/>
  <c r="E384" i="72" s="1" a="1"/>
  <c r="E384" i="72" s="1"/>
  <c r="E385" i="72" s="1" a="1"/>
  <c r="E385" i="72" s="1"/>
  <c r="E386" i="72" s="1" a="1"/>
  <c r="E386" i="72" s="1"/>
  <c r="E387" i="72" s="1" a="1"/>
  <c r="E387" i="72" s="1"/>
  <c r="E388" i="72" s="1" a="1"/>
  <c r="E388" i="72" s="1"/>
  <c r="E389" i="72" s="1" a="1"/>
  <c r="E389" i="72" s="1"/>
  <c r="E390" i="72" s="1" a="1"/>
  <c r="E390" i="72" s="1"/>
  <c r="E391" i="72" s="1" a="1"/>
  <c r="E391" i="72" s="1"/>
  <c r="E392" i="72" s="1" a="1"/>
  <c r="E392" i="72" s="1"/>
  <c r="E393" i="72" s="1" a="1"/>
  <c r="E393" i="72" s="1"/>
  <c r="E394" i="72" s="1" a="1"/>
  <c r="E394" i="72" s="1"/>
  <c r="E395" i="72" s="1" a="1"/>
  <c r="E395" i="72" s="1"/>
  <c r="E396" i="72" s="1" a="1"/>
  <c r="E396" i="72" s="1"/>
  <c r="E397" i="72" s="1" a="1"/>
  <c r="E397" i="72" s="1"/>
  <c r="E398" i="72" s="1" a="1"/>
  <c r="E398" i="72" s="1"/>
  <c r="E399" i="72" s="1" a="1"/>
  <c r="E399" i="72" s="1"/>
  <c r="E400" i="72" s="1" a="1"/>
  <c r="E400" i="72" s="1"/>
  <c r="E401" i="72" s="1" a="1"/>
  <c r="E401" i="72" s="1"/>
  <c r="E402" i="72" s="1" a="1"/>
  <c r="E402" i="72" s="1"/>
  <c r="E403" i="72" s="1" a="1"/>
  <c r="E403" i="72" s="1"/>
  <c r="E404" i="72" s="1" a="1"/>
  <c r="E404" i="72" s="1"/>
  <c r="E405" i="72" s="1" a="1"/>
  <c r="E405" i="72" s="1"/>
  <c r="E406" i="72" s="1" a="1"/>
  <c r="E406" i="72" s="1"/>
  <c r="E407" i="72" s="1" a="1"/>
  <c r="E407" i="72" s="1"/>
  <c r="E408" i="72" s="1" a="1"/>
  <c r="E408" i="72" s="1"/>
  <c r="E409" i="72" s="1" a="1"/>
  <c r="E409" i="72" s="1"/>
  <c r="E410" i="72" s="1" a="1"/>
  <c r="E410" i="72" s="1"/>
  <c r="E411" i="72" s="1" a="1"/>
  <c r="E411" i="72" s="1"/>
  <c r="E412" i="72" s="1" a="1"/>
  <c r="E412" i="72" s="1"/>
  <c r="E413" i="72" s="1" a="1"/>
  <c r="E413" i="72" s="1"/>
  <c r="E414" i="72" s="1" a="1"/>
  <c r="E414" i="72" s="1"/>
  <c r="E415" i="72" s="1" a="1"/>
  <c r="E415" i="72" s="1"/>
  <c r="E416" i="72" s="1" a="1"/>
  <c r="E416" i="72" s="1"/>
  <c r="E417" i="72" s="1" a="1"/>
  <c r="E417" i="72" s="1"/>
  <c r="E418" i="72" s="1" a="1"/>
  <c r="E418" i="72" s="1"/>
  <c r="E419" i="72" s="1" a="1"/>
  <c r="E419" i="72" s="1"/>
  <c r="E420" i="72" s="1" a="1"/>
  <c r="E420" i="72" s="1"/>
  <c r="E421" i="72" s="1" a="1"/>
  <c r="E421" i="72" s="1"/>
  <c r="E422" i="72" s="1" a="1"/>
  <c r="E422" i="72" s="1"/>
  <c r="E423" i="72" s="1" a="1"/>
  <c r="E423" i="72" s="1"/>
  <c r="E424" i="72" s="1" a="1"/>
  <c r="E424" i="72" s="1"/>
  <c r="E425" i="72" s="1" a="1"/>
  <c r="E425" i="72" s="1"/>
  <c r="E426" i="72" s="1" a="1"/>
  <c r="E426" i="72" s="1"/>
  <c r="E427" i="72" s="1" a="1"/>
  <c r="E427" i="72" s="1"/>
  <c r="E428" i="72" s="1" a="1"/>
  <c r="E428" i="72" s="1"/>
  <c r="E429" i="72" s="1" a="1"/>
  <c r="E429" i="72" s="1"/>
  <c r="E430" i="72" s="1" a="1"/>
  <c r="E430" i="72" s="1"/>
  <c r="E431" i="72" s="1" a="1"/>
  <c r="E431" i="72" s="1"/>
  <c r="E432" i="72" s="1" a="1"/>
  <c r="E432" i="72" s="1"/>
  <c r="E433" i="72" s="1" a="1"/>
  <c r="E433" i="72" s="1"/>
  <c r="E434" i="72" s="1" a="1"/>
  <c r="E434" i="72" s="1"/>
  <c r="E435" i="72" s="1" a="1"/>
  <c r="E435" i="72" s="1"/>
  <c r="E436" i="72" s="1" a="1"/>
  <c r="E436" i="72" s="1"/>
  <c r="E437" i="72" s="1" a="1"/>
  <c r="E437" i="72" s="1"/>
  <c r="E438" i="72" s="1" a="1"/>
  <c r="E438" i="72" s="1"/>
  <c r="E439" i="72" s="1" a="1"/>
  <c r="E439" i="72" s="1"/>
  <c r="E440" i="72" s="1" a="1"/>
  <c r="E440" i="72" s="1"/>
  <c r="E441" i="72" s="1" a="1"/>
  <c r="E441" i="72" s="1"/>
  <c r="E442" i="72" s="1" a="1"/>
  <c r="E442" i="72" s="1"/>
  <c r="E443" i="72" s="1" a="1"/>
  <c r="E443" i="72" s="1"/>
  <c r="E444" i="72" s="1" a="1"/>
  <c r="E444" i="72" s="1"/>
  <c r="E445" i="72" s="1" a="1"/>
  <c r="E445" i="72" s="1"/>
  <c r="E446" i="72" s="1" a="1"/>
  <c r="E446" i="72" s="1"/>
  <c r="E447" i="72" s="1" a="1"/>
  <c r="E447" i="72" s="1"/>
  <c r="E448" i="72" s="1" a="1"/>
  <c r="E448" i="72" s="1"/>
  <c r="E449" i="72" s="1" a="1"/>
  <c r="E449" i="72" s="1"/>
  <c r="E450" i="72" s="1" a="1"/>
  <c r="E450" i="72" s="1"/>
  <c r="E451" i="72" s="1" a="1"/>
  <c r="E451" i="72" s="1"/>
  <c r="E452" i="72" s="1" a="1"/>
  <c r="E452" i="72" s="1"/>
  <c r="E453" i="72" s="1" a="1"/>
  <c r="E453" i="72" s="1"/>
  <c r="E454" i="72" s="1" a="1"/>
  <c r="E454" i="72" s="1"/>
  <c r="E455" i="72" s="1" a="1"/>
  <c r="E455" i="72" s="1"/>
  <c r="E456" i="72" s="1" a="1"/>
  <c r="E456" i="72" s="1"/>
  <c r="E457" i="72" s="1" a="1"/>
  <c r="E457" i="72" s="1"/>
  <c r="E458" i="72" s="1" a="1"/>
  <c r="E458" i="72" s="1"/>
  <c r="E459" i="72" s="1" a="1"/>
  <c r="E459" i="72" s="1"/>
  <c r="E460" i="72" s="1" a="1"/>
  <c r="E460" i="72" s="1"/>
  <c r="E461" i="72" s="1" a="1"/>
  <c r="E461" i="72" s="1"/>
  <c r="E462" i="72" s="1" a="1"/>
  <c r="E462" i="72" s="1"/>
  <c r="E463" i="72" s="1" a="1"/>
  <c r="E463" i="72" s="1"/>
  <c r="E464" i="72" s="1" a="1"/>
  <c r="E464" i="72" s="1"/>
  <c r="E465" i="72" s="1" a="1"/>
  <c r="E465" i="72" s="1"/>
  <c r="E466" i="72" s="1" a="1"/>
  <c r="E466" i="72" s="1"/>
  <c r="E467" i="72" s="1" a="1"/>
  <c r="E467" i="72" s="1"/>
  <c r="E468" i="72" s="1" a="1"/>
  <c r="E468" i="72" s="1"/>
  <c r="E469" i="72" s="1" a="1"/>
  <c r="E469" i="72" s="1"/>
  <c r="E470" i="72" s="1" a="1"/>
  <c r="E470" i="72" s="1"/>
  <c r="E471" i="72" s="1" a="1"/>
  <c r="E471" i="72" s="1"/>
  <c r="E472" i="72" s="1" a="1"/>
  <c r="E472" i="72" s="1"/>
  <c r="E473" i="72" s="1" a="1"/>
  <c r="E473" i="72" s="1"/>
  <c r="E474" i="72" s="1" a="1"/>
  <c r="E474" i="72" s="1"/>
  <c r="E475" i="72" s="1" a="1"/>
  <c r="E475" i="72" s="1"/>
  <c r="E476" i="72" s="1" a="1"/>
  <c r="E476" i="72" s="1"/>
  <c r="E477" i="72" s="1" a="1"/>
  <c r="E477" i="72" s="1"/>
  <c r="E478" i="72" s="1" a="1"/>
  <c r="E478" i="72" s="1"/>
  <c r="E479" i="72" s="1" a="1"/>
  <c r="E479" i="72" s="1"/>
  <c r="E480" i="72" s="1" a="1"/>
  <c r="E480" i="72" s="1"/>
  <c r="E481" i="72" s="1" a="1"/>
  <c r="E481" i="72" s="1"/>
  <c r="E482" i="72" s="1" a="1"/>
  <c r="E482" i="72" s="1"/>
  <c r="E483" i="72" s="1" a="1"/>
  <c r="E483" i="72" s="1"/>
  <c r="E484" i="72" s="1" a="1"/>
  <c r="E484" i="72" s="1"/>
  <c r="E485" i="72" s="1" a="1"/>
  <c r="E485" i="72" s="1"/>
  <c r="E486" i="72" s="1" a="1"/>
  <c r="E486" i="72" s="1"/>
  <c r="E487" i="72" s="1" a="1"/>
  <c r="E487" i="72" s="1"/>
  <c r="E488" i="72" s="1" a="1"/>
  <c r="E488" i="72" s="1"/>
  <c r="E489" i="72" s="1" a="1"/>
  <c r="E489" i="72" s="1"/>
  <c r="E490" i="72" s="1" a="1"/>
  <c r="E490" i="72" s="1"/>
  <c r="E491" i="72" s="1" a="1"/>
  <c r="E491" i="72" s="1"/>
  <c r="E492" i="72" s="1" a="1"/>
  <c r="E492" i="72" s="1"/>
  <c r="E493" i="72" s="1" a="1"/>
  <c r="E493" i="72" s="1"/>
  <c r="E494" i="72" s="1" a="1"/>
  <c r="E494" i="72" s="1"/>
  <c r="E495" i="72" s="1" a="1"/>
  <c r="E495" i="72" s="1"/>
  <c r="E496" i="72" s="1" a="1"/>
  <c r="E496" i="72" s="1"/>
  <c r="E497" i="72" s="1" a="1"/>
  <c r="E497" i="72" s="1"/>
  <c r="E498" i="72" s="1" a="1"/>
  <c r="E498" i="72" s="1"/>
  <c r="E499" i="72" s="1" a="1"/>
  <c r="E499" i="72" s="1"/>
  <c r="E500" i="72" s="1" a="1"/>
  <c r="E500" i="72" s="1"/>
  <c r="A105" i="72" a="1"/>
  <c r="A105" i="72" s="1"/>
  <c r="B93" i="56" a="1"/>
  <c r="B93" i="56" s="1"/>
  <c r="K96" i="59" a="1"/>
  <c r="K96" i="59" s="1"/>
  <c r="J96" i="59" a="1"/>
  <c r="J96" i="59" s="1"/>
  <c r="L96" i="59" a="1"/>
  <c r="L96" i="59" s="1"/>
  <c r="E96" i="56" a="1"/>
  <c r="E96" i="56" s="1"/>
  <c r="I98" i="59" s="1" a="1"/>
  <c r="I98" i="59" s="1"/>
  <c r="I97" i="59" a="1"/>
  <c r="I97" i="59" s="1"/>
  <c r="A95" i="56" a="1"/>
  <c r="A95" i="56" s="1"/>
  <c r="H81" i="59"/>
  <c r="B69" i="72" a="1"/>
  <c r="B69" i="72" s="1"/>
  <c r="A75" i="72" a="1"/>
  <c r="A75" i="72" s="1"/>
  <c r="B74" i="72" s="1" a="1"/>
  <c r="B74" i="72" s="1"/>
  <c r="A76" i="72" a="1"/>
  <c r="A76" i="72" s="1"/>
  <c r="A77" i="72" a="1"/>
  <c r="A77" i="72" s="1"/>
  <c r="G70" i="72"/>
  <c r="C70" i="72" a="1"/>
  <c r="C70" i="72" s="1"/>
  <c r="F70" i="72" s="1"/>
  <c r="B70" i="72" a="1"/>
  <c r="B70" i="72" s="1"/>
  <c r="D70" i="72"/>
  <c r="A79" i="72" a="1"/>
  <c r="A79" i="72" s="1"/>
  <c r="B78" i="72" s="1" a="1"/>
  <c r="B78" i="72" s="1"/>
  <c r="D72" i="72"/>
  <c r="C72" i="72" a="1"/>
  <c r="C72" i="72" s="1"/>
  <c r="F72" i="72" s="1"/>
  <c r="B72" i="72" a="1"/>
  <c r="B72" i="72" s="1"/>
  <c r="D78" i="72"/>
  <c r="C78" i="72" a="1"/>
  <c r="C78" i="72" s="1"/>
  <c r="F78" i="72" s="1"/>
  <c r="G68" i="56"/>
  <c r="G70" i="58"/>
  <c r="H70" i="58"/>
  <c r="D68" i="56"/>
  <c r="F68" i="56"/>
  <c r="B104" i="72" l="1" a="1"/>
  <c r="B104" i="72" s="1"/>
  <c r="C105" i="72" a="1"/>
  <c r="C105" i="72" s="1"/>
  <c r="F105" i="72"/>
  <c r="D105" i="72"/>
  <c r="B105" i="72" a="1"/>
  <c r="B105" i="72" s="1"/>
  <c r="L98" i="59" a="1"/>
  <c r="L98" i="59" s="1"/>
  <c r="J98" i="59" a="1"/>
  <c r="J98" i="59" s="1"/>
  <c r="K98" i="59" a="1"/>
  <c r="K98" i="59" s="1"/>
  <c r="K97" i="59" a="1"/>
  <c r="K97" i="59" s="1"/>
  <c r="J97" i="59" a="1"/>
  <c r="J97" i="59" s="1"/>
  <c r="L97" i="59" a="1"/>
  <c r="L97" i="59" s="1"/>
  <c r="E97" i="56" a="1"/>
  <c r="E97" i="56" s="1"/>
  <c r="A96" i="56" a="1"/>
  <c r="A96" i="56" s="1"/>
  <c r="B94" i="56" a="1"/>
  <c r="B94" i="56" s="1"/>
  <c r="C95" i="56" a="1"/>
  <c r="C95" i="56" s="1"/>
  <c r="F69" i="56"/>
  <c r="H82" i="59"/>
  <c r="G71" i="72"/>
  <c r="C75" i="72" a="1"/>
  <c r="C75" i="72" s="1"/>
  <c r="F75" i="72" s="1"/>
  <c r="D75" i="72"/>
  <c r="B75" i="72" a="1"/>
  <c r="B75" i="72" s="1"/>
  <c r="D76" i="72"/>
  <c r="B76" i="72" a="1"/>
  <c r="B76" i="72" s="1"/>
  <c r="C76" i="72" a="1"/>
  <c r="C76" i="72" s="1"/>
  <c r="F76" i="72" s="1"/>
  <c r="B77" i="72" a="1"/>
  <c r="B77" i="72" s="1"/>
  <c r="D77" i="72"/>
  <c r="C77" i="72" a="1"/>
  <c r="C77" i="72" s="1"/>
  <c r="F77" i="72" s="1"/>
  <c r="B79" i="72" a="1"/>
  <c r="B79" i="72" s="1"/>
  <c r="D79" i="72"/>
  <c r="C79" i="72" a="1"/>
  <c r="C79" i="72" s="1"/>
  <c r="F79" i="72" s="1"/>
  <c r="H71" i="58"/>
  <c r="D69" i="56"/>
  <c r="G71" i="59"/>
  <c r="G69" i="56"/>
  <c r="G71" i="58"/>
  <c r="G72" i="72" l="1"/>
  <c r="G73" i="72" s="1"/>
  <c r="G74" i="72" s="1"/>
  <c r="G75" i="72" s="1"/>
  <c r="G76" i="72" s="1"/>
  <c r="G77" i="72" s="1"/>
  <c r="G78" i="72" s="1"/>
  <c r="G79" i="72" s="1"/>
  <c r="G80" i="72" s="1"/>
  <c r="G81" i="72" s="1"/>
  <c r="G82" i="72" s="1"/>
  <c r="G83" i="72" s="1"/>
  <c r="G84" i="72" s="1"/>
  <c r="G85" i="72" s="1"/>
  <c r="G86" i="72" s="1"/>
  <c r="G87" i="72" s="1"/>
  <c r="G88" i="72" s="1"/>
  <c r="G89" i="72" s="1"/>
  <c r="G90" i="72" s="1"/>
  <c r="G91" i="72" s="1"/>
  <c r="G92" i="72" s="1"/>
  <c r="G93" i="72" s="1"/>
  <c r="G94" i="72" s="1"/>
  <c r="G95" i="72" s="1"/>
  <c r="G96" i="72" s="1"/>
  <c r="G97" i="72" s="1"/>
  <c r="G98" i="72" s="1"/>
  <c r="G99" i="72" s="1"/>
  <c r="G100" i="72" s="1"/>
  <c r="G101" i="72" s="1"/>
  <c r="G102" i="72" s="1"/>
  <c r="G103" i="72" s="1"/>
  <c r="G104" i="72" s="1"/>
  <c r="G105" i="72" s="1"/>
  <c r="G106" i="72" s="1"/>
  <c r="G107" i="72" s="1"/>
  <c r="G108" i="72" s="1"/>
  <c r="G109" i="72" s="1"/>
  <c r="G110" i="72" s="1"/>
  <c r="G111" i="72" s="1"/>
  <c r="G112" i="72" s="1"/>
  <c r="G113" i="72" s="1"/>
  <c r="G114" i="72" s="1"/>
  <c r="G115" i="72" s="1"/>
  <c r="G116" i="72" s="1"/>
  <c r="G117" i="72" s="1"/>
  <c r="G118" i="72" s="1"/>
  <c r="G119" i="72" s="1"/>
  <c r="G120" i="72" s="1"/>
  <c r="G121" i="72" s="1"/>
  <c r="G122" i="72" s="1"/>
  <c r="G123" i="72" s="1"/>
  <c r="G124" i="72" s="1"/>
  <c r="G125" i="72" s="1"/>
  <c r="G126" i="72" s="1"/>
  <c r="G127" i="72" s="1"/>
  <c r="G128" i="72" s="1"/>
  <c r="G129" i="72" s="1"/>
  <c r="G130" i="72" s="1"/>
  <c r="G131" i="72" s="1"/>
  <c r="G132" i="72" s="1"/>
  <c r="G133" i="72" s="1"/>
  <c r="G134" i="72" s="1"/>
  <c r="G135" i="72" s="1"/>
  <c r="G136" i="72" s="1"/>
  <c r="G137" i="72" s="1"/>
  <c r="G138" i="72" s="1"/>
  <c r="G139" i="72" s="1"/>
  <c r="G140" i="72" s="1"/>
  <c r="G141" i="72" s="1"/>
  <c r="G142" i="72" s="1"/>
  <c r="G143" i="72" s="1"/>
  <c r="G144" i="72" s="1"/>
  <c r="G145" i="72" s="1"/>
  <c r="G146" i="72" s="1"/>
  <c r="G147" i="72" s="1"/>
  <c r="G148" i="72" s="1"/>
  <c r="G149" i="72" s="1"/>
  <c r="G150" i="72" s="1"/>
  <c r="G151" i="72" s="1"/>
  <c r="G152" i="72" s="1"/>
  <c r="G153" i="72" s="1"/>
  <c r="G154" i="72" s="1"/>
  <c r="G155" i="72" s="1"/>
  <c r="G156" i="72" s="1"/>
  <c r="G157" i="72" s="1"/>
  <c r="G158" i="72" s="1"/>
  <c r="G159" i="72" s="1"/>
  <c r="G160" i="72" s="1"/>
  <c r="G161" i="72" s="1"/>
  <c r="G162" i="72" s="1"/>
  <c r="G163" i="72" s="1"/>
  <c r="G164" i="72" s="1"/>
  <c r="G165" i="72" s="1"/>
  <c r="G166" i="72" s="1"/>
  <c r="G167" i="72" s="1"/>
  <c r="G168" i="72" s="1"/>
  <c r="G169" i="72" s="1"/>
  <c r="G170" i="72" s="1"/>
  <c r="G171" i="72" s="1"/>
  <c r="G172" i="72" s="1"/>
  <c r="G173" i="72" s="1"/>
  <c r="G174" i="72" s="1"/>
  <c r="G175" i="72" s="1"/>
  <c r="G176" i="72" s="1"/>
  <c r="G177" i="72" s="1"/>
  <c r="G178" i="72" s="1"/>
  <c r="G179" i="72" s="1"/>
  <c r="G180" i="72" s="1"/>
  <c r="G181" i="72" s="1"/>
  <c r="G182" i="72" s="1"/>
  <c r="G183" i="72" s="1"/>
  <c r="G184" i="72" s="1"/>
  <c r="G185" i="72" s="1"/>
  <c r="G186" i="72" s="1"/>
  <c r="G187" i="72" s="1"/>
  <c r="G188" i="72" s="1"/>
  <c r="G189" i="72" s="1"/>
  <c r="G190" i="72" s="1"/>
  <c r="G191" i="72" s="1"/>
  <c r="G192" i="72" s="1"/>
  <c r="G193" i="72" s="1"/>
  <c r="G194" i="72" s="1"/>
  <c r="G195" i="72" s="1"/>
  <c r="G196" i="72" s="1"/>
  <c r="G197" i="72" s="1"/>
  <c r="G198" i="72" s="1"/>
  <c r="G199" i="72" s="1"/>
  <c r="G200" i="72" s="1"/>
  <c r="G201" i="72" s="1"/>
  <c r="G202" i="72" s="1"/>
  <c r="G203" i="72" s="1"/>
  <c r="G204" i="72" s="1"/>
  <c r="G205" i="72" s="1"/>
  <c r="G206" i="72" s="1"/>
  <c r="G207" i="72" s="1"/>
  <c r="G208" i="72" s="1"/>
  <c r="G209" i="72" s="1"/>
  <c r="G210" i="72" s="1"/>
  <c r="G211" i="72" s="1"/>
  <c r="G212" i="72" s="1"/>
  <c r="G213" i="72" s="1"/>
  <c r="G214" i="72" s="1"/>
  <c r="G215" i="72" s="1"/>
  <c r="G216" i="72" s="1"/>
  <c r="G217" i="72" s="1"/>
  <c r="G218" i="72" s="1"/>
  <c r="G219" i="72" s="1"/>
  <c r="G220" i="72" s="1"/>
  <c r="G221" i="72" s="1"/>
  <c r="G222" i="72" s="1"/>
  <c r="G223" i="72" s="1"/>
  <c r="G224" i="72" s="1"/>
  <c r="G225" i="72" s="1"/>
  <c r="G226" i="72" s="1"/>
  <c r="G227" i="72" s="1"/>
  <c r="G228" i="72" s="1"/>
  <c r="G229" i="72" s="1"/>
  <c r="G230" i="72" s="1"/>
  <c r="G231" i="72" s="1"/>
  <c r="G232" i="72" s="1"/>
  <c r="G233" i="72" s="1"/>
  <c r="G234" i="72" s="1"/>
  <c r="G235" i="72" s="1"/>
  <c r="G236" i="72" s="1"/>
  <c r="G237" i="72" s="1"/>
  <c r="G238" i="72" s="1"/>
  <c r="G239" i="72" s="1"/>
  <c r="G240" i="72" s="1"/>
  <c r="G241" i="72" s="1"/>
  <c r="G242" i="72" s="1"/>
  <c r="G243" i="72" s="1"/>
  <c r="G244" i="72" s="1"/>
  <c r="G245" i="72" s="1"/>
  <c r="G246" i="72" s="1"/>
  <c r="G247" i="72" s="1"/>
  <c r="G248" i="72" s="1"/>
  <c r="G249" i="72" s="1"/>
  <c r="G250" i="72" s="1"/>
  <c r="G251" i="72" s="1"/>
  <c r="G252" i="72" s="1"/>
  <c r="G253" i="72" s="1"/>
  <c r="G254" i="72" s="1"/>
  <c r="G255" i="72" s="1"/>
  <c r="G256" i="72" s="1"/>
  <c r="G257" i="72" s="1"/>
  <c r="G258" i="72" s="1"/>
  <c r="G259" i="72" s="1"/>
  <c r="G260" i="72" s="1"/>
  <c r="G261" i="72" s="1"/>
  <c r="G262" i="72" s="1"/>
  <c r="G263" i="72" s="1"/>
  <c r="G264" i="72" s="1"/>
  <c r="G265" i="72" s="1"/>
  <c r="G266" i="72" s="1"/>
  <c r="G267" i="72" s="1"/>
  <c r="G268" i="72" s="1"/>
  <c r="G269" i="72" s="1"/>
  <c r="G270" i="72" s="1"/>
  <c r="G271" i="72" s="1"/>
  <c r="G272" i="72" s="1"/>
  <c r="G273" i="72" s="1"/>
  <c r="G274" i="72" s="1"/>
  <c r="G275" i="72" s="1"/>
  <c r="G276" i="72" s="1"/>
  <c r="G277" i="72" s="1"/>
  <c r="G278" i="72" s="1"/>
  <c r="G279" i="72" s="1"/>
  <c r="G280" i="72" s="1"/>
  <c r="G281" i="72" s="1"/>
  <c r="G282" i="72" s="1"/>
  <c r="G283" i="72" s="1"/>
  <c r="G284" i="72" s="1"/>
  <c r="G285" i="72" s="1"/>
  <c r="G286" i="72" s="1"/>
  <c r="G287" i="72" s="1"/>
  <c r="G288" i="72" s="1"/>
  <c r="G289" i="72" s="1"/>
  <c r="G290" i="72" s="1"/>
  <c r="G291" i="72" s="1"/>
  <c r="G292" i="72" s="1"/>
  <c r="G293" i="72" s="1"/>
  <c r="G294" i="72" s="1"/>
  <c r="G295" i="72" s="1"/>
  <c r="G296" i="72" s="1"/>
  <c r="G297" i="72" s="1"/>
  <c r="G298" i="72" s="1"/>
  <c r="G299" i="72" s="1"/>
  <c r="G300" i="72" s="1"/>
  <c r="G301" i="72" s="1"/>
  <c r="G302" i="72" s="1"/>
  <c r="G303" i="72" s="1"/>
  <c r="G304" i="72" s="1"/>
  <c r="G305" i="72" s="1"/>
  <c r="G306" i="72" s="1"/>
  <c r="G307" i="72" s="1"/>
  <c r="G308" i="72" s="1"/>
  <c r="G309" i="72" s="1"/>
  <c r="G310" i="72" s="1"/>
  <c r="G311" i="72" s="1"/>
  <c r="G312" i="72" s="1"/>
  <c r="G313" i="72" s="1"/>
  <c r="G314" i="72" s="1"/>
  <c r="G315" i="72" s="1"/>
  <c r="G316" i="72" s="1"/>
  <c r="G317" i="72" s="1"/>
  <c r="G318" i="72" s="1"/>
  <c r="G319" i="72" s="1"/>
  <c r="G320" i="72" s="1"/>
  <c r="G321" i="72" s="1"/>
  <c r="G322" i="72" s="1"/>
  <c r="G323" i="72" s="1"/>
  <c r="G324" i="72" s="1"/>
  <c r="G325" i="72" s="1"/>
  <c r="G326" i="72" s="1"/>
  <c r="G327" i="72" s="1"/>
  <c r="G328" i="72" s="1"/>
  <c r="G329" i="72" s="1"/>
  <c r="G330" i="72" s="1"/>
  <c r="G331" i="72" s="1"/>
  <c r="G332" i="72" s="1"/>
  <c r="G333" i="72" s="1"/>
  <c r="G334" i="72" s="1"/>
  <c r="G335" i="72" s="1"/>
  <c r="G336" i="72" s="1"/>
  <c r="G337" i="72" s="1"/>
  <c r="G338" i="72" s="1"/>
  <c r="G339" i="72" s="1"/>
  <c r="G340" i="72" s="1"/>
  <c r="G341" i="72" s="1"/>
  <c r="G342" i="72" s="1"/>
  <c r="G343" i="72" s="1"/>
  <c r="G344" i="72" s="1"/>
  <c r="G345" i="72" s="1"/>
  <c r="G346" i="72" s="1"/>
  <c r="G347" i="72" s="1"/>
  <c r="G348" i="72" s="1"/>
  <c r="G349" i="72" s="1"/>
  <c r="G350" i="72" s="1"/>
  <c r="G351" i="72" s="1"/>
  <c r="G352" i="72" s="1"/>
  <c r="G353" i="72" s="1"/>
  <c r="G354" i="72" s="1"/>
  <c r="G355" i="72" s="1"/>
  <c r="G356" i="72" s="1"/>
  <c r="G357" i="72" s="1"/>
  <c r="G358" i="72" s="1"/>
  <c r="G359" i="72" s="1"/>
  <c r="G360" i="72" s="1"/>
  <c r="G361" i="72" s="1"/>
  <c r="G362" i="72" s="1"/>
  <c r="G363" i="72" s="1"/>
  <c r="G364" i="72" s="1"/>
  <c r="G365" i="72" s="1"/>
  <c r="G366" i="72" s="1"/>
  <c r="G367" i="72" s="1"/>
  <c r="G368" i="72" s="1"/>
  <c r="G369" i="72" s="1"/>
  <c r="G370" i="72" s="1"/>
  <c r="G371" i="72" s="1"/>
  <c r="G372" i="72" s="1"/>
  <c r="G373" i="72" s="1"/>
  <c r="G374" i="72" s="1"/>
  <c r="G375" i="72" s="1"/>
  <c r="G376" i="72" s="1"/>
  <c r="G377" i="72" s="1"/>
  <c r="G378" i="72" s="1"/>
  <c r="G379" i="72" s="1"/>
  <c r="G380" i="72" s="1"/>
  <c r="G381" i="72" s="1"/>
  <c r="G382" i="72" s="1"/>
  <c r="G383" i="72" s="1"/>
  <c r="G384" i="72" s="1"/>
  <c r="G385" i="72" s="1"/>
  <c r="G386" i="72" s="1"/>
  <c r="G387" i="72" s="1"/>
  <c r="G388" i="72" s="1"/>
  <c r="G389" i="72" s="1"/>
  <c r="G390" i="72" s="1"/>
  <c r="G391" i="72" s="1"/>
  <c r="G392" i="72" s="1"/>
  <c r="G393" i="72" s="1"/>
  <c r="G394" i="72" s="1"/>
  <c r="G395" i="72" s="1"/>
  <c r="G396" i="72" s="1"/>
  <c r="G397" i="72" s="1"/>
  <c r="G398" i="72" s="1"/>
  <c r="G399" i="72" s="1"/>
  <c r="G400" i="72" s="1"/>
  <c r="G401" i="72" s="1"/>
  <c r="G402" i="72" s="1"/>
  <c r="G403" i="72" s="1"/>
  <c r="G404" i="72" s="1"/>
  <c r="G405" i="72" s="1"/>
  <c r="G406" i="72" s="1"/>
  <c r="G407" i="72" s="1"/>
  <c r="G408" i="72" s="1"/>
  <c r="G409" i="72" s="1"/>
  <c r="G410" i="72" s="1"/>
  <c r="G411" i="72" s="1"/>
  <c r="G412" i="72" s="1"/>
  <c r="G413" i="72" s="1"/>
  <c r="G414" i="72" s="1"/>
  <c r="G415" i="72" s="1"/>
  <c r="G416" i="72" s="1"/>
  <c r="G417" i="72" s="1"/>
  <c r="G418" i="72" s="1"/>
  <c r="G419" i="72" s="1"/>
  <c r="G420" i="72" s="1"/>
  <c r="G421" i="72" s="1"/>
  <c r="G422" i="72" s="1"/>
  <c r="G423" i="72" s="1"/>
  <c r="G424" i="72" s="1"/>
  <c r="G425" i="72" s="1"/>
  <c r="G426" i="72" s="1"/>
  <c r="G427" i="72" s="1"/>
  <c r="G428" i="72" s="1"/>
  <c r="G429" i="72" s="1"/>
  <c r="G430" i="72" s="1"/>
  <c r="G431" i="72" s="1"/>
  <c r="G432" i="72" s="1"/>
  <c r="G433" i="72" s="1"/>
  <c r="G434" i="72" s="1"/>
  <c r="G435" i="72" s="1"/>
  <c r="G436" i="72" s="1"/>
  <c r="G437" i="72" s="1"/>
  <c r="G438" i="72" s="1"/>
  <c r="G439" i="72" s="1"/>
  <c r="G440" i="72" s="1"/>
  <c r="G441" i="72" s="1"/>
  <c r="G442" i="72" s="1"/>
  <c r="G443" i="72" s="1"/>
  <c r="G444" i="72" s="1"/>
  <c r="G445" i="72" s="1"/>
  <c r="G446" i="72" s="1"/>
  <c r="G447" i="72" s="1"/>
  <c r="G448" i="72" s="1"/>
  <c r="G449" i="72" s="1"/>
  <c r="G450" i="72" s="1"/>
  <c r="G451" i="72" s="1"/>
  <c r="G452" i="72" s="1"/>
  <c r="G453" i="72" s="1"/>
  <c r="G454" i="72" s="1"/>
  <c r="G455" i="72" s="1"/>
  <c r="G456" i="72" s="1"/>
  <c r="G457" i="72" s="1"/>
  <c r="G458" i="72" s="1"/>
  <c r="G459" i="72" s="1"/>
  <c r="G460" i="72" s="1"/>
  <c r="G461" i="72" s="1"/>
  <c r="G462" i="72" s="1"/>
  <c r="G463" i="72" s="1"/>
  <c r="G464" i="72" s="1"/>
  <c r="G465" i="72" s="1"/>
  <c r="G466" i="72" s="1"/>
  <c r="G467" i="72" s="1"/>
  <c r="G468" i="72" s="1"/>
  <c r="G469" i="72" s="1"/>
  <c r="G470" i="72" s="1"/>
  <c r="G471" i="72" s="1"/>
  <c r="G472" i="72" s="1"/>
  <c r="G473" i="72" s="1"/>
  <c r="G474" i="72" s="1"/>
  <c r="G475" i="72" s="1"/>
  <c r="G476" i="72" s="1"/>
  <c r="G477" i="72" s="1"/>
  <c r="G478" i="72" s="1"/>
  <c r="G479" i="72" s="1"/>
  <c r="G480" i="72" s="1"/>
  <c r="G481" i="72" s="1"/>
  <c r="G482" i="72" s="1"/>
  <c r="G483" i="72" s="1"/>
  <c r="G484" i="72" s="1"/>
  <c r="G485" i="72" s="1"/>
  <c r="G486" i="72" s="1"/>
  <c r="G487" i="72" s="1"/>
  <c r="G488" i="72" s="1"/>
  <c r="G489" i="72" s="1"/>
  <c r="G490" i="72" s="1"/>
  <c r="G491" i="72" s="1"/>
  <c r="G492" i="72" s="1"/>
  <c r="G493" i="72" s="1"/>
  <c r="G494" i="72" s="1"/>
  <c r="G495" i="72" s="1"/>
  <c r="G496" i="72" s="1"/>
  <c r="G497" i="72" s="1"/>
  <c r="G498" i="72" s="1"/>
  <c r="G499" i="72" s="1"/>
  <c r="G500" i="72" s="1"/>
  <c r="E98" i="56" a="1"/>
  <c r="E98" i="56" s="1"/>
  <c r="I100" i="59" s="1" a="1"/>
  <c r="I100" i="59" s="1"/>
  <c r="I99" i="59" a="1"/>
  <c r="I99" i="59" s="1"/>
  <c r="A97" i="56" a="1"/>
  <c r="A97" i="56" s="1"/>
  <c r="B95" i="56" a="1"/>
  <c r="B95" i="56" s="1"/>
  <c r="C96" i="56" a="1"/>
  <c r="C96" i="56" s="1"/>
  <c r="H83" i="59"/>
  <c r="D70" i="56"/>
  <c r="F70" i="56"/>
  <c r="G72" i="58"/>
  <c r="G72" i="59"/>
  <c r="H72" i="58"/>
  <c r="G70" i="56"/>
  <c r="H41" i="72" l="1"/>
  <c r="A40" i="52" s="1"/>
  <c r="H40" i="72"/>
  <c r="A39" i="52" s="1"/>
  <c r="H37" i="72"/>
  <c r="A36" i="52" s="1"/>
  <c r="H34" i="72"/>
  <c r="A33" i="52" s="1"/>
  <c r="H36" i="72"/>
  <c r="A35" i="52" s="1"/>
  <c r="H42" i="72"/>
  <c r="A41" i="52" s="1"/>
  <c r="H32" i="72"/>
  <c r="A31" i="52" s="1"/>
  <c r="H2" i="72"/>
  <c r="A1" i="52" s="1"/>
  <c r="H3" i="72"/>
  <c r="A2" i="52" s="1"/>
  <c r="H4" i="72"/>
  <c r="A3" i="52" s="1"/>
  <c r="H5" i="72"/>
  <c r="A4" i="52" s="1"/>
  <c r="H6" i="72"/>
  <c r="A5" i="52" s="1"/>
  <c r="H8" i="72"/>
  <c r="A7" i="52" s="1"/>
  <c r="H7" i="72"/>
  <c r="A6" i="52" s="1"/>
  <c r="H9" i="72"/>
  <c r="A8" i="52" s="1"/>
  <c r="H10" i="72"/>
  <c r="A9" i="52" s="1"/>
  <c r="H11" i="72"/>
  <c r="A10" i="52" s="1"/>
  <c r="H22" i="72"/>
  <c r="A21" i="52" s="1"/>
  <c r="H25" i="72"/>
  <c r="A24" i="52" s="1"/>
  <c r="H21" i="72"/>
  <c r="A20" i="52" s="1"/>
  <c r="H33" i="72"/>
  <c r="A32" i="52" s="1"/>
  <c r="H12" i="72"/>
  <c r="A11" i="52" s="1"/>
  <c r="H17" i="72"/>
  <c r="A16" i="52" s="1"/>
  <c r="H29" i="72"/>
  <c r="A28" i="52" s="1"/>
  <c r="H14" i="72"/>
  <c r="A13" i="52" s="1"/>
  <c r="H18" i="72"/>
  <c r="A17" i="52" s="1"/>
  <c r="H26" i="72"/>
  <c r="A25" i="52" s="1"/>
  <c r="H27" i="72"/>
  <c r="A26" i="52" s="1"/>
  <c r="H23" i="72"/>
  <c r="A22" i="52" s="1"/>
  <c r="H38" i="72"/>
  <c r="A37" i="52" s="1"/>
  <c r="H19" i="72"/>
  <c r="A18" i="52" s="1"/>
  <c r="H31" i="72"/>
  <c r="A30" i="52" s="1"/>
  <c r="H13" i="72"/>
  <c r="A12" i="52" s="1"/>
  <c r="H28" i="72"/>
  <c r="A27" i="52" s="1"/>
  <c r="H20" i="72"/>
  <c r="A19" i="52" s="1"/>
  <c r="H15" i="72"/>
  <c r="A14" i="52" s="1"/>
  <c r="H16" i="72"/>
  <c r="A15" i="52" s="1"/>
  <c r="H24" i="72"/>
  <c r="A23" i="52" s="1"/>
  <c r="H35" i="72"/>
  <c r="A34" i="52" s="1"/>
  <c r="H30" i="72"/>
  <c r="A29" i="52" s="1"/>
  <c r="H39" i="72"/>
  <c r="A38" i="52" s="1"/>
  <c r="H43" i="72"/>
  <c r="A42" i="52" s="1"/>
  <c r="H44" i="72"/>
  <c r="A43" i="52" s="1"/>
  <c r="H256" i="72"/>
  <c r="A255" i="52" s="1"/>
  <c r="H325" i="72"/>
  <c r="A324" i="52" s="1"/>
  <c r="H54" i="72"/>
  <c r="A53" i="52" s="1"/>
  <c r="H162" i="72"/>
  <c r="A161" i="52" s="1"/>
  <c r="H164" i="72"/>
  <c r="A163" i="52" s="1"/>
  <c r="H100" i="72"/>
  <c r="A99" i="52" s="1"/>
  <c r="H440" i="72"/>
  <c r="A439" i="52" s="1"/>
  <c r="H320" i="72"/>
  <c r="A319" i="52" s="1"/>
  <c r="H217" i="72"/>
  <c r="A216" i="52" s="1"/>
  <c r="H467" i="72"/>
  <c r="A466" i="52" s="1"/>
  <c r="H410" i="72"/>
  <c r="A409" i="52" s="1"/>
  <c r="H176" i="72"/>
  <c r="A175" i="52" s="1"/>
  <c r="H67" i="72"/>
  <c r="A66" i="52" s="1"/>
  <c r="H219" i="72"/>
  <c r="A218" i="52" s="1"/>
  <c r="H76" i="72"/>
  <c r="A75" i="52" s="1"/>
  <c r="H431" i="72"/>
  <c r="A430" i="52" s="1"/>
  <c r="H418" i="72"/>
  <c r="A417" i="52" s="1"/>
  <c r="H46" i="72"/>
  <c r="A45" i="52" s="1"/>
  <c r="H45" i="72"/>
  <c r="A44" i="52" s="1"/>
  <c r="H434" i="72"/>
  <c r="A433" i="52" s="1"/>
  <c r="H169" i="72"/>
  <c r="A168" i="52" s="1"/>
  <c r="H266" i="72"/>
  <c r="A265" i="52" s="1"/>
  <c r="H277" i="72"/>
  <c r="A276" i="52" s="1"/>
  <c r="H213" i="72"/>
  <c r="A212" i="52" s="1"/>
  <c r="H364" i="72"/>
  <c r="A363" i="52" s="1"/>
  <c r="H289" i="72"/>
  <c r="A288" i="52" s="1"/>
  <c r="H261" i="72"/>
  <c r="A260" i="52" s="1"/>
  <c r="H400" i="72"/>
  <c r="A399" i="52" s="1"/>
  <c r="H343" i="72"/>
  <c r="A342" i="52" s="1"/>
  <c r="H272" i="72"/>
  <c r="A271" i="52" s="1"/>
  <c r="H274" i="72"/>
  <c r="A273" i="52" s="1"/>
  <c r="H495" i="72"/>
  <c r="A494" i="52" s="1"/>
  <c r="H105" i="72"/>
  <c r="A104" i="52" s="1"/>
  <c r="H342" i="72"/>
  <c r="A341" i="52" s="1"/>
  <c r="H251" i="72"/>
  <c r="A250" i="52" s="1"/>
  <c r="H380" i="72"/>
  <c r="A379" i="52" s="1"/>
  <c r="H268" i="72"/>
  <c r="A267" i="52" s="1"/>
  <c r="H405" i="72"/>
  <c r="A404" i="52" s="1"/>
  <c r="H191" i="72"/>
  <c r="A190" i="52" s="1"/>
  <c r="H193" i="72"/>
  <c r="A192" i="52" s="1"/>
  <c r="H294" i="72"/>
  <c r="A293" i="52" s="1"/>
  <c r="H110" i="72"/>
  <c r="A109" i="52" s="1"/>
  <c r="H122" i="72"/>
  <c r="A121" i="52" s="1"/>
  <c r="H336" i="72"/>
  <c r="A335" i="52" s="1"/>
  <c r="H464" i="72"/>
  <c r="A463" i="52" s="1"/>
  <c r="H179" i="72"/>
  <c r="A178" i="52" s="1"/>
  <c r="H205" i="72"/>
  <c r="A204" i="52" s="1"/>
  <c r="H376" i="72"/>
  <c r="A375" i="52" s="1"/>
  <c r="H347" i="72"/>
  <c r="A346" i="52" s="1"/>
  <c r="H447" i="72"/>
  <c r="A446" i="52" s="1"/>
  <c r="H492" i="72"/>
  <c r="A491" i="52" s="1"/>
  <c r="H476" i="72"/>
  <c r="A475" i="52" s="1"/>
  <c r="H270" i="72"/>
  <c r="A269" i="52" s="1"/>
  <c r="H237" i="72"/>
  <c r="A236" i="52" s="1"/>
  <c r="H141" i="72"/>
  <c r="A140" i="52" s="1"/>
  <c r="H185" i="72"/>
  <c r="A184" i="52" s="1"/>
  <c r="H335" i="72"/>
  <c r="A334" i="52" s="1"/>
  <c r="H485" i="72"/>
  <c r="A484" i="52" s="1"/>
  <c r="H167" i="72"/>
  <c r="A166" i="52" s="1"/>
  <c r="H229" i="72"/>
  <c r="A228" i="52" s="1"/>
  <c r="H404" i="72"/>
  <c r="A403" i="52" s="1"/>
  <c r="H258" i="72"/>
  <c r="A257" i="52" s="1"/>
  <c r="H487" i="72"/>
  <c r="A486" i="52" s="1"/>
  <c r="H184" i="72"/>
  <c r="A183" i="52" s="1"/>
  <c r="H245" i="72"/>
  <c r="A244" i="52" s="1"/>
  <c r="H331" i="72"/>
  <c r="A330" i="52" s="1"/>
  <c r="H462" i="72"/>
  <c r="A461" i="52" s="1"/>
  <c r="H491" i="72"/>
  <c r="A490" i="52" s="1"/>
  <c r="H182" i="72"/>
  <c r="A181" i="52" s="1"/>
  <c r="H183" i="72"/>
  <c r="A182" i="52" s="1"/>
  <c r="H423" i="72"/>
  <c r="A422" i="52" s="1"/>
  <c r="H150" i="72"/>
  <c r="A149" i="52" s="1"/>
  <c r="H78" i="72"/>
  <c r="A77" i="52" s="1"/>
  <c r="H197" i="72"/>
  <c r="A196" i="52" s="1"/>
  <c r="H313" i="72"/>
  <c r="A312" i="52" s="1"/>
  <c r="H321" i="72"/>
  <c r="A320" i="52" s="1"/>
  <c r="H177" i="72"/>
  <c r="A176" i="52" s="1"/>
  <c r="H117" i="72"/>
  <c r="A116" i="52" s="1"/>
  <c r="H432" i="72"/>
  <c r="A431" i="52" s="1"/>
  <c r="H454" i="72"/>
  <c r="A453" i="52" s="1"/>
  <c r="H307" i="72"/>
  <c r="A306" i="52" s="1"/>
  <c r="H414" i="72"/>
  <c r="A413" i="52" s="1"/>
  <c r="H120" i="72"/>
  <c r="A119" i="52" s="1"/>
  <c r="H494" i="72"/>
  <c r="A493" i="52" s="1"/>
  <c r="H279" i="72"/>
  <c r="A278" i="52" s="1"/>
  <c r="H383" i="72"/>
  <c r="A382" i="52" s="1"/>
  <c r="H339" i="72"/>
  <c r="A338" i="52" s="1"/>
  <c r="H168" i="72"/>
  <c r="A167" i="52" s="1"/>
  <c r="H265" i="72"/>
  <c r="A264" i="52" s="1"/>
  <c r="H153" i="72"/>
  <c r="A152" i="52" s="1"/>
  <c r="H412" i="72"/>
  <c r="A411" i="52" s="1"/>
  <c r="H500" i="72"/>
  <c r="A499" i="52" s="1"/>
  <c r="H296" i="72"/>
  <c r="A295" i="52" s="1"/>
  <c r="H479" i="72"/>
  <c r="A478" i="52" s="1"/>
  <c r="H396" i="72"/>
  <c r="A395" i="52" s="1"/>
  <c r="H360" i="72"/>
  <c r="A359" i="52" s="1"/>
  <c r="H161" i="72"/>
  <c r="A160" i="52" s="1"/>
  <c r="H452" i="72"/>
  <c r="A451" i="52" s="1"/>
  <c r="H408" i="72"/>
  <c r="A407" i="52" s="1"/>
  <c r="H498" i="72"/>
  <c r="A497" i="52" s="1"/>
  <c r="H232" i="72"/>
  <c r="A231" i="52" s="1"/>
  <c r="H132" i="72"/>
  <c r="A131" i="52" s="1"/>
  <c r="H118" i="72"/>
  <c r="A117" i="52" s="1"/>
  <c r="H103" i="72"/>
  <c r="A102" i="52" s="1"/>
  <c r="H189" i="72"/>
  <c r="A188" i="52" s="1"/>
  <c r="H206" i="72"/>
  <c r="A205" i="52" s="1"/>
  <c r="H165" i="72"/>
  <c r="A164" i="52" s="1"/>
  <c r="H247" i="72"/>
  <c r="A246" i="52" s="1"/>
  <c r="H106" i="72"/>
  <c r="A105" i="52" s="1"/>
  <c r="H90" i="72"/>
  <c r="A89" i="52" s="1"/>
  <c r="H212" i="72"/>
  <c r="A211" i="52" s="1"/>
  <c r="H271" i="72"/>
  <c r="A270" i="52" s="1"/>
  <c r="H385" i="72"/>
  <c r="A384" i="52" s="1"/>
  <c r="H136" i="72"/>
  <c r="A135" i="52" s="1"/>
  <c r="H438" i="72"/>
  <c r="A437" i="52" s="1"/>
  <c r="H363" i="72"/>
  <c r="A362" i="52" s="1"/>
  <c r="H181" i="72"/>
  <c r="A180" i="52" s="1"/>
  <c r="H87" i="72"/>
  <c r="A86" i="52" s="1"/>
  <c r="H482" i="72"/>
  <c r="A481" i="52" s="1"/>
  <c r="H453" i="72"/>
  <c r="A452" i="52" s="1"/>
  <c r="H361" i="72"/>
  <c r="A360" i="52" s="1"/>
  <c r="H246" i="72"/>
  <c r="A245" i="52" s="1"/>
  <c r="H119" i="72"/>
  <c r="A118" i="52" s="1"/>
  <c r="H395" i="72"/>
  <c r="A394" i="52" s="1"/>
  <c r="H477" i="72"/>
  <c r="A476" i="52" s="1"/>
  <c r="H455" i="72"/>
  <c r="A454" i="52" s="1"/>
  <c r="H214" i="72"/>
  <c r="A213" i="52" s="1"/>
  <c r="H144" i="72"/>
  <c r="A143" i="52" s="1"/>
  <c r="H75" i="72"/>
  <c r="A74" i="52" s="1"/>
  <c r="H422" i="72"/>
  <c r="A421" i="52" s="1"/>
  <c r="H338" i="72"/>
  <c r="A337" i="52" s="1"/>
  <c r="H457" i="72"/>
  <c r="A456" i="52" s="1"/>
  <c r="H329" i="72"/>
  <c r="A328" i="52" s="1"/>
  <c r="H352" i="72"/>
  <c r="A351" i="52" s="1"/>
  <c r="H151" i="72"/>
  <c r="A150" i="52" s="1"/>
  <c r="H231" i="72"/>
  <c r="A230" i="52" s="1"/>
  <c r="H173" i="72"/>
  <c r="A172" i="52" s="1"/>
  <c r="H194" i="72"/>
  <c r="A193" i="52" s="1"/>
  <c r="H419" i="72"/>
  <c r="A418" i="52" s="1"/>
  <c r="H72" i="72"/>
  <c r="A71" i="52" s="1"/>
  <c r="H292" i="72"/>
  <c r="A291" i="52" s="1"/>
  <c r="H156" i="72"/>
  <c r="A155" i="52" s="1"/>
  <c r="H429" i="72"/>
  <c r="A428" i="52" s="1"/>
  <c r="H224" i="72"/>
  <c r="A223" i="52" s="1"/>
  <c r="H235" i="72"/>
  <c r="A234" i="52" s="1"/>
  <c r="H463" i="72"/>
  <c r="A462" i="52" s="1"/>
  <c r="H104" i="72"/>
  <c r="A103" i="52" s="1"/>
  <c r="H64" i="72"/>
  <c r="A63" i="52" s="1"/>
  <c r="H79" i="72"/>
  <c r="A78" i="52" s="1"/>
  <c r="H461" i="72"/>
  <c r="A460" i="52" s="1"/>
  <c r="H210" i="72"/>
  <c r="A209" i="52" s="1"/>
  <c r="H200" i="72"/>
  <c r="A199" i="52" s="1"/>
  <c r="H89" i="72"/>
  <c r="A88" i="52" s="1"/>
  <c r="H290" i="72"/>
  <c r="A289" i="52" s="1"/>
  <c r="H390" i="72"/>
  <c r="A389" i="52" s="1"/>
  <c r="H425" i="72"/>
  <c r="A424" i="52" s="1"/>
  <c r="H109" i="72"/>
  <c r="A108" i="52" s="1"/>
  <c r="H459" i="72"/>
  <c r="A458" i="52" s="1"/>
  <c r="H443" i="72"/>
  <c r="A442" i="52" s="1"/>
  <c r="H382" i="72"/>
  <c r="A381" i="52" s="1"/>
  <c r="H216" i="72"/>
  <c r="A215" i="52" s="1"/>
  <c r="H91" i="72"/>
  <c r="A90" i="52" s="1"/>
  <c r="H384" i="72"/>
  <c r="A383" i="52" s="1"/>
  <c r="H97" i="72"/>
  <c r="A96" i="52" s="1"/>
  <c r="H369" i="72"/>
  <c r="A368" i="52" s="1"/>
  <c r="H282" i="72"/>
  <c r="A281" i="52" s="1"/>
  <c r="H202" i="72"/>
  <c r="A201" i="52" s="1"/>
  <c r="H92" i="72"/>
  <c r="A91" i="52" s="1"/>
  <c r="H365" i="72"/>
  <c r="A364" i="52" s="1"/>
  <c r="H392" i="72"/>
  <c r="A391" i="52" s="1"/>
  <c r="H242" i="72"/>
  <c r="A241" i="52" s="1"/>
  <c r="H198" i="72"/>
  <c r="A197" i="52" s="1"/>
  <c r="H123" i="72"/>
  <c r="A122" i="52" s="1"/>
  <c r="H128" i="72"/>
  <c r="A127" i="52" s="1"/>
  <c r="H186" i="72"/>
  <c r="A185" i="52" s="1"/>
  <c r="H397" i="72"/>
  <c r="A396" i="52" s="1"/>
  <c r="H139" i="72"/>
  <c r="A138" i="52" s="1"/>
  <c r="H473" i="72"/>
  <c r="A472" i="52" s="1"/>
  <c r="H322" i="72"/>
  <c r="A321" i="52" s="1"/>
  <c r="H134" i="72"/>
  <c r="A133" i="52" s="1"/>
  <c r="H220" i="72"/>
  <c r="A219" i="52" s="1"/>
  <c r="H489" i="72"/>
  <c r="A488" i="52" s="1"/>
  <c r="H125" i="72"/>
  <c r="A124" i="52" s="1"/>
  <c r="H378" i="72"/>
  <c r="A377" i="52" s="1"/>
  <c r="H413" i="72"/>
  <c r="A412" i="52" s="1"/>
  <c r="H474" i="72"/>
  <c r="A473" i="52" s="1"/>
  <c r="H430" i="72"/>
  <c r="A429" i="52" s="1"/>
  <c r="H249" i="72"/>
  <c r="A248" i="52" s="1"/>
  <c r="H366" i="72"/>
  <c r="A365" i="52" s="1"/>
  <c r="H316" i="72"/>
  <c r="A315" i="52" s="1"/>
  <c r="H372" i="72"/>
  <c r="A371" i="52" s="1"/>
  <c r="H288" i="72"/>
  <c r="A287" i="52" s="1"/>
  <c r="H124" i="72"/>
  <c r="A123" i="52" s="1"/>
  <c r="H159" i="72"/>
  <c r="A158" i="52" s="1"/>
  <c r="H228" i="72"/>
  <c r="A227" i="52" s="1"/>
  <c r="H207" i="72"/>
  <c r="A206" i="52" s="1"/>
  <c r="H428" i="72"/>
  <c r="A427" i="52" s="1"/>
  <c r="H250" i="72"/>
  <c r="A249" i="52" s="1"/>
  <c r="H192" i="72"/>
  <c r="A191" i="52" s="1"/>
  <c r="H330" i="72"/>
  <c r="A329" i="52" s="1"/>
  <c r="H187" i="72"/>
  <c r="A186" i="52" s="1"/>
  <c r="H149" i="72"/>
  <c r="A148" i="52" s="1"/>
  <c r="H83" i="72"/>
  <c r="A82" i="52" s="1"/>
  <c r="H211" i="72"/>
  <c r="A210" i="52" s="1"/>
  <c r="H175" i="72"/>
  <c r="A174" i="52" s="1"/>
  <c r="H86" i="72"/>
  <c r="A85" i="52" s="1"/>
  <c r="H254" i="72"/>
  <c r="A253" i="52" s="1"/>
  <c r="H244" i="72"/>
  <c r="A243" i="52" s="1"/>
  <c r="H154" i="72"/>
  <c r="A153" i="52" s="1"/>
  <c r="H445" i="72"/>
  <c r="A444" i="52" s="1"/>
  <c r="H427" i="72"/>
  <c r="A426" i="52" s="1"/>
  <c r="H80" i="72"/>
  <c r="A79" i="52" s="1"/>
  <c r="H116" i="72"/>
  <c r="A115" i="52" s="1"/>
  <c r="H130" i="72"/>
  <c r="A129" i="52" s="1"/>
  <c r="H435" i="72"/>
  <c r="A434" i="52" s="1"/>
  <c r="H426" i="72"/>
  <c r="A425" i="52" s="1"/>
  <c r="H166" i="72"/>
  <c r="A165" i="52" s="1"/>
  <c r="H199" i="72"/>
  <c r="A198" i="52" s="1"/>
  <c r="H138" i="72"/>
  <c r="A137" i="52" s="1"/>
  <c r="H483" i="72"/>
  <c r="A482" i="52" s="1"/>
  <c r="H456" i="72"/>
  <c r="A455" i="52" s="1"/>
  <c r="H303" i="72"/>
  <c r="A302" i="52" s="1"/>
  <c r="H77" i="72"/>
  <c r="A76" i="52" s="1"/>
  <c r="H442" i="72"/>
  <c r="A441" i="52" s="1"/>
  <c r="H334" i="72"/>
  <c r="A333" i="52" s="1"/>
  <c r="H238" i="72"/>
  <c r="A237" i="52" s="1"/>
  <c r="H439" i="72"/>
  <c r="A438" i="52" s="1"/>
  <c r="H262" i="72"/>
  <c r="A261" i="52" s="1"/>
  <c r="H311" i="72"/>
  <c r="A310" i="52" s="1"/>
  <c r="H286" i="72"/>
  <c r="A285" i="52" s="1"/>
  <c r="H420" i="72"/>
  <c r="A419" i="52" s="1"/>
  <c r="H399" i="72"/>
  <c r="A398" i="52" s="1"/>
  <c r="H306" i="72"/>
  <c r="A305" i="52" s="1"/>
  <c r="H324" i="72"/>
  <c r="A323" i="52" s="1"/>
  <c r="H230" i="72"/>
  <c r="A229" i="52" s="1"/>
  <c r="H111" i="72"/>
  <c r="A110" i="52" s="1"/>
  <c r="H137" i="72"/>
  <c r="A136" i="52" s="1"/>
  <c r="H393" i="72"/>
  <c r="A392" i="52" s="1"/>
  <c r="H98" i="72"/>
  <c r="A97" i="52" s="1"/>
  <c r="H65" i="72"/>
  <c r="A64" i="52" s="1"/>
  <c r="H126" i="72"/>
  <c r="A125" i="52" s="1"/>
  <c r="H107" i="72"/>
  <c r="A106" i="52" s="1"/>
  <c r="H297" i="72"/>
  <c r="A296" i="52" s="1"/>
  <c r="H85" i="72"/>
  <c r="A84" i="52" s="1"/>
  <c r="H113" i="72"/>
  <c r="A112" i="52" s="1"/>
  <c r="H436" i="72"/>
  <c r="A435" i="52" s="1"/>
  <c r="H465" i="72"/>
  <c r="A464" i="52" s="1"/>
  <c r="H302" i="72"/>
  <c r="A301" i="52" s="1"/>
  <c r="H234" i="72"/>
  <c r="A233" i="52" s="1"/>
  <c r="H281" i="72"/>
  <c r="A280" i="52" s="1"/>
  <c r="H481" i="72"/>
  <c r="A480" i="52" s="1"/>
  <c r="H248" i="72"/>
  <c r="A247" i="52" s="1"/>
  <c r="H448" i="72"/>
  <c r="A447" i="52" s="1"/>
  <c r="H208" i="72"/>
  <c r="A207" i="52" s="1"/>
  <c r="H433" i="72"/>
  <c r="A432" i="52" s="1"/>
  <c r="H373" i="72"/>
  <c r="A372" i="52" s="1"/>
  <c r="H350" i="72"/>
  <c r="A349" i="52" s="1"/>
  <c r="H267" i="72"/>
  <c r="A266" i="52" s="1"/>
  <c r="H102" i="72"/>
  <c r="A101" i="52" s="1"/>
  <c r="H239" i="72"/>
  <c r="A238" i="52" s="1"/>
  <c r="H81" i="72"/>
  <c r="A80" i="52" s="1"/>
  <c r="H341" i="72"/>
  <c r="A340" i="52" s="1"/>
  <c r="H195" i="72"/>
  <c r="A194" i="52" s="1"/>
  <c r="H326" i="72"/>
  <c r="A325" i="52" s="1"/>
  <c r="H407" i="72"/>
  <c r="A406" i="52" s="1"/>
  <c r="H356" i="72"/>
  <c r="A355" i="52" s="1"/>
  <c r="H394" i="72"/>
  <c r="A393" i="52" s="1"/>
  <c r="H233" i="72"/>
  <c r="A232" i="52" s="1"/>
  <c r="H299" i="72"/>
  <c r="A298" i="52" s="1"/>
  <c r="H283" i="72"/>
  <c r="A282" i="52" s="1"/>
  <c r="H333" i="72"/>
  <c r="A332" i="52" s="1"/>
  <c r="H188" i="72"/>
  <c r="A187" i="52" s="1"/>
  <c r="H424" i="72"/>
  <c r="A423" i="52" s="1"/>
  <c r="H260" i="72"/>
  <c r="A259" i="52" s="1"/>
  <c r="H278" i="72"/>
  <c r="A277" i="52" s="1"/>
  <c r="H308" i="72"/>
  <c r="A307" i="52" s="1"/>
  <c r="H368" i="72"/>
  <c r="A367" i="52" s="1"/>
  <c r="H287" i="72"/>
  <c r="A286" i="52" s="1"/>
  <c r="H209" i="72"/>
  <c r="A208" i="52" s="1"/>
  <c r="H480" i="72"/>
  <c r="A479" i="52" s="1"/>
  <c r="H157" i="72"/>
  <c r="A156" i="52" s="1"/>
  <c r="H328" i="72"/>
  <c r="A327" i="52" s="1"/>
  <c r="H305" i="72"/>
  <c r="A304" i="52" s="1"/>
  <c r="H129" i="72"/>
  <c r="A128" i="52" s="1"/>
  <c r="H370" i="72"/>
  <c r="A369" i="52" s="1"/>
  <c r="H226" i="72"/>
  <c r="A225" i="52" s="1"/>
  <c r="H71" i="72"/>
  <c r="A70" i="52" s="1"/>
  <c r="H143" i="72"/>
  <c r="A142" i="52" s="1"/>
  <c r="H470" i="72"/>
  <c r="A469" i="52" s="1"/>
  <c r="H280" i="72"/>
  <c r="A279" i="52" s="1"/>
  <c r="H255" i="72"/>
  <c r="A254" i="52" s="1"/>
  <c r="H108" i="72"/>
  <c r="A107" i="52" s="1"/>
  <c r="H172" i="72"/>
  <c r="A171" i="52" s="1"/>
  <c r="H493" i="72"/>
  <c r="A492" i="52" s="1"/>
  <c r="H101" i="72"/>
  <c r="A100" i="52" s="1"/>
  <c r="H142" i="72"/>
  <c r="A141" i="52" s="1"/>
  <c r="H371" i="72"/>
  <c r="A370" i="52" s="1"/>
  <c r="H391" i="72"/>
  <c r="A390" i="52" s="1"/>
  <c r="H203" i="72"/>
  <c r="A202" i="52" s="1"/>
  <c r="H484" i="72"/>
  <c r="A483" i="52" s="1"/>
  <c r="H298" i="72"/>
  <c r="A297" i="52" s="1"/>
  <c r="H257" i="72"/>
  <c r="A256" i="52" s="1"/>
  <c r="H437" i="72"/>
  <c r="A436" i="52" s="1"/>
  <c r="H121" i="72"/>
  <c r="A120" i="52" s="1"/>
  <c r="H312" i="72"/>
  <c r="A311" i="52" s="1"/>
  <c r="H190" i="72"/>
  <c r="A189" i="52" s="1"/>
  <c r="H403" i="72"/>
  <c r="A402" i="52" s="1"/>
  <c r="H314" i="72"/>
  <c r="A313" i="52" s="1"/>
  <c r="H63" i="72"/>
  <c r="A62" i="52" s="1"/>
  <c r="H148" i="72"/>
  <c r="A147" i="52" s="1"/>
  <c r="H243" i="72"/>
  <c r="A242" i="52" s="1"/>
  <c r="H62" i="72"/>
  <c r="A61" i="52" s="1"/>
  <c r="H55" i="72"/>
  <c r="A54" i="52" s="1"/>
  <c r="H61" i="72"/>
  <c r="A60" i="52" s="1"/>
  <c r="H53" i="72"/>
  <c r="A52" i="52" s="1"/>
  <c r="H152" i="72"/>
  <c r="A151" i="52" s="1"/>
  <c r="H353" i="72"/>
  <c r="A352" i="52" s="1"/>
  <c r="H291" i="72"/>
  <c r="A290" i="52" s="1"/>
  <c r="H201" i="72"/>
  <c r="A200" i="52" s="1"/>
  <c r="H68" i="72"/>
  <c r="A67" i="52" s="1"/>
  <c r="H449" i="72"/>
  <c r="A448" i="52" s="1"/>
  <c r="H375" i="72"/>
  <c r="A374" i="52" s="1"/>
  <c r="H196" i="72"/>
  <c r="A195" i="52" s="1"/>
  <c r="H215" i="72"/>
  <c r="A214" i="52" s="1"/>
  <c r="H327" i="72"/>
  <c r="A326" i="52" s="1"/>
  <c r="H349" i="72"/>
  <c r="A348" i="52" s="1"/>
  <c r="H401" i="72"/>
  <c r="A400" i="52" s="1"/>
  <c r="H417" i="72"/>
  <c r="A416" i="52" s="1"/>
  <c r="H275" i="72"/>
  <c r="A274" i="52" s="1"/>
  <c r="H497" i="72"/>
  <c r="A496" i="52" s="1"/>
  <c r="H146" i="72"/>
  <c r="A145" i="52" s="1"/>
  <c r="H236" i="72"/>
  <c r="A235" i="52" s="1"/>
  <c r="H93" i="72"/>
  <c r="A92" i="52" s="1"/>
  <c r="H468" i="72"/>
  <c r="A467" i="52" s="1"/>
  <c r="H367" i="72"/>
  <c r="A366" i="52" s="1"/>
  <c r="H60" i="72"/>
  <c r="A59" i="52" s="1"/>
  <c r="H51" i="72"/>
  <c r="A50" i="52" s="1"/>
  <c r="H441" i="72"/>
  <c r="A440" i="52" s="1"/>
  <c r="H163" i="72"/>
  <c r="A162" i="52" s="1"/>
  <c r="H389" i="72"/>
  <c r="A388" i="52" s="1"/>
  <c r="H293" i="72"/>
  <c r="A292" i="52" s="1"/>
  <c r="H252" i="72"/>
  <c r="A251" i="52" s="1"/>
  <c r="H135" i="72"/>
  <c r="A134" i="52" s="1"/>
  <c r="H253" i="72"/>
  <c r="A252" i="52" s="1"/>
  <c r="H127" i="72"/>
  <c r="A126" i="52" s="1"/>
  <c r="H223" i="72"/>
  <c r="A222" i="52" s="1"/>
  <c r="H273" i="72"/>
  <c r="A272" i="52" s="1"/>
  <c r="H69" i="72"/>
  <c r="A68" i="52" s="1"/>
  <c r="H348" i="72"/>
  <c r="A347" i="52" s="1"/>
  <c r="H133" i="72"/>
  <c r="A132" i="52" s="1"/>
  <c r="H304" i="72"/>
  <c r="A303" i="52" s="1"/>
  <c r="H70" i="72"/>
  <c r="A69" i="52" s="1"/>
  <c r="H170" i="72"/>
  <c r="A169" i="52" s="1"/>
  <c r="H379" i="72"/>
  <c r="A378" i="52" s="1"/>
  <c r="H131" i="72"/>
  <c r="A130" i="52" s="1"/>
  <c r="H158" i="72"/>
  <c r="A157" i="52" s="1"/>
  <c r="H147" i="72"/>
  <c r="A146" i="52" s="1"/>
  <c r="H112" i="72"/>
  <c r="A111" i="52" s="1"/>
  <c r="H351" i="72"/>
  <c r="A350" i="52" s="1"/>
  <c r="H58" i="72"/>
  <c r="A57" i="52" s="1"/>
  <c r="H49" i="72"/>
  <c r="A48" i="52" s="1"/>
  <c r="H52" i="72"/>
  <c r="A51" i="52" s="1"/>
  <c r="H478" i="72"/>
  <c r="A477" i="52" s="1"/>
  <c r="H466" i="72"/>
  <c r="A465" i="52" s="1"/>
  <c r="H145" i="72"/>
  <c r="A144" i="52" s="1"/>
  <c r="H225" i="72"/>
  <c r="A224" i="52" s="1"/>
  <c r="H269" i="72"/>
  <c r="A268" i="52" s="1"/>
  <c r="H357" i="72"/>
  <c r="A356" i="52" s="1"/>
  <c r="H82" i="72"/>
  <c r="A81" i="52" s="1"/>
  <c r="H406" i="72"/>
  <c r="A405" i="52" s="1"/>
  <c r="H345" i="72"/>
  <c r="A344" i="52" s="1"/>
  <c r="H354" i="72"/>
  <c r="A353" i="52" s="1"/>
  <c r="H332" i="72"/>
  <c r="A331" i="52" s="1"/>
  <c r="H295" i="72"/>
  <c r="A294" i="52" s="1"/>
  <c r="H259" i="72"/>
  <c r="A258" i="52" s="1"/>
  <c r="H411" i="72"/>
  <c r="A410" i="52" s="1"/>
  <c r="H88" i="72"/>
  <c r="A87" i="52" s="1"/>
  <c r="H377" i="72"/>
  <c r="A376" i="52" s="1"/>
  <c r="H318" i="72"/>
  <c r="A317" i="52" s="1"/>
  <c r="H319" i="72"/>
  <c r="A318" i="52" s="1"/>
  <c r="H402" i="72"/>
  <c r="A401" i="52" s="1"/>
  <c r="H94" i="72"/>
  <c r="A93" i="52" s="1"/>
  <c r="H387" i="72"/>
  <c r="A386" i="52" s="1"/>
  <c r="H359" i="72"/>
  <c r="A358" i="52" s="1"/>
  <c r="H381" i="72"/>
  <c r="A380" i="52" s="1"/>
  <c r="H171" i="72"/>
  <c r="A170" i="52" s="1"/>
  <c r="H486" i="72"/>
  <c r="A485" i="52" s="1"/>
  <c r="H386" i="72"/>
  <c r="A385" i="52" s="1"/>
  <c r="H416" i="72"/>
  <c r="A415" i="52" s="1"/>
  <c r="H301" i="72"/>
  <c r="A300" i="52" s="1"/>
  <c r="H59" i="72"/>
  <c r="A58" i="52" s="1"/>
  <c r="H50" i="72"/>
  <c r="A49" i="52" s="1"/>
  <c r="H221" i="72"/>
  <c r="A220" i="52" s="1"/>
  <c r="H140" i="72"/>
  <c r="A139" i="52" s="1"/>
  <c r="H285" i="72"/>
  <c r="A284" i="52" s="1"/>
  <c r="H178" i="72"/>
  <c r="A177" i="52" s="1"/>
  <c r="H74" i="72"/>
  <c r="A73" i="52" s="1"/>
  <c r="H469" i="72"/>
  <c r="A468" i="52" s="1"/>
  <c r="H300" i="72"/>
  <c r="A299" i="52" s="1"/>
  <c r="H317" i="72"/>
  <c r="A316" i="52" s="1"/>
  <c r="H421" i="72"/>
  <c r="A420" i="52" s="1"/>
  <c r="H490" i="72"/>
  <c r="A489" i="52" s="1"/>
  <c r="H96" i="72"/>
  <c r="A95" i="52" s="1"/>
  <c r="H84" i="72"/>
  <c r="A83" i="52" s="1"/>
  <c r="H284" i="72"/>
  <c r="A283" i="52" s="1"/>
  <c r="H264" i="72"/>
  <c r="A263" i="52" s="1"/>
  <c r="H496" i="72"/>
  <c r="A495" i="52" s="1"/>
  <c r="H388" i="72"/>
  <c r="A387" i="52" s="1"/>
  <c r="H451" i="72"/>
  <c r="A450" i="52" s="1"/>
  <c r="H309" i="72"/>
  <c r="A308" i="52" s="1"/>
  <c r="H315" i="72"/>
  <c r="A314" i="52" s="1"/>
  <c r="H471" i="72"/>
  <c r="A470" i="52" s="1"/>
  <c r="H499" i="72"/>
  <c r="A498" i="52" s="1"/>
  <c r="H446" i="72"/>
  <c r="A445" i="52" s="1"/>
  <c r="H95" i="72"/>
  <c r="A94" i="52" s="1"/>
  <c r="H346" i="72"/>
  <c r="A345" i="52" s="1"/>
  <c r="H475" i="72"/>
  <c r="A474" i="52" s="1"/>
  <c r="H57" i="72"/>
  <c r="A56" i="52" s="1"/>
  <c r="H48" i="72"/>
  <c r="A47" i="52" s="1"/>
  <c r="H458" i="72"/>
  <c r="A457" i="52" s="1"/>
  <c r="H240" i="72"/>
  <c r="A239" i="52" s="1"/>
  <c r="H160" i="72"/>
  <c r="A159" i="52" s="1"/>
  <c r="H358" i="72"/>
  <c r="A357" i="52" s="1"/>
  <c r="H218" i="72"/>
  <c r="A217" i="52" s="1"/>
  <c r="H174" i="72"/>
  <c r="A173" i="52" s="1"/>
  <c r="H472" i="72"/>
  <c r="A471" i="52" s="1"/>
  <c r="H362" i="72"/>
  <c r="A361" i="52" s="1"/>
  <c r="H337" i="72"/>
  <c r="A336" i="52" s="1"/>
  <c r="H323" i="72"/>
  <c r="A322" i="52" s="1"/>
  <c r="H204" i="72"/>
  <c r="A203" i="52" s="1"/>
  <c r="H488" i="72"/>
  <c r="A487" i="52" s="1"/>
  <c r="H263" i="72"/>
  <c r="A262" i="52" s="1"/>
  <c r="H115" i="72"/>
  <c r="A114" i="52" s="1"/>
  <c r="H355" i="72"/>
  <c r="A354" i="52" s="1"/>
  <c r="H374" i="72"/>
  <c r="A373" i="52" s="1"/>
  <c r="H180" i="72"/>
  <c r="A179" i="52" s="1"/>
  <c r="H73" i="72"/>
  <c r="A72" i="52" s="1"/>
  <c r="H227" i="72"/>
  <c r="A226" i="52" s="1"/>
  <c r="H460" i="72"/>
  <c r="A459" i="52" s="1"/>
  <c r="H398" i="72"/>
  <c r="A397" i="52" s="1"/>
  <c r="H409" i="72"/>
  <c r="A408" i="52" s="1"/>
  <c r="H344" i="72"/>
  <c r="A343" i="52" s="1"/>
  <c r="H99" i="72"/>
  <c r="A98" i="52" s="1"/>
  <c r="H276" i="72"/>
  <c r="A275" i="52" s="1"/>
  <c r="H241" i="72"/>
  <c r="A240" i="52" s="1"/>
  <c r="H155" i="72"/>
  <c r="A154" i="52" s="1"/>
  <c r="H66" i="72"/>
  <c r="A65" i="52" s="1"/>
  <c r="H222" i="72"/>
  <c r="A221" i="52" s="1"/>
  <c r="H340" i="72"/>
  <c r="A339" i="52" s="1"/>
  <c r="H444" i="72"/>
  <c r="A443" i="52" s="1"/>
  <c r="H114" i="72"/>
  <c r="A113" i="52" s="1"/>
  <c r="H450" i="72"/>
  <c r="A449" i="52" s="1"/>
  <c r="H310" i="72"/>
  <c r="A309" i="52" s="1"/>
  <c r="H415" i="72"/>
  <c r="A414" i="52" s="1"/>
  <c r="H56" i="72"/>
  <c r="A55" i="52" s="1"/>
  <c r="H47" i="72"/>
  <c r="A46" i="52" s="1"/>
  <c r="L100" i="59" a="1"/>
  <c r="L100" i="59" s="1"/>
  <c r="J100" i="59" a="1"/>
  <c r="J100" i="59" s="1"/>
  <c r="K100" i="59" a="1"/>
  <c r="K100" i="59" s="1"/>
  <c r="B96" i="56" a="1"/>
  <c r="B96" i="56" s="1"/>
  <c r="C97" i="56" a="1"/>
  <c r="C97" i="56" s="1"/>
  <c r="J99" i="59" a="1"/>
  <c r="J99" i="59" s="1"/>
  <c r="K99" i="59" a="1"/>
  <c r="K99" i="59" s="1"/>
  <c r="L99" i="59" a="1"/>
  <c r="L99" i="59" s="1"/>
  <c r="E99" i="56" a="1"/>
  <c r="E99" i="56" s="1"/>
  <c r="A98" i="56" a="1"/>
  <c r="A98" i="56" s="1"/>
  <c r="H84" i="59"/>
  <c r="G71" i="56"/>
  <c r="G73" i="58"/>
  <c r="H73" i="58"/>
  <c r="G73" i="59"/>
  <c r="F71" i="56"/>
  <c r="D71" i="56"/>
  <c r="B97" i="56" l="1" a="1"/>
  <c r="B97" i="56" s="1"/>
  <c r="C98" i="56" a="1"/>
  <c r="C98" i="56" s="1"/>
  <c r="E100" i="56" a="1"/>
  <c r="E100" i="56" s="1"/>
  <c r="I101" i="59" a="1"/>
  <c r="I101" i="59" s="1"/>
  <c r="A99" i="56" a="1"/>
  <c r="A99" i="56" s="1"/>
  <c r="H85" i="59"/>
  <c r="H74" i="58"/>
  <c r="D72" i="56"/>
  <c r="F72" i="56"/>
  <c r="G74" i="59"/>
  <c r="G72" i="56"/>
  <c r="G74" i="58"/>
  <c r="B98" i="56" l="1" a="1"/>
  <c r="B98" i="56" s="1"/>
  <c r="C99" i="56" a="1"/>
  <c r="C99" i="56" s="1"/>
  <c r="L101" i="59" a="1"/>
  <c r="L101" i="59" s="1"/>
  <c r="J101" i="59" a="1"/>
  <c r="J101" i="59" s="1"/>
  <c r="K101" i="59" a="1"/>
  <c r="K101" i="59" s="1"/>
  <c r="I102" i="59" a="1"/>
  <c r="I102" i="59" s="1"/>
  <c r="A100" i="56" a="1"/>
  <c r="A100" i="56" s="1"/>
  <c r="E101" i="56" a="1"/>
  <c r="E101" i="56" s="1"/>
  <c r="H86" i="59"/>
  <c r="G75" i="58"/>
  <c r="G76" i="58" s="1"/>
  <c r="G73" i="56"/>
  <c r="G75" i="59"/>
  <c r="D73" i="56"/>
  <c r="F73" i="56"/>
  <c r="H75" i="58"/>
  <c r="B99" i="56" l="1" a="1"/>
  <c r="B99" i="56" s="1"/>
  <c r="C100" i="56" a="1"/>
  <c r="C100" i="56" s="1"/>
  <c r="K102" i="59" a="1"/>
  <c r="K102" i="59" s="1"/>
  <c r="L102" i="59" a="1"/>
  <c r="L102" i="59" s="1"/>
  <c r="J102" i="59" a="1"/>
  <c r="J102" i="59" s="1"/>
  <c r="A101" i="56" a="1"/>
  <c r="A101" i="56" s="1"/>
  <c r="I103" i="59" a="1"/>
  <c r="I103" i="59" s="1"/>
  <c r="E102" i="56" a="1"/>
  <c r="E102" i="56" s="1"/>
  <c r="F74" i="56"/>
  <c r="H87" i="59"/>
  <c r="D74" i="56"/>
  <c r="G76" i="59"/>
  <c r="H76" i="58"/>
  <c r="G74" i="56"/>
  <c r="I104" i="59" l="1" a="1"/>
  <c r="I104" i="59" s="1"/>
  <c r="A102" i="56" a="1"/>
  <c r="A102" i="56" s="1"/>
  <c r="C102" i="56" s="1" a="1"/>
  <c r="C102" i="56" s="1"/>
  <c r="E103" i="56" a="1"/>
  <c r="E103" i="56" s="1"/>
  <c r="L103" i="59" a="1"/>
  <c r="L103" i="59" s="1"/>
  <c r="K103" i="59" a="1"/>
  <c r="K103" i="59" s="1"/>
  <c r="J103" i="59" a="1"/>
  <c r="J103" i="59" s="1"/>
  <c r="B100" i="56" a="1"/>
  <c r="B100" i="56" s="1"/>
  <c r="C101" i="56" a="1"/>
  <c r="C101" i="56" s="1"/>
  <c r="F75" i="56"/>
  <c r="H88" i="59"/>
  <c r="G75" i="56"/>
  <c r="G77" i="59"/>
  <c r="G78" i="59" s="1"/>
  <c r="G79" i="59" s="1"/>
  <c r="D75" i="56"/>
  <c r="H77" i="58"/>
  <c r="G77" i="58"/>
  <c r="B101" i="56" l="1" a="1"/>
  <c r="B101" i="56" s="1"/>
  <c r="L104" i="59" a="1"/>
  <c r="L104" i="59" s="1"/>
  <c r="J104" i="59" a="1"/>
  <c r="J104" i="59" s="1"/>
  <c r="K104" i="59" a="1"/>
  <c r="K104" i="59" s="1"/>
  <c r="I105" i="59" a="1"/>
  <c r="I105" i="59" s="1"/>
  <c r="E104" i="56" a="1"/>
  <c r="E104" i="56" s="1"/>
  <c r="A103" i="56" a="1"/>
  <c r="A103" i="56" s="1"/>
  <c r="H89" i="59"/>
  <c r="G76" i="56"/>
  <c r="G78" i="58"/>
  <c r="H78" i="58"/>
  <c r="D76" i="56"/>
  <c r="F76" i="56"/>
  <c r="B102" i="56" l="1" a="1"/>
  <c r="B102" i="56" s="1"/>
  <c r="C103" i="56" a="1"/>
  <c r="C103" i="56" s="1"/>
  <c r="I106" i="59" a="1"/>
  <c r="I106" i="59" s="1"/>
  <c r="A104" i="56" a="1"/>
  <c r="A104" i="56" s="1"/>
  <c r="E105" i="56" a="1"/>
  <c r="E105" i="56" s="1"/>
  <c r="J105" i="59" a="1"/>
  <c r="J105" i="59" s="1"/>
  <c r="L105" i="59" a="1"/>
  <c r="L105" i="59" s="1"/>
  <c r="K105" i="59" a="1"/>
  <c r="K105" i="59" s="1"/>
  <c r="H90" i="59"/>
  <c r="D77" i="56"/>
  <c r="F77" i="56"/>
  <c r="H79" i="58"/>
  <c r="G79" i="58"/>
  <c r="G77" i="56"/>
  <c r="I107" i="59" l="1" a="1"/>
  <c r="I107" i="59" s="1"/>
  <c r="E106" i="56" a="1"/>
  <c r="E106" i="56" s="1"/>
  <c r="A105" i="56" a="1"/>
  <c r="A105" i="56" s="1"/>
  <c r="B103" i="56" a="1"/>
  <c r="B103" i="56" s="1"/>
  <c r="C104" i="56" a="1"/>
  <c r="C104" i="56" s="1"/>
  <c r="L106" i="59" a="1"/>
  <c r="L106" i="59" s="1"/>
  <c r="K106" i="59" a="1"/>
  <c r="K106" i="59" s="1"/>
  <c r="J106" i="59" a="1"/>
  <c r="J106" i="59" s="1"/>
  <c r="H91" i="59"/>
  <c r="G78" i="56"/>
  <c r="G80" i="58"/>
  <c r="G80" i="59"/>
  <c r="H80" i="58"/>
  <c r="D78" i="56"/>
  <c r="F78" i="56"/>
  <c r="E107" i="56" l="1" a="1"/>
  <c r="E107" i="56" s="1"/>
  <c r="I109" i="59" s="1" a="1"/>
  <c r="I109" i="59" s="1"/>
  <c r="A106" i="56" a="1"/>
  <c r="A106" i="56" s="1"/>
  <c r="I108" i="59" a="1"/>
  <c r="I108" i="59" s="1"/>
  <c r="J107" i="59" a="1"/>
  <c r="J107" i="59" s="1"/>
  <c r="K107" i="59" a="1"/>
  <c r="K107" i="59" s="1"/>
  <c r="L107" i="59" a="1"/>
  <c r="L107" i="59" s="1"/>
  <c r="B104" i="56" a="1"/>
  <c r="B104" i="56" s="1"/>
  <c r="C105" i="56" a="1"/>
  <c r="C105" i="56" s="1"/>
  <c r="F79" i="56"/>
  <c r="H92" i="59"/>
  <c r="G81" i="59"/>
  <c r="H81" i="58"/>
  <c r="G81" i="58"/>
  <c r="D79" i="56"/>
  <c r="G79" i="56"/>
  <c r="K109" i="59" l="1" a="1"/>
  <c r="K109" i="59" s="1"/>
  <c r="J109" i="59" a="1"/>
  <c r="J109" i="59" s="1"/>
  <c r="L109" i="59" a="1"/>
  <c r="L109" i="59" s="1"/>
  <c r="L108" i="59" a="1"/>
  <c r="L108" i="59" s="1"/>
  <c r="J108" i="59" a="1"/>
  <c r="J108" i="59" s="1"/>
  <c r="K108" i="59" a="1"/>
  <c r="K108" i="59" s="1"/>
  <c r="B105" i="56" a="1"/>
  <c r="B105" i="56" s="1"/>
  <c r="C106" i="56" a="1"/>
  <c r="C106" i="56" s="1"/>
  <c r="A107" i="56" a="1"/>
  <c r="A107" i="56" s="1"/>
  <c r="E108" i="56" a="1"/>
  <c r="E108" i="56" s="1"/>
  <c r="F80" i="56"/>
  <c r="H93" i="59"/>
  <c r="H82" i="58"/>
  <c r="D80" i="56"/>
  <c r="G82" i="58"/>
  <c r="G80" i="56"/>
  <c r="G82" i="59"/>
  <c r="I110" i="59" l="1" a="1"/>
  <c r="I110" i="59" s="1"/>
  <c r="E109" i="56" a="1"/>
  <c r="E109" i="56" s="1"/>
  <c r="A108" i="56" a="1"/>
  <c r="A108" i="56" s="1"/>
  <c r="B106" i="56" a="1"/>
  <c r="B106" i="56" s="1"/>
  <c r="C107" i="56" a="1"/>
  <c r="C107" i="56" s="1"/>
  <c r="F81" i="56"/>
  <c r="H94" i="59"/>
  <c r="G81" i="56"/>
  <c r="H83" i="58"/>
  <c r="G83" i="58"/>
  <c r="G83" i="59"/>
  <c r="D81" i="56"/>
  <c r="E110" i="56" l="1" a="1"/>
  <c r="E110" i="56" s="1"/>
  <c r="A110" i="56" s="1" a="1"/>
  <c r="A110" i="56" s="1"/>
  <c r="I111" i="59" a="1"/>
  <c r="I111" i="59" s="1"/>
  <c r="A109" i="56" a="1"/>
  <c r="A109" i="56" s="1"/>
  <c r="C109" i="56" s="1" a="1"/>
  <c r="C109" i="56" s="1"/>
  <c r="B107" i="56" a="1"/>
  <c r="B107" i="56" s="1"/>
  <c r="C108" i="56" a="1"/>
  <c r="C108" i="56" s="1"/>
  <c r="L110" i="59" a="1"/>
  <c r="L110" i="59" s="1"/>
  <c r="J110" i="59" a="1"/>
  <c r="J110" i="59" s="1"/>
  <c r="K110" i="59" a="1"/>
  <c r="K110" i="59" s="1"/>
  <c r="F82" i="56"/>
  <c r="H95" i="59"/>
  <c r="D82" i="56"/>
  <c r="G82" i="56"/>
  <c r="H84" i="58"/>
  <c r="G84" i="58"/>
  <c r="G84" i="59"/>
  <c r="G85" i="59" s="1"/>
  <c r="G86" i="59" s="1"/>
  <c r="G87" i="59" s="1"/>
  <c r="E111" i="56" l="1" a="1"/>
  <c r="E111" i="56" s="1"/>
  <c r="B108" i="56" a="1"/>
  <c r="B108" i="56" s="1"/>
  <c r="I112" i="59" a="1"/>
  <c r="I112" i="59" s="1"/>
  <c r="L112" i="59" s="1" a="1"/>
  <c r="L112" i="59" s="1"/>
  <c r="K111" i="59" a="1"/>
  <c r="K111" i="59" s="1"/>
  <c r="J111" i="59" a="1"/>
  <c r="J111" i="59" s="1"/>
  <c r="L111" i="59" a="1"/>
  <c r="L111" i="59" s="1"/>
  <c r="B109" i="56" a="1"/>
  <c r="B109" i="56" s="1"/>
  <c r="C110" i="56" a="1"/>
  <c r="C110" i="56" s="1"/>
  <c r="I113" i="59" a="1"/>
  <c r="I113" i="59" s="1"/>
  <c r="A111" i="56" a="1"/>
  <c r="A111" i="56" s="1"/>
  <c r="E112" i="56" a="1"/>
  <c r="E112" i="56" s="1"/>
  <c r="I114" i="59" s="1" a="1"/>
  <c r="I114" i="59" s="1"/>
  <c r="K114" i="59" s="1" a="1"/>
  <c r="K114" i="59" s="1"/>
  <c r="I115" i="59" a="1"/>
  <c r="I115" i="59" s="1"/>
  <c r="I116" i="59" a="1"/>
  <c r="I116" i="59" s="1"/>
  <c r="F83" i="56"/>
  <c r="H96" i="59"/>
  <c r="G85" i="58"/>
  <c r="G83" i="56"/>
  <c r="H85" i="58"/>
  <c r="D83" i="56"/>
  <c r="L114" i="59" l="1" a="1"/>
  <c r="L114" i="59" s="1"/>
  <c r="J114" i="59" a="1"/>
  <c r="J114" i="59" s="1"/>
  <c r="J112" i="59" a="1"/>
  <c r="J112" i="59" s="1"/>
  <c r="K112" i="59" a="1"/>
  <c r="K112" i="59" s="1"/>
  <c r="E113" i="56" a="1"/>
  <c r="E113" i="56" s="1"/>
  <c r="E114" i="56" s="1" a="1"/>
  <c r="E114" i="56" s="1"/>
  <c r="E115" i="56" s="1" a="1"/>
  <c r="E115" i="56" s="1"/>
  <c r="E116" i="56" s="1" a="1"/>
  <c r="E116" i="56" s="1"/>
  <c r="A112" i="56" a="1"/>
  <c r="A112" i="56" s="1"/>
  <c r="C112" i="56" s="1" a="1"/>
  <c r="C112" i="56" s="1"/>
  <c r="B110" i="56" a="1"/>
  <c r="B110" i="56" s="1"/>
  <c r="C111" i="56" a="1"/>
  <c r="C111" i="56" s="1"/>
  <c r="J113" i="59" a="1"/>
  <c r="J113" i="59" s="1"/>
  <c r="K113" i="59" a="1"/>
  <c r="K113" i="59" s="1"/>
  <c r="L113" i="59" a="1"/>
  <c r="L113" i="59" s="1"/>
  <c r="A114" i="56" a="1"/>
  <c r="A114" i="56" s="1"/>
  <c r="C114" i="56" s="1" a="1"/>
  <c r="C114" i="56" s="1"/>
  <c r="J115" i="59" a="1"/>
  <c r="J115" i="59" s="1"/>
  <c r="L115" i="59" a="1"/>
  <c r="L115" i="59" s="1"/>
  <c r="K115" i="59" a="1"/>
  <c r="K115" i="59" s="1"/>
  <c r="K116" i="59" a="1"/>
  <c r="K116" i="59" s="1"/>
  <c r="L116" i="59" a="1"/>
  <c r="L116" i="59" s="1"/>
  <c r="J116" i="59" a="1"/>
  <c r="J116" i="59" s="1"/>
  <c r="F84" i="56"/>
  <c r="H97" i="59"/>
  <c r="D84" i="56"/>
  <c r="H86" i="58"/>
  <c r="G84" i="56"/>
  <c r="G86" i="58"/>
  <c r="A115" i="56" l="1" a="1"/>
  <c r="A115" i="56" s="1"/>
  <c r="C115" i="56" s="1" a="1"/>
  <c r="C115" i="56" s="1"/>
  <c r="A113" i="56" a="1"/>
  <c r="A113" i="56" s="1"/>
  <c r="C113" i="56" s="1" a="1"/>
  <c r="C113" i="56" s="1"/>
  <c r="I117" i="59" a="1"/>
  <c r="I117" i="59" s="1"/>
  <c r="B111" i="56" a="1"/>
  <c r="B111" i="56" s="1"/>
  <c r="B114" i="56" a="1"/>
  <c r="B114" i="56" s="1"/>
  <c r="E117" i="56" a="1"/>
  <c r="E117" i="56" s="1"/>
  <c r="I119" i="59" s="1" a="1"/>
  <c r="I119" i="59" s="1"/>
  <c r="I118" i="59" a="1"/>
  <c r="I118" i="59" s="1"/>
  <c r="A116" i="56" a="1"/>
  <c r="A116" i="56" s="1"/>
  <c r="F85" i="56"/>
  <c r="H98" i="59"/>
  <c r="G87" i="58"/>
  <c r="H87" i="58"/>
  <c r="D85" i="56"/>
  <c r="G85" i="56"/>
  <c r="J117" i="59" l="1" a="1"/>
  <c r="J117" i="59" s="1"/>
  <c r="L117" i="59" a="1"/>
  <c r="L117" i="59" s="1"/>
  <c r="K117" i="59" a="1"/>
  <c r="K117" i="59" s="1"/>
  <c r="B115" i="56" a="1"/>
  <c r="B115" i="56" s="1"/>
  <c r="B113" i="56" a="1"/>
  <c r="B113" i="56" s="1"/>
  <c r="B112" i="56" a="1"/>
  <c r="B112" i="56" s="1"/>
  <c r="E118" i="56" a="1"/>
  <c r="E118" i="56" s="1"/>
  <c r="E119" i="56" s="1" a="1"/>
  <c r="E119" i="56" s="1"/>
  <c r="A117" i="56" a="1"/>
  <c r="A117" i="56" s="1"/>
  <c r="C117" i="56" s="1" a="1"/>
  <c r="C117" i="56" s="1"/>
  <c r="C116" i="56" a="1"/>
  <c r="C116" i="56" s="1"/>
  <c r="L118" i="59" a="1"/>
  <c r="L118" i="59" s="1"/>
  <c r="K118" i="59" a="1"/>
  <c r="K118" i="59" s="1"/>
  <c r="J118" i="59" a="1"/>
  <c r="J118" i="59" s="1"/>
  <c r="K119" i="59" a="1"/>
  <c r="K119" i="59" s="1"/>
  <c r="J119" i="59" a="1"/>
  <c r="J119" i="59" s="1"/>
  <c r="L119" i="59" a="1"/>
  <c r="L119" i="59" s="1"/>
  <c r="H99" i="59"/>
  <c r="G88" i="59"/>
  <c r="G86" i="56"/>
  <c r="D86" i="56"/>
  <c r="F86" i="56"/>
  <c r="H88" i="58"/>
  <c r="G88" i="58"/>
  <c r="I120" i="59" l="1" a="1"/>
  <c r="I120" i="59" s="1"/>
  <c r="K120" i="59" s="1" a="1"/>
  <c r="K120" i="59" s="1"/>
  <c r="B116" i="56" a="1"/>
  <c r="B116" i="56" s="1"/>
  <c r="A118" i="56" a="1"/>
  <c r="A118" i="56" s="1"/>
  <c r="C118" i="56" s="1" a="1"/>
  <c r="C118" i="56" s="1"/>
  <c r="E120" i="56" a="1"/>
  <c r="E120" i="56" s="1"/>
  <c r="A119" i="56" a="1"/>
  <c r="A119" i="56" s="1"/>
  <c r="I121" i="59" a="1"/>
  <c r="I121" i="59" s="1"/>
  <c r="F87" i="56"/>
  <c r="H100" i="59"/>
  <c r="G89" i="58"/>
  <c r="G87" i="56"/>
  <c r="H89" i="58"/>
  <c r="G89" i="59"/>
  <c r="D87" i="56"/>
  <c r="J120" i="59" l="1" a="1"/>
  <c r="J120" i="59" s="1"/>
  <c r="L120" i="59" a="1"/>
  <c r="L120" i="59" s="1"/>
  <c r="B118" i="56" a="1"/>
  <c r="B118" i="56" s="1"/>
  <c r="B117" i="56" a="1"/>
  <c r="B117" i="56" s="1"/>
  <c r="E121" i="56" a="1"/>
  <c r="E121" i="56" s="1"/>
  <c r="A120" i="56" a="1"/>
  <c r="A120" i="56" s="1"/>
  <c r="B119" i="56" s="1" a="1"/>
  <c r="B119" i="56" s="1"/>
  <c r="I122" i="59" a="1"/>
  <c r="I122" i="59" s="1"/>
  <c r="C119" i="56" a="1"/>
  <c r="C119" i="56" s="1"/>
  <c r="L121" i="59" a="1"/>
  <c r="L121" i="59" s="1"/>
  <c r="J121" i="59" a="1"/>
  <c r="J121" i="59" s="1"/>
  <c r="K121" i="59" a="1"/>
  <c r="K121" i="59" s="1"/>
  <c r="F88" i="56"/>
  <c r="H101" i="59"/>
  <c r="H90" i="58"/>
  <c r="G90" i="59"/>
  <c r="D88" i="56"/>
  <c r="G88" i="56"/>
  <c r="G90" i="58"/>
  <c r="E122" i="56" l="1" a="1"/>
  <c r="E122" i="56" s="1"/>
  <c r="E123" i="56" s="1" a="1"/>
  <c r="E123" i="56" s="1"/>
  <c r="E124" i="56" s="1" a="1"/>
  <c r="E124" i="56" s="1"/>
  <c r="I126" i="59" s="1" a="1"/>
  <c r="I126" i="59" s="1"/>
  <c r="L126" i="59" s="1" a="1"/>
  <c r="L126" i="59" s="1"/>
  <c r="I123" i="59" a="1"/>
  <c r="I123" i="59" s="1"/>
  <c r="A121" i="56" a="1"/>
  <c r="A121" i="56" s="1"/>
  <c r="C121" i="56" s="1" a="1"/>
  <c r="C121" i="56" s="1"/>
  <c r="C120" i="56" a="1"/>
  <c r="C120" i="56" s="1"/>
  <c r="A122" i="56" a="1"/>
  <c r="A122" i="56" s="1"/>
  <c r="J122" i="59" a="1"/>
  <c r="J122" i="59" s="1"/>
  <c r="L122" i="59" a="1"/>
  <c r="L122" i="59" s="1"/>
  <c r="K122" i="59" a="1"/>
  <c r="K122" i="59" s="1"/>
  <c r="G91" i="59"/>
  <c r="H102" i="59"/>
  <c r="D89" i="56"/>
  <c r="F89" i="56"/>
  <c r="G89" i="56"/>
  <c r="H91" i="58"/>
  <c r="G91" i="58"/>
  <c r="I124" i="59" l="1" a="1"/>
  <c r="I124" i="59" s="1"/>
  <c r="K124" i="59" s="1" a="1"/>
  <c r="K124" i="59" s="1"/>
  <c r="A123" i="56" a="1"/>
  <c r="A123" i="56" s="1"/>
  <c r="C123" i="56" s="1" a="1"/>
  <c r="C123" i="56" s="1"/>
  <c r="I125" i="59" a="1"/>
  <c r="I125" i="59" s="1"/>
  <c r="K125" i="59" s="1" a="1"/>
  <c r="K125" i="59" s="1"/>
  <c r="B120" i="56" a="1"/>
  <c r="B120" i="56" s="1"/>
  <c r="B121" i="56" a="1"/>
  <c r="B121" i="56" s="1"/>
  <c r="L123" i="59" a="1"/>
  <c r="L123" i="59" s="1"/>
  <c r="J123" i="59" a="1"/>
  <c r="J123" i="59" s="1"/>
  <c r="K123" i="59" a="1"/>
  <c r="K123" i="59" s="1"/>
  <c r="A124" i="56" a="1"/>
  <c r="A124" i="56" s="1"/>
  <c r="C124" i="56" s="1" a="1"/>
  <c r="C124" i="56" s="1"/>
  <c r="E125" i="56" a="1"/>
  <c r="E125" i="56" s="1"/>
  <c r="I127" i="59" s="1" a="1"/>
  <c r="I127" i="59" s="1"/>
  <c r="J126" i="59" a="1"/>
  <c r="J126" i="59" s="1"/>
  <c r="K126" i="59" a="1"/>
  <c r="K126" i="59" s="1"/>
  <c r="C122" i="56" a="1"/>
  <c r="C122" i="56" s="1"/>
  <c r="F90" i="56"/>
  <c r="H103" i="59"/>
  <c r="H92" i="58"/>
  <c r="D90" i="56"/>
  <c r="G92" i="58"/>
  <c r="G90" i="56"/>
  <c r="G92" i="59"/>
  <c r="L124" i="59" l="1" a="1"/>
  <c r="L124" i="59" s="1"/>
  <c r="J124" i="59" a="1"/>
  <c r="J124" i="59" s="1"/>
  <c r="B122" i="56" a="1"/>
  <c r="B122" i="56" s="1"/>
  <c r="J125" i="59" a="1"/>
  <c r="J125" i="59" s="1"/>
  <c r="L125" i="59" a="1"/>
  <c r="L125" i="59" s="1"/>
  <c r="B123" i="56" a="1"/>
  <c r="B123" i="56" s="1"/>
  <c r="A125" i="56" a="1"/>
  <c r="A125" i="56" s="1"/>
  <c r="C125" i="56" s="1" a="1"/>
  <c r="C125" i="56" s="1"/>
  <c r="E126" i="56" a="1"/>
  <c r="E126" i="56" s="1"/>
  <c r="E127" i="56" s="1" a="1"/>
  <c r="E127" i="56" s="1"/>
  <c r="L127" i="59" a="1"/>
  <c r="L127" i="59" s="1"/>
  <c r="K127" i="59" a="1"/>
  <c r="K127" i="59" s="1"/>
  <c r="J127" i="59" a="1"/>
  <c r="J127" i="59" s="1"/>
  <c r="F91" i="56"/>
  <c r="H104" i="59"/>
  <c r="G93" i="59"/>
  <c r="G91" i="56"/>
  <c r="D91" i="56"/>
  <c r="H93" i="58"/>
  <c r="G93" i="58"/>
  <c r="B124" i="56" l="1" a="1"/>
  <c r="B124" i="56" s="1"/>
  <c r="A126" i="56" a="1"/>
  <c r="A126" i="56" s="1"/>
  <c r="B125" i="56" s="1" a="1"/>
  <c r="B125" i="56" s="1"/>
  <c r="I128" i="59" a="1"/>
  <c r="I128" i="59" s="1"/>
  <c r="J128" i="59" s="1" a="1"/>
  <c r="J128" i="59" s="1"/>
  <c r="I129" i="59" a="1"/>
  <c r="I129" i="59" s="1"/>
  <c r="E128" i="56" a="1"/>
  <c r="E128" i="56" s="1"/>
  <c r="A127" i="56" a="1"/>
  <c r="A127" i="56" s="1"/>
  <c r="F92" i="56"/>
  <c r="H105" i="59"/>
  <c r="H94" i="58"/>
  <c r="D92" i="56"/>
  <c r="G92" i="56"/>
  <c r="G94" i="58"/>
  <c r="G94" i="59"/>
  <c r="K128" i="59" l="1" a="1"/>
  <c r="K128" i="59" s="1"/>
  <c r="C126" i="56" a="1"/>
  <c r="C126" i="56" s="1"/>
  <c r="L128" i="59" a="1"/>
  <c r="L128" i="59" s="1"/>
  <c r="B126" i="56" a="1"/>
  <c r="B126" i="56" s="1"/>
  <c r="I130" i="59" a="1"/>
  <c r="I130" i="59" s="1"/>
  <c r="E129" i="56" a="1"/>
  <c r="E129" i="56" s="1"/>
  <c r="A128" i="56" a="1"/>
  <c r="A128" i="56" s="1"/>
  <c r="C128" i="56" s="1" a="1"/>
  <c r="C128" i="56" s="1"/>
  <c r="J129" i="59" a="1"/>
  <c r="J129" i="59" s="1"/>
  <c r="L129" i="59" a="1"/>
  <c r="L129" i="59" s="1"/>
  <c r="K129" i="59" a="1"/>
  <c r="K129" i="59" s="1"/>
  <c r="C127" i="56" a="1"/>
  <c r="C127" i="56" s="1"/>
  <c r="F93" i="56"/>
  <c r="H106" i="59"/>
  <c r="G93" i="56"/>
  <c r="G95" i="58"/>
  <c r="H95" i="58"/>
  <c r="D93" i="56"/>
  <c r="G95" i="59"/>
  <c r="B127" i="56" l="1" a="1"/>
  <c r="B127" i="56" s="1"/>
  <c r="I131" i="59" a="1"/>
  <c r="I131" i="59" s="1"/>
  <c r="E130" i="56" a="1"/>
  <c r="E130" i="56" s="1"/>
  <c r="A129" i="56" a="1"/>
  <c r="A129" i="56" s="1"/>
  <c r="L130" i="59" a="1"/>
  <c r="L130" i="59" s="1"/>
  <c r="K130" i="59" a="1"/>
  <c r="K130" i="59" s="1"/>
  <c r="J130" i="59" a="1"/>
  <c r="J130" i="59" s="1"/>
  <c r="F94" i="56"/>
  <c r="H107" i="59"/>
  <c r="G94" i="56"/>
  <c r="D94" i="56"/>
  <c r="G96" i="59"/>
  <c r="G96" i="58"/>
  <c r="H96" i="58"/>
  <c r="J131" i="59" l="1" a="1"/>
  <c r="J131" i="59" s="1"/>
  <c r="K131" i="59" a="1"/>
  <c r="K131" i="59" s="1"/>
  <c r="L131" i="59" a="1"/>
  <c r="L131" i="59" s="1"/>
  <c r="B128" i="56" a="1"/>
  <c r="B128" i="56" s="1"/>
  <c r="C129" i="56" a="1"/>
  <c r="C129" i="56" s="1"/>
  <c r="E131" i="56" a="1"/>
  <c r="E131" i="56" s="1"/>
  <c r="I133" i="59" s="1" a="1"/>
  <c r="I133" i="59" s="1"/>
  <c r="I132" i="59" a="1"/>
  <c r="I132" i="59" s="1"/>
  <c r="A130" i="56" a="1"/>
  <c r="A130" i="56" s="1"/>
  <c r="B129" i="56" s="1" a="1"/>
  <c r="B129" i="56" s="1"/>
  <c r="H108" i="59"/>
  <c r="D95" i="56"/>
  <c r="F95" i="56"/>
  <c r="G95" i="56"/>
  <c r="H97" i="58"/>
  <c r="G97" i="58"/>
  <c r="G97" i="59"/>
  <c r="G98" i="59" s="1"/>
  <c r="G99" i="59" s="1"/>
  <c r="J133" i="59" l="1" a="1"/>
  <c r="J133" i="59" s="1"/>
  <c r="K133" i="59" a="1"/>
  <c r="K133" i="59" s="1"/>
  <c r="L133" i="59" a="1"/>
  <c r="L133" i="59" s="1"/>
  <c r="A131" i="56" a="1"/>
  <c r="A131" i="56" s="1"/>
  <c r="B130" i="56" s="1" a="1"/>
  <c r="B130" i="56" s="1"/>
  <c r="E132" i="56" a="1"/>
  <c r="E132" i="56" s="1"/>
  <c r="L132" i="59" a="1"/>
  <c r="L132" i="59" s="1"/>
  <c r="J132" i="59" a="1"/>
  <c r="J132" i="59" s="1"/>
  <c r="K132" i="59" a="1"/>
  <c r="K132" i="59" s="1"/>
  <c r="C130" i="56" a="1"/>
  <c r="C130" i="56" s="1"/>
  <c r="F96" i="56"/>
  <c r="H109" i="59"/>
  <c r="G96" i="56"/>
  <c r="D96" i="56"/>
  <c r="H98" i="58"/>
  <c r="H99" i="58" s="1"/>
  <c r="G98" i="58"/>
  <c r="G99" i="58" s="1"/>
  <c r="C131" i="56" l="1" a="1"/>
  <c r="C131" i="56" s="1"/>
  <c r="I134" i="59" a="1"/>
  <c r="I134" i="59" s="1"/>
  <c r="E133" i="56" a="1"/>
  <c r="E133" i="56" s="1"/>
  <c r="A132" i="56" a="1"/>
  <c r="A132" i="56" s="1"/>
  <c r="B131" i="56" s="1" a="1"/>
  <c r="B131" i="56" s="1"/>
  <c r="F97" i="56"/>
  <c r="H110" i="59"/>
  <c r="G100" i="58"/>
  <c r="D97" i="56"/>
  <c r="G97" i="56"/>
  <c r="C132" i="56" l="1" a="1"/>
  <c r="C132" i="56" s="1"/>
  <c r="A133" i="56" a="1"/>
  <c r="A133" i="56" s="1"/>
  <c r="E134" i="56" a="1"/>
  <c r="E134" i="56" s="1"/>
  <c r="I135" i="59" a="1"/>
  <c r="I135" i="59" s="1"/>
  <c r="L134" i="59" a="1"/>
  <c r="L134" i="59" s="1"/>
  <c r="K134" i="59" a="1"/>
  <c r="K134" i="59" s="1"/>
  <c r="J134" i="59" a="1"/>
  <c r="J134" i="59" s="1"/>
  <c r="F98" i="56"/>
  <c r="H111" i="59"/>
  <c r="H100" i="58"/>
  <c r="G98" i="56"/>
  <c r="D98" i="56"/>
  <c r="G100" i="59"/>
  <c r="C133" i="56" l="1" a="1"/>
  <c r="C133" i="56" s="1"/>
  <c r="B132" i="56" a="1"/>
  <c r="B132" i="56" s="1"/>
  <c r="L135" i="59" a="1"/>
  <c r="L135" i="59" s="1"/>
  <c r="K135" i="59" a="1"/>
  <c r="K135" i="59" s="1"/>
  <c r="J135" i="59" a="1"/>
  <c r="J135" i="59" s="1"/>
  <c r="I136" i="59" a="1"/>
  <c r="I136" i="59" s="1"/>
  <c r="E135" i="56" a="1"/>
  <c r="E135" i="56" s="1"/>
  <c r="A134" i="56" a="1"/>
  <c r="A134" i="56" s="1"/>
  <c r="C134" i="56" s="1" a="1"/>
  <c r="C134" i="56" s="1"/>
  <c r="F99" i="56"/>
  <c r="H112" i="59"/>
  <c r="G101" i="59"/>
  <c r="D99" i="56"/>
  <c r="H101" i="58"/>
  <c r="G101" i="58"/>
  <c r="G99" i="56"/>
  <c r="B133" i="56" l="1" a="1"/>
  <c r="B133" i="56" s="1"/>
  <c r="I137" i="59" a="1"/>
  <c r="I137" i="59" s="1"/>
  <c r="E136" i="56" a="1"/>
  <c r="E136" i="56" s="1"/>
  <c r="A135" i="56" a="1"/>
  <c r="A135" i="56" s="1"/>
  <c r="K136" i="59" a="1"/>
  <c r="K136" i="59" s="1"/>
  <c r="J136" i="59" a="1"/>
  <c r="J136" i="59" s="1"/>
  <c r="L136" i="59" a="1"/>
  <c r="L136" i="59" s="1"/>
  <c r="F100" i="56"/>
  <c r="H113" i="59"/>
  <c r="H102" i="58"/>
  <c r="D100" i="56"/>
  <c r="G102" i="58"/>
  <c r="G100" i="56"/>
  <c r="G102" i="59"/>
  <c r="B134" i="56" l="1" a="1"/>
  <c r="B134" i="56" s="1"/>
  <c r="C135" i="56" a="1"/>
  <c r="C135" i="56" s="1"/>
  <c r="I138" i="59" a="1"/>
  <c r="I138" i="59" s="1"/>
  <c r="E137" i="56" a="1"/>
  <c r="E137" i="56" s="1"/>
  <c r="A136" i="56" a="1"/>
  <c r="A136" i="56" s="1"/>
  <c r="J137" i="59" a="1"/>
  <c r="J137" i="59" s="1"/>
  <c r="L137" i="59" a="1"/>
  <c r="L137" i="59" s="1"/>
  <c r="K137" i="59" a="1"/>
  <c r="K137" i="59" s="1"/>
  <c r="F101" i="56"/>
  <c r="H114" i="59"/>
  <c r="H103" i="58"/>
  <c r="G101" i="56"/>
  <c r="D101" i="56"/>
  <c r="G103" i="59"/>
  <c r="G103" i="58"/>
  <c r="C136" i="56" l="1" a="1"/>
  <c r="C136" i="56" s="1"/>
  <c r="I139" i="59" a="1"/>
  <c r="I139" i="59" s="1"/>
  <c r="A137" i="56" a="1"/>
  <c r="A137" i="56" s="1"/>
  <c r="E138" i="56" a="1"/>
  <c r="E138" i="56" s="1"/>
  <c r="K138" i="59" a="1"/>
  <c r="K138" i="59" s="1"/>
  <c r="L138" i="59" a="1"/>
  <c r="L138" i="59" s="1"/>
  <c r="J138" i="59" a="1"/>
  <c r="J138" i="59" s="1"/>
  <c r="B135" i="56" a="1"/>
  <c r="B135" i="56" s="1"/>
  <c r="F102" i="56"/>
  <c r="H115" i="59"/>
  <c r="G104" i="58"/>
  <c r="D102" i="56"/>
  <c r="G104" i="59"/>
  <c r="H104" i="58"/>
  <c r="G102" i="56"/>
  <c r="A138" i="56" l="1" a="1"/>
  <c r="A138" i="56" s="1"/>
  <c r="B137" i="56" s="1" a="1"/>
  <c r="B137" i="56" s="1"/>
  <c r="I140" i="59" a="1"/>
  <c r="I140" i="59" s="1"/>
  <c r="E139" i="56" a="1"/>
  <c r="E139" i="56" s="1"/>
  <c r="C137" i="56" a="1"/>
  <c r="C137" i="56" s="1"/>
  <c r="K139" i="59" a="1"/>
  <c r="K139" i="59" s="1"/>
  <c r="J139" i="59" a="1"/>
  <c r="J139" i="59" s="1"/>
  <c r="L139" i="59" a="1"/>
  <c r="L139" i="59" s="1"/>
  <c r="B136" i="56" a="1"/>
  <c r="B136" i="56" s="1"/>
  <c r="F103" i="56"/>
  <c r="H116" i="59"/>
  <c r="D103" i="56"/>
  <c r="H105" i="58"/>
  <c r="G105" i="59"/>
  <c r="G103" i="56"/>
  <c r="G105" i="58"/>
  <c r="E140" i="56" l="1" a="1"/>
  <c r="E140" i="56" s="1"/>
  <c r="I141" i="59" a="1"/>
  <c r="I141" i="59" s="1"/>
  <c r="A139" i="56" a="1"/>
  <c r="A139" i="56" s="1"/>
  <c r="B138" i="56" s="1" a="1"/>
  <c r="B138" i="56" s="1"/>
  <c r="J140" i="59" a="1"/>
  <c r="J140" i="59" s="1"/>
  <c r="L140" i="59" a="1"/>
  <c r="L140" i="59" s="1"/>
  <c r="K140" i="59" a="1"/>
  <c r="K140" i="59" s="1"/>
  <c r="C138" i="56" a="1"/>
  <c r="C138" i="56" s="1"/>
  <c r="H117" i="59"/>
  <c r="G106" i="59"/>
  <c r="G106" i="58"/>
  <c r="G104" i="56"/>
  <c r="H106" i="58"/>
  <c r="D104" i="56"/>
  <c r="F104" i="56"/>
  <c r="J141" i="59" l="1" a="1"/>
  <c r="J141" i="59" s="1"/>
  <c r="K141" i="59" a="1"/>
  <c r="K141" i="59" s="1"/>
  <c r="L141" i="59" a="1"/>
  <c r="L141" i="59" s="1"/>
  <c r="A140" i="56" a="1"/>
  <c r="A140" i="56" s="1"/>
  <c r="I142" i="59" a="1"/>
  <c r="I142" i="59" s="1"/>
  <c r="E141" i="56" a="1"/>
  <c r="E141" i="56" s="1"/>
  <c r="C139" i="56" a="1"/>
  <c r="C139" i="56" s="1"/>
  <c r="I151" i="59" a="1"/>
  <c r="I151" i="59" s="1"/>
  <c r="F105" i="56"/>
  <c r="H118" i="59"/>
  <c r="D105" i="56"/>
  <c r="G107" i="59"/>
  <c r="G105" i="56"/>
  <c r="H107" i="58"/>
  <c r="G107" i="58"/>
  <c r="I143" i="59" l="1" a="1"/>
  <c r="I143" i="59" s="1"/>
  <c r="E142" i="56" a="1"/>
  <c r="E142" i="56" s="1"/>
  <c r="A141" i="56" a="1"/>
  <c r="A141" i="56" s="1"/>
  <c r="B140" i="56" s="1" a="1"/>
  <c r="B140" i="56" s="1"/>
  <c r="L142" i="59" a="1"/>
  <c r="L142" i="59" s="1"/>
  <c r="J142" i="59" a="1"/>
  <c r="J142" i="59" s="1"/>
  <c r="K142" i="59" a="1"/>
  <c r="K142" i="59" s="1"/>
  <c r="C140" i="56" a="1"/>
  <c r="C140" i="56" s="1"/>
  <c r="B139" i="56" a="1"/>
  <c r="B139" i="56" s="1"/>
  <c r="I152" i="59" a="1"/>
  <c r="I152" i="59" s="1"/>
  <c r="L151" i="59" a="1"/>
  <c r="L151" i="59" s="1"/>
  <c r="K151" i="59" a="1"/>
  <c r="K151" i="59" s="1"/>
  <c r="J151" i="59" a="1"/>
  <c r="J151" i="59" s="1"/>
  <c r="H151" i="59"/>
  <c r="F106" i="56"/>
  <c r="H119" i="59"/>
  <c r="G108" i="58"/>
  <c r="G108" i="59"/>
  <c r="G106" i="56"/>
  <c r="H108" i="58"/>
  <c r="D106" i="56"/>
  <c r="C141" i="56" l="1" a="1"/>
  <c r="C141" i="56" s="1"/>
  <c r="I144" i="59" a="1"/>
  <c r="I144" i="59" s="1"/>
  <c r="A142" i="56" a="1"/>
  <c r="A142" i="56" s="1"/>
  <c r="C142" i="56" s="1" a="1"/>
  <c r="C142" i="56" s="1"/>
  <c r="E143" i="56" a="1"/>
  <c r="E143" i="56" s="1"/>
  <c r="L143" i="59" a="1"/>
  <c r="L143" i="59" s="1"/>
  <c r="K143" i="59" a="1"/>
  <c r="K143" i="59" s="1"/>
  <c r="J143" i="59" a="1"/>
  <c r="J143" i="59" s="1"/>
  <c r="I153" i="59" a="1"/>
  <c r="I153" i="59" s="1"/>
  <c r="J152" i="59" a="1"/>
  <c r="J152" i="59" s="1"/>
  <c r="L152" i="59" a="1"/>
  <c r="L152" i="59" s="1"/>
  <c r="K152" i="59" a="1"/>
  <c r="K152" i="59" s="1"/>
  <c r="H152" i="59"/>
  <c r="F107" i="56"/>
  <c r="H120" i="59"/>
  <c r="G107" i="56"/>
  <c r="G109" i="59"/>
  <c r="D107" i="56"/>
  <c r="H109" i="58"/>
  <c r="G109" i="58"/>
  <c r="B141" i="56" l="1" a="1"/>
  <c r="B141" i="56" s="1"/>
  <c r="E144" i="56" a="1"/>
  <c r="E144" i="56" s="1"/>
  <c r="I146" i="59" s="1" a="1"/>
  <c r="I146" i="59" s="1"/>
  <c r="A143" i="56" a="1"/>
  <c r="A143" i="56" s="1"/>
  <c r="I145" i="59" a="1"/>
  <c r="I145" i="59" s="1"/>
  <c r="L144" i="59" a="1"/>
  <c r="L144" i="59" s="1"/>
  <c r="J144" i="59" a="1"/>
  <c r="J144" i="59" s="1"/>
  <c r="K144" i="59" a="1"/>
  <c r="K144" i="59" s="1"/>
  <c r="J153" i="59" a="1"/>
  <c r="J153" i="59" s="1"/>
  <c r="K153" i="59" a="1"/>
  <c r="K153" i="59" s="1"/>
  <c r="L153" i="59" a="1"/>
  <c r="L153" i="59" s="1"/>
  <c r="H153" i="59"/>
  <c r="F108" i="56"/>
  <c r="H121" i="59"/>
  <c r="D108" i="56"/>
  <c r="H110" i="58"/>
  <c r="G110" i="58"/>
  <c r="G110" i="59"/>
  <c r="G111" i="59" s="1"/>
  <c r="G112" i="59" s="1"/>
  <c r="G113" i="59" s="1"/>
  <c r="G108" i="56"/>
  <c r="K146" i="59" l="1" a="1"/>
  <c r="K146" i="59" s="1"/>
  <c r="L146" i="59" a="1"/>
  <c r="L146" i="59" s="1"/>
  <c r="J146" i="59" a="1"/>
  <c r="J146" i="59" s="1"/>
  <c r="L145" i="59" a="1"/>
  <c r="L145" i="59" s="1"/>
  <c r="J145" i="59" a="1"/>
  <c r="J145" i="59" s="1"/>
  <c r="K145" i="59" a="1"/>
  <c r="K145" i="59" s="1"/>
  <c r="B142" i="56" a="1"/>
  <c r="B142" i="56" s="1"/>
  <c r="C143" i="56" a="1"/>
  <c r="C143" i="56" s="1"/>
  <c r="E145" i="56" a="1"/>
  <c r="E145" i="56" s="1"/>
  <c r="A144" i="56" a="1"/>
  <c r="A144" i="56" s="1"/>
  <c r="B143" i="56" s="1" a="1"/>
  <c r="B143" i="56" s="1"/>
  <c r="F109" i="56"/>
  <c r="H122" i="59"/>
  <c r="G111" i="58"/>
  <c r="G112" i="58" s="1"/>
  <c r="G109" i="56"/>
  <c r="D109" i="56"/>
  <c r="H111" i="58"/>
  <c r="E146" i="56" l="1" a="1"/>
  <c r="E146" i="56" s="1"/>
  <c r="I148" i="59" s="1" a="1"/>
  <c r="I148" i="59" s="1"/>
  <c r="I147" i="59" a="1"/>
  <c r="I147" i="59" s="1"/>
  <c r="A145" i="56" a="1"/>
  <c r="A145" i="56" s="1"/>
  <c r="B144" i="56" s="1" a="1"/>
  <c r="B144" i="56" s="1"/>
  <c r="C144" i="56" a="1"/>
  <c r="C144" i="56" s="1"/>
  <c r="A146" i="56" a="1"/>
  <c r="A146" i="56" s="1"/>
  <c r="H124" i="59"/>
  <c r="F110" i="56"/>
  <c r="D110" i="56"/>
  <c r="H112" i="58"/>
  <c r="G110" i="56"/>
  <c r="E147" i="56" l="1" a="1"/>
  <c r="E147" i="56" s="1"/>
  <c r="E148" i="56" s="1" a="1"/>
  <c r="E148" i="56" s="1"/>
  <c r="C145" i="56" a="1"/>
  <c r="C145" i="56" s="1"/>
  <c r="B145" i="56" a="1"/>
  <c r="B145" i="56" s="1"/>
  <c r="L147" i="59" a="1"/>
  <c r="L147" i="59" s="1"/>
  <c r="K147" i="59" a="1"/>
  <c r="K147" i="59" s="1"/>
  <c r="J147" i="59" a="1"/>
  <c r="J147" i="59" s="1"/>
  <c r="L148" i="59" a="1"/>
  <c r="L148" i="59" s="1"/>
  <c r="J148" i="59" a="1"/>
  <c r="J148" i="59" s="1"/>
  <c r="K148" i="59" a="1"/>
  <c r="K148" i="59" s="1"/>
  <c r="I149" i="59" a="1"/>
  <c r="I149" i="59" s="1"/>
  <c r="A147" i="56" a="1"/>
  <c r="A147" i="56" s="1"/>
  <c r="I150" i="59" a="1"/>
  <c r="I150" i="59" s="1"/>
  <c r="C146" i="56" a="1"/>
  <c r="C146" i="56" s="1"/>
  <c r="B146" i="56" a="1"/>
  <c r="B146" i="56" s="1"/>
  <c r="H123" i="59"/>
  <c r="F111" i="56"/>
  <c r="H125" i="59"/>
  <c r="G113" i="58"/>
  <c r="H113" i="58"/>
  <c r="D111" i="56"/>
  <c r="G111" i="56"/>
  <c r="A148" i="56" l="1" a="1"/>
  <c r="A148" i="56" s="1"/>
  <c r="C148" i="56" s="1" a="1"/>
  <c r="C148" i="56" s="1"/>
  <c r="E149" i="56" a="1"/>
  <c r="E149" i="56" s="1"/>
  <c r="E150" i="56" s="1" a="1"/>
  <c r="E150" i="56" s="1"/>
  <c r="A150" i="56" s="1" a="1"/>
  <c r="A150" i="56" s="1"/>
  <c r="C150" i="56" s="1" a="1"/>
  <c r="C150" i="56" s="1"/>
  <c r="A149" i="56" a="1"/>
  <c r="A149" i="56" s="1"/>
  <c r="C147" i="56" a="1"/>
  <c r="C147" i="56" s="1"/>
  <c r="B147" i="56" a="1"/>
  <c r="B147" i="56" s="1"/>
  <c r="J149" i="59" a="1"/>
  <c r="J149" i="59" s="1"/>
  <c r="L149" i="59" a="1"/>
  <c r="L149" i="59" s="1"/>
  <c r="H149" i="59"/>
  <c r="K149" i="59" a="1"/>
  <c r="K149" i="59" s="1"/>
  <c r="J150" i="59" a="1"/>
  <c r="J150" i="59" s="1"/>
  <c r="H150" i="59"/>
  <c r="K150" i="59" a="1"/>
  <c r="K150" i="59" s="1"/>
  <c r="L150" i="59" a="1"/>
  <c r="L150" i="59" s="1"/>
  <c r="F112" i="56"/>
  <c r="H126" i="59"/>
  <c r="G112" i="56"/>
  <c r="G114" i="58"/>
  <c r="G114" i="59"/>
  <c r="D112" i="56"/>
  <c r="H114" i="58"/>
  <c r="B148" i="56" l="1" a="1"/>
  <c r="B148" i="56" s="1"/>
  <c r="E151" i="56" a="1"/>
  <c r="E151" i="56" s="1"/>
  <c r="E152" i="56" s="1" a="1"/>
  <c r="E152" i="56" s="1"/>
  <c r="E153" i="56" s="1" a="1"/>
  <c r="E153" i="56" s="1"/>
  <c r="E154" i="56" s="1" a="1"/>
  <c r="E154" i="56" s="1"/>
  <c r="E155" i="56" s="1" a="1"/>
  <c r="E155" i="56" s="1"/>
  <c r="E156" i="56" s="1" a="1"/>
  <c r="E156" i="56" s="1"/>
  <c r="E157" i="56" s="1" a="1"/>
  <c r="E157" i="56" s="1"/>
  <c r="E158" i="56" s="1" a="1"/>
  <c r="E158" i="56" s="1"/>
  <c r="E159" i="56" s="1" a="1"/>
  <c r="E159" i="56" s="1"/>
  <c r="E160" i="56" s="1" a="1"/>
  <c r="E160" i="56" s="1"/>
  <c r="E161" i="56" s="1" a="1"/>
  <c r="E161" i="56" s="1"/>
  <c r="E162" i="56" s="1" a="1"/>
  <c r="E162" i="56" s="1"/>
  <c r="E163" i="56" s="1" a="1"/>
  <c r="E163" i="56" s="1"/>
  <c r="E164" i="56" s="1" a="1"/>
  <c r="E164" i="56" s="1"/>
  <c r="E165" i="56" s="1" a="1"/>
  <c r="E165" i="56" s="1"/>
  <c r="E166" i="56" s="1" a="1"/>
  <c r="E166" i="56" s="1"/>
  <c r="E167" i="56" s="1" a="1"/>
  <c r="E167" i="56" s="1"/>
  <c r="E168" i="56" s="1" a="1"/>
  <c r="E168" i="56" s="1"/>
  <c r="E169" i="56" s="1" a="1"/>
  <c r="E169" i="56" s="1"/>
  <c r="E170" i="56" s="1" a="1"/>
  <c r="E170" i="56" s="1"/>
  <c r="E171" i="56" s="1" a="1"/>
  <c r="E171" i="56" s="1"/>
  <c r="E172" i="56" s="1" a="1"/>
  <c r="E172" i="56" s="1"/>
  <c r="E173" i="56" s="1" a="1"/>
  <c r="E173" i="56" s="1"/>
  <c r="E174" i="56" s="1" a="1"/>
  <c r="E174" i="56" s="1"/>
  <c r="E175" i="56" s="1" a="1"/>
  <c r="E175" i="56" s="1"/>
  <c r="E176" i="56" s="1" a="1"/>
  <c r="E176" i="56" s="1"/>
  <c r="E177" i="56" s="1" a="1"/>
  <c r="E177" i="56" s="1"/>
  <c r="E178" i="56" s="1" a="1"/>
  <c r="E178" i="56" s="1"/>
  <c r="E179" i="56" s="1" a="1"/>
  <c r="E179" i="56" s="1"/>
  <c r="E180" i="56" s="1" a="1"/>
  <c r="E180" i="56" s="1"/>
  <c r="E181" i="56" s="1" a="1"/>
  <c r="E181" i="56" s="1"/>
  <c r="E182" i="56" s="1" a="1"/>
  <c r="E182" i="56" s="1"/>
  <c r="E183" i="56" s="1" a="1"/>
  <c r="E183" i="56" s="1"/>
  <c r="E184" i="56" s="1" a="1"/>
  <c r="E184" i="56" s="1"/>
  <c r="E185" i="56" s="1" a="1"/>
  <c r="E185" i="56" s="1"/>
  <c r="E186" i="56" s="1" a="1"/>
  <c r="E186" i="56" s="1"/>
  <c r="E187" i="56" s="1" a="1"/>
  <c r="E187" i="56" s="1"/>
  <c r="E188" i="56" s="1" a="1"/>
  <c r="E188" i="56" s="1"/>
  <c r="E189" i="56" s="1" a="1"/>
  <c r="E189" i="56" s="1"/>
  <c r="E190" i="56" s="1" a="1"/>
  <c r="E190" i="56" s="1"/>
  <c r="E191" i="56" s="1" a="1"/>
  <c r="E191" i="56" s="1"/>
  <c r="E192" i="56" s="1" a="1"/>
  <c r="E192" i="56" s="1"/>
  <c r="E193" i="56" s="1" a="1"/>
  <c r="E193" i="56" s="1"/>
  <c r="E194" i="56" s="1" a="1"/>
  <c r="E194" i="56" s="1"/>
  <c r="E195" i="56" s="1" a="1"/>
  <c r="E195" i="56" s="1"/>
  <c r="E196" i="56" s="1" a="1"/>
  <c r="E196" i="56" s="1"/>
  <c r="E197" i="56" s="1" a="1"/>
  <c r="E197" i="56" s="1"/>
  <c r="E198" i="56" s="1" a="1"/>
  <c r="E198" i="56" s="1"/>
  <c r="E199" i="56" s="1" a="1"/>
  <c r="E199" i="56" s="1"/>
  <c r="E200" i="56" s="1" a="1"/>
  <c r="E200" i="56" s="1"/>
  <c r="E201" i="56" s="1" a="1"/>
  <c r="E201" i="56" s="1"/>
  <c r="E202" i="56" s="1" a="1"/>
  <c r="E202" i="56" s="1"/>
  <c r="E203" i="56" s="1" a="1"/>
  <c r="E203" i="56" s="1"/>
  <c r="E204" i="56" s="1" a="1"/>
  <c r="E204" i="56" s="1"/>
  <c r="E205" i="56" s="1" a="1"/>
  <c r="E205" i="56" s="1"/>
  <c r="E206" i="56" s="1" a="1"/>
  <c r="E206" i="56" s="1"/>
  <c r="E207" i="56" s="1" a="1"/>
  <c r="E207" i="56" s="1"/>
  <c r="E208" i="56" s="1" a="1"/>
  <c r="E208" i="56" s="1"/>
  <c r="E209" i="56" s="1" a="1"/>
  <c r="E209" i="56" s="1"/>
  <c r="E210" i="56" s="1" a="1"/>
  <c r="E210" i="56" s="1"/>
  <c r="E211" i="56" s="1" a="1"/>
  <c r="E211" i="56" s="1"/>
  <c r="E212" i="56" s="1" a="1"/>
  <c r="E212" i="56" s="1"/>
  <c r="E213" i="56" s="1" a="1"/>
  <c r="E213" i="56" s="1"/>
  <c r="E214" i="56" s="1" a="1"/>
  <c r="E214" i="56" s="1"/>
  <c r="E215" i="56" s="1" a="1"/>
  <c r="E215" i="56" s="1"/>
  <c r="E216" i="56" s="1" a="1"/>
  <c r="E216" i="56" s="1"/>
  <c r="E217" i="56" s="1" a="1"/>
  <c r="E217" i="56" s="1"/>
  <c r="E218" i="56" s="1" a="1"/>
  <c r="E218" i="56" s="1"/>
  <c r="E219" i="56" s="1" a="1"/>
  <c r="E219" i="56" s="1"/>
  <c r="E220" i="56" s="1" a="1"/>
  <c r="E220" i="56" s="1"/>
  <c r="E221" i="56" s="1" a="1"/>
  <c r="E221" i="56" s="1"/>
  <c r="E222" i="56" s="1" a="1"/>
  <c r="E222" i="56" s="1"/>
  <c r="E223" i="56" s="1" a="1"/>
  <c r="E223" i="56" s="1"/>
  <c r="E224" i="56" s="1" a="1"/>
  <c r="E224" i="56" s="1"/>
  <c r="E225" i="56" s="1" a="1"/>
  <c r="E225" i="56" s="1"/>
  <c r="E226" i="56" s="1" a="1"/>
  <c r="E226" i="56" s="1"/>
  <c r="E227" i="56" s="1" a="1"/>
  <c r="E227" i="56" s="1"/>
  <c r="E228" i="56" s="1" a="1"/>
  <c r="E228" i="56" s="1"/>
  <c r="E229" i="56" s="1" a="1"/>
  <c r="E229" i="56" s="1"/>
  <c r="E230" i="56" s="1" a="1"/>
  <c r="E230" i="56" s="1"/>
  <c r="E231" i="56" s="1" a="1"/>
  <c r="E231" i="56" s="1"/>
  <c r="E232" i="56" s="1" a="1"/>
  <c r="E232" i="56" s="1"/>
  <c r="E233" i="56" s="1" a="1"/>
  <c r="E233" i="56" s="1"/>
  <c r="E234" i="56" s="1" a="1"/>
  <c r="E234" i="56" s="1"/>
  <c r="E235" i="56" s="1" a="1"/>
  <c r="E235" i="56" s="1"/>
  <c r="E236" i="56" s="1" a="1"/>
  <c r="E236" i="56" s="1"/>
  <c r="E237" i="56" s="1" a="1"/>
  <c r="E237" i="56" s="1"/>
  <c r="E238" i="56" s="1" a="1"/>
  <c r="E238" i="56" s="1"/>
  <c r="E239" i="56" s="1" a="1"/>
  <c r="E239" i="56" s="1"/>
  <c r="E240" i="56" s="1" a="1"/>
  <c r="E240" i="56" s="1"/>
  <c r="E241" i="56" s="1" a="1"/>
  <c r="E241" i="56" s="1"/>
  <c r="E242" i="56" s="1" a="1"/>
  <c r="E242" i="56" s="1"/>
  <c r="E243" i="56" s="1" a="1"/>
  <c r="E243" i="56" s="1"/>
  <c r="E244" i="56" s="1" a="1"/>
  <c r="E244" i="56" s="1"/>
  <c r="E245" i="56" s="1" a="1"/>
  <c r="E245" i="56" s="1"/>
  <c r="E246" i="56" s="1" a="1"/>
  <c r="E246" i="56" s="1"/>
  <c r="E247" i="56" s="1" a="1"/>
  <c r="E247" i="56" s="1"/>
  <c r="E248" i="56" s="1" a="1"/>
  <c r="E248" i="56" s="1"/>
  <c r="E249" i="56" s="1" a="1"/>
  <c r="E249" i="56" s="1"/>
  <c r="E250" i="56" s="1" a="1"/>
  <c r="E250" i="56" s="1"/>
  <c r="E251" i="56" s="1" a="1"/>
  <c r="E251" i="56" s="1"/>
  <c r="E252" i="56" s="1" a="1"/>
  <c r="E252" i="56" s="1"/>
  <c r="E253" i="56" s="1" a="1"/>
  <c r="E253" i="56" s="1"/>
  <c r="E254" i="56" s="1" a="1"/>
  <c r="E254" i="56" s="1"/>
  <c r="E255" i="56" s="1" a="1"/>
  <c r="E255" i="56" s="1"/>
  <c r="E256" i="56" s="1" a="1"/>
  <c r="E256" i="56" s="1"/>
  <c r="E257" i="56" s="1" a="1"/>
  <c r="E257" i="56" s="1"/>
  <c r="E258" i="56" s="1" a="1"/>
  <c r="E258" i="56" s="1"/>
  <c r="E259" i="56" s="1" a="1"/>
  <c r="E259" i="56" s="1"/>
  <c r="E260" i="56" s="1" a="1"/>
  <c r="E260" i="56" s="1"/>
  <c r="E261" i="56" s="1" a="1"/>
  <c r="E261" i="56" s="1"/>
  <c r="E262" i="56" s="1" a="1"/>
  <c r="E262" i="56" s="1"/>
  <c r="E263" i="56" s="1" a="1"/>
  <c r="E263" i="56" s="1"/>
  <c r="E264" i="56" s="1" a="1"/>
  <c r="E264" i="56" s="1"/>
  <c r="E265" i="56" s="1" a="1"/>
  <c r="E265" i="56" s="1"/>
  <c r="E266" i="56" s="1" a="1"/>
  <c r="E266" i="56" s="1"/>
  <c r="E267" i="56" s="1" a="1"/>
  <c r="E267" i="56" s="1"/>
  <c r="E268" i="56" s="1" a="1"/>
  <c r="E268" i="56" s="1"/>
  <c r="E269" i="56" s="1" a="1"/>
  <c r="E269" i="56" s="1"/>
  <c r="E270" i="56" s="1" a="1"/>
  <c r="E270" i="56" s="1"/>
  <c r="E271" i="56" s="1" a="1"/>
  <c r="E271" i="56" s="1"/>
  <c r="E272" i="56" s="1" a="1"/>
  <c r="E272" i="56" s="1"/>
  <c r="E273" i="56" s="1" a="1"/>
  <c r="E273" i="56" s="1"/>
  <c r="E274" i="56" s="1" a="1"/>
  <c r="E274" i="56" s="1"/>
  <c r="E275" i="56" s="1" a="1"/>
  <c r="E275" i="56" s="1"/>
  <c r="E276" i="56" s="1" a="1"/>
  <c r="E276" i="56" s="1"/>
  <c r="E277" i="56" s="1" a="1"/>
  <c r="E277" i="56" s="1"/>
  <c r="E278" i="56" s="1" a="1"/>
  <c r="E278" i="56" s="1"/>
  <c r="E279" i="56" s="1" a="1"/>
  <c r="E279" i="56" s="1"/>
  <c r="E280" i="56" s="1" a="1"/>
  <c r="E280" i="56" s="1"/>
  <c r="E281" i="56" s="1" a="1"/>
  <c r="E281" i="56" s="1"/>
  <c r="E282" i="56" s="1" a="1"/>
  <c r="E282" i="56" s="1"/>
  <c r="E283" i="56" s="1" a="1"/>
  <c r="E283" i="56" s="1"/>
  <c r="E284" i="56" s="1" a="1"/>
  <c r="E284" i="56" s="1"/>
  <c r="E285" i="56" s="1" a="1"/>
  <c r="E285" i="56" s="1"/>
  <c r="E286" i="56" s="1" a="1"/>
  <c r="E286" i="56" s="1"/>
  <c r="E287" i="56" s="1" a="1"/>
  <c r="E287" i="56" s="1"/>
  <c r="E288" i="56" s="1" a="1"/>
  <c r="E288" i="56" s="1"/>
  <c r="E289" i="56" s="1" a="1"/>
  <c r="E289" i="56" s="1"/>
  <c r="E290" i="56" s="1" a="1"/>
  <c r="E290" i="56" s="1"/>
  <c r="E291" i="56" s="1" a="1"/>
  <c r="E291" i="56" s="1"/>
  <c r="E292" i="56" s="1" a="1"/>
  <c r="E292" i="56" s="1"/>
  <c r="E293" i="56" s="1" a="1"/>
  <c r="E293" i="56" s="1"/>
  <c r="E294" i="56" s="1" a="1"/>
  <c r="E294" i="56" s="1"/>
  <c r="E295" i="56" s="1" a="1"/>
  <c r="E295" i="56" s="1"/>
  <c r="E296" i="56" s="1" a="1"/>
  <c r="E296" i="56" s="1"/>
  <c r="E297" i="56" s="1" a="1"/>
  <c r="E297" i="56" s="1"/>
  <c r="E298" i="56" s="1" a="1"/>
  <c r="E298" i="56" s="1"/>
  <c r="E299" i="56" s="1" a="1"/>
  <c r="E299" i="56" s="1"/>
  <c r="E300" i="56" s="1" a="1"/>
  <c r="E300" i="56" s="1"/>
  <c r="E301" i="56" s="1" a="1"/>
  <c r="E301" i="56" s="1"/>
  <c r="E302" i="56" s="1" a="1"/>
  <c r="E302" i="56" s="1"/>
  <c r="E303" i="56" s="1" a="1"/>
  <c r="E303" i="56" s="1"/>
  <c r="E304" i="56" s="1" a="1"/>
  <c r="E304" i="56" s="1"/>
  <c r="E305" i="56" s="1" a="1"/>
  <c r="E305" i="56" s="1"/>
  <c r="E306" i="56" s="1" a="1"/>
  <c r="E306" i="56" s="1"/>
  <c r="E307" i="56" s="1" a="1"/>
  <c r="E307" i="56" s="1"/>
  <c r="E308" i="56" s="1" a="1"/>
  <c r="E308" i="56" s="1"/>
  <c r="E309" i="56" s="1" a="1"/>
  <c r="E309" i="56" s="1"/>
  <c r="E310" i="56" s="1" a="1"/>
  <c r="E310" i="56" s="1"/>
  <c r="E311" i="56" s="1" a="1"/>
  <c r="E311" i="56" s="1"/>
  <c r="E312" i="56" s="1" a="1"/>
  <c r="E312" i="56" s="1"/>
  <c r="E313" i="56" s="1" a="1"/>
  <c r="E313" i="56" s="1"/>
  <c r="E314" i="56" s="1" a="1"/>
  <c r="E314" i="56" s="1"/>
  <c r="E315" i="56" s="1" a="1"/>
  <c r="E315" i="56" s="1"/>
  <c r="E316" i="56" s="1" a="1"/>
  <c r="E316" i="56" s="1"/>
  <c r="E317" i="56" s="1" a="1"/>
  <c r="E317" i="56" s="1"/>
  <c r="E318" i="56" s="1" a="1"/>
  <c r="E318" i="56" s="1"/>
  <c r="E319" i="56" s="1" a="1"/>
  <c r="E319" i="56" s="1"/>
  <c r="E320" i="56" s="1" a="1"/>
  <c r="E320" i="56" s="1"/>
  <c r="E321" i="56" s="1" a="1"/>
  <c r="E321" i="56" s="1"/>
  <c r="E322" i="56" s="1" a="1"/>
  <c r="E322" i="56" s="1"/>
  <c r="E323" i="56" s="1" a="1"/>
  <c r="E323" i="56" s="1"/>
  <c r="E324" i="56" s="1" a="1"/>
  <c r="E324" i="56" s="1"/>
  <c r="E325" i="56" s="1" a="1"/>
  <c r="E325" i="56" s="1"/>
  <c r="E326" i="56" s="1" a="1"/>
  <c r="E326" i="56" s="1"/>
  <c r="E327" i="56" s="1" a="1"/>
  <c r="E327" i="56" s="1"/>
  <c r="E328" i="56" s="1" a="1"/>
  <c r="E328" i="56" s="1"/>
  <c r="E329" i="56" s="1" a="1"/>
  <c r="E329" i="56" s="1"/>
  <c r="E330" i="56" s="1" a="1"/>
  <c r="E330" i="56" s="1"/>
  <c r="E331" i="56" s="1" a="1"/>
  <c r="E331" i="56" s="1"/>
  <c r="E332" i="56" s="1" a="1"/>
  <c r="E332" i="56" s="1"/>
  <c r="E333" i="56" s="1" a="1"/>
  <c r="E333" i="56" s="1"/>
  <c r="E334" i="56" s="1" a="1"/>
  <c r="E334" i="56" s="1"/>
  <c r="E335" i="56" s="1" a="1"/>
  <c r="E335" i="56" s="1"/>
  <c r="E336" i="56" s="1" a="1"/>
  <c r="E336" i="56" s="1"/>
  <c r="E337" i="56" s="1" a="1"/>
  <c r="E337" i="56" s="1"/>
  <c r="E338" i="56" s="1" a="1"/>
  <c r="E338" i="56" s="1"/>
  <c r="E339" i="56" s="1" a="1"/>
  <c r="E339" i="56" s="1"/>
  <c r="E340" i="56" s="1" a="1"/>
  <c r="E340" i="56" s="1"/>
  <c r="E341" i="56" s="1" a="1"/>
  <c r="E341" i="56" s="1"/>
  <c r="E342" i="56" s="1" a="1"/>
  <c r="E342" i="56" s="1"/>
  <c r="E343" i="56" s="1" a="1"/>
  <c r="E343" i="56" s="1"/>
  <c r="E344" i="56" s="1" a="1"/>
  <c r="E344" i="56" s="1"/>
  <c r="E345" i="56" s="1" a="1"/>
  <c r="E345" i="56" s="1"/>
  <c r="E346" i="56" s="1" a="1"/>
  <c r="E346" i="56" s="1"/>
  <c r="E347" i="56" s="1" a="1"/>
  <c r="E347" i="56" s="1"/>
  <c r="E348" i="56" s="1" a="1"/>
  <c r="E348" i="56" s="1"/>
  <c r="E349" i="56" s="1" a="1"/>
  <c r="E349" i="56" s="1"/>
  <c r="E350" i="56" s="1" a="1"/>
  <c r="E350" i="56" s="1"/>
  <c r="E351" i="56" s="1" a="1"/>
  <c r="E351" i="56" s="1"/>
  <c r="E352" i="56" s="1" a="1"/>
  <c r="E352" i="56" s="1"/>
  <c r="E353" i="56" s="1" a="1"/>
  <c r="E353" i="56" s="1"/>
  <c r="E354" i="56" s="1" a="1"/>
  <c r="E354" i="56" s="1"/>
  <c r="E355" i="56" s="1" a="1"/>
  <c r="E355" i="56" s="1"/>
  <c r="E356" i="56" s="1" a="1"/>
  <c r="E356" i="56" s="1"/>
  <c r="E357" i="56" s="1" a="1"/>
  <c r="E357" i="56" s="1"/>
  <c r="E358" i="56" s="1" a="1"/>
  <c r="E358" i="56" s="1"/>
  <c r="E359" i="56" s="1" a="1"/>
  <c r="E359" i="56" s="1"/>
  <c r="E360" i="56" s="1" a="1"/>
  <c r="E360" i="56" s="1"/>
  <c r="E361" i="56" s="1" a="1"/>
  <c r="E361" i="56" s="1"/>
  <c r="E362" i="56" s="1" a="1"/>
  <c r="E362" i="56" s="1"/>
  <c r="E363" i="56" s="1" a="1"/>
  <c r="E363" i="56" s="1"/>
  <c r="E364" i="56" s="1" a="1"/>
  <c r="E364" i="56" s="1"/>
  <c r="E365" i="56" s="1" a="1"/>
  <c r="E365" i="56" s="1"/>
  <c r="E366" i="56" s="1" a="1"/>
  <c r="E366" i="56" s="1"/>
  <c r="E367" i="56" s="1" a="1"/>
  <c r="E367" i="56" s="1"/>
  <c r="E368" i="56" s="1" a="1"/>
  <c r="E368" i="56" s="1"/>
  <c r="E369" i="56" s="1" a="1"/>
  <c r="E369" i="56" s="1"/>
  <c r="E370" i="56" s="1" a="1"/>
  <c r="E370" i="56" s="1"/>
  <c r="E371" i="56" s="1" a="1"/>
  <c r="E371" i="56" s="1"/>
  <c r="E372" i="56" s="1" a="1"/>
  <c r="E372" i="56" s="1"/>
  <c r="E373" i="56" s="1" a="1"/>
  <c r="E373" i="56" s="1"/>
  <c r="E374" i="56" s="1" a="1"/>
  <c r="E374" i="56" s="1"/>
  <c r="E375" i="56" s="1" a="1"/>
  <c r="E375" i="56" s="1"/>
  <c r="E376" i="56" s="1" a="1"/>
  <c r="E376" i="56" s="1"/>
  <c r="E377" i="56" s="1" a="1"/>
  <c r="E377" i="56" s="1"/>
  <c r="E378" i="56" s="1" a="1"/>
  <c r="E378" i="56" s="1"/>
  <c r="E379" i="56" s="1" a="1"/>
  <c r="E379" i="56" s="1"/>
  <c r="E380" i="56" s="1" a="1"/>
  <c r="E380" i="56" s="1"/>
  <c r="E381" i="56" s="1" a="1"/>
  <c r="E381" i="56" s="1"/>
  <c r="E382" i="56" s="1" a="1"/>
  <c r="E382" i="56" s="1"/>
  <c r="E383" i="56" s="1" a="1"/>
  <c r="E383" i="56" s="1"/>
  <c r="E384" i="56" s="1" a="1"/>
  <c r="E384" i="56" s="1"/>
  <c r="E385" i="56" s="1" a="1"/>
  <c r="E385" i="56" s="1"/>
  <c r="E386" i="56" s="1" a="1"/>
  <c r="E386" i="56" s="1"/>
  <c r="E387" i="56" s="1" a="1"/>
  <c r="E387" i="56" s="1"/>
  <c r="E388" i="56" s="1" a="1"/>
  <c r="E388" i="56" s="1"/>
  <c r="E389" i="56" s="1" a="1"/>
  <c r="E389" i="56" s="1"/>
  <c r="E390" i="56" s="1" a="1"/>
  <c r="E390" i="56" s="1"/>
  <c r="E391" i="56" s="1" a="1"/>
  <c r="E391" i="56" s="1"/>
  <c r="E392" i="56" s="1" a="1"/>
  <c r="E392" i="56" s="1"/>
  <c r="E393" i="56" s="1" a="1"/>
  <c r="E393" i="56" s="1"/>
  <c r="E394" i="56" s="1" a="1"/>
  <c r="E394" i="56" s="1"/>
  <c r="E395" i="56" s="1" a="1"/>
  <c r="E395" i="56" s="1"/>
  <c r="E396" i="56" s="1" a="1"/>
  <c r="E396" i="56" s="1"/>
  <c r="E397" i="56" s="1" a="1"/>
  <c r="E397" i="56" s="1"/>
  <c r="E398" i="56" s="1" a="1"/>
  <c r="E398" i="56" s="1"/>
  <c r="E399" i="56" s="1" a="1"/>
  <c r="E399" i="56" s="1"/>
  <c r="E400" i="56" s="1" a="1"/>
  <c r="E400" i="56" s="1"/>
  <c r="E401" i="56" s="1" a="1"/>
  <c r="E401" i="56" s="1"/>
  <c r="E402" i="56" s="1" a="1"/>
  <c r="E402" i="56" s="1"/>
  <c r="E403" i="56" s="1" a="1"/>
  <c r="E403" i="56" s="1"/>
  <c r="E404" i="56" s="1" a="1"/>
  <c r="E404" i="56" s="1"/>
  <c r="E405" i="56" s="1" a="1"/>
  <c r="E405" i="56" s="1"/>
  <c r="E406" i="56" s="1" a="1"/>
  <c r="E406" i="56" s="1"/>
  <c r="E407" i="56" s="1" a="1"/>
  <c r="E407" i="56" s="1"/>
  <c r="E408" i="56" s="1" a="1"/>
  <c r="E408" i="56" s="1"/>
  <c r="E409" i="56" s="1" a="1"/>
  <c r="E409" i="56" s="1"/>
  <c r="E410" i="56" s="1" a="1"/>
  <c r="E410" i="56" s="1"/>
  <c r="E411" i="56" s="1" a="1"/>
  <c r="E411" i="56" s="1"/>
  <c r="E412" i="56" s="1" a="1"/>
  <c r="E412" i="56" s="1"/>
  <c r="E413" i="56" s="1" a="1"/>
  <c r="E413" i="56" s="1"/>
  <c r="E414" i="56" s="1" a="1"/>
  <c r="E414" i="56" s="1"/>
  <c r="E415" i="56" s="1" a="1"/>
  <c r="E415" i="56" s="1"/>
  <c r="E416" i="56" s="1" a="1"/>
  <c r="E416" i="56" s="1"/>
  <c r="E417" i="56" s="1" a="1"/>
  <c r="E417" i="56" s="1"/>
  <c r="E418" i="56" s="1" a="1"/>
  <c r="E418" i="56" s="1"/>
  <c r="E419" i="56" s="1" a="1"/>
  <c r="E419" i="56" s="1"/>
  <c r="E420" i="56" s="1" a="1"/>
  <c r="E420" i="56" s="1"/>
  <c r="E421" i="56" s="1" a="1"/>
  <c r="E421" i="56" s="1"/>
  <c r="E422" i="56" s="1" a="1"/>
  <c r="E422" i="56" s="1"/>
  <c r="E423" i="56" s="1" a="1"/>
  <c r="E423" i="56" s="1"/>
  <c r="E424" i="56" s="1" a="1"/>
  <c r="E424" i="56" s="1"/>
  <c r="E425" i="56" s="1" a="1"/>
  <c r="E425" i="56" s="1"/>
  <c r="E426" i="56" s="1" a="1"/>
  <c r="E426" i="56" s="1"/>
  <c r="E427" i="56" s="1" a="1"/>
  <c r="E427" i="56" s="1"/>
  <c r="E428" i="56" s="1" a="1"/>
  <c r="E428" i="56" s="1"/>
  <c r="E429" i="56" s="1" a="1"/>
  <c r="E429" i="56" s="1"/>
  <c r="E430" i="56" s="1" a="1"/>
  <c r="E430" i="56" s="1"/>
  <c r="E431" i="56" s="1" a="1"/>
  <c r="E431" i="56" s="1"/>
  <c r="E432" i="56" s="1" a="1"/>
  <c r="E432" i="56" s="1"/>
  <c r="E433" i="56" s="1" a="1"/>
  <c r="E433" i="56" s="1"/>
  <c r="E434" i="56" s="1" a="1"/>
  <c r="E434" i="56" s="1"/>
  <c r="E435" i="56" s="1" a="1"/>
  <c r="E435" i="56" s="1"/>
  <c r="E436" i="56" s="1" a="1"/>
  <c r="E436" i="56" s="1"/>
  <c r="E437" i="56" s="1" a="1"/>
  <c r="E437" i="56" s="1"/>
  <c r="E438" i="56" s="1" a="1"/>
  <c r="E438" i="56" s="1"/>
  <c r="E439" i="56" s="1" a="1"/>
  <c r="E439" i="56" s="1"/>
  <c r="E440" i="56" s="1" a="1"/>
  <c r="E440" i="56" s="1"/>
  <c r="E441" i="56" s="1" a="1"/>
  <c r="E441" i="56" s="1"/>
  <c r="E442" i="56" s="1" a="1"/>
  <c r="E442" i="56" s="1"/>
  <c r="E443" i="56" s="1" a="1"/>
  <c r="E443" i="56" s="1"/>
  <c r="E444" i="56" s="1" a="1"/>
  <c r="E444" i="56" s="1"/>
  <c r="E445" i="56" s="1" a="1"/>
  <c r="E445" i="56" s="1"/>
  <c r="E446" i="56" s="1" a="1"/>
  <c r="E446" i="56" s="1"/>
  <c r="E447" i="56" s="1" a="1"/>
  <c r="E447" i="56" s="1"/>
  <c r="E448" i="56" s="1" a="1"/>
  <c r="E448" i="56" s="1"/>
  <c r="E449" i="56" s="1" a="1"/>
  <c r="E449" i="56" s="1"/>
  <c r="E450" i="56" s="1" a="1"/>
  <c r="E450" i="56" s="1"/>
  <c r="E451" i="56" s="1" a="1"/>
  <c r="E451" i="56" s="1"/>
  <c r="E452" i="56" s="1" a="1"/>
  <c r="E452" i="56" s="1"/>
  <c r="E453" i="56" s="1" a="1"/>
  <c r="E453" i="56" s="1"/>
  <c r="E454" i="56" s="1" a="1"/>
  <c r="E454" i="56" s="1"/>
  <c r="E455" i="56" s="1" a="1"/>
  <c r="E455" i="56" s="1"/>
  <c r="E456" i="56" s="1" a="1"/>
  <c r="E456" i="56" s="1"/>
  <c r="E457" i="56" s="1" a="1"/>
  <c r="E457" i="56" s="1"/>
  <c r="E458" i="56" s="1" a="1"/>
  <c r="E458" i="56" s="1"/>
  <c r="E459" i="56" s="1" a="1"/>
  <c r="E459" i="56" s="1"/>
  <c r="E460" i="56" s="1" a="1"/>
  <c r="E460" i="56" s="1"/>
  <c r="E461" i="56" s="1" a="1"/>
  <c r="E461" i="56" s="1"/>
  <c r="E462" i="56" s="1" a="1"/>
  <c r="E462" i="56" s="1"/>
  <c r="E463" i="56" s="1" a="1"/>
  <c r="E463" i="56" s="1"/>
  <c r="E464" i="56" s="1" a="1"/>
  <c r="E464" i="56" s="1"/>
  <c r="E465" i="56" s="1" a="1"/>
  <c r="E465" i="56" s="1"/>
  <c r="E466" i="56" s="1" a="1"/>
  <c r="E466" i="56" s="1"/>
  <c r="E467" i="56" s="1" a="1"/>
  <c r="E467" i="56" s="1"/>
  <c r="E468" i="56" s="1" a="1"/>
  <c r="E468" i="56" s="1"/>
  <c r="E469" i="56" s="1" a="1"/>
  <c r="E469" i="56" s="1"/>
  <c r="E470" i="56" s="1" a="1"/>
  <c r="E470" i="56" s="1"/>
  <c r="E471" i="56" s="1" a="1"/>
  <c r="E471" i="56" s="1"/>
  <c r="E472" i="56" s="1" a="1"/>
  <c r="E472" i="56" s="1"/>
  <c r="E473" i="56" s="1" a="1"/>
  <c r="E473" i="56" s="1"/>
  <c r="E474" i="56" s="1" a="1"/>
  <c r="E474" i="56" s="1"/>
  <c r="E475" i="56" s="1" a="1"/>
  <c r="E475" i="56" s="1"/>
  <c r="E476" i="56" s="1" a="1"/>
  <c r="E476" i="56" s="1"/>
  <c r="E477" i="56" s="1" a="1"/>
  <c r="E477" i="56" s="1"/>
  <c r="E478" i="56" s="1" a="1"/>
  <c r="E478" i="56" s="1"/>
  <c r="E479" i="56" s="1" a="1"/>
  <c r="E479" i="56" s="1"/>
  <c r="E480" i="56" s="1" a="1"/>
  <c r="E480" i="56" s="1"/>
  <c r="E481" i="56" s="1" a="1"/>
  <c r="E481" i="56" s="1"/>
  <c r="E482" i="56" s="1" a="1"/>
  <c r="E482" i="56" s="1"/>
  <c r="E483" i="56" s="1" a="1"/>
  <c r="E483" i="56" s="1"/>
  <c r="E484" i="56" s="1" a="1"/>
  <c r="E484" i="56" s="1"/>
  <c r="E485" i="56" s="1" a="1"/>
  <c r="E485" i="56" s="1"/>
  <c r="E486" i="56" s="1" a="1"/>
  <c r="E486" i="56" s="1"/>
  <c r="E487" i="56" s="1" a="1"/>
  <c r="E487" i="56" s="1"/>
  <c r="E488" i="56" s="1" a="1"/>
  <c r="E488" i="56" s="1"/>
  <c r="E489" i="56" s="1" a="1"/>
  <c r="E489" i="56" s="1"/>
  <c r="E490" i="56" s="1" a="1"/>
  <c r="E490" i="56" s="1"/>
  <c r="E491" i="56" s="1" a="1"/>
  <c r="E491" i="56" s="1"/>
  <c r="E492" i="56" s="1" a="1"/>
  <c r="E492" i="56" s="1"/>
  <c r="E493" i="56" s="1" a="1"/>
  <c r="E493" i="56" s="1"/>
  <c r="E494" i="56" s="1" a="1"/>
  <c r="E494" i="56" s="1"/>
  <c r="E495" i="56" s="1" a="1"/>
  <c r="E495" i="56" s="1"/>
  <c r="E496" i="56" s="1" a="1"/>
  <c r="E496" i="56" s="1"/>
  <c r="E497" i="56" s="1" a="1"/>
  <c r="E497" i="56" s="1"/>
  <c r="E498" i="56" s="1" a="1"/>
  <c r="E498" i="56" s="1"/>
  <c r="E499" i="56" s="1" a="1"/>
  <c r="E499" i="56" s="1"/>
  <c r="E500" i="56" s="1" a="1"/>
  <c r="E500" i="56" s="1"/>
  <c r="B150" i="56" a="1"/>
  <c r="B150" i="56" s="1"/>
  <c r="C149" i="56" a="1"/>
  <c r="C149" i="56" s="1"/>
  <c r="B149" i="56" a="1"/>
  <c r="B149" i="56" s="1"/>
  <c r="A151" i="56" a="1"/>
  <c r="A151" i="56" s="1"/>
  <c r="H127" i="59"/>
  <c r="G115" i="59"/>
  <c r="H115" i="58"/>
  <c r="D113" i="56"/>
  <c r="F113" i="56"/>
  <c r="G115" i="58"/>
  <c r="G113" i="56"/>
  <c r="B151" i="56" l="1" a="1"/>
  <c r="B151" i="56" s="1"/>
  <c r="C151" i="56" a="1"/>
  <c r="C151" i="56" s="1"/>
  <c r="H128" i="59"/>
  <c r="G114" i="56"/>
  <c r="G116" i="58"/>
  <c r="F114" i="56"/>
  <c r="D114" i="56"/>
  <c r="H116" i="58"/>
  <c r="G116" i="59"/>
  <c r="F115" i="56" l="1"/>
  <c r="H129" i="59"/>
  <c r="G117" i="58"/>
  <c r="G117" i="59"/>
  <c r="H117" i="58"/>
  <c r="D115" i="56"/>
  <c r="G115" i="56"/>
  <c r="G118" i="59" l="1"/>
  <c r="G119" i="59" s="1"/>
  <c r="G120" i="59" s="1"/>
  <c r="H130" i="59"/>
  <c r="D116" i="56"/>
  <c r="F116" i="56"/>
  <c r="G116" i="56"/>
  <c r="H118" i="58"/>
  <c r="G118" i="58"/>
  <c r="F117" i="56" l="1"/>
  <c r="H131" i="59"/>
  <c r="G119" i="58"/>
  <c r="G117" i="56"/>
  <c r="D117" i="56"/>
  <c r="H119" i="58"/>
  <c r="H132" i="59" l="1"/>
  <c r="H120" i="58"/>
  <c r="F118" i="56"/>
  <c r="D118" i="56"/>
  <c r="G120" i="58"/>
  <c r="G118" i="56"/>
  <c r="F119" i="56" l="1"/>
  <c r="H133" i="59"/>
  <c r="D119" i="56"/>
  <c r="H121" i="58"/>
  <c r="G121" i="59"/>
  <c r="G119" i="56"/>
  <c r="G121" i="58"/>
  <c r="F120" i="56" l="1"/>
  <c r="H134" i="59"/>
  <c r="D120" i="56"/>
  <c r="G120" i="56"/>
  <c r="G122" i="58"/>
  <c r="H122" i="58"/>
  <c r="G122" i="59"/>
  <c r="F121" i="56" l="1"/>
  <c r="H135" i="59"/>
  <c r="D121" i="56"/>
  <c r="G121" i="56"/>
  <c r="G123" i="59"/>
  <c r="H123" i="58"/>
  <c r="G123" i="58"/>
  <c r="H136" i="59" l="1"/>
  <c r="G124" i="59"/>
  <c r="G124" i="58"/>
  <c r="G122" i="56"/>
  <c r="D122" i="56"/>
  <c r="F122" i="56"/>
  <c r="H124" i="58"/>
  <c r="F123" i="56" l="1"/>
  <c r="H137" i="59"/>
  <c r="G125" i="59"/>
  <c r="D123" i="56"/>
  <c r="H125" i="58"/>
  <c r="G123" i="56"/>
  <c r="G125" i="58"/>
  <c r="F124" i="56" l="1"/>
  <c r="H138" i="59"/>
  <c r="G124" i="56"/>
  <c r="D124" i="56"/>
  <c r="H126" i="58"/>
  <c r="G126" i="58"/>
  <c r="G126" i="59"/>
  <c r="F125" i="56" l="1"/>
  <c r="H139" i="59"/>
  <c r="G125" i="56"/>
  <c r="D125" i="56"/>
  <c r="G127" i="59"/>
  <c r="H127" i="58"/>
  <c r="G127" i="58"/>
  <c r="F126" i="56" l="1"/>
  <c r="H140" i="59"/>
  <c r="H147" i="59"/>
  <c r="G128" i="58"/>
  <c r="D126" i="56"/>
  <c r="G126" i="56"/>
  <c r="H128" i="58"/>
  <c r="G128" i="59"/>
  <c r="H141" i="59" l="1"/>
  <c r="H148" i="59"/>
  <c r="G127" i="56"/>
  <c r="H129" i="58"/>
  <c r="D127" i="56"/>
  <c r="F127" i="56"/>
  <c r="G129" i="59"/>
  <c r="G129" i="58"/>
  <c r="F128" i="56" l="1"/>
  <c r="H142" i="59"/>
  <c r="G130" i="59"/>
  <c r="G130" i="58"/>
  <c r="G131" i="58" s="1"/>
  <c r="H130" i="58"/>
  <c r="D128" i="56"/>
  <c r="G128" i="56"/>
  <c r="H143" i="59" l="1"/>
  <c r="G131" i="59"/>
  <c r="H131" i="58"/>
  <c r="G129" i="56"/>
  <c r="D129" i="56"/>
  <c r="F129" i="56"/>
  <c r="F130" i="56" l="1"/>
  <c r="F154" i="56"/>
  <c r="H144" i="59"/>
  <c r="G132" i="59"/>
  <c r="G130" i="56"/>
  <c r="D130" i="56"/>
  <c r="H132" i="58"/>
  <c r="G132" i="58"/>
  <c r="F131" i="56" l="1"/>
  <c r="H145" i="59"/>
  <c r="D154" i="56"/>
  <c r="F155" i="56"/>
  <c r="G133" i="59"/>
  <c r="G133" i="58"/>
  <c r="G131" i="56"/>
  <c r="H133" i="58"/>
  <c r="D131" i="56"/>
  <c r="H146" i="59" l="1"/>
  <c r="D155" i="56"/>
  <c r="F156" i="56"/>
  <c r="G134" i="59"/>
  <c r="F132" i="56"/>
  <c r="D132" i="56"/>
  <c r="H134" i="58"/>
  <c r="G132" i="56"/>
  <c r="G134" i="58"/>
  <c r="F133" i="56" l="1"/>
  <c r="D156" i="56"/>
  <c r="F157" i="56"/>
  <c r="G135" i="59"/>
  <c r="G133" i="56"/>
  <c r="G135" i="58"/>
  <c r="D133" i="56"/>
  <c r="H135" i="58"/>
  <c r="F134" i="56" l="1"/>
  <c r="D157" i="56"/>
  <c r="F158" i="56"/>
  <c r="G134" i="56"/>
  <c r="G136" i="59"/>
  <c r="G136" i="58"/>
  <c r="D134" i="56"/>
  <c r="H136" i="58"/>
  <c r="D158" i="56" l="1"/>
  <c r="F159" i="56"/>
  <c r="G137" i="59"/>
  <c r="F135" i="56"/>
  <c r="D135" i="56"/>
  <c r="H137" i="58"/>
  <c r="G135" i="56"/>
  <c r="G137" i="58"/>
  <c r="D159" i="56" l="1"/>
  <c r="F160" i="56"/>
  <c r="G138" i="59"/>
  <c r="D136" i="56"/>
  <c r="F136" i="56"/>
  <c r="H138" i="58"/>
  <c r="G138" i="58"/>
  <c r="G136" i="56"/>
  <c r="F137" i="56" l="1"/>
  <c r="F161" i="56"/>
  <c r="D160" i="56"/>
  <c r="G139" i="59"/>
  <c r="G137" i="56"/>
  <c r="G139" i="58"/>
  <c r="H139" i="58"/>
  <c r="D137" i="56"/>
  <c r="D161" i="56" l="1"/>
  <c r="F162" i="56"/>
  <c r="G140" i="59"/>
  <c r="G141" i="59" s="1"/>
  <c r="G142" i="59" s="1"/>
  <c r="G143" i="59" s="1"/>
  <c r="G144" i="59" s="1"/>
  <c r="G145" i="59" s="1"/>
  <c r="G146" i="59" s="1"/>
  <c r="G147" i="59" s="1"/>
  <c r="G148" i="59" s="1"/>
  <c r="G149" i="59" s="1"/>
  <c r="G150" i="59" s="1"/>
  <c r="G151" i="59" s="1"/>
  <c r="G152" i="59" s="1"/>
  <c r="G153" i="59" s="1"/>
  <c r="G154" i="59" s="1"/>
  <c r="G155" i="59" s="1"/>
  <c r="G156" i="59" s="1"/>
  <c r="G157" i="59" s="1"/>
  <c r="G158" i="59" s="1"/>
  <c r="G159" i="59" s="1"/>
  <c r="G160" i="59" s="1"/>
  <c r="G161" i="59" s="1"/>
  <c r="G162" i="59" s="1"/>
  <c r="G163" i="59" s="1"/>
  <c r="G164" i="59" s="1"/>
  <c r="G165" i="59" s="1"/>
  <c r="G166" i="59" s="1"/>
  <c r="G167" i="59" s="1"/>
  <c r="G168" i="59" s="1"/>
  <c r="G169" i="59" s="1"/>
  <c r="G170" i="59" s="1"/>
  <c r="G171" i="59" s="1"/>
  <c r="G172" i="59" s="1"/>
  <c r="G173" i="59" s="1"/>
  <c r="G174" i="59" s="1"/>
  <c r="G175" i="59" s="1"/>
  <c r="G176" i="59" s="1"/>
  <c r="G177" i="59" s="1"/>
  <c r="G178" i="59" s="1"/>
  <c r="G179" i="59" s="1"/>
  <c r="G180" i="59" s="1"/>
  <c r="G181" i="59" s="1"/>
  <c r="G182" i="59" s="1"/>
  <c r="G183" i="59" s="1"/>
  <c r="G184" i="59" s="1"/>
  <c r="G185" i="59" s="1"/>
  <c r="G186" i="59" s="1"/>
  <c r="G187" i="59" s="1"/>
  <c r="G188" i="59" s="1"/>
  <c r="G189" i="59" s="1"/>
  <c r="G190" i="59" s="1"/>
  <c r="G191" i="59" s="1"/>
  <c r="G192" i="59" s="1"/>
  <c r="G193" i="59" s="1"/>
  <c r="G194" i="59" s="1"/>
  <c r="G195" i="59" s="1"/>
  <c r="G196" i="59" s="1"/>
  <c r="G197" i="59" s="1"/>
  <c r="G198" i="59" s="1"/>
  <c r="G199" i="59" s="1"/>
  <c r="G200" i="59" s="1"/>
  <c r="G201" i="59" s="1"/>
  <c r="G202" i="59" s="1"/>
  <c r="G203" i="59" s="1"/>
  <c r="G204" i="59" s="1"/>
  <c r="G205" i="59" s="1"/>
  <c r="G206" i="59" s="1"/>
  <c r="G207" i="59" s="1"/>
  <c r="G208" i="59" s="1"/>
  <c r="G209" i="59" s="1"/>
  <c r="G210" i="59" s="1"/>
  <c r="G211" i="59" s="1"/>
  <c r="G212" i="59" s="1"/>
  <c r="G213" i="59" s="1"/>
  <c r="G214" i="59" s="1"/>
  <c r="G215" i="59" s="1"/>
  <c r="G216" i="59" s="1"/>
  <c r="G217" i="59" s="1"/>
  <c r="G218" i="59" s="1"/>
  <c r="G219" i="59" s="1"/>
  <c r="G220" i="59" s="1"/>
  <c r="G221" i="59" s="1"/>
  <c r="G222" i="59" s="1"/>
  <c r="G223" i="59" s="1"/>
  <c r="G224" i="59" s="1"/>
  <c r="G225" i="59" s="1"/>
  <c r="G226" i="59" s="1"/>
  <c r="G227" i="59" s="1"/>
  <c r="G228" i="59" s="1"/>
  <c r="G229" i="59" s="1"/>
  <c r="G230" i="59" s="1"/>
  <c r="G231" i="59" s="1"/>
  <c r="G232" i="59" s="1"/>
  <c r="G233" i="59" s="1"/>
  <c r="G234" i="59" s="1"/>
  <c r="G235" i="59" s="1"/>
  <c r="G236" i="59" s="1"/>
  <c r="G237" i="59" s="1"/>
  <c r="G238" i="59" s="1"/>
  <c r="G239" i="59" s="1"/>
  <c r="G240" i="59" s="1"/>
  <c r="G241" i="59" s="1"/>
  <c r="G242" i="59" s="1"/>
  <c r="G243" i="59" s="1"/>
  <c r="G244" i="59" s="1"/>
  <c r="G245" i="59" s="1"/>
  <c r="G246" i="59" s="1"/>
  <c r="G247" i="59" s="1"/>
  <c r="G248" i="59" s="1"/>
  <c r="G249" i="59" s="1"/>
  <c r="G250" i="59" s="1"/>
  <c r="G251" i="59" s="1"/>
  <c r="G252" i="59" s="1"/>
  <c r="G253" i="59" s="1"/>
  <c r="G254" i="59" s="1"/>
  <c r="G255" i="59" s="1"/>
  <c r="G256" i="59" s="1"/>
  <c r="G257" i="59" s="1"/>
  <c r="G258" i="59" s="1"/>
  <c r="G259" i="59" s="1"/>
  <c r="G260" i="59" s="1"/>
  <c r="G261" i="59" s="1"/>
  <c r="G262" i="59" s="1"/>
  <c r="G263" i="59" s="1"/>
  <c r="G264" i="59" s="1"/>
  <c r="G265" i="59" s="1"/>
  <c r="G266" i="59" s="1"/>
  <c r="G267" i="59" s="1"/>
  <c r="G268" i="59" s="1"/>
  <c r="G269" i="59" s="1"/>
  <c r="G270" i="59" s="1"/>
  <c r="G271" i="59" s="1"/>
  <c r="G272" i="59" s="1"/>
  <c r="G273" i="59" s="1"/>
  <c r="G274" i="59" s="1"/>
  <c r="G275" i="59" s="1"/>
  <c r="G276" i="59" s="1"/>
  <c r="G277" i="59" s="1"/>
  <c r="G278" i="59" s="1"/>
  <c r="G279" i="59" s="1"/>
  <c r="G280" i="59" s="1"/>
  <c r="G281" i="59" s="1"/>
  <c r="G282" i="59" s="1"/>
  <c r="G283" i="59" s="1"/>
  <c r="G284" i="59" s="1"/>
  <c r="G285" i="59" s="1"/>
  <c r="G286" i="59" s="1"/>
  <c r="G287" i="59" s="1"/>
  <c r="G288" i="59" s="1"/>
  <c r="G289" i="59" s="1"/>
  <c r="G290" i="59" s="1"/>
  <c r="G291" i="59" s="1"/>
  <c r="G292" i="59" s="1"/>
  <c r="G293" i="59" s="1"/>
  <c r="G294" i="59" s="1"/>
  <c r="G295" i="59" s="1"/>
  <c r="G296" i="59" s="1"/>
  <c r="G297" i="59" s="1"/>
  <c r="G298" i="59" s="1"/>
  <c r="G299" i="59" s="1"/>
  <c r="G300" i="59" s="1"/>
  <c r="G301" i="59" s="1"/>
  <c r="G302" i="59" s="1"/>
  <c r="G303" i="59" s="1"/>
  <c r="G304" i="59" s="1"/>
  <c r="G305" i="59" s="1"/>
  <c r="G306" i="59" s="1"/>
  <c r="G307" i="59" s="1"/>
  <c r="G308" i="59" s="1"/>
  <c r="G309" i="59" s="1"/>
  <c r="G310" i="59" s="1"/>
  <c r="G311" i="59" s="1"/>
  <c r="G312" i="59" s="1"/>
  <c r="G313" i="59" s="1"/>
  <c r="G314" i="59" s="1"/>
  <c r="G315" i="59" s="1"/>
  <c r="G316" i="59" s="1"/>
  <c r="G317" i="59" s="1"/>
  <c r="G318" i="59" s="1"/>
  <c r="G319" i="59" s="1"/>
  <c r="G320" i="59" s="1"/>
  <c r="G321" i="59" s="1"/>
  <c r="G322" i="59" s="1"/>
  <c r="G323" i="59" s="1"/>
  <c r="G324" i="59" s="1"/>
  <c r="G325" i="59" s="1"/>
  <c r="G326" i="59" s="1"/>
  <c r="G327" i="59" s="1"/>
  <c r="G328" i="59" s="1"/>
  <c r="G329" i="59" s="1"/>
  <c r="G330" i="59" s="1"/>
  <c r="G331" i="59" s="1"/>
  <c r="G332" i="59" s="1"/>
  <c r="G333" i="59" s="1"/>
  <c r="G334" i="59" s="1"/>
  <c r="G335" i="59" s="1"/>
  <c r="G336" i="59" s="1"/>
  <c r="G337" i="59" s="1"/>
  <c r="G338" i="59" s="1"/>
  <c r="G339" i="59" s="1"/>
  <c r="G340" i="59" s="1"/>
  <c r="G341" i="59" s="1"/>
  <c r="G342" i="59" s="1"/>
  <c r="G343" i="59" s="1"/>
  <c r="G344" i="59" s="1"/>
  <c r="G345" i="59" s="1"/>
  <c r="G346" i="59" s="1"/>
  <c r="G347" i="59" s="1"/>
  <c r="G348" i="59" s="1"/>
  <c r="G349" i="59" s="1"/>
  <c r="G350" i="59" s="1"/>
  <c r="G351" i="59" s="1"/>
  <c r="G352" i="59" s="1"/>
  <c r="G353" i="59" s="1"/>
  <c r="G354" i="59" s="1"/>
  <c r="G355" i="59" s="1"/>
  <c r="G356" i="59" s="1"/>
  <c r="G357" i="59" s="1"/>
  <c r="G358" i="59" s="1"/>
  <c r="G359" i="59" s="1"/>
  <c r="G360" i="59" s="1"/>
  <c r="G361" i="59" s="1"/>
  <c r="G362" i="59" s="1"/>
  <c r="G363" i="59" s="1"/>
  <c r="G364" i="59" s="1"/>
  <c r="G365" i="59" s="1"/>
  <c r="G366" i="59" s="1"/>
  <c r="G367" i="59" s="1"/>
  <c r="G368" i="59" s="1"/>
  <c r="G369" i="59" s="1"/>
  <c r="G370" i="59" s="1"/>
  <c r="G371" i="59" s="1"/>
  <c r="G372" i="59" s="1"/>
  <c r="G373" i="59" s="1"/>
  <c r="G374" i="59" s="1"/>
  <c r="G375" i="59" s="1"/>
  <c r="G376" i="59" s="1"/>
  <c r="G377" i="59" s="1"/>
  <c r="G378" i="59" s="1"/>
  <c r="G379" i="59" s="1"/>
  <c r="G380" i="59" s="1"/>
  <c r="G381" i="59" s="1"/>
  <c r="G382" i="59" s="1"/>
  <c r="G383" i="59" s="1"/>
  <c r="G384" i="59" s="1"/>
  <c r="G385" i="59" s="1"/>
  <c r="G386" i="59" s="1"/>
  <c r="G387" i="59" s="1"/>
  <c r="G388" i="59" s="1"/>
  <c r="G389" i="59" s="1"/>
  <c r="G390" i="59" s="1"/>
  <c r="G391" i="59" s="1"/>
  <c r="G392" i="59" s="1"/>
  <c r="G393" i="59" s="1"/>
  <c r="G394" i="59" s="1"/>
  <c r="G395" i="59" s="1"/>
  <c r="G396" i="59" s="1"/>
  <c r="G397" i="59" s="1"/>
  <c r="G398" i="59" s="1"/>
  <c r="G399" i="59" s="1"/>
  <c r="G400" i="59" s="1"/>
  <c r="G401" i="59" s="1"/>
  <c r="G402" i="59" s="1"/>
  <c r="G403" i="59" s="1"/>
  <c r="G404" i="59" s="1"/>
  <c r="G405" i="59" s="1"/>
  <c r="G406" i="59" s="1"/>
  <c r="G407" i="59" s="1"/>
  <c r="G408" i="59" s="1"/>
  <c r="G409" i="59" s="1"/>
  <c r="G410" i="59" s="1"/>
  <c r="G411" i="59" s="1"/>
  <c r="G412" i="59" s="1"/>
  <c r="G413" i="59" s="1"/>
  <c r="G414" i="59" s="1"/>
  <c r="G415" i="59" s="1"/>
  <c r="G416" i="59" s="1"/>
  <c r="G417" i="59" s="1"/>
  <c r="G418" i="59" s="1"/>
  <c r="G419" i="59" s="1"/>
  <c r="G420" i="59" s="1"/>
  <c r="G421" i="59" s="1"/>
  <c r="G422" i="59" s="1"/>
  <c r="G423" i="59" s="1"/>
  <c r="G424" i="59" s="1"/>
  <c r="G425" i="59" s="1"/>
  <c r="G426" i="59" s="1"/>
  <c r="G427" i="59" s="1"/>
  <c r="G428" i="59" s="1"/>
  <c r="G429" i="59" s="1"/>
  <c r="G430" i="59" s="1"/>
  <c r="G431" i="59" s="1"/>
  <c r="G432" i="59" s="1"/>
  <c r="G433" i="59" s="1"/>
  <c r="G434" i="59" s="1"/>
  <c r="G435" i="59" s="1"/>
  <c r="G436" i="59" s="1"/>
  <c r="G437" i="59" s="1"/>
  <c r="G438" i="59" s="1"/>
  <c r="G439" i="59" s="1"/>
  <c r="G440" i="59" s="1"/>
  <c r="G441" i="59" s="1"/>
  <c r="G442" i="59" s="1"/>
  <c r="G443" i="59" s="1"/>
  <c r="G444" i="59" s="1"/>
  <c r="G445" i="59" s="1"/>
  <c r="G446" i="59" s="1"/>
  <c r="G447" i="59" s="1"/>
  <c r="G448" i="59" s="1"/>
  <c r="G449" i="59" s="1"/>
  <c r="G450" i="59" s="1"/>
  <c r="G451" i="59" s="1"/>
  <c r="G452" i="59" s="1"/>
  <c r="G453" i="59" s="1"/>
  <c r="G454" i="59" s="1"/>
  <c r="G455" i="59" s="1"/>
  <c r="G456" i="59" s="1"/>
  <c r="G457" i="59" s="1"/>
  <c r="G458" i="59" s="1"/>
  <c r="G459" i="59" s="1"/>
  <c r="G460" i="59" s="1"/>
  <c r="G461" i="59" s="1"/>
  <c r="G462" i="59" s="1"/>
  <c r="G463" i="59" s="1"/>
  <c r="G464" i="59" s="1"/>
  <c r="G465" i="59" s="1"/>
  <c r="G466" i="59" s="1"/>
  <c r="G467" i="59" s="1"/>
  <c r="G468" i="59" s="1"/>
  <c r="G469" i="59" s="1"/>
  <c r="G470" i="59" s="1"/>
  <c r="G471" i="59" s="1"/>
  <c r="G472" i="59" s="1"/>
  <c r="G473" i="59" s="1"/>
  <c r="G474" i="59" s="1"/>
  <c r="G475" i="59" s="1"/>
  <c r="G476" i="59" s="1"/>
  <c r="G477" i="59" s="1"/>
  <c r="G478" i="59" s="1"/>
  <c r="G479" i="59" s="1"/>
  <c r="G480" i="59" s="1"/>
  <c r="G481" i="59" s="1"/>
  <c r="G482" i="59" s="1"/>
  <c r="G483" i="59" s="1"/>
  <c r="G484" i="59" s="1"/>
  <c r="G485" i="59" s="1"/>
  <c r="G486" i="59" s="1"/>
  <c r="G487" i="59" s="1"/>
  <c r="G488" i="59" s="1"/>
  <c r="G489" i="59" s="1"/>
  <c r="G490" i="59" s="1"/>
  <c r="G491" i="59" s="1"/>
  <c r="G492" i="59" s="1"/>
  <c r="G493" i="59" s="1"/>
  <c r="G494" i="59" s="1"/>
  <c r="G495" i="59" s="1"/>
  <c r="G496" i="59" s="1"/>
  <c r="G497" i="59" s="1"/>
  <c r="G498" i="59" s="1"/>
  <c r="G499" i="59" s="1"/>
  <c r="G500" i="59" s="1"/>
  <c r="D138" i="56"/>
  <c r="F138" i="56"/>
  <c r="H140" i="58"/>
  <c r="G140" i="58"/>
  <c r="G138" i="56"/>
  <c r="B4" i="59" l="1"/>
  <c r="D5" i="59"/>
  <c r="C5" i="59"/>
  <c r="F5" i="59"/>
  <c r="E5" i="59"/>
  <c r="E6" i="59"/>
  <c r="D8" i="59"/>
  <c r="C7" i="59"/>
  <c r="B8" i="59" s="1"/>
  <c r="D6" i="59"/>
  <c r="C6" i="59"/>
  <c r="D7" i="59"/>
  <c r="E8" i="59"/>
  <c r="F7" i="59"/>
  <c r="C8" i="59"/>
  <c r="B9" i="59" s="1"/>
  <c r="F8" i="59"/>
  <c r="E7" i="59"/>
  <c r="F6" i="59"/>
  <c r="E9" i="59"/>
  <c r="F9" i="59"/>
  <c r="D9" i="59"/>
  <c r="C9" i="59"/>
  <c r="B10" i="59" s="1"/>
  <c r="C10" i="59"/>
  <c r="B11" i="59" s="1"/>
  <c r="E10" i="59"/>
  <c r="D162" i="56"/>
  <c r="F163" i="56"/>
  <c r="B7" i="59"/>
  <c r="B6" i="59"/>
  <c r="D284" i="59"/>
  <c r="D202" i="59"/>
  <c r="E101" i="59"/>
  <c r="C393" i="59"/>
  <c r="B394" i="59" s="1"/>
  <c r="C403" i="59"/>
  <c r="B404" i="59" s="1"/>
  <c r="F282" i="59"/>
  <c r="C43" i="59"/>
  <c r="B44" i="59" s="1"/>
  <c r="C17" i="59"/>
  <c r="B18" i="59" s="1"/>
  <c r="C19" i="59"/>
  <c r="B20" i="59" s="1"/>
  <c r="C375" i="59"/>
  <c r="B376" i="59" s="1"/>
  <c r="D264" i="59"/>
  <c r="E68" i="59"/>
  <c r="E223" i="59"/>
  <c r="C252" i="59"/>
  <c r="B253" i="59" s="1"/>
  <c r="D338" i="59"/>
  <c r="E467" i="59"/>
  <c r="E347" i="59"/>
  <c r="E203" i="59"/>
  <c r="F63" i="59"/>
  <c r="E491" i="59"/>
  <c r="D102" i="59"/>
  <c r="F97" i="59"/>
  <c r="D59" i="59"/>
  <c r="F354" i="59"/>
  <c r="F476" i="59"/>
  <c r="E278" i="59"/>
  <c r="F159" i="59"/>
  <c r="D214" i="59"/>
  <c r="E384" i="59"/>
  <c r="F126" i="59"/>
  <c r="C315" i="59"/>
  <c r="B316" i="59" s="1"/>
  <c r="E475" i="59"/>
  <c r="D472" i="59"/>
  <c r="D197" i="59"/>
  <c r="D76" i="59"/>
  <c r="E446" i="59"/>
  <c r="D346" i="59"/>
  <c r="E156" i="59"/>
  <c r="C158" i="59"/>
  <c r="B159" i="59" s="1"/>
  <c r="C103" i="59"/>
  <c r="B104" i="59" s="1"/>
  <c r="F255" i="59"/>
  <c r="E88" i="59"/>
  <c r="C296" i="59"/>
  <c r="B297" i="59" s="1"/>
  <c r="C381" i="59"/>
  <c r="B382" i="59" s="1"/>
  <c r="F86" i="59"/>
  <c r="E216" i="59"/>
  <c r="D387" i="59"/>
  <c r="E158" i="59"/>
  <c r="E204" i="59"/>
  <c r="E431" i="59"/>
  <c r="F339" i="59"/>
  <c r="E92" i="59"/>
  <c r="E285" i="59"/>
  <c r="F58" i="59"/>
  <c r="C446" i="59"/>
  <c r="B447" i="59" s="1"/>
  <c r="E128" i="59"/>
  <c r="D180" i="59"/>
  <c r="F153" i="59"/>
  <c r="C259" i="59"/>
  <c r="B260" i="59" s="1"/>
  <c r="F156" i="59"/>
  <c r="C72" i="59"/>
  <c r="B73" i="59" s="1"/>
  <c r="C340" i="59"/>
  <c r="B341" i="59" s="1"/>
  <c r="C455" i="59"/>
  <c r="B456" i="59" s="1"/>
  <c r="C361" i="59"/>
  <c r="B362" i="59" s="1"/>
  <c r="E287" i="59"/>
  <c r="F196" i="59"/>
  <c r="E432" i="59"/>
  <c r="C347" i="59"/>
  <c r="B348" i="59" s="1"/>
  <c r="D159" i="59"/>
  <c r="C150" i="59"/>
  <c r="B151" i="59" s="1"/>
  <c r="D133" i="59"/>
  <c r="E23" i="59"/>
  <c r="E462" i="59"/>
  <c r="E395" i="59"/>
  <c r="D236" i="59"/>
  <c r="E89" i="59"/>
  <c r="E193" i="59"/>
  <c r="F175" i="59"/>
  <c r="D434" i="59"/>
  <c r="F184" i="59"/>
  <c r="F118" i="59"/>
  <c r="D42" i="59"/>
  <c r="D175" i="59"/>
  <c r="C444" i="59"/>
  <c r="B445" i="59" s="1"/>
  <c r="C388" i="59"/>
  <c r="B389" i="59" s="1"/>
  <c r="E241" i="59"/>
  <c r="C139" i="59"/>
  <c r="B140" i="59" s="1"/>
  <c r="C104" i="59"/>
  <c r="B105" i="59" s="1"/>
  <c r="E55" i="59"/>
  <c r="D16" i="59"/>
  <c r="F475" i="59"/>
  <c r="E36" i="59"/>
  <c r="D403" i="59"/>
  <c r="F464" i="59"/>
  <c r="C60" i="59"/>
  <c r="B61" i="59" s="1"/>
  <c r="D321" i="59"/>
  <c r="D416" i="59"/>
  <c r="E331" i="59"/>
  <c r="E125" i="59"/>
  <c r="C23" i="59"/>
  <c r="B24" i="59" s="1"/>
  <c r="E271" i="59"/>
  <c r="F10" i="59"/>
  <c r="E327" i="59"/>
  <c r="C167" i="59"/>
  <c r="B168" i="59" s="1"/>
  <c r="D384" i="59"/>
  <c r="E280" i="59"/>
  <c r="D13" i="59"/>
  <c r="D368" i="59"/>
  <c r="F13" i="59"/>
  <c r="F74" i="59"/>
  <c r="E421" i="59"/>
  <c r="C425" i="59"/>
  <c r="B426" i="59" s="1"/>
  <c r="F412" i="59"/>
  <c r="D474" i="59"/>
  <c r="D381" i="59"/>
  <c r="C285" i="59"/>
  <c r="B286" i="59" s="1"/>
  <c r="E461" i="59"/>
  <c r="F309" i="59"/>
  <c r="F327" i="59"/>
  <c r="C468" i="59"/>
  <c r="B469" i="59" s="1"/>
  <c r="D470" i="59"/>
  <c r="D116" i="59"/>
  <c r="D386" i="59"/>
  <c r="D265" i="59"/>
  <c r="C191" i="59"/>
  <c r="B192" i="59" s="1"/>
  <c r="C128" i="59"/>
  <c r="B129" i="59" s="1"/>
  <c r="C28" i="59"/>
  <c r="B29" i="59" s="1"/>
  <c r="C297" i="59"/>
  <c r="B298" i="59" s="1"/>
  <c r="C96" i="59"/>
  <c r="B97" i="59" s="1"/>
  <c r="C454" i="59"/>
  <c r="B455" i="59" s="1"/>
  <c r="D252" i="59"/>
  <c r="C35" i="59"/>
  <c r="B36" i="59" s="1"/>
  <c r="E270" i="59"/>
  <c r="D60" i="59"/>
  <c r="C277" i="59"/>
  <c r="B278" i="59" s="1"/>
  <c r="D446" i="59"/>
  <c r="C325" i="59"/>
  <c r="B326" i="59" s="1"/>
  <c r="F300" i="59"/>
  <c r="F48" i="59"/>
  <c r="C174" i="59"/>
  <c r="B175" i="59" s="1"/>
  <c r="D489" i="59"/>
  <c r="F496" i="59"/>
  <c r="E64" i="59"/>
  <c r="D46" i="59"/>
  <c r="F106" i="59"/>
  <c r="F349" i="59"/>
  <c r="F465" i="59"/>
  <c r="F451" i="59"/>
  <c r="C457" i="59"/>
  <c r="B458" i="59" s="1"/>
  <c r="F19" i="59"/>
  <c r="D222" i="59"/>
  <c r="F11" i="59"/>
  <c r="C220" i="59"/>
  <c r="B221" i="59" s="1"/>
  <c r="F249" i="59"/>
  <c r="E232" i="59"/>
  <c r="E357" i="59"/>
  <c r="D138" i="59"/>
  <c r="C289" i="59"/>
  <c r="B290" i="59" s="1"/>
  <c r="D243" i="59"/>
  <c r="F45" i="59"/>
  <c r="C54" i="59"/>
  <c r="B55" i="59" s="1"/>
  <c r="F279" i="59"/>
  <c r="C442" i="59"/>
  <c r="B443" i="59" s="1"/>
  <c r="F375" i="59"/>
  <c r="F234" i="59"/>
  <c r="E46" i="59"/>
  <c r="C416" i="59"/>
  <c r="B417" i="59" s="1"/>
  <c r="E151" i="59"/>
  <c r="F115" i="59"/>
  <c r="F355" i="59"/>
  <c r="F215" i="59"/>
  <c r="E206" i="59"/>
  <c r="D149" i="59"/>
  <c r="D459" i="59"/>
  <c r="C304" i="59"/>
  <c r="B305" i="59" s="1"/>
  <c r="C86" i="59"/>
  <c r="B87" i="59" s="1"/>
  <c r="F214" i="59"/>
  <c r="E143" i="59"/>
  <c r="E363" i="59"/>
  <c r="F258" i="59"/>
  <c r="E428" i="59"/>
  <c r="C463" i="59"/>
  <c r="B464" i="59" s="1"/>
  <c r="F77" i="59"/>
  <c r="D410" i="59"/>
  <c r="D418" i="59"/>
  <c r="F179" i="59"/>
  <c r="F26" i="59"/>
  <c r="C423" i="59"/>
  <c r="B424" i="59" s="1"/>
  <c r="F138" i="59"/>
  <c r="D318" i="59"/>
  <c r="D193" i="59"/>
  <c r="D293" i="59"/>
  <c r="C163" i="59"/>
  <c r="B164" i="59" s="1"/>
  <c r="D482" i="59"/>
  <c r="F352" i="59"/>
  <c r="D216" i="59"/>
  <c r="E419" i="59"/>
  <c r="D270" i="59"/>
  <c r="E258" i="59"/>
  <c r="E249" i="59"/>
  <c r="F180" i="59"/>
  <c r="D287" i="59"/>
  <c r="C432" i="59"/>
  <c r="B433" i="59" s="1"/>
  <c r="F500" i="59"/>
  <c r="E350" i="59"/>
  <c r="F108" i="59"/>
  <c r="C496" i="59"/>
  <c r="B497" i="59" s="1"/>
  <c r="C217" i="59"/>
  <c r="B218" i="59" s="1"/>
  <c r="D443" i="59"/>
  <c r="E398" i="59"/>
  <c r="C290" i="59"/>
  <c r="B291" i="59" s="1"/>
  <c r="D98" i="59"/>
  <c r="D465" i="59"/>
  <c r="D169" i="59"/>
  <c r="C317" i="59"/>
  <c r="B318" i="59" s="1"/>
  <c r="D488" i="59"/>
  <c r="E375" i="59"/>
  <c r="D21" i="59"/>
  <c r="C141" i="59"/>
  <c r="B142" i="59" s="1"/>
  <c r="C118" i="59"/>
  <c r="B119" i="59" s="1"/>
  <c r="E394" i="59"/>
  <c r="F244" i="59"/>
  <c r="D271" i="59"/>
  <c r="D268" i="59"/>
  <c r="C434" i="59"/>
  <c r="B435" i="59" s="1"/>
  <c r="F484" i="59"/>
  <c r="E427" i="59"/>
  <c r="D397" i="59"/>
  <c r="F411" i="59"/>
  <c r="C142" i="59"/>
  <c r="B143" i="59" s="1"/>
  <c r="D415" i="59"/>
  <c r="C16" i="59"/>
  <c r="B17" i="59" s="1"/>
  <c r="C415" i="59"/>
  <c r="B416" i="59" s="1"/>
  <c r="E63" i="59"/>
  <c r="F229" i="59"/>
  <c r="C232" i="59"/>
  <c r="B233" i="59" s="1"/>
  <c r="C218" i="59"/>
  <c r="B219" i="59" s="1"/>
  <c r="D34" i="59"/>
  <c r="C406" i="59"/>
  <c r="B407" i="59" s="1"/>
  <c r="D476" i="59"/>
  <c r="E247" i="59"/>
  <c r="D244" i="59"/>
  <c r="C394" i="59"/>
  <c r="B395" i="59" s="1"/>
  <c r="D125" i="59"/>
  <c r="E169" i="59"/>
  <c r="C390" i="59"/>
  <c r="B391" i="59" s="1"/>
  <c r="F98" i="59"/>
  <c r="D463" i="59"/>
  <c r="E465" i="59"/>
  <c r="C272" i="59"/>
  <c r="B273" i="59" s="1"/>
  <c r="F33" i="59"/>
  <c r="D262" i="59"/>
  <c r="D464" i="59"/>
  <c r="C372" i="59"/>
  <c r="B373" i="59" s="1"/>
  <c r="F393" i="59"/>
  <c r="C29" i="59"/>
  <c r="B30" i="59" s="1"/>
  <c r="E389" i="59"/>
  <c r="E442" i="59"/>
  <c r="D117" i="59"/>
  <c r="D209" i="59"/>
  <c r="F113" i="59"/>
  <c r="D120" i="59"/>
  <c r="E479" i="59"/>
  <c r="C437" i="59"/>
  <c r="B438" i="59" s="1"/>
  <c r="F450" i="59"/>
  <c r="F360" i="59"/>
  <c r="E115" i="59"/>
  <c r="D439" i="59"/>
  <c r="F53" i="59"/>
  <c r="E146" i="59"/>
  <c r="C374" i="59"/>
  <c r="B375" i="59" s="1"/>
  <c r="F427" i="59"/>
  <c r="D358" i="59"/>
  <c r="E123" i="59"/>
  <c r="F366" i="59"/>
  <c r="F144" i="59"/>
  <c r="F164" i="59"/>
  <c r="F396" i="59"/>
  <c r="C238" i="59"/>
  <c r="B239" i="59" s="1"/>
  <c r="F169" i="59"/>
  <c r="C343" i="59"/>
  <c r="B344" i="59" s="1"/>
  <c r="D281" i="59"/>
  <c r="E105" i="59"/>
  <c r="C15" i="59"/>
  <c r="B16" i="59" s="1"/>
  <c r="C93" i="59"/>
  <c r="B94" i="59" s="1"/>
  <c r="E210" i="59"/>
  <c r="F395" i="59"/>
  <c r="E184" i="59"/>
  <c r="C333" i="59"/>
  <c r="B334" i="59" s="1"/>
  <c r="E205" i="59"/>
  <c r="E195" i="59"/>
  <c r="D40" i="59"/>
  <c r="F291" i="59"/>
  <c r="C363" i="59"/>
  <c r="B364" i="59" s="1"/>
  <c r="C157" i="59"/>
  <c r="B158" i="59" s="1"/>
  <c r="C392" i="59"/>
  <c r="B393" i="59" s="1"/>
  <c r="C366" i="59"/>
  <c r="B367" i="59" s="1"/>
  <c r="E90" i="59"/>
  <c r="F193" i="59"/>
  <c r="E324" i="59"/>
  <c r="F123" i="59"/>
  <c r="C469" i="59"/>
  <c r="B470" i="59" s="1"/>
  <c r="C115" i="59"/>
  <c r="B116" i="59" s="1"/>
  <c r="F333" i="59"/>
  <c r="C149" i="59"/>
  <c r="B150" i="59" s="1"/>
  <c r="F198" i="59"/>
  <c r="D274" i="59"/>
  <c r="F260" i="59"/>
  <c r="E27" i="59"/>
  <c r="D198" i="59"/>
  <c r="F384" i="59"/>
  <c r="C190" i="59"/>
  <c r="B191" i="59" s="1"/>
  <c r="E41" i="59"/>
  <c r="F365" i="59"/>
  <c r="F208" i="59"/>
  <c r="F305" i="59"/>
  <c r="C373" i="59"/>
  <c r="B374" i="59" s="1"/>
  <c r="D422" i="59"/>
  <c r="C159" i="59"/>
  <c r="B160" i="59" s="1"/>
  <c r="D490" i="59"/>
  <c r="F457" i="59"/>
  <c r="D447" i="59"/>
  <c r="E385" i="59"/>
  <c r="C459" i="59"/>
  <c r="B460" i="59" s="1"/>
  <c r="D57" i="59"/>
  <c r="E126" i="59"/>
  <c r="C298" i="59"/>
  <c r="B299" i="59" s="1"/>
  <c r="C122" i="59"/>
  <c r="B123" i="59" s="1"/>
  <c r="C176" i="59"/>
  <c r="B177" i="59" s="1"/>
  <c r="F95" i="59"/>
  <c r="D249" i="59"/>
  <c r="D201" i="59"/>
  <c r="F243" i="59"/>
  <c r="C178" i="59"/>
  <c r="B179" i="59" s="1"/>
  <c r="D269" i="59"/>
  <c r="E382" i="59"/>
  <c r="D356" i="59"/>
  <c r="C200" i="59"/>
  <c r="B201" i="59" s="1"/>
  <c r="E202" i="59"/>
  <c r="D135" i="59"/>
  <c r="F157" i="59"/>
  <c r="D324" i="59"/>
  <c r="D339" i="59"/>
  <c r="F307" i="59"/>
  <c r="E42" i="59"/>
  <c r="C108" i="59"/>
  <c r="B109" i="59" s="1"/>
  <c r="E175" i="59"/>
  <c r="F213" i="59"/>
  <c r="E441" i="59"/>
  <c r="C263" i="59"/>
  <c r="B264" i="59" s="1"/>
  <c r="E224" i="59"/>
  <c r="F304" i="59"/>
  <c r="F330" i="59"/>
  <c r="F277" i="59"/>
  <c r="F22" i="59"/>
  <c r="E134" i="59"/>
  <c r="D64" i="59"/>
  <c r="C51" i="59"/>
  <c r="B52" i="59" s="1"/>
  <c r="E110" i="59"/>
  <c r="C339" i="59"/>
  <c r="B340" i="59" s="1"/>
  <c r="F270" i="59"/>
  <c r="E487" i="59"/>
  <c r="D345" i="59"/>
  <c r="C414" i="59"/>
  <c r="B415" i="59" s="1"/>
  <c r="D156" i="59"/>
  <c r="C379" i="59"/>
  <c r="B380" i="59" s="1"/>
  <c r="D255" i="59"/>
  <c r="E460" i="59"/>
  <c r="E262" i="59"/>
  <c r="F415" i="59"/>
  <c r="D152" i="59"/>
  <c r="D72" i="59"/>
  <c r="F14" i="59"/>
  <c r="F197" i="59"/>
  <c r="E228" i="59"/>
  <c r="F57" i="59"/>
  <c r="D10" i="59"/>
  <c r="E124" i="59"/>
  <c r="F301" i="59"/>
  <c r="D185" i="59"/>
  <c r="C419" i="59"/>
  <c r="B420" i="59" s="1"/>
  <c r="D455" i="59"/>
  <c r="D351" i="59"/>
  <c r="D171" i="59"/>
  <c r="D450" i="59"/>
  <c r="E252" i="59"/>
  <c r="E177" i="59"/>
  <c r="E488" i="59"/>
  <c r="D28" i="59"/>
  <c r="F173" i="59"/>
  <c r="C201" i="59"/>
  <c r="B202" i="59" s="1"/>
  <c r="F225" i="59"/>
  <c r="F190" i="59"/>
  <c r="F28" i="59"/>
  <c r="C359" i="59"/>
  <c r="B360" i="59" s="1"/>
  <c r="F132" i="59"/>
  <c r="E339" i="59"/>
  <c r="C71" i="59"/>
  <c r="B72" i="59" s="1"/>
  <c r="F145" i="59"/>
  <c r="D365" i="59"/>
  <c r="D104" i="59"/>
  <c r="C422" i="59"/>
  <c r="B423" i="59" s="1"/>
  <c r="E315" i="59"/>
  <c r="C84" i="59"/>
  <c r="B85" i="59" s="1"/>
  <c r="D200" i="59"/>
  <c r="C309" i="59"/>
  <c r="B310" i="59" s="1"/>
  <c r="F357" i="59"/>
  <c r="E119" i="59"/>
  <c r="D437" i="59"/>
  <c r="F347" i="59"/>
  <c r="F492" i="59"/>
  <c r="D210" i="59"/>
  <c r="F383" i="59"/>
  <c r="F261" i="59"/>
  <c r="F73" i="59"/>
  <c r="C448" i="59"/>
  <c r="B449" i="59" s="1"/>
  <c r="C389" i="59"/>
  <c r="B390" i="59" s="1"/>
  <c r="F480" i="59"/>
  <c r="D323" i="59"/>
  <c r="F481" i="59"/>
  <c r="F336" i="59"/>
  <c r="F302" i="59"/>
  <c r="C494" i="59"/>
  <c r="B495" i="59" s="1"/>
  <c r="D389" i="59"/>
  <c r="C214" i="59"/>
  <c r="B215" i="59" s="1"/>
  <c r="F139" i="59"/>
  <c r="E56" i="59"/>
  <c r="C246" i="59"/>
  <c r="B247" i="59" s="1"/>
  <c r="D308" i="59"/>
  <c r="D69" i="59"/>
  <c r="E15" i="59"/>
  <c r="F51" i="59"/>
  <c r="E234" i="59"/>
  <c r="D424" i="59"/>
  <c r="C225" i="59"/>
  <c r="B226" i="59" s="1"/>
  <c r="E403" i="59"/>
  <c r="C135" i="59"/>
  <c r="B136" i="59" s="1"/>
  <c r="F371" i="59"/>
  <c r="F99" i="59"/>
  <c r="F176" i="59"/>
  <c r="C257" i="59"/>
  <c r="B258" i="59" s="1"/>
  <c r="E257" i="59"/>
  <c r="F283" i="59"/>
  <c r="D441" i="59"/>
  <c r="C301" i="59"/>
  <c r="B302" i="59" s="1"/>
  <c r="C194" i="59"/>
  <c r="B195" i="59" s="1"/>
  <c r="C396" i="59"/>
  <c r="B397" i="59" s="1"/>
  <c r="D412" i="59"/>
  <c r="E361" i="59"/>
  <c r="E490" i="59"/>
  <c r="D24" i="59"/>
  <c r="F409" i="59"/>
  <c r="D92" i="59"/>
  <c r="F372" i="59"/>
  <c r="C499" i="59"/>
  <c r="B500" i="59" s="1"/>
  <c r="E120" i="59"/>
  <c r="D25" i="59"/>
  <c r="F148" i="59"/>
  <c r="D484" i="59"/>
  <c r="C407" i="59"/>
  <c r="B408" i="59" s="1"/>
  <c r="E62" i="59"/>
  <c r="E418" i="59"/>
  <c r="E377" i="59"/>
  <c r="C74" i="59"/>
  <c r="B75" i="59" s="1"/>
  <c r="C186" i="59"/>
  <c r="B187" i="59" s="1"/>
  <c r="E364" i="59"/>
  <c r="C498" i="59"/>
  <c r="B499" i="59" s="1"/>
  <c r="F318" i="59"/>
  <c r="D85" i="59"/>
  <c r="F275" i="59"/>
  <c r="F498" i="59"/>
  <c r="F83" i="59"/>
  <c r="E71" i="59"/>
  <c r="E412" i="59"/>
  <c r="D497" i="59"/>
  <c r="C88" i="59"/>
  <c r="B89" i="59" s="1"/>
  <c r="C387" i="59"/>
  <c r="B388" i="59" s="1"/>
  <c r="C250" i="59"/>
  <c r="B251" i="59" s="1"/>
  <c r="C386" i="59"/>
  <c r="B387" i="59" s="1"/>
  <c r="F162" i="59"/>
  <c r="D183" i="59"/>
  <c r="D164" i="59"/>
  <c r="F466" i="59"/>
  <c r="C134" i="59"/>
  <c r="B135" i="59" s="1"/>
  <c r="C467" i="59"/>
  <c r="B468" i="59" s="1"/>
  <c r="E452" i="59"/>
  <c r="C181" i="59"/>
  <c r="B182" i="59" s="1"/>
  <c r="E434" i="59"/>
  <c r="E457" i="59"/>
  <c r="D140" i="59"/>
  <c r="E65" i="59"/>
  <c r="F458" i="59"/>
  <c r="E24" i="59"/>
  <c r="F248" i="59"/>
  <c r="D307" i="59"/>
  <c r="D224" i="59"/>
  <c r="E238" i="59"/>
  <c r="C168" i="59"/>
  <c r="B169" i="59" s="1"/>
  <c r="E96" i="59"/>
  <c r="E273" i="59"/>
  <c r="E32" i="59"/>
  <c r="F146" i="59"/>
  <c r="C356" i="59"/>
  <c r="B357" i="59" s="1"/>
  <c r="F439" i="59"/>
  <c r="C50" i="59"/>
  <c r="B51" i="59" s="1"/>
  <c r="E496" i="59"/>
  <c r="C279" i="59"/>
  <c r="B280" i="59" s="1"/>
  <c r="E264" i="59"/>
  <c r="E219" i="59"/>
  <c r="D348" i="59"/>
  <c r="C226" i="59"/>
  <c r="B227" i="59" s="1"/>
  <c r="E387" i="59"/>
  <c r="F435" i="59"/>
  <c r="D88" i="59"/>
  <c r="F328" i="59"/>
  <c r="C318" i="59"/>
  <c r="B319" i="59" s="1"/>
  <c r="F356" i="59"/>
  <c r="F250" i="59"/>
  <c r="E293" i="59"/>
  <c r="E114" i="59"/>
  <c r="F290" i="59"/>
  <c r="C273" i="59"/>
  <c r="B274" i="59" s="1"/>
  <c r="F362" i="59"/>
  <c r="C352" i="59"/>
  <c r="B353" i="59" s="1"/>
  <c r="C100" i="59"/>
  <c r="B101" i="59" s="1"/>
  <c r="F227" i="59"/>
  <c r="E306" i="59"/>
  <c r="F477" i="59"/>
  <c r="C321" i="59"/>
  <c r="B322" i="59" s="1"/>
  <c r="F154" i="59"/>
  <c r="F486" i="59"/>
  <c r="D155" i="59"/>
  <c r="F350" i="59"/>
  <c r="D95" i="59"/>
  <c r="F168" i="59"/>
  <c r="C451" i="59"/>
  <c r="B452" i="59" s="1"/>
  <c r="E356" i="59"/>
  <c r="E37" i="59"/>
  <c r="D58" i="59"/>
  <c r="C324" i="59"/>
  <c r="B325" i="59" s="1"/>
  <c r="D456" i="59"/>
  <c r="C300" i="59"/>
  <c r="B301" i="59" s="1"/>
  <c r="C97" i="59"/>
  <c r="B98" i="59" s="1"/>
  <c r="E494" i="59"/>
  <c r="C41" i="59"/>
  <c r="B42" i="59" s="1"/>
  <c r="D383" i="59"/>
  <c r="C114" i="59"/>
  <c r="B115" i="59" s="1"/>
  <c r="D238" i="59"/>
  <c r="E141" i="59"/>
  <c r="F120" i="59"/>
  <c r="E319" i="59"/>
  <c r="C438" i="59"/>
  <c r="B439" i="59" s="1"/>
  <c r="E197" i="59"/>
  <c r="F21" i="59"/>
  <c r="F391" i="59"/>
  <c r="C80" i="59"/>
  <c r="B81" i="59" s="1"/>
  <c r="C38" i="59"/>
  <c r="B39" i="59" s="1"/>
  <c r="D423" i="59"/>
  <c r="E397" i="59"/>
  <c r="F80" i="59"/>
  <c r="E402" i="59"/>
  <c r="F335" i="59"/>
  <c r="C371" i="59"/>
  <c r="B372" i="59" s="1"/>
  <c r="E307" i="59"/>
  <c r="E255" i="59"/>
  <c r="E379" i="59"/>
  <c r="C197" i="59"/>
  <c r="B198" i="59" s="1"/>
  <c r="E44" i="59"/>
  <c r="D486" i="59"/>
  <c r="D45" i="59"/>
  <c r="E483" i="59"/>
  <c r="C291" i="59"/>
  <c r="B292" i="59" s="1"/>
  <c r="C117" i="59"/>
  <c r="B118" i="59" s="1"/>
  <c r="D154" i="59"/>
  <c r="E244" i="59"/>
  <c r="F404" i="59"/>
  <c r="D176" i="59"/>
  <c r="C137" i="59"/>
  <c r="B138" i="59" s="1"/>
  <c r="C196" i="59"/>
  <c r="B197" i="59" s="1"/>
  <c r="E498" i="59"/>
  <c r="D367" i="59"/>
  <c r="F16" i="59"/>
  <c r="D196" i="59"/>
  <c r="E279" i="59"/>
  <c r="C27" i="59"/>
  <c r="B28" i="59" s="1"/>
  <c r="D83" i="59"/>
  <c r="E51" i="59"/>
  <c r="F127" i="59"/>
  <c r="C52" i="59"/>
  <c r="B53" i="59" s="1"/>
  <c r="F41" i="59"/>
  <c r="C193" i="59"/>
  <c r="B194" i="59" s="1"/>
  <c r="F141" i="59"/>
  <c r="F341" i="59"/>
  <c r="C353" i="59"/>
  <c r="B354" i="59" s="1"/>
  <c r="E35" i="59"/>
  <c r="C33" i="59"/>
  <c r="B34" i="59" s="1"/>
  <c r="D313" i="59"/>
  <c r="E250" i="59"/>
  <c r="F408" i="59"/>
  <c r="E313" i="59"/>
  <c r="C18" i="59"/>
  <c r="B19" i="59" s="1"/>
  <c r="E283" i="59"/>
  <c r="E31" i="59"/>
  <c r="D70" i="59"/>
  <c r="E93" i="59"/>
  <c r="C109" i="59"/>
  <c r="B110" i="59" s="1"/>
  <c r="D136" i="59"/>
  <c r="E323" i="59"/>
  <c r="C323" i="59"/>
  <c r="B324" i="59" s="1"/>
  <c r="F434" i="59"/>
  <c r="F340" i="59"/>
  <c r="E140" i="59"/>
  <c r="C275" i="59"/>
  <c r="B276" i="59" s="1"/>
  <c r="E476" i="59"/>
  <c r="F390" i="59"/>
  <c r="E57" i="59"/>
  <c r="E267" i="59"/>
  <c r="C276" i="59"/>
  <c r="B277" i="59" s="1"/>
  <c r="D299" i="59"/>
  <c r="E200" i="59"/>
  <c r="D354" i="59"/>
  <c r="C383" i="59"/>
  <c r="B384" i="59" s="1"/>
  <c r="E282" i="59"/>
  <c r="D207" i="59"/>
  <c r="F264" i="59"/>
  <c r="D377" i="59"/>
  <c r="C341" i="59"/>
  <c r="B342" i="59" s="1"/>
  <c r="F96" i="59"/>
  <c r="E168" i="59"/>
  <c r="E58" i="59"/>
  <c r="D256" i="59"/>
  <c r="D192" i="59"/>
  <c r="E325" i="59"/>
  <c r="C99" i="59"/>
  <c r="B100" i="59" s="1"/>
  <c r="F488" i="59"/>
  <c r="E242" i="59"/>
  <c r="E138" i="59"/>
  <c r="E214" i="59"/>
  <c r="C145" i="59"/>
  <c r="B146" i="59" s="1"/>
  <c r="E66" i="59"/>
  <c r="D44" i="59"/>
  <c r="D357" i="59"/>
  <c r="C155" i="59"/>
  <c r="B156" i="59" s="1"/>
  <c r="F207" i="59"/>
  <c r="E342" i="59"/>
  <c r="D444" i="59"/>
  <c r="D96" i="59"/>
  <c r="D347" i="59"/>
  <c r="F470" i="59"/>
  <c r="F89" i="59"/>
  <c r="E447" i="59"/>
  <c r="E99" i="59"/>
  <c r="F36" i="59"/>
  <c r="F326" i="59"/>
  <c r="F323" i="59"/>
  <c r="E303" i="59"/>
  <c r="D208" i="59"/>
  <c r="C408" i="59"/>
  <c r="B409" i="59" s="1"/>
  <c r="D370" i="59"/>
  <c r="D246" i="59"/>
  <c r="D468" i="59"/>
  <c r="D229" i="59"/>
  <c r="E145" i="59"/>
  <c r="C140" i="59"/>
  <c r="B141" i="59" s="1"/>
  <c r="D364" i="59"/>
  <c r="D205" i="59"/>
  <c r="C295" i="59"/>
  <c r="B296" i="59" s="1"/>
  <c r="F135" i="59"/>
  <c r="C67" i="59"/>
  <c r="B68" i="59" s="1"/>
  <c r="F285" i="59"/>
  <c r="D240" i="59"/>
  <c r="E59" i="59"/>
  <c r="E423" i="59"/>
  <c r="E260" i="59"/>
  <c r="C223" i="59"/>
  <c r="B224" i="59" s="1"/>
  <c r="E355" i="59"/>
  <c r="F454" i="59"/>
  <c r="E132" i="59"/>
  <c r="F461" i="59"/>
  <c r="D225" i="59"/>
  <c r="F110" i="59"/>
  <c r="F456" i="59"/>
  <c r="C236" i="59"/>
  <c r="B237" i="59" s="1"/>
  <c r="F119" i="59"/>
  <c r="C233" i="59"/>
  <c r="B234" i="59" s="1"/>
  <c r="C138" i="59"/>
  <c r="B139" i="59" s="1"/>
  <c r="D47" i="59"/>
  <c r="D184" i="59"/>
  <c r="F161" i="59"/>
  <c r="F268" i="59"/>
  <c r="C280" i="59"/>
  <c r="B281" i="59" s="1"/>
  <c r="F151" i="59"/>
  <c r="D73" i="59"/>
  <c r="F257" i="59"/>
  <c r="E301" i="59"/>
  <c r="E474" i="59"/>
  <c r="D137" i="59"/>
  <c r="E34" i="59"/>
  <c r="D91" i="59"/>
  <c r="D280" i="59"/>
  <c r="F263" i="59"/>
  <c r="E30" i="59"/>
  <c r="F232" i="59"/>
  <c r="C173" i="59"/>
  <c r="B174" i="59" s="1"/>
  <c r="C464" i="59"/>
  <c r="B465" i="59" s="1"/>
  <c r="E308" i="59"/>
  <c r="F338" i="59"/>
  <c r="C284" i="59"/>
  <c r="B285" i="59" s="1"/>
  <c r="E157" i="59"/>
  <c r="C472" i="59"/>
  <c r="B473" i="59" s="1"/>
  <c r="E251" i="59"/>
  <c r="F88" i="59"/>
  <c r="F217" i="59"/>
  <c r="C221" i="59"/>
  <c r="B222" i="59" s="1"/>
  <c r="E111" i="59"/>
  <c r="D372" i="59"/>
  <c r="E480" i="59"/>
  <c r="F385" i="59"/>
  <c r="C129" i="59"/>
  <c r="B130" i="59" s="1"/>
  <c r="E226" i="59"/>
  <c r="F262" i="59"/>
  <c r="D158" i="59"/>
  <c r="D373" i="59"/>
  <c r="C337" i="59"/>
  <c r="B338" i="59" s="1"/>
  <c r="E179" i="59"/>
  <c r="C400" i="59"/>
  <c r="B401" i="59" s="1"/>
  <c r="F199" i="59"/>
  <c r="F206" i="59"/>
  <c r="E414" i="59"/>
  <c r="C258" i="59"/>
  <c r="B259" i="59" s="1"/>
  <c r="E49" i="59"/>
  <c r="C165" i="59"/>
  <c r="B166" i="59" s="1"/>
  <c r="F237" i="59"/>
  <c r="C215" i="59"/>
  <c r="B216" i="59" s="1"/>
  <c r="F78" i="59"/>
  <c r="E74" i="59"/>
  <c r="E436" i="59"/>
  <c r="F377" i="59"/>
  <c r="E122" i="59"/>
  <c r="C421" i="59"/>
  <c r="B422" i="59" s="1"/>
  <c r="E470" i="59"/>
  <c r="F413" i="59"/>
  <c r="F405" i="59"/>
  <c r="F306" i="59"/>
  <c r="C130" i="59"/>
  <c r="B131" i="59" s="1"/>
  <c r="C44" i="59"/>
  <c r="B45" i="59" s="1"/>
  <c r="C358" i="59"/>
  <c r="B359" i="59" s="1"/>
  <c r="E413" i="59"/>
  <c r="E486" i="59"/>
  <c r="C205" i="59"/>
  <c r="B206" i="59" s="1"/>
  <c r="C91" i="59"/>
  <c r="B92" i="59" s="1"/>
  <c r="D292" i="59"/>
  <c r="E320" i="59"/>
  <c r="C497" i="59"/>
  <c r="B498" i="59" s="1"/>
  <c r="E48" i="59"/>
  <c r="D475" i="59"/>
  <c r="E118" i="59"/>
  <c r="D394" i="59"/>
  <c r="F251" i="59"/>
  <c r="C417" i="59"/>
  <c r="B418" i="59" s="1"/>
  <c r="C256" i="59"/>
  <c r="B257" i="59" s="1"/>
  <c r="F91" i="59"/>
  <c r="C151" i="59"/>
  <c r="B152" i="59" s="1"/>
  <c r="D263" i="59"/>
  <c r="C327" i="59"/>
  <c r="B328" i="59" s="1"/>
  <c r="F467" i="59"/>
  <c r="D289" i="59"/>
  <c r="D487" i="59"/>
  <c r="C127" i="59"/>
  <c r="B128" i="59" s="1"/>
  <c r="C344" i="59"/>
  <c r="B345" i="59" s="1"/>
  <c r="F56" i="59"/>
  <c r="D305" i="59"/>
  <c r="E137" i="59"/>
  <c r="E136" i="59"/>
  <c r="E107" i="59"/>
  <c r="E344" i="59"/>
  <c r="E497" i="59"/>
  <c r="D129" i="59"/>
  <c r="D398" i="59"/>
  <c r="C147" i="59"/>
  <c r="B148" i="59" s="1"/>
  <c r="E153" i="59"/>
  <c r="E162" i="59"/>
  <c r="E222" i="59"/>
  <c r="E53" i="59"/>
  <c r="D130" i="59"/>
  <c r="F424" i="59"/>
  <c r="E471" i="59"/>
  <c r="F188" i="59"/>
  <c r="D148" i="59"/>
  <c r="E369" i="59"/>
  <c r="C435" i="59"/>
  <c r="B436" i="59" s="1"/>
  <c r="C125" i="59"/>
  <c r="B126" i="59" s="1"/>
  <c r="F202" i="59"/>
  <c r="E437" i="59"/>
  <c r="F381" i="59"/>
  <c r="F60" i="59"/>
  <c r="E329" i="59"/>
  <c r="E67" i="59"/>
  <c r="D301" i="59"/>
  <c r="C12" i="59"/>
  <c r="B13" i="59" s="1"/>
  <c r="E194" i="59"/>
  <c r="E290" i="59"/>
  <c r="F93" i="59"/>
  <c r="D349" i="59"/>
  <c r="F238" i="59"/>
  <c r="E292" i="59"/>
  <c r="F254" i="59"/>
  <c r="C458" i="59"/>
  <c r="B459" i="59" s="1"/>
  <c r="C462" i="59"/>
  <c r="B463" i="59" s="1"/>
  <c r="F431" i="59"/>
  <c r="F182" i="59"/>
  <c r="F319" i="59"/>
  <c r="F472" i="59"/>
  <c r="D325" i="59"/>
  <c r="C409" i="59"/>
  <c r="B410" i="59" s="1"/>
  <c r="D334" i="59"/>
  <c r="F84" i="59"/>
  <c r="F55" i="59"/>
  <c r="C460" i="59"/>
  <c r="B461" i="59" s="1"/>
  <c r="D43" i="59"/>
  <c r="D33" i="59"/>
  <c r="D105" i="59"/>
  <c r="C222" i="59"/>
  <c r="B223" i="59" s="1"/>
  <c r="C329" i="59"/>
  <c r="B330" i="59" s="1"/>
  <c r="D331" i="59"/>
  <c r="E29" i="59"/>
  <c r="D279" i="59"/>
  <c r="D142" i="59"/>
  <c r="F253" i="59"/>
  <c r="F66" i="59"/>
  <c r="E400" i="59"/>
  <c r="C441" i="59"/>
  <c r="B442" i="59" s="1"/>
  <c r="C362" i="59"/>
  <c r="B363" i="59" s="1"/>
  <c r="F224" i="59"/>
  <c r="C170" i="59"/>
  <c r="B171" i="59" s="1"/>
  <c r="E150" i="59"/>
  <c r="C484" i="59"/>
  <c r="B485" i="59" s="1"/>
  <c r="C116" i="59"/>
  <c r="B117" i="59" s="1"/>
  <c r="C113" i="59"/>
  <c r="B114" i="59" s="1"/>
  <c r="C316" i="59"/>
  <c r="B317" i="59" s="1"/>
  <c r="E254" i="59"/>
  <c r="D165" i="59"/>
  <c r="C271" i="59"/>
  <c r="B272" i="59" s="1"/>
  <c r="E373" i="59"/>
  <c r="E370" i="59"/>
  <c r="F174" i="59"/>
  <c r="E174" i="59"/>
  <c r="C59" i="59"/>
  <c r="B60" i="59" s="1"/>
  <c r="F200" i="59"/>
  <c r="E82" i="59"/>
  <c r="D407" i="59"/>
  <c r="D421" i="59"/>
  <c r="D445" i="59"/>
  <c r="F471" i="59"/>
  <c r="F438" i="59"/>
  <c r="D223" i="59"/>
  <c r="E359" i="59"/>
  <c r="E81" i="59"/>
  <c r="F389" i="59"/>
  <c r="D344" i="59"/>
  <c r="F297" i="59"/>
  <c r="C249" i="59"/>
  <c r="B250" i="59" s="1"/>
  <c r="E309" i="59"/>
  <c r="C436" i="59"/>
  <c r="B437" i="59" s="1"/>
  <c r="E259" i="59"/>
  <c r="D272" i="59"/>
  <c r="C348" i="59"/>
  <c r="B349" i="59" s="1"/>
  <c r="C26" i="59"/>
  <c r="B27" i="59" s="1"/>
  <c r="E381" i="59"/>
  <c r="E217" i="59"/>
  <c r="F315" i="59"/>
  <c r="E176" i="59"/>
  <c r="F102" i="59"/>
  <c r="C312" i="59"/>
  <c r="B313" i="59" s="1"/>
  <c r="F468" i="59"/>
  <c r="D312" i="59"/>
  <c r="E229" i="59"/>
  <c r="C70" i="59"/>
  <c r="B71" i="59" s="1"/>
  <c r="E13" i="59"/>
  <c r="E499" i="59"/>
  <c r="C95" i="59"/>
  <c r="B96" i="59" s="1"/>
  <c r="E390" i="59"/>
  <c r="E239" i="59"/>
  <c r="D89" i="59"/>
  <c r="F313" i="59"/>
  <c r="D29" i="59"/>
  <c r="C334" i="59"/>
  <c r="B335" i="59" s="1"/>
  <c r="F195" i="59"/>
  <c r="D87" i="59"/>
  <c r="D461" i="59"/>
  <c r="D36" i="59"/>
  <c r="D395" i="59"/>
  <c r="F308" i="59"/>
  <c r="F314" i="59"/>
  <c r="C287" i="59"/>
  <c r="B288" i="59" s="1"/>
  <c r="E374" i="59"/>
  <c r="C79" i="59"/>
  <c r="B80" i="59" s="1"/>
  <c r="D363" i="59"/>
  <c r="E161" i="59"/>
  <c r="E76" i="59"/>
  <c r="F410" i="59"/>
  <c r="D162" i="59"/>
  <c r="C332" i="59"/>
  <c r="B333" i="59" s="1"/>
  <c r="F177" i="59"/>
  <c r="E17" i="59"/>
  <c r="E103" i="59"/>
  <c r="C185" i="59"/>
  <c r="B186" i="59" s="1"/>
  <c r="F382" i="59"/>
  <c r="D203" i="59"/>
  <c r="E201" i="59"/>
  <c r="D235" i="59"/>
  <c r="F402" i="59"/>
  <c r="C20" i="59"/>
  <c r="B21" i="59" s="1"/>
  <c r="F343" i="59"/>
  <c r="F482" i="59"/>
  <c r="E404" i="59"/>
  <c r="D448" i="59"/>
  <c r="E220" i="59"/>
  <c r="E399" i="59"/>
  <c r="E171" i="59"/>
  <c r="E40" i="59"/>
  <c r="E183" i="59"/>
  <c r="C177" i="59"/>
  <c r="B178" i="59" s="1"/>
  <c r="E127" i="59"/>
  <c r="E495" i="59"/>
  <c r="D188" i="59"/>
  <c r="E337" i="59"/>
  <c r="F272" i="59"/>
  <c r="F25" i="59"/>
  <c r="E463" i="59"/>
  <c r="C478" i="59"/>
  <c r="B479" i="59" s="1"/>
  <c r="C187" i="59"/>
  <c r="B188" i="59" s="1"/>
  <c r="C335" i="59"/>
  <c r="B336" i="59" s="1"/>
  <c r="C489" i="59"/>
  <c r="B490" i="59" s="1"/>
  <c r="D276" i="59"/>
  <c r="E233" i="59"/>
  <c r="D195" i="59"/>
  <c r="E450" i="59"/>
  <c r="F426" i="59"/>
  <c r="D352" i="59"/>
  <c r="C78" i="59"/>
  <c r="B79" i="59" s="1"/>
  <c r="C346" i="59"/>
  <c r="B347" i="59" s="1"/>
  <c r="E230" i="59"/>
  <c r="C281" i="59"/>
  <c r="B282" i="59" s="1"/>
  <c r="D206" i="59"/>
  <c r="F284" i="59"/>
  <c r="D121" i="59"/>
  <c r="D328" i="59"/>
  <c r="F94" i="59"/>
  <c r="D212" i="59"/>
  <c r="C213" i="59"/>
  <c r="B214" i="59" s="1"/>
  <c r="C240" i="59"/>
  <c r="B241" i="59" s="1"/>
  <c r="F142" i="59"/>
  <c r="E50" i="59"/>
  <c r="D23" i="59"/>
  <c r="F288" i="59"/>
  <c r="C68" i="59"/>
  <c r="B69" i="59" s="1"/>
  <c r="D451" i="59"/>
  <c r="E25" i="59"/>
  <c r="E61" i="59"/>
  <c r="C319" i="59"/>
  <c r="B320" i="59" s="1"/>
  <c r="C490" i="59"/>
  <c r="B491" i="59" s="1"/>
  <c r="C429" i="59"/>
  <c r="B430" i="59" s="1"/>
  <c r="F211" i="59"/>
  <c r="D350" i="59"/>
  <c r="E113" i="59"/>
  <c r="C310" i="59"/>
  <c r="B311" i="59" s="1"/>
  <c r="F218" i="59"/>
  <c r="F414" i="59"/>
  <c r="E139" i="59"/>
  <c r="C314" i="59"/>
  <c r="B315" i="59" s="1"/>
  <c r="C56" i="59"/>
  <c r="B57" i="59" s="1"/>
  <c r="E253" i="59"/>
  <c r="E178" i="59"/>
  <c r="D199" i="59"/>
  <c r="F230" i="59"/>
  <c r="D414" i="59"/>
  <c r="F158" i="59"/>
  <c r="D261" i="59"/>
  <c r="E95" i="59"/>
  <c r="F114" i="59"/>
  <c r="F233" i="59"/>
  <c r="C65" i="59"/>
  <c r="B66" i="59" s="1"/>
  <c r="C45" i="59"/>
  <c r="B46" i="59" s="1"/>
  <c r="D170" i="59"/>
  <c r="E343" i="59"/>
  <c r="D343" i="59"/>
  <c r="C224" i="59"/>
  <c r="B225" i="59" s="1"/>
  <c r="D234" i="59"/>
  <c r="D132" i="59"/>
  <c r="E296" i="59"/>
  <c r="F31" i="59"/>
  <c r="E240" i="59"/>
  <c r="D90" i="59"/>
  <c r="E322" i="59"/>
  <c r="E180" i="59"/>
  <c r="C94" i="59"/>
  <c r="B95" i="59" s="1"/>
  <c r="C260" i="59"/>
  <c r="B261" i="59" s="1"/>
  <c r="E199" i="59"/>
  <c r="C251" i="59"/>
  <c r="B252" i="59" s="1"/>
  <c r="E383" i="59"/>
  <c r="E182" i="59"/>
  <c r="F46" i="59"/>
  <c r="C105" i="59"/>
  <c r="B106" i="59" s="1"/>
  <c r="E245" i="59"/>
  <c r="F71" i="59"/>
  <c r="E188" i="59"/>
  <c r="D400" i="59"/>
  <c r="E116" i="59"/>
  <c r="C39" i="59"/>
  <c r="B40" i="59" s="1"/>
  <c r="F103" i="59"/>
  <c r="F447" i="59"/>
  <c r="D53" i="59"/>
  <c r="D166" i="59"/>
  <c r="F150" i="59"/>
  <c r="E80" i="59"/>
  <c r="F245" i="59"/>
  <c r="E268" i="59"/>
  <c r="F252" i="59"/>
  <c r="D316" i="59"/>
  <c r="C470" i="59"/>
  <c r="B471" i="59" s="1"/>
  <c r="D141" i="59"/>
  <c r="C92" i="59"/>
  <c r="B93" i="59" s="1"/>
  <c r="F417" i="59"/>
  <c r="F124" i="59"/>
  <c r="F259" i="59"/>
  <c r="D460" i="59"/>
  <c r="D48" i="59"/>
  <c r="D431" i="59"/>
  <c r="F293" i="59"/>
  <c r="D181" i="59"/>
  <c r="F359" i="59"/>
  <c r="C37" i="59"/>
  <c r="B38" i="59" s="1"/>
  <c r="D62" i="59"/>
  <c r="F35" i="59"/>
  <c r="E345" i="59"/>
  <c r="E352" i="59"/>
  <c r="D100" i="59"/>
  <c r="C481" i="59"/>
  <c r="B482" i="59" s="1"/>
  <c r="D179" i="59"/>
  <c r="D392" i="59"/>
  <c r="C244" i="59"/>
  <c r="B245" i="59" s="1"/>
  <c r="D302" i="59"/>
  <c r="F27" i="59"/>
  <c r="C199" i="59"/>
  <c r="B200" i="59" s="1"/>
  <c r="F187" i="59"/>
  <c r="E133" i="59"/>
  <c r="F428" i="59"/>
  <c r="F82" i="59"/>
  <c r="E52" i="59"/>
  <c r="F72" i="59"/>
  <c r="E33" i="59"/>
  <c r="E366" i="59"/>
  <c r="C391" i="59"/>
  <c r="B392" i="59" s="1"/>
  <c r="D303" i="59"/>
  <c r="C47" i="59"/>
  <c r="B48" i="59" s="1"/>
  <c r="E321" i="59"/>
  <c r="D341" i="59"/>
  <c r="D12" i="59"/>
  <c r="F401" i="59"/>
  <c r="C123" i="59"/>
  <c r="B124" i="59" s="1"/>
  <c r="C355" i="59"/>
  <c r="B356" i="59" s="1"/>
  <c r="D382" i="59"/>
  <c r="E415" i="59"/>
  <c r="E456" i="59"/>
  <c r="C192" i="59"/>
  <c r="B193" i="59" s="1"/>
  <c r="D429" i="59"/>
  <c r="F376" i="59"/>
  <c r="C179" i="59"/>
  <c r="B180" i="59" s="1"/>
  <c r="C493" i="59"/>
  <c r="B494" i="59" s="1"/>
  <c r="D359" i="59"/>
  <c r="D182" i="59"/>
  <c r="C482" i="59"/>
  <c r="B483" i="59" s="1"/>
  <c r="E108" i="59"/>
  <c r="C121" i="59"/>
  <c r="B122" i="59" s="1"/>
  <c r="F459" i="59"/>
  <c r="C76" i="59"/>
  <c r="B77" i="59" s="1"/>
  <c r="E147" i="59"/>
  <c r="F394" i="59"/>
  <c r="C81" i="59"/>
  <c r="B82" i="59" s="1"/>
  <c r="C112" i="59"/>
  <c r="B113" i="59" s="1"/>
  <c r="F281" i="59"/>
  <c r="D143" i="59"/>
  <c r="C131" i="59"/>
  <c r="B132" i="59" s="1"/>
  <c r="C87" i="59"/>
  <c r="B88" i="59" s="1"/>
  <c r="D485" i="59"/>
  <c r="C207" i="59"/>
  <c r="B208" i="59" s="1"/>
  <c r="F483" i="59"/>
  <c r="E360" i="59"/>
  <c r="D22" i="59"/>
  <c r="C58" i="59"/>
  <c r="B59" i="59" s="1"/>
  <c r="E286" i="59"/>
  <c r="F76" i="59"/>
  <c r="E493" i="59"/>
  <c r="C202" i="59"/>
  <c r="B203" i="59" s="1"/>
  <c r="C471" i="59"/>
  <c r="B472" i="59" s="1"/>
  <c r="D245" i="59"/>
  <c r="E190" i="59"/>
  <c r="D492" i="59"/>
  <c r="E209" i="59"/>
  <c r="F235" i="59"/>
  <c r="D239" i="59"/>
  <c r="D254" i="59"/>
  <c r="F276" i="59"/>
  <c r="F137" i="59"/>
  <c r="D306" i="59"/>
  <c r="F160" i="59"/>
  <c r="C303" i="59"/>
  <c r="B304" i="59" s="1"/>
  <c r="D322" i="59"/>
  <c r="F69" i="59"/>
  <c r="C101" i="59"/>
  <c r="B102" i="59" s="1"/>
  <c r="C156" i="59"/>
  <c r="B157" i="59" s="1"/>
  <c r="E77" i="59"/>
  <c r="F128" i="59"/>
  <c r="E482" i="59"/>
  <c r="F34" i="59"/>
  <c r="C195" i="59"/>
  <c r="B196" i="59" s="1"/>
  <c r="E340" i="59"/>
  <c r="F425" i="59"/>
  <c r="F155" i="59"/>
  <c r="E426" i="59"/>
  <c r="C274" i="59"/>
  <c r="B275" i="59" s="1"/>
  <c r="E449" i="59"/>
  <c r="C322" i="59"/>
  <c r="B323" i="59" s="1"/>
  <c r="F441" i="59"/>
  <c r="C14" i="59"/>
  <c r="B15" i="59" s="1"/>
  <c r="C486" i="59"/>
  <c r="B487" i="59" s="1"/>
  <c r="F460" i="59"/>
  <c r="C474" i="59"/>
  <c r="B475" i="59" s="1"/>
  <c r="E416" i="59"/>
  <c r="E484" i="59"/>
  <c r="D432" i="59"/>
  <c r="C255" i="59"/>
  <c r="B256" i="59" s="1"/>
  <c r="E348" i="59"/>
  <c r="C364" i="59"/>
  <c r="B365" i="59" s="1"/>
  <c r="D134" i="59"/>
  <c r="C354" i="59"/>
  <c r="B355" i="59" s="1"/>
  <c r="D452" i="59"/>
  <c r="E135" i="59"/>
  <c r="D124" i="59"/>
  <c r="C183" i="59"/>
  <c r="B184" i="59" s="1"/>
  <c r="D294" i="59"/>
  <c r="D186" i="59"/>
  <c r="D11" i="59"/>
  <c r="F30" i="59"/>
  <c r="D336" i="59"/>
  <c r="E198" i="59"/>
  <c r="D471" i="59"/>
  <c r="F85" i="59"/>
  <c r="D237" i="59"/>
  <c r="C227" i="59"/>
  <c r="B228" i="59" s="1"/>
  <c r="C152" i="59"/>
  <c r="B153" i="59" s="1"/>
  <c r="E196" i="59"/>
  <c r="E472" i="59"/>
  <c r="D41" i="59"/>
  <c r="D458" i="59"/>
  <c r="D425" i="59"/>
  <c r="F265" i="59"/>
  <c r="E207" i="59"/>
  <c r="F312" i="59"/>
  <c r="C439" i="59"/>
  <c r="B440" i="59" s="1"/>
  <c r="C77" i="59"/>
  <c r="B78" i="59" s="1"/>
  <c r="E130" i="59"/>
  <c r="F116" i="59"/>
  <c r="C450" i="59"/>
  <c r="B451" i="59" s="1"/>
  <c r="E429" i="59"/>
  <c r="D369" i="59"/>
  <c r="C107" i="59"/>
  <c r="B108" i="59" s="1"/>
  <c r="D277" i="59"/>
  <c r="D227" i="59"/>
  <c r="D315" i="59"/>
  <c r="E305" i="59"/>
  <c r="E163" i="59"/>
  <c r="D286" i="59"/>
  <c r="E154" i="59"/>
  <c r="F131" i="59"/>
  <c r="F348" i="59"/>
  <c r="F420" i="59"/>
  <c r="D355" i="59"/>
  <c r="E237" i="59"/>
  <c r="F104" i="59"/>
  <c r="F75" i="59"/>
  <c r="D436" i="59"/>
  <c r="E274" i="59"/>
  <c r="E225" i="59"/>
  <c r="F432" i="59"/>
  <c r="D26" i="59"/>
  <c r="E408" i="59"/>
  <c r="D390" i="59"/>
  <c r="D63" i="59"/>
  <c r="D457" i="59"/>
  <c r="C292" i="59"/>
  <c r="B293" i="59" s="1"/>
  <c r="F65" i="59"/>
  <c r="F29" i="59"/>
  <c r="E155" i="59"/>
  <c r="E208" i="59"/>
  <c r="D30" i="59"/>
  <c r="F203" i="59"/>
  <c r="C306" i="59"/>
  <c r="B307" i="59" s="1"/>
  <c r="C21" i="59"/>
  <c r="B22" i="59" s="1"/>
  <c r="F489" i="59"/>
  <c r="E332" i="59"/>
  <c r="D409" i="59"/>
  <c r="F239" i="59"/>
  <c r="C143" i="59"/>
  <c r="B144" i="59" s="1"/>
  <c r="F386" i="59"/>
  <c r="C477" i="59"/>
  <c r="B478" i="59" s="1"/>
  <c r="C380" i="59"/>
  <c r="B381" i="59" s="1"/>
  <c r="E420" i="59"/>
  <c r="D438" i="59"/>
  <c r="D81" i="59"/>
  <c r="D118" i="59"/>
  <c r="C492" i="59"/>
  <c r="B493" i="59" s="1"/>
  <c r="C146" i="59"/>
  <c r="B147" i="59" s="1"/>
  <c r="C160" i="59"/>
  <c r="B161" i="59" s="1"/>
  <c r="C349" i="59"/>
  <c r="B350" i="59" s="1"/>
  <c r="F303" i="59"/>
  <c r="D433" i="59"/>
  <c r="D361" i="59"/>
  <c r="C203" i="59"/>
  <c r="B204" i="59" s="1"/>
  <c r="C188" i="59"/>
  <c r="B189" i="59" s="1"/>
  <c r="F351" i="59"/>
  <c r="C124" i="59"/>
  <c r="B125" i="59" s="1"/>
  <c r="E164" i="59"/>
  <c r="E299" i="59"/>
  <c r="C148" i="59"/>
  <c r="B149" i="59" s="1"/>
  <c r="D103" i="59"/>
  <c r="C338" i="59"/>
  <c r="B339" i="59" s="1"/>
  <c r="F61" i="59"/>
  <c r="D52" i="59"/>
  <c r="D86" i="59"/>
  <c r="F267" i="59"/>
  <c r="F358" i="59"/>
  <c r="E91" i="59"/>
  <c r="F478" i="59"/>
  <c r="D20" i="59"/>
  <c r="E21" i="59"/>
  <c r="D232" i="59"/>
  <c r="E407" i="59"/>
  <c r="F324" i="59"/>
  <c r="C245" i="59"/>
  <c r="B246" i="59" s="1"/>
  <c r="D66" i="59"/>
  <c r="E469" i="59"/>
  <c r="D146" i="59"/>
  <c r="D37" i="59"/>
  <c r="F140" i="59"/>
  <c r="E444" i="59"/>
  <c r="F189" i="59"/>
  <c r="C286" i="59"/>
  <c r="B287" i="59" s="1"/>
  <c r="F418" i="59"/>
  <c r="E85" i="59"/>
  <c r="D330" i="59"/>
  <c r="D84" i="59"/>
  <c r="E19" i="59"/>
  <c r="F364" i="59"/>
  <c r="E310" i="59"/>
  <c r="E406" i="59"/>
  <c r="F344" i="59"/>
  <c r="F42" i="59"/>
  <c r="D385" i="59"/>
  <c r="C418" i="59"/>
  <c r="B419" i="59" s="1"/>
  <c r="C24" i="59"/>
  <c r="B25" i="59" s="1"/>
  <c r="D388" i="59"/>
  <c r="D190" i="59"/>
  <c r="E11" i="59"/>
  <c r="F221" i="59"/>
  <c r="F163" i="59"/>
  <c r="D147" i="59"/>
  <c r="D153" i="59"/>
  <c r="E256" i="59"/>
  <c r="D106" i="59"/>
  <c r="E86" i="59"/>
  <c r="F289" i="59"/>
  <c r="E368" i="59"/>
  <c r="F68" i="59"/>
  <c r="C293" i="59"/>
  <c r="B294" i="59" s="1"/>
  <c r="D379" i="59"/>
  <c r="D71" i="59"/>
  <c r="C63" i="59"/>
  <c r="B64" i="59" s="1"/>
  <c r="E60" i="59"/>
  <c r="F223" i="59"/>
  <c r="F337" i="59"/>
  <c r="C401" i="59"/>
  <c r="B402" i="59" s="1"/>
  <c r="F183" i="59"/>
  <c r="C32" i="59"/>
  <c r="B33" i="59" s="1"/>
  <c r="D49" i="59"/>
  <c r="E172" i="59"/>
  <c r="F310" i="59"/>
  <c r="D402" i="59"/>
  <c r="F242" i="59"/>
  <c r="E213" i="59"/>
  <c r="E121" i="59"/>
  <c r="E276" i="59"/>
  <c r="C239" i="59"/>
  <c r="B240" i="59" s="1"/>
  <c r="D128" i="59"/>
  <c r="C235" i="59"/>
  <c r="B236" i="59" s="1"/>
  <c r="E411" i="59"/>
  <c r="C377" i="59"/>
  <c r="B378" i="59" s="1"/>
  <c r="F296" i="59"/>
  <c r="F70" i="59"/>
  <c r="F43" i="59"/>
  <c r="F387" i="59"/>
  <c r="E451" i="59"/>
  <c r="C171" i="59"/>
  <c r="B172" i="59" s="1"/>
  <c r="D481" i="59"/>
  <c r="E117" i="59"/>
  <c r="E212" i="59"/>
  <c r="D78" i="59"/>
  <c r="D393" i="59"/>
  <c r="E304" i="59"/>
  <c r="F378" i="59"/>
  <c r="D353" i="59"/>
  <c r="C278" i="59"/>
  <c r="B279" i="59" s="1"/>
  <c r="C261" i="59"/>
  <c r="B262" i="59" s="1"/>
  <c r="C57" i="59"/>
  <c r="B58" i="59" s="1"/>
  <c r="F295" i="59"/>
  <c r="F269" i="59"/>
  <c r="D27" i="59"/>
  <c r="C253" i="59"/>
  <c r="B254" i="59" s="1"/>
  <c r="D94" i="59"/>
  <c r="D333" i="59"/>
  <c r="E192" i="59"/>
  <c r="D378" i="59"/>
  <c r="C488" i="59"/>
  <c r="B489" i="59" s="1"/>
  <c r="D406" i="59"/>
  <c r="D374" i="59"/>
  <c r="C120" i="59"/>
  <c r="B121" i="59" s="1"/>
  <c r="D320" i="59"/>
  <c r="E246" i="59"/>
  <c r="E468" i="59"/>
  <c r="F216" i="59"/>
  <c r="E392" i="59"/>
  <c r="F495" i="59"/>
  <c r="C307" i="59"/>
  <c r="B308" i="59" s="1"/>
  <c r="D145" i="59"/>
  <c r="F448" i="59"/>
  <c r="C294" i="59"/>
  <c r="B295" i="59" s="1"/>
  <c r="D285" i="59"/>
  <c r="F317" i="59"/>
  <c r="D194" i="59"/>
  <c r="D127" i="59"/>
  <c r="E481" i="59"/>
  <c r="D498" i="59"/>
  <c r="F452" i="59"/>
  <c r="D335" i="59"/>
  <c r="E448" i="59"/>
  <c r="D273" i="59"/>
  <c r="D253" i="59"/>
  <c r="E261" i="59"/>
  <c r="D204" i="59"/>
  <c r="E458" i="59"/>
  <c r="C166" i="59"/>
  <c r="B167" i="59" s="1"/>
  <c r="F134" i="59"/>
  <c r="E160" i="59"/>
  <c r="E440" i="59"/>
  <c r="D477" i="59"/>
  <c r="D213" i="59"/>
  <c r="C31" i="59"/>
  <c r="B32" i="59" s="1"/>
  <c r="D61" i="59"/>
  <c r="C34" i="59"/>
  <c r="B35" i="59" s="1"/>
  <c r="D17" i="59"/>
  <c r="E277" i="59"/>
  <c r="D337" i="59"/>
  <c r="F325" i="59"/>
  <c r="D442" i="59"/>
  <c r="F421" i="59"/>
  <c r="C234" i="59"/>
  <c r="B235" i="59" s="1"/>
  <c r="F294" i="59"/>
  <c r="D449" i="59"/>
  <c r="E235" i="59"/>
  <c r="C69" i="59"/>
  <c r="B70" i="59" s="1"/>
  <c r="C73" i="59"/>
  <c r="B74" i="59" s="1"/>
  <c r="C106" i="59"/>
  <c r="B107" i="59" s="1"/>
  <c r="E295" i="59"/>
  <c r="E396" i="59"/>
  <c r="E353" i="59"/>
  <c r="F212" i="59"/>
  <c r="C42" i="59"/>
  <c r="B43" i="59" s="1"/>
  <c r="C211" i="59"/>
  <c r="B212" i="59" s="1"/>
  <c r="F166" i="59"/>
  <c r="C228" i="59"/>
  <c r="B229" i="59" s="1"/>
  <c r="F462" i="59"/>
  <c r="E334" i="59"/>
  <c r="D496" i="59"/>
  <c r="F37" i="59"/>
  <c r="C382" i="59"/>
  <c r="B383" i="59" s="1"/>
  <c r="F79" i="59"/>
  <c r="D427" i="59"/>
  <c r="F433" i="59"/>
  <c r="E185" i="59"/>
  <c r="C132" i="59"/>
  <c r="B133" i="59" s="1"/>
  <c r="F152" i="59"/>
  <c r="E311" i="59"/>
  <c r="D300" i="59"/>
  <c r="C440" i="59"/>
  <c r="B441" i="59" s="1"/>
  <c r="F485" i="59"/>
  <c r="C162" i="59"/>
  <c r="B163" i="59" s="1"/>
  <c r="C447" i="59"/>
  <c r="B448" i="59" s="1"/>
  <c r="F353" i="59"/>
  <c r="D107" i="59"/>
  <c r="F280" i="59"/>
  <c r="F81" i="59"/>
  <c r="E39" i="59"/>
  <c r="E500" i="59"/>
  <c r="F345" i="59"/>
  <c r="E338" i="59"/>
  <c r="F373" i="59"/>
  <c r="D251" i="59"/>
  <c r="C500" i="59"/>
  <c r="C210" i="59"/>
  <c r="B211" i="59" s="1"/>
  <c r="C430" i="59"/>
  <c r="B431" i="59" s="1"/>
  <c r="D426" i="59"/>
  <c r="D110" i="59"/>
  <c r="E148" i="59"/>
  <c r="E405" i="59"/>
  <c r="D401" i="59"/>
  <c r="E189" i="59"/>
  <c r="D258" i="59"/>
  <c r="D97" i="59"/>
  <c r="F90" i="59"/>
  <c r="D375" i="59"/>
  <c r="C133" i="59"/>
  <c r="B134" i="59" s="1"/>
  <c r="E386" i="59"/>
  <c r="C330" i="59"/>
  <c r="B331" i="59" s="1"/>
  <c r="F87" i="59"/>
  <c r="E318" i="59"/>
  <c r="F62" i="59"/>
  <c r="D221" i="59"/>
  <c r="E69" i="59"/>
  <c r="C453" i="59"/>
  <c r="B454" i="59" s="1"/>
  <c r="F320" i="59"/>
  <c r="E38" i="59"/>
  <c r="F321" i="59"/>
  <c r="C206" i="59"/>
  <c r="B207" i="59" s="1"/>
  <c r="D467" i="59"/>
  <c r="D411" i="59"/>
  <c r="D215" i="59"/>
  <c r="E227" i="59"/>
  <c r="E376" i="59"/>
  <c r="E84" i="59"/>
  <c r="E430" i="59"/>
  <c r="C110" i="59"/>
  <c r="B111" i="59" s="1"/>
  <c r="C153" i="59"/>
  <c r="B154" i="59" s="1"/>
  <c r="F491" i="59"/>
  <c r="E351" i="59"/>
  <c r="C351" i="59"/>
  <c r="B352" i="59" s="1"/>
  <c r="F499" i="59"/>
  <c r="E489" i="59"/>
  <c r="C368" i="59"/>
  <c r="B369" i="59" s="1"/>
  <c r="C320" i="59"/>
  <c r="B321" i="59" s="1"/>
  <c r="D454" i="59"/>
  <c r="E284" i="59"/>
  <c r="E272" i="59"/>
  <c r="C66" i="59"/>
  <c r="B67" i="59" s="1"/>
  <c r="F32" i="59"/>
  <c r="D173" i="59"/>
  <c r="E435" i="59"/>
  <c r="C180" i="59"/>
  <c r="B181" i="59" s="1"/>
  <c r="D131" i="59"/>
  <c r="E78" i="59"/>
  <c r="F228" i="59"/>
  <c r="F398" i="59"/>
  <c r="F443" i="59"/>
  <c r="E187" i="59"/>
  <c r="D101" i="59"/>
  <c r="D50" i="59"/>
  <c r="C369" i="59"/>
  <c r="B370" i="59" s="1"/>
  <c r="C365" i="59"/>
  <c r="B366" i="59" s="1"/>
  <c r="E70" i="59"/>
  <c r="D282" i="59"/>
  <c r="E94" i="59"/>
  <c r="C269" i="59"/>
  <c r="B270" i="59" s="1"/>
  <c r="C62" i="59"/>
  <c r="B63" i="59" s="1"/>
  <c r="E109" i="59"/>
  <c r="C479" i="59"/>
  <c r="B480" i="59" s="1"/>
  <c r="D288" i="59"/>
  <c r="F397" i="59"/>
  <c r="D150" i="59"/>
  <c r="D126" i="59"/>
  <c r="F380" i="59"/>
  <c r="F185" i="59"/>
  <c r="D405" i="59"/>
  <c r="C262" i="59"/>
  <c r="B263" i="59" s="1"/>
  <c r="F52" i="59"/>
  <c r="F47" i="59"/>
  <c r="D499" i="59"/>
  <c r="D310" i="59"/>
  <c r="F219" i="59"/>
  <c r="C410" i="59"/>
  <c r="B411" i="59" s="1"/>
  <c r="E149" i="59"/>
  <c r="D67" i="59"/>
  <c r="F178" i="59"/>
  <c r="E18" i="59"/>
  <c r="C452" i="59"/>
  <c r="B453" i="59" s="1"/>
  <c r="F107" i="59"/>
  <c r="F430" i="59"/>
  <c r="F455" i="59"/>
  <c r="C126" i="59"/>
  <c r="B127" i="59" s="1"/>
  <c r="C266" i="59"/>
  <c r="B267" i="59" s="1"/>
  <c r="D266" i="59"/>
  <c r="F100" i="59"/>
  <c r="C305" i="59"/>
  <c r="B306" i="59" s="1"/>
  <c r="C231" i="59"/>
  <c r="B232" i="59" s="1"/>
  <c r="E288" i="59"/>
  <c r="D391" i="59"/>
  <c r="C169" i="59"/>
  <c r="B170" i="59" s="1"/>
  <c r="C102" i="59"/>
  <c r="B103" i="59" s="1"/>
  <c r="F271" i="59"/>
  <c r="F363" i="59"/>
  <c r="D32" i="59"/>
  <c r="E275" i="59"/>
  <c r="E173" i="59"/>
  <c r="F487" i="59"/>
  <c r="F111" i="59"/>
  <c r="D160" i="59"/>
  <c r="E365" i="59"/>
  <c r="F101" i="59"/>
  <c r="C427" i="59"/>
  <c r="B428" i="59" s="1"/>
  <c r="D260" i="59"/>
  <c r="F299" i="59"/>
  <c r="F273" i="59"/>
  <c r="E473" i="59"/>
  <c r="D109" i="59"/>
  <c r="C328" i="59"/>
  <c r="B329" i="59" s="1"/>
  <c r="D366" i="59"/>
  <c r="C480" i="59"/>
  <c r="B481" i="59" s="1"/>
  <c r="E298" i="59"/>
  <c r="D376" i="59"/>
  <c r="D283" i="59"/>
  <c r="D75" i="59"/>
  <c r="D161" i="59"/>
  <c r="F147" i="59"/>
  <c r="C229" i="59"/>
  <c r="B230" i="59" s="1"/>
  <c r="D108" i="59"/>
  <c r="F329" i="59"/>
  <c r="C154" i="59"/>
  <c r="B155" i="59" s="1"/>
  <c r="C433" i="59"/>
  <c r="B434" i="59" s="1"/>
  <c r="C53" i="59"/>
  <c r="B54" i="59" s="1"/>
  <c r="F23" i="59"/>
  <c r="D54" i="59"/>
  <c r="F453" i="59"/>
  <c r="D123" i="59"/>
  <c r="D157" i="59"/>
  <c r="D500" i="59"/>
  <c r="D493" i="59"/>
  <c r="D290" i="59"/>
  <c r="F287" i="59"/>
  <c r="C144" i="59"/>
  <c r="B145" i="59" s="1"/>
  <c r="F445" i="59"/>
  <c r="D462" i="59"/>
  <c r="C13" i="59"/>
  <c r="B14" i="59" s="1"/>
  <c r="D68" i="59"/>
  <c r="C268" i="59"/>
  <c r="B269" i="59" s="1"/>
  <c r="F436" i="59"/>
  <c r="F209" i="59"/>
  <c r="C475" i="59"/>
  <c r="B476" i="59" s="1"/>
  <c r="E181" i="59"/>
  <c r="E236" i="59"/>
  <c r="C11" i="59"/>
  <c r="B12" i="59" s="1"/>
  <c r="E100" i="59"/>
  <c r="D295" i="59"/>
  <c r="F236" i="59"/>
  <c r="C466" i="59"/>
  <c r="B467" i="59" s="1"/>
  <c r="F331" i="59"/>
  <c r="D413" i="59"/>
  <c r="F493" i="59"/>
  <c r="C299" i="59"/>
  <c r="B300" i="59" s="1"/>
  <c r="C357" i="59"/>
  <c r="B358" i="59" s="1"/>
  <c r="D380" i="59"/>
  <c r="F121" i="59"/>
  <c r="C241" i="59"/>
  <c r="B242" i="59" s="1"/>
  <c r="C302" i="59"/>
  <c r="B303" i="59" s="1"/>
  <c r="F122" i="59"/>
  <c r="F316" i="59"/>
  <c r="F444" i="59"/>
  <c r="F437" i="59"/>
  <c r="C313" i="59"/>
  <c r="B314" i="59" s="1"/>
  <c r="F274" i="59"/>
  <c r="C198" i="59"/>
  <c r="B199" i="59" s="1"/>
  <c r="F473" i="59"/>
  <c r="C242" i="59"/>
  <c r="B243" i="59" s="1"/>
  <c r="C399" i="59"/>
  <c r="B400" i="59" s="1"/>
  <c r="F222" i="59"/>
  <c r="F423" i="59"/>
  <c r="F205" i="59"/>
  <c r="F186" i="59"/>
  <c r="D248" i="59"/>
  <c r="C204" i="59"/>
  <c r="B205" i="59" s="1"/>
  <c r="F92" i="59"/>
  <c r="C412" i="59"/>
  <c r="B413" i="59" s="1"/>
  <c r="E409" i="59"/>
  <c r="D319" i="59"/>
  <c r="C55" i="59"/>
  <c r="B56" i="59" s="1"/>
  <c r="F298" i="59"/>
  <c r="E349" i="59"/>
  <c r="C46" i="59"/>
  <c r="B47" i="59" s="1"/>
  <c r="E358" i="59"/>
  <c r="D483" i="59"/>
  <c r="F226" i="59"/>
  <c r="D172" i="59"/>
  <c r="F332" i="59"/>
  <c r="E453" i="59"/>
  <c r="C172" i="59"/>
  <c r="B173" i="59" s="1"/>
  <c r="C36" i="59"/>
  <c r="B37" i="59" s="1"/>
  <c r="C98" i="59"/>
  <c r="B99" i="59" s="1"/>
  <c r="E454" i="59"/>
  <c r="D466" i="59"/>
  <c r="F419" i="59"/>
  <c r="C449" i="59"/>
  <c r="B450" i="59" s="1"/>
  <c r="F311" i="59"/>
  <c r="E297" i="59"/>
  <c r="D189" i="59"/>
  <c r="D187" i="59"/>
  <c r="C64" i="59"/>
  <c r="B65" i="59" s="1"/>
  <c r="F67" i="59"/>
  <c r="E263" i="59"/>
  <c r="F286" i="59"/>
  <c r="D419" i="59"/>
  <c r="F266" i="59"/>
  <c r="D440" i="59"/>
  <c r="E72" i="59"/>
  <c r="D278" i="59"/>
  <c r="D491" i="59"/>
  <c r="D65" i="59"/>
  <c r="E335" i="59"/>
  <c r="D231" i="59"/>
  <c r="C209" i="59"/>
  <c r="B210" i="59" s="1"/>
  <c r="D177" i="59"/>
  <c r="E142" i="59"/>
  <c r="E266" i="59"/>
  <c r="C376" i="59"/>
  <c r="B377" i="59" s="1"/>
  <c r="C184" i="59"/>
  <c r="B185" i="59" s="1"/>
  <c r="C175" i="59"/>
  <c r="B176" i="59" s="1"/>
  <c r="F39" i="59"/>
  <c r="C254" i="59"/>
  <c r="B255" i="59" s="1"/>
  <c r="C342" i="59"/>
  <c r="B343" i="59" s="1"/>
  <c r="E47" i="59"/>
  <c r="E167" i="59"/>
  <c r="E333" i="59"/>
  <c r="C247" i="59"/>
  <c r="B248" i="59" s="1"/>
  <c r="F133" i="59"/>
  <c r="F40" i="59"/>
  <c r="D404" i="59"/>
  <c r="E191" i="59"/>
  <c r="D56" i="59"/>
  <c r="D112" i="59"/>
  <c r="F181" i="59"/>
  <c r="F129" i="59"/>
  <c r="F54" i="59"/>
  <c r="D113" i="59"/>
  <c r="E367" i="59"/>
  <c r="D38" i="59"/>
  <c r="F322" i="59"/>
  <c r="F370" i="59"/>
  <c r="E170" i="59"/>
  <c r="F136" i="59"/>
  <c r="D473" i="59"/>
  <c r="D479" i="59"/>
  <c r="C61" i="59"/>
  <c r="B62" i="59" s="1"/>
  <c r="D242" i="59"/>
  <c r="E362" i="59"/>
  <c r="C49" i="59"/>
  <c r="B50" i="59" s="1"/>
  <c r="C428" i="59"/>
  <c r="B429" i="59" s="1"/>
  <c r="D408" i="59"/>
  <c r="F292" i="59"/>
  <c r="D494" i="59"/>
  <c r="E445" i="59"/>
  <c r="E43" i="59"/>
  <c r="F406" i="59"/>
  <c r="F64" i="59"/>
  <c r="E221" i="59"/>
  <c r="E425" i="59"/>
  <c r="D259" i="59"/>
  <c r="E492" i="59"/>
  <c r="C248" i="59"/>
  <c r="B249" i="59" s="1"/>
  <c r="C495" i="59"/>
  <c r="B496" i="59" s="1"/>
  <c r="C443" i="59"/>
  <c r="B444" i="59" s="1"/>
  <c r="E54" i="59"/>
  <c r="E248" i="59"/>
  <c r="F407" i="59"/>
  <c r="F49" i="59"/>
  <c r="C350" i="59"/>
  <c r="B351" i="59" s="1"/>
  <c r="D469" i="59"/>
  <c r="E372" i="59"/>
  <c r="D15" i="59"/>
  <c r="F449" i="59"/>
  <c r="F20" i="59"/>
  <c r="F388" i="59"/>
  <c r="E455" i="59"/>
  <c r="C30" i="59"/>
  <c r="B31" i="59" s="1"/>
  <c r="C212" i="59"/>
  <c r="B213" i="59" s="1"/>
  <c r="C82" i="59"/>
  <c r="B83" i="59" s="1"/>
  <c r="E73" i="59"/>
  <c r="E106" i="59"/>
  <c r="D191" i="59"/>
  <c r="E129" i="59"/>
  <c r="C311" i="59"/>
  <c r="B312" i="59" s="1"/>
  <c r="D111" i="59"/>
  <c r="E388" i="59"/>
  <c r="C182" i="59"/>
  <c r="B183" i="59" s="1"/>
  <c r="D139" i="59"/>
  <c r="C237" i="59"/>
  <c r="B238" i="59" s="1"/>
  <c r="C48" i="59"/>
  <c r="B49" i="59" s="1"/>
  <c r="F446" i="59"/>
  <c r="E131" i="59"/>
  <c r="E243" i="59"/>
  <c r="E300" i="59"/>
  <c r="E336" i="59"/>
  <c r="F105" i="59"/>
  <c r="D77" i="59"/>
  <c r="F194" i="59"/>
  <c r="E14" i="59"/>
  <c r="E316" i="59"/>
  <c r="D233" i="59"/>
  <c r="E439" i="59"/>
  <c r="C308" i="59"/>
  <c r="B309" i="59" s="1"/>
  <c r="E371" i="59"/>
  <c r="E485" i="59"/>
  <c r="C326" i="59"/>
  <c r="B327" i="59" s="1"/>
  <c r="C476" i="59"/>
  <c r="B477" i="59" s="1"/>
  <c r="D18" i="59"/>
  <c r="C270" i="59"/>
  <c r="B271" i="59" s="1"/>
  <c r="C189" i="59"/>
  <c r="B190" i="59" s="1"/>
  <c r="E464" i="59"/>
  <c r="F201" i="59"/>
  <c r="E410" i="59"/>
  <c r="D371" i="59"/>
  <c r="E477" i="59"/>
  <c r="C360" i="59"/>
  <c r="B361" i="59" s="1"/>
  <c r="F361" i="59"/>
  <c r="E211" i="59"/>
  <c r="F256" i="59"/>
  <c r="E328" i="59"/>
  <c r="E28" i="59"/>
  <c r="E16" i="59"/>
  <c r="E478" i="59"/>
  <c r="C83" i="59"/>
  <c r="B84" i="59" s="1"/>
  <c r="F379" i="59"/>
  <c r="F392" i="59"/>
  <c r="F474" i="59"/>
  <c r="E112" i="59"/>
  <c r="E459" i="59"/>
  <c r="E20" i="59"/>
  <c r="C445" i="59"/>
  <c r="B446" i="59" s="1"/>
  <c r="F463" i="59"/>
  <c r="E294" i="59"/>
  <c r="F170" i="59"/>
  <c r="C420" i="59"/>
  <c r="B421" i="59" s="1"/>
  <c r="C384" i="59"/>
  <c r="B385" i="59" s="1"/>
  <c r="D230" i="59"/>
  <c r="F497" i="59"/>
  <c r="E422" i="59"/>
  <c r="E393" i="59"/>
  <c r="F247" i="59"/>
  <c r="D317" i="59"/>
  <c r="D119" i="59"/>
  <c r="F18" i="59"/>
  <c r="D296" i="59"/>
  <c r="F246" i="59"/>
  <c r="D478" i="59"/>
  <c r="C378" i="59"/>
  <c r="B379" i="59" s="1"/>
  <c r="E281" i="59"/>
  <c r="F403" i="59"/>
  <c r="C491" i="59"/>
  <c r="B492" i="59" s="1"/>
  <c r="E12" i="59"/>
  <c r="F334" i="59"/>
  <c r="E424" i="59"/>
  <c r="F191" i="59"/>
  <c r="F346" i="59"/>
  <c r="C216" i="59"/>
  <c r="B217" i="59" s="1"/>
  <c r="D275" i="59"/>
  <c r="C25" i="59"/>
  <c r="B26" i="59" s="1"/>
  <c r="E218" i="59"/>
  <c r="C461" i="59"/>
  <c r="B462" i="59" s="1"/>
  <c r="D74" i="59"/>
  <c r="D298" i="59"/>
  <c r="E165" i="59"/>
  <c r="E312" i="59"/>
  <c r="D218" i="59"/>
  <c r="F167" i="59"/>
  <c r="D362" i="59"/>
  <c r="C331" i="59"/>
  <c r="B332" i="59" s="1"/>
  <c r="D122" i="59"/>
  <c r="D114" i="59"/>
  <c r="C431" i="59"/>
  <c r="B432" i="59" s="1"/>
  <c r="D430" i="59"/>
  <c r="C465" i="59"/>
  <c r="B466" i="59" s="1"/>
  <c r="E354" i="59"/>
  <c r="F15" i="59"/>
  <c r="F278" i="59"/>
  <c r="F469" i="59"/>
  <c r="C424" i="59"/>
  <c r="B425" i="59" s="1"/>
  <c r="D55" i="59"/>
  <c r="D257" i="59"/>
  <c r="F368" i="59"/>
  <c r="F210" i="59"/>
  <c r="C136" i="59"/>
  <c r="B137" i="59" s="1"/>
  <c r="C111" i="59"/>
  <c r="B112" i="59" s="1"/>
  <c r="E391" i="59"/>
  <c r="F149" i="59"/>
  <c r="C398" i="59"/>
  <c r="B399" i="59" s="1"/>
  <c r="D19" i="59"/>
  <c r="F44" i="59"/>
  <c r="F192" i="59"/>
  <c r="D93" i="59"/>
  <c r="F422" i="59"/>
  <c r="D453" i="59"/>
  <c r="C345" i="59"/>
  <c r="B346" i="59" s="1"/>
  <c r="F231" i="59"/>
  <c r="C370" i="59"/>
  <c r="B371" i="59" s="1"/>
  <c r="C119" i="59"/>
  <c r="B120" i="59" s="1"/>
  <c r="F125" i="59"/>
  <c r="F38" i="59"/>
  <c r="E341" i="59"/>
  <c r="D174" i="59"/>
  <c r="D99" i="59"/>
  <c r="E215" i="59"/>
  <c r="E346" i="59"/>
  <c r="D219" i="59"/>
  <c r="C405" i="59"/>
  <c r="B406" i="59" s="1"/>
  <c r="F117" i="59"/>
  <c r="F172" i="59"/>
  <c r="C265" i="59"/>
  <c r="B266" i="59" s="1"/>
  <c r="C85" i="59"/>
  <c r="B86" i="59" s="1"/>
  <c r="F17" i="59"/>
  <c r="E144" i="59"/>
  <c r="D326" i="59"/>
  <c r="C367" i="59"/>
  <c r="B368" i="59" s="1"/>
  <c r="F479" i="59"/>
  <c r="D144" i="59"/>
  <c r="F367" i="59"/>
  <c r="F50" i="59"/>
  <c r="D329" i="59"/>
  <c r="F374" i="59"/>
  <c r="E152" i="59"/>
  <c r="E83" i="59"/>
  <c r="D311" i="59"/>
  <c r="C90" i="59"/>
  <c r="B91" i="59" s="1"/>
  <c r="D228" i="59"/>
  <c r="D241" i="59"/>
  <c r="D217" i="59"/>
  <c r="C402" i="59"/>
  <c r="B403" i="59" s="1"/>
  <c r="F494" i="59"/>
  <c r="E433" i="59"/>
  <c r="C283" i="59"/>
  <c r="B284" i="59" s="1"/>
  <c r="D314" i="59"/>
  <c r="D267" i="59"/>
  <c r="F143" i="59"/>
  <c r="E26" i="59"/>
  <c r="E75" i="59"/>
  <c r="D226" i="59"/>
  <c r="D151" i="59"/>
  <c r="D342" i="59"/>
  <c r="D291" i="59"/>
  <c r="F112" i="59"/>
  <c r="E466" i="59"/>
  <c r="F24" i="59"/>
  <c r="D163" i="59"/>
  <c r="E22" i="59"/>
  <c r="E231" i="59"/>
  <c r="C385" i="59"/>
  <c r="B386" i="59" s="1"/>
  <c r="F220" i="59"/>
  <c r="F204" i="59"/>
  <c r="D247" i="59"/>
  <c r="D51" i="59"/>
  <c r="D332" i="59"/>
  <c r="E102" i="59"/>
  <c r="E166" i="59"/>
  <c r="F130" i="59"/>
  <c r="F440" i="59"/>
  <c r="F241" i="59"/>
  <c r="C89" i="59"/>
  <c r="B90" i="59" s="1"/>
  <c r="C426" i="59"/>
  <c r="B427" i="59" s="1"/>
  <c r="F59" i="59"/>
  <c r="F490" i="59"/>
  <c r="E98" i="59"/>
  <c r="F429" i="59"/>
  <c r="D340" i="59"/>
  <c r="E289" i="59"/>
  <c r="C395" i="59"/>
  <c r="B396" i="59" s="1"/>
  <c r="D420" i="59"/>
  <c r="C208" i="59"/>
  <c r="B209" i="59" s="1"/>
  <c r="E79" i="59"/>
  <c r="C456" i="59"/>
  <c r="B457" i="59" s="1"/>
  <c r="D220" i="59"/>
  <c r="C487" i="59"/>
  <c r="B488" i="59" s="1"/>
  <c r="C411" i="59"/>
  <c r="B412" i="59" s="1"/>
  <c r="E265" i="59"/>
  <c r="D327" i="59"/>
  <c r="E302" i="59"/>
  <c r="E330" i="59"/>
  <c r="F342" i="59"/>
  <c r="F109" i="59"/>
  <c r="D80" i="59"/>
  <c r="C413" i="59"/>
  <c r="B414" i="59" s="1"/>
  <c r="D297" i="59"/>
  <c r="F416" i="59"/>
  <c r="C22" i="59"/>
  <c r="B23" i="59" s="1"/>
  <c r="D31" i="59"/>
  <c r="C75" i="59"/>
  <c r="B76" i="59" s="1"/>
  <c r="E97" i="59"/>
  <c r="F399" i="59"/>
  <c r="D79" i="59"/>
  <c r="C288" i="59"/>
  <c r="B289" i="59" s="1"/>
  <c r="D167" i="59"/>
  <c r="D399" i="59"/>
  <c r="D35" i="59"/>
  <c r="C485" i="59"/>
  <c r="B486" i="59" s="1"/>
  <c r="E417" i="59"/>
  <c r="C230" i="59"/>
  <c r="B231" i="59" s="1"/>
  <c r="E45" i="59"/>
  <c r="E314" i="59"/>
  <c r="D82" i="59"/>
  <c r="C267" i="59"/>
  <c r="B268" i="59" s="1"/>
  <c r="C473" i="59"/>
  <c r="B474" i="59" s="1"/>
  <c r="F442" i="59"/>
  <c r="E291" i="59"/>
  <c r="C282" i="59"/>
  <c r="B283" i="59" s="1"/>
  <c r="F12" i="59"/>
  <c r="D480" i="59"/>
  <c r="D14" i="59"/>
  <c r="C404" i="59"/>
  <c r="B405" i="59" s="1"/>
  <c r="E104" i="59"/>
  <c r="C40" i="59"/>
  <c r="B41" i="59" s="1"/>
  <c r="D360" i="59"/>
  <c r="C397" i="59"/>
  <c r="B398" i="59" s="1"/>
  <c r="D39" i="59"/>
  <c r="E317" i="59"/>
  <c r="E186" i="59"/>
  <c r="D435" i="59"/>
  <c r="E443" i="59"/>
  <c r="D396" i="59"/>
  <c r="C161" i="59"/>
  <c r="B162" i="59" s="1"/>
  <c r="D309" i="59"/>
  <c r="C264" i="59"/>
  <c r="B265" i="59" s="1"/>
  <c r="F369" i="59"/>
  <c r="D495" i="59"/>
  <c r="D304" i="59"/>
  <c r="D115" i="59"/>
  <c r="E438" i="59"/>
  <c r="E159" i="59"/>
  <c r="D428" i="59"/>
  <c r="C219" i="59"/>
  <c r="B220" i="59" s="1"/>
  <c r="D250" i="59"/>
  <c r="D178" i="59"/>
  <c r="E380" i="59"/>
  <c r="D211" i="59"/>
  <c r="F165" i="59"/>
  <c r="C336" i="59"/>
  <c r="B337" i="59" s="1"/>
  <c r="C483" i="59"/>
  <c r="B484" i="59" s="1"/>
  <c r="E326" i="59"/>
  <c r="F171" i="59"/>
  <c r="D417" i="59"/>
  <c r="F400" i="59"/>
  <c r="E401" i="59"/>
  <c r="E269" i="59"/>
  <c r="E87" i="59"/>
  <c r="D168" i="59"/>
  <c r="F240" i="59"/>
  <c r="E378" i="59"/>
  <c r="C164" i="59"/>
  <c r="B165" i="59" s="1"/>
  <c r="C243" i="59"/>
  <c r="B244" i="59" s="1"/>
  <c r="C4" i="59"/>
  <c r="B5" i="59" s="1"/>
  <c r="E4" i="59"/>
  <c r="D4" i="59"/>
  <c r="F4" i="59"/>
  <c r="F139" i="56"/>
  <c r="D139" i="56"/>
  <c r="G139" i="56"/>
  <c r="G141" i="58"/>
  <c r="H141" i="58"/>
  <c r="D163" i="56" l="1"/>
  <c r="F164" i="56"/>
  <c r="G142" i="58"/>
  <c r="G140" i="56"/>
  <c r="H142" i="58"/>
  <c r="F140" i="56"/>
  <c r="D140" i="56"/>
  <c r="F141" i="56" l="1"/>
  <c r="F165" i="56"/>
  <c r="D164" i="56"/>
  <c r="D141" i="56"/>
  <c r="H143" i="58"/>
  <c r="G141" i="56"/>
  <c r="G143" i="58"/>
  <c r="D165" i="56" l="1"/>
  <c r="F166" i="56"/>
  <c r="G144" i="58"/>
  <c r="G142" i="56"/>
  <c r="H144" i="58"/>
  <c r="F142" i="56"/>
  <c r="D142" i="56"/>
  <c r="F143" i="56" l="1"/>
  <c r="D166" i="56"/>
  <c r="F167" i="56"/>
  <c r="D143" i="56"/>
  <c r="H145" i="58"/>
  <c r="G143" i="56"/>
  <c r="G145" i="58"/>
  <c r="F144" i="56" l="1"/>
  <c r="D167" i="56"/>
  <c r="F168" i="56"/>
  <c r="G146" i="58"/>
  <c r="H146" i="58"/>
  <c r="D144" i="56"/>
  <c r="G144" i="56"/>
  <c r="F145" i="56" l="1"/>
  <c r="F169" i="56"/>
  <c r="D168" i="56"/>
  <c r="D145" i="56"/>
  <c r="H147" i="58"/>
  <c r="G145" i="56"/>
  <c r="G147" i="58"/>
  <c r="F146" i="56" l="1"/>
  <c r="F170" i="56"/>
  <c r="D169" i="56"/>
  <c r="F171" i="56"/>
  <c r="G146" i="56"/>
  <c r="H148" i="58"/>
  <c r="D146" i="56"/>
  <c r="G148" i="58"/>
  <c r="F147" i="56" l="1"/>
  <c r="D170" i="56"/>
  <c r="F172" i="56"/>
  <c r="D171" i="56"/>
  <c r="G149" i="58"/>
  <c r="H149" i="58"/>
  <c r="F148" i="56"/>
  <c r="G147" i="56"/>
  <c r="D147" i="56"/>
  <c r="D172" i="56" l="1"/>
  <c r="F173" i="56"/>
  <c r="G148" i="56"/>
  <c r="G150" i="58"/>
  <c r="H150" i="58"/>
  <c r="F149" i="56"/>
  <c r="D148" i="56"/>
  <c r="D173" i="56" l="1"/>
  <c r="F174" i="56"/>
  <c r="F150" i="56"/>
  <c r="H151" i="58"/>
  <c r="G151" i="58"/>
  <c r="D149" i="56"/>
  <c r="G149" i="56"/>
  <c r="D174" i="56" l="1"/>
  <c r="D150" i="56"/>
  <c r="H152" i="58"/>
  <c r="F151" i="56"/>
  <c r="G150" i="56"/>
  <c r="G152" i="58"/>
  <c r="F152" i="56" l="1"/>
  <c r="G153" i="58"/>
  <c r="G151" i="56"/>
  <c r="D151" i="56"/>
  <c r="H153" i="58"/>
  <c r="F153" i="56" l="1"/>
  <c r="D152" i="56"/>
  <c r="G154" i="58"/>
  <c r="G152" i="56"/>
  <c r="H154" i="58"/>
  <c r="D153" i="56" l="1"/>
  <c r="G153" i="56"/>
  <c r="H155" i="58"/>
  <c r="G155" i="58"/>
  <c r="H156" i="58" l="1"/>
  <c r="G154" i="56"/>
  <c r="G156" i="58"/>
  <c r="H157" i="58" l="1"/>
  <c r="H158" i="58"/>
  <c r="G155" i="56"/>
  <c r="G157" i="58"/>
  <c r="H159" i="58" l="1"/>
  <c r="G156" i="56"/>
  <c r="G158" i="58"/>
  <c r="G159" i="58" s="1"/>
  <c r="G160" i="58" s="1"/>
  <c r="G161" i="58" s="1"/>
  <c r="G162" i="58" s="1"/>
  <c r="G163" i="58" s="1"/>
  <c r="G164" i="58" s="1"/>
  <c r="G165" i="58" s="1"/>
  <c r="G166" i="58" s="1"/>
  <c r="G167" i="58" s="1"/>
  <c r="G168" i="58" s="1"/>
  <c r="G169" i="58" s="1"/>
  <c r="G170" i="58" s="1"/>
  <c r="G171" i="58" s="1"/>
  <c r="G172" i="58" s="1"/>
  <c r="G173" i="58" s="1"/>
  <c r="G174" i="58" s="1"/>
  <c r="G175" i="58" s="1"/>
  <c r="G176" i="58" s="1"/>
  <c r="G177" i="58" s="1"/>
  <c r="G178" i="58" s="1"/>
  <c r="G179" i="58" s="1"/>
  <c r="G180" i="58" s="1"/>
  <c r="G181" i="58" s="1"/>
  <c r="G182" i="58" s="1"/>
  <c r="G183" i="58" s="1"/>
  <c r="G184" i="58" s="1"/>
  <c r="G185" i="58" s="1"/>
  <c r="G186" i="58" s="1"/>
  <c r="G187" i="58" s="1"/>
  <c r="G188" i="58" s="1"/>
  <c r="G189" i="58" s="1"/>
  <c r="G190" i="58" s="1"/>
  <c r="G191" i="58" s="1"/>
  <c r="G192" i="58" s="1"/>
  <c r="G193" i="58" s="1"/>
  <c r="G194" i="58" s="1"/>
  <c r="G195" i="58" s="1"/>
  <c r="G196" i="58" s="1"/>
  <c r="G197" i="58" s="1"/>
  <c r="G198" i="58" s="1"/>
  <c r="G199" i="58" s="1"/>
  <c r="G200" i="58" s="1"/>
  <c r="G201" i="58" s="1"/>
  <c r="G202" i="58" s="1"/>
  <c r="G203" i="58" s="1"/>
  <c r="G204" i="58" s="1"/>
  <c r="G205" i="58" s="1"/>
  <c r="G206" i="58" s="1"/>
  <c r="G207" i="58" s="1"/>
  <c r="G208" i="58" s="1"/>
  <c r="G209" i="58" s="1"/>
  <c r="G210" i="58" s="1"/>
  <c r="G211" i="58" s="1"/>
  <c r="G212" i="58" s="1"/>
  <c r="G213" i="58" s="1"/>
  <c r="G214" i="58" s="1"/>
  <c r="G215" i="58" s="1"/>
  <c r="G216" i="58" s="1"/>
  <c r="G217" i="58" s="1"/>
  <c r="G218" i="58" s="1"/>
  <c r="G219" i="58" s="1"/>
  <c r="G220" i="58" s="1"/>
  <c r="G221" i="58" s="1"/>
  <c r="G222" i="58" s="1"/>
  <c r="G223" i="58" s="1"/>
  <c r="G224" i="58" s="1"/>
  <c r="G225" i="58" s="1"/>
  <c r="G226" i="58" s="1"/>
  <c r="G227" i="58" s="1"/>
  <c r="G228" i="58" s="1"/>
  <c r="G229" i="58" s="1"/>
  <c r="G230" i="58" s="1"/>
  <c r="G231" i="58" s="1"/>
  <c r="G232" i="58" s="1"/>
  <c r="G233" i="58" s="1"/>
  <c r="G234" i="58" s="1"/>
  <c r="G235" i="58" s="1"/>
  <c r="G236" i="58" s="1"/>
  <c r="G237" i="58" s="1"/>
  <c r="G238" i="58" s="1"/>
  <c r="G239" i="58" s="1"/>
  <c r="G240" i="58" s="1"/>
  <c r="G241" i="58" s="1"/>
  <c r="G242" i="58" s="1"/>
  <c r="G243" i="58" s="1"/>
  <c r="G244" i="58" s="1"/>
  <c r="G245" i="58" s="1"/>
  <c r="G246" i="58" s="1"/>
  <c r="G247" i="58" s="1"/>
  <c r="G248" i="58" s="1"/>
  <c r="G249" i="58" s="1"/>
  <c r="G250" i="58" s="1"/>
  <c r="G251" i="58" s="1"/>
  <c r="G252" i="58" s="1"/>
  <c r="G253" i="58" s="1"/>
  <c r="G254" i="58" s="1"/>
  <c r="G255" i="58" s="1"/>
  <c r="G256" i="58" s="1"/>
  <c r="G257" i="58" s="1"/>
  <c r="G258" i="58" s="1"/>
  <c r="G259" i="58" s="1"/>
  <c r="G260" i="58" s="1"/>
  <c r="G261" i="58" s="1"/>
  <c r="G262" i="58" s="1"/>
  <c r="G263" i="58" s="1"/>
  <c r="G264" i="58" s="1"/>
  <c r="G265" i="58" s="1"/>
  <c r="G266" i="58" s="1"/>
  <c r="G267" i="58" s="1"/>
  <c r="G268" i="58" s="1"/>
  <c r="G269" i="58" s="1"/>
  <c r="G270" i="58" s="1"/>
  <c r="G271" i="58" s="1"/>
  <c r="G272" i="58" s="1"/>
  <c r="G273" i="58" s="1"/>
  <c r="G274" i="58" s="1"/>
  <c r="G275" i="58" s="1"/>
  <c r="G276" i="58" s="1"/>
  <c r="G277" i="58" s="1"/>
  <c r="G278" i="58" s="1"/>
  <c r="G279" i="58" s="1"/>
  <c r="G280" i="58" s="1"/>
  <c r="G281" i="58" s="1"/>
  <c r="G282" i="58" s="1"/>
  <c r="G283" i="58" s="1"/>
  <c r="G284" i="58" s="1"/>
  <c r="G285" i="58" s="1"/>
  <c r="G286" i="58" s="1"/>
  <c r="G287" i="58" s="1"/>
  <c r="G288" i="58" s="1"/>
  <c r="G289" i="58" s="1"/>
  <c r="G290" i="58" s="1"/>
  <c r="G291" i="58" s="1"/>
  <c r="G292" i="58" s="1"/>
  <c r="G293" i="58" s="1"/>
  <c r="G294" i="58" s="1"/>
  <c r="G295" i="58" s="1"/>
  <c r="G296" i="58" s="1"/>
  <c r="G297" i="58" s="1"/>
  <c r="G298" i="58" s="1"/>
  <c r="G299" i="58" s="1"/>
  <c r="G300" i="58" s="1"/>
  <c r="G301" i="58" s="1"/>
  <c r="G302" i="58" s="1"/>
  <c r="G303" i="58" s="1"/>
  <c r="G304" i="58" s="1"/>
  <c r="G305" i="58" s="1"/>
  <c r="G306" i="58" s="1"/>
  <c r="G307" i="58" s="1"/>
  <c r="G308" i="58" s="1"/>
  <c r="G309" i="58" s="1"/>
  <c r="G310" i="58" s="1"/>
  <c r="G311" i="58" s="1"/>
  <c r="G312" i="58" s="1"/>
  <c r="G313" i="58" s="1"/>
  <c r="G314" i="58" s="1"/>
  <c r="G315" i="58" s="1"/>
  <c r="G316" i="58" s="1"/>
  <c r="G317" i="58" s="1"/>
  <c r="G318" i="58" s="1"/>
  <c r="G319" i="58" s="1"/>
  <c r="G320" i="58" s="1"/>
  <c r="G321" i="58" s="1"/>
  <c r="G322" i="58" s="1"/>
  <c r="G323" i="58" s="1"/>
  <c r="G324" i="58" s="1"/>
  <c r="G325" i="58" s="1"/>
  <c r="G326" i="58" s="1"/>
  <c r="G327" i="58" s="1"/>
  <c r="G328" i="58" s="1"/>
  <c r="G329" i="58" s="1"/>
  <c r="G330" i="58" s="1"/>
  <c r="G331" i="58" s="1"/>
  <c r="G332" i="58" s="1"/>
  <c r="G333" i="58" s="1"/>
  <c r="G334" i="58" s="1"/>
  <c r="G335" i="58" s="1"/>
  <c r="G336" i="58" s="1"/>
  <c r="G337" i="58" s="1"/>
  <c r="G338" i="58" s="1"/>
  <c r="G339" i="58" s="1"/>
  <c r="G340" i="58" s="1"/>
  <c r="G341" i="58" s="1"/>
  <c r="G342" i="58" s="1"/>
  <c r="G343" i="58" s="1"/>
  <c r="G344" i="58" s="1"/>
  <c r="G345" i="58" s="1"/>
  <c r="G346" i="58" s="1"/>
  <c r="G347" i="58" s="1"/>
  <c r="G348" i="58" s="1"/>
  <c r="G349" i="58" s="1"/>
  <c r="G350" i="58" s="1"/>
  <c r="G351" i="58" s="1"/>
  <c r="G352" i="58" s="1"/>
  <c r="G353" i="58" s="1"/>
  <c r="G354" i="58" s="1"/>
  <c r="G355" i="58" s="1"/>
  <c r="G356" i="58" s="1"/>
  <c r="G357" i="58" s="1"/>
  <c r="G358" i="58" s="1"/>
  <c r="G359" i="58" s="1"/>
  <c r="G360" i="58" s="1"/>
  <c r="G361" i="58" s="1"/>
  <c r="G362" i="58" s="1"/>
  <c r="G363" i="58" s="1"/>
  <c r="G364" i="58" s="1"/>
  <c r="G365" i="58" s="1"/>
  <c r="G366" i="58" s="1"/>
  <c r="G367" i="58" s="1"/>
  <c r="G368" i="58" s="1"/>
  <c r="G369" i="58" s="1"/>
  <c r="G370" i="58" s="1"/>
  <c r="G371" i="58" s="1"/>
  <c r="G372" i="58" s="1"/>
  <c r="G373" i="58" s="1"/>
  <c r="G374" i="58" s="1"/>
  <c r="G375" i="58" s="1"/>
  <c r="G376" i="58" s="1"/>
  <c r="G377" i="58" s="1"/>
  <c r="G378" i="58" s="1"/>
  <c r="G379" i="58" s="1"/>
  <c r="G380" i="58" s="1"/>
  <c r="G381" i="58" s="1"/>
  <c r="G382" i="58" s="1"/>
  <c r="G383" i="58" s="1"/>
  <c r="G384" i="58" s="1"/>
  <c r="G385" i="58" s="1"/>
  <c r="G386" i="58" s="1"/>
  <c r="G387" i="58" s="1"/>
  <c r="G388" i="58" s="1"/>
  <c r="G389" i="58" s="1"/>
  <c r="G390" i="58" s="1"/>
  <c r="G391" i="58" s="1"/>
  <c r="G392" i="58" s="1"/>
  <c r="G393" i="58" s="1"/>
  <c r="G394" i="58" s="1"/>
  <c r="G395" i="58" s="1"/>
  <c r="G396" i="58" s="1"/>
  <c r="G397" i="58" s="1"/>
  <c r="G398" i="58" s="1"/>
  <c r="G399" i="58" s="1"/>
  <c r="G400" i="58" s="1"/>
  <c r="G401" i="58" s="1"/>
  <c r="G402" i="58" s="1"/>
  <c r="G403" i="58" s="1"/>
  <c r="G404" i="58" s="1"/>
  <c r="G405" i="58" s="1"/>
  <c r="G406" i="58" s="1"/>
  <c r="G407" i="58" s="1"/>
  <c r="G408" i="58" s="1"/>
  <c r="G409" i="58" s="1"/>
  <c r="G410" i="58" s="1"/>
  <c r="G411" i="58" s="1"/>
  <c r="G412" i="58" s="1"/>
  <c r="G413" i="58" s="1"/>
  <c r="G414" i="58" s="1"/>
  <c r="G415" i="58" s="1"/>
  <c r="G416" i="58" s="1"/>
  <c r="G417" i="58" s="1"/>
  <c r="G418" i="58" s="1"/>
  <c r="G419" i="58" s="1"/>
  <c r="G420" i="58" s="1"/>
  <c r="G421" i="58" s="1"/>
  <c r="G422" i="58" s="1"/>
  <c r="G423" i="58" s="1"/>
  <c r="G424" i="58" s="1"/>
  <c r="G425" i="58" s="1"/>
  <c r="G426" i="58" s="1"/>
  <c r="G427" i="58" s="1"/>
  <c r="G428" i="58" s="1"/>
  <c r="G429" i="58" s="1"/>
  <c r="G430" i="58" l="1"/>
  <c r="G157" i="56"/>
  <c r="G158" i="56" s="1"/>
  <c r="G159" i="56" s="1"/>
  <c r="G160" i="56" s="1"/>
  <c r="G161" i="56" s="1"/>
  <c r="G162" i="56" s="1"/>
  <c r="G163" i="56" s="1"/>
  <c r="G164" i="56" s="1"/>
  <c r="G165" i="56" s="1"/>
  <c r="G166" i="56" s="1"/>
  <c r="G167" i="56" s="1"/>
  <c r="G168" i="56" s="1"/>
  <c r="G169" i="56" s="1"/>
  <c r="G170" i="56" s="1"/>
  <c r="G171" i="56" s="1"/>
  <c r="G172" i="56" s="1"/>
  <c r="G173" i="56" s="1"/>
  <c r="G174" i="56" s="1"/>
  <c r="G175" i="56" s="1"/>
  <c r="G176" i="56" s="1"/>
  <c r="G177" i="56" s="1"/>
  <c r="G178" i="56" s="1"/>
  <c r="G179" i="56" s="1"/>
  <c r="G180" i="56" s="1"/>
  <c r="G181" i="56" s="1"/>
  <c r="G182" i="56" s="1"/>
  <c r="G183" i="56" s="1"/>
  <c r="G184" i="56" s="1"/>
  <c r="G185" i="56" s="1"/>
  <c r="G186" i="56" s="1"/>
  <c r="G187" i="56" s="1"/>
  <c r="G188" i="56" s="1"/>
  <c r="G189" i="56" s="1"/>
  <c r="G190" i="56" s="1"/>
  <c r="G191" i="56" s="1"/>
  <c r="G192" i="56" s="1"/>
  <c r="G193" i="56" s="1"/>
  <c r="G194" i="56" s="1"/>
  <c r="G195" i="56" s="1"/>
  <c r="G196" i="56" s="1"/>
  <c r="G197" i="56" s="1"/>
  <c r="G198" i="56" s="1"/>
  <c r="G199" i="56" s="1"/>
  <c r="G200" i="56" s="1"/>
  <c r="G201" i="56" s="1"/>
  <c r="G202" i="56" s="1"/>
  <c r="G203" i="56" s="1"/>
  <c r="G204" i="56" s="1"/>
  <c r="G205" i="56" s="1"/>
  <c r="G206" i="56" s="1"/>
  <c r="G207" i="56" s="1"/>
  <c r="G208" i="56" s="1"/>
  <c r="G209" i="56" s="1"/>
  <c r="G210" i="56" s="1"/>
  <c r="G211" i="56" s="1"/>
  <c r="G212" i="56" s="1"/>
  <c r="G213" i="56" s="1"/>
  <c r="G214" i="56" s="1"/>
  <c r="G215" i="56" s="1"/>
  <c r="G216" i="56" s="1"/>
  <c r="G217" i="56" s="1"/>
  <c r="G218" i="56" s="1"/>
  <c r="G219" i="56" s="1"/>
  <c r="G220" i="56" s="1"/>
  <c r="G221" i="56" s="1"/>
  <c r="G222" i="56" s="1"/>
  <c r="G223" i="56" s="1"/>
  <c r="G224" i="56" s="1"/>
  <c r="G225" i="56" s="1"/>
  <c r="G226" i="56" s="1"/>
  <c r="G227" i="56" s="1"/>
  <c r="G228" i="56" s="1"/>
  <c r="G229" i="56" s="1"/>
  <c r="G230" i="56" s="1"/>
  <c r="G231" i="56" s="1"/>
  <c r="G232" i="56" s="1"/>
  <c r="G233" i="56" s="1"/>
  <c r="G234" i="56" s="1"/>
  <c r="G235" i="56" s="1"/>
  <c r="G236" i="56" s="1"/>
  <c r="G237" i="56" s="1"/>
  <c r="G238" i="56" s="1"/>
  <c r="G239" i="56" s="1"/>
  <c r="G240" i="56" s="1"/>
  <c r="G241" i="56" s="1"/>
  <c r="G242" i="56" s="1"/>
  <c r="G243" i="56" s="1"/>
  <c r="G244" i="56" s="1"/>
  <c r="G245" i="56" s="1"/>
  <c r="G246" i="56" s="1"/>
  <c r="G247" i="56" s="1"/>
  <c r="G248" i="56" s="1"/>
  <c r="G249" i="56" s="1"/>
  <c r="G250" i="56" s="1"/>
  <c r="G251" i="56" s="1"/>
  <c r="G252" i="56" s="1"/>
  <c r="G253" i="56" s="1"/>
  <c r="G254" i="56" s="1"/>
  <c r="G255" i="56" s="1"/>
  <c r="G256" i="56" s="1"/>
  <c r="G257" i="56" s="1"/>
  <c r="G258" i="56" s="1"/>
  <c r="G259" i="56" s="1"/>
  <c r="G260" i="56" s="1"/>
  <c r="G261" i="56" s="1"/>
  <c r="G262" i="56" s="1"/>
  <c r="G263" i="56" s="1"/>
  <c r="G264" i="56" s="1"/>
  <c r="G265" i="56" s="1"/>
  <c r="G266" i="56" s="1"/>
  <c r="G267" i="56" s="1"/>
  <c r="G268" i="56" s="1"/>
  <c r="G269" i="56" s="1"/>
  <c r="G270" i="56" s="1"/>
  <c r="G271" i="56" s="1"/>
  <c r="G272" i="56" s="1"/>
  <c r="G273" i="56" s="1"/>
  <c r="G274" i="56" s="1"/>
  <c r="G275" i="56" s="1"/>
  <c r="G276" i="56" s="1"/>
  <c r="G277" i="56" s="1"/>
  <c r="G278" i="56" s="1"/>
  <c r="G279" i="56" s="1"/>
  <c r="G280" i="56" s="1"/>
  <c r="G281" i="56" s="1"/>
  <c r="G282" i="56" s="1"/>
  <c r="G283" i="56" s="1"/>
  <c r="G284" i="56" s="1"/>
  <c r="G285" i="56" s="1"/>
  <c r="G286" i="56" s="1"/>
  <c r="G287" i="56" s="1"/>
  <c r="G288" i="56" s="1"/>
  <c r="G289" i="56" s="1"/>
  <c r="G290" i="56" s="1"/>
  <c r="G291" i="56" s="1"/>
  <c r="G292" i="56" s="1"/>
  <c r="G293" i="56" s="1"/>
  <c r="G294" i="56" s="1"/>
  <c r="G295" i="56" s="1"/>
  <c r="G296" i="56" s="1"/>
  <c r="G297" i="56" s="1"/>
  <c r="G298" i="56" s="1"/>
  <c r="G299" i="56" s="1"/>
  <c r="G300" i="56" s="1"/>
  <c r="G301" i="56" s="1"/>
  <c r="G302" i="56" s="1"/>
  <c r="G303" i="56" s="1"/>
  <c r="G304" i="56" s="1"/>
  <c r="G305" i="56" s="1"/>
  <c r="G306" i="56" s="1"/>
  <c r="G307" i="56" s="1"/>
  <c r="G308" i="56" s="1"/>
  <c r="G309" i="56" s="1"/>
  <c r="G310" i="56" s="1"/>
  <c r="G311" i="56" s="1"/>
  <c r="G312" i="56" s="1"/>
  <c r="G313" i="56" s="1"/>
  <c r="G314" i="56" s="1"/>
  <c r="G315" i="56" s="1"/>
  <c r="G316" i="56" s="1"/>
  <c r="G317" i="56" s="1"/>
  <c r="G318" i="56" s="1"/>
  <c r="G319" i="56" s="1"/>
  <c r="G320" i="56" s="1"/>
  <c r="G321" i="56" s="1"/>
  <c r="G322" i="56" s="1"/>
  <c r="G323" i="56" s="1"/>
  <c r="G324" i="56" s="1"/>
  <c r="G325" i="56" s="1"/>
  <c r="G326" i="56" s="1"/>
  <c r="G327" i="56" s="1"/>
  <c r="G328" i="56" s="1"/>
  <c r="G329" i="56" s="1"/>
  <c r="G330" i="56" s="1"/>
  <c r="G331" i="56" s="1"/>
  <c r="G332" i="56" s="1"/>
  <c r="G333" i="56" s="1"/>
  <c r="G334" i="56" s="1"/>
  <c r="G335" i="56" s="1"/>
  <c r="G336" i="56" s="1"/>
  <c r="G337" i="56" s="1"/>
  <c r="G338" i="56" s="1"/>
  <c r="G339" i="56" s="1"/>
  <c r="G340" i="56" s="1"/>
  <c r="G341" i="56" s="1"/>
  <c r="G342" i="56" s="1"/>
  <c r="G343" i="56" s="1"/>
  <c r="G344" i="56" s="1"/>
  <c r="G345" i="56" s="1"/>
  <c r="G346" i="56" s="1"/>
  <c r="G347" i="56" s="1"/>
  <c r="G348" i="56" s="1"/>
  <c r="G349" i="56" s="1"/>
  <c r="G350" i="56" s="1"/>
  <c r="G351" i="56" s="1"/>
  <c r="G352" i="56" s="1"/>
  <c r="G353" i="56" s="1"/>
  <c r="G354" i="56" s="1"/>
  <c r="G355" i="56" s="1"/>
  <c r="G356" i="56" s="1"/>
  <c r="G357" i="56" s="1"/>
  <c r="G358" i="56" s="1"/>
  <c r="G359" i="56" s="1"/>
  <c r="G360" i="56" s="1"/>
  <c r="G361" i="56" s="1"/>
  <c r="G362" i="56" s="1"/>
  <c r="G363" i="56" s="1"/>
  <c r="G364" i="56" s="1"/>
  <c r="G365" i="56" s="1"/>
  <c r="G366" i="56" s="1"/>
  <c r="G367" i="56" s="1"/>
  <c r="G368" i="56" s="1"/>
  <c r="G369" i="56" s="1"/>
  <c r="G370" i="56" s="1"/>
  <c r="G371" i="56" s="1"/>
  <c r="G372" i="56" s="1"/>
  <c r="G373" i="56" s="1"/>
  <c r="G374" i="56" s="1"/>
  <c r="G375" i="56" s="1"/>
  <c r="G376" i="56" s="1"/>
  <c r="G377" i="56" s="1"/>
  <c r="G378" i="56" s="1"/>
  <c r="G379" i="56" s="1"/>
  <c r="G380" i="56" s="1"/>
  <c r="G381" i="56" s="1"/>
  <c r="G382" i="56" s="1"/>
  <c r="G383" i="56" s="1"/>
  <c r="G384" i="56" s="1"/>
  <c r="G385" i="56" s="1"/>
  <c r="G386" i="56" s="1"/>
  <c r="G387" i="56" s="1"/>
  <c r="G388" i="56" s="1"/>
  <c r="G389" i="56" s="1"/>
  <c r="G390" i="56" s="1"/>
  <c r="G391" i="56" s="1"/>
  <c r="G392" i="56" s="1"/>
  <c r="G393" i="56" s="1"/>
  <c r="G394" i="56" s="1"/>
  <c r="G395" i="56" s="1"/>
  <c r="G396" i="56" s="1"/>
  <c r="G397" i="56" s="1"/>
  <c r="G398" i="56" s="1"/>
  <c r="G399" i="56" s="1"/>
  <c r="G400" i="56" s="1"/>
  <c r="G401" i="56" s="1"/>
  <c r="G402" i="56" s="1"/>
  <c r="G403" i="56" s="1"/>
  <c r="G404" i="56" s="1"/>
  <c r="G405" i="56" s="1"/>
  <c r="G406" i="56" s="1"/>
  <c r="G407" i="56" s="1"/>
  <c r="G408" i="56" s="1"/>
  <c r="G409" i="56" s="1"/>
  <c r="G410" i="56" s="1"/>
  <c r="G411" i="56" s="1"/>
  <c r="G412" i="56" s="1"/>
  <c r="G413" i="56" s="1"/>
  <c r="G414" i="56" s="1"/>
  <c r="G415" i="56" s="1"/>
  <c r="G416" i="56" s="1"/>
  <c r="G417" i="56" s="1"/>
  <c r="G418" i="56" s="1"/>
  <c r="G419" i="56" s="1"/>
  <c r="G420" i="56" s="1"/>
  <c r="G421" i="56" s="1"/>
  <c r="G422" i="56" s="1"/>
  <c r="G423" i="56" s="1"/>
  <c r="G424" i="56" s="1"/>
  <c r="G425" i="56" s="1"/>
  <c r="G426" i="56" s="1"/>
  <c r="G427" i="56" s="1"/>
  <c r="G428" i="56" s="1"/>
  <c r="G429" i="56" s="1"/>
  <c r="G430" i="56" s="1"/>
  <c r="G431" i="56" s="1"/>
  <c r="G432" i="56" s="1"/>
  <c r="G433" i="56" s="1"/>
  <c r="G434" i="56" s="1"/>
  <c r="G435" i="56" s="1"/>
  <c r="G436" i="56" s="1"/>
  <c r="G437" i="56" s="1"/>
  <c r="G438" i="56" s="1"/>
  <c r="G439" i="56" s="1"/>
  <c r="G440" i="56" s="1"/>
  <c r="G441" i="56" s="1"/>
  <c r="G442" i="56" s="1"/>
  <c r="G443" i="56" s="1"/>
  <c r="G444" i="56" s="1"/>
  <c r="G445" i="56" s="1"/>
  <c r="G446" i="56" s="1"/>
  <c r="G447" i="56" s="1"/>
  <c r="G448" i="56" s="1"/>
  <c r="G449" i="56" s="1"/>
  <c r="G450" i="56" s="1"/>
  <c r="G451" i="56" s="1"/>
  <c r="G452" i="56" s="1"/>
  <c r="G453" i="56" s="1"/>
  <c r="G454" i="56" s="1"/>
  <c r="G455" i="56" s="1"/>
  <c r="G456" i="56" s="1"/>
  <c r="G457" i="56" s="1"/>
  <c r="G458" i="56" s="1"/>
  <c r="G459" i="56" s="1"/>
  <c r="G460" i="56" s="1"/>
  <c r="G461" i="56" s="1"/>
  <c r="G462" i="56" s="1"/>
  <c r="G463" i="56" s="1"/>
  <c r="G464" i="56" s="1"/>
  <c r="G465" i="56" s="1"/>
  <c r="G466" i="56" s="1"/>
  <c r="G467" i="56" s="1"/>
  <c r="G468" i="56" s="1"/>
  <c r="G469" i="56" s="1"/>
  <c r="G470" i="56" s="1"/>
  <c r="G471" i="56" s="1"/>
  <c r="G472" i="56" s="1"/>
  <c r="G473" i="56" s="1"/>
  <c r="G474" i="56" s="1"/>
  <c r="G475" i="56" s="1"/>
  <c r="G476" i="56" s="1"/>
  <c r="G477" i="56" s="1"/>
  <c r="G478" i="56" s="1"/>
  <c r="G479" i="56" s="1"/>
  <c r="G480" i="56" s="1"/>
  <c r="G481" i="56" s="1"/>
  <c r="G482" i="56" s="1"/>
  <c r="G483" i="56" s="1"/>
  <c r="G484" i="56" s="1"/>
  <c r="G485" i="56" s="1"/>
  <c r="G486" i="56" s="1"/>
  <c r="G487" i="56" s="1"/>
  <c r="G488" i="56" s="1"/>
  <c r="G489" i="56" s="1"/>
  <c r="G490" i="56" s="1"/>
  <c r="G491" i="56" s="1"/>
  <c r="G492" i="56" s="1"/>
  <c r="G493" i="56" s="1"/>
  <c r="G494" i="56" s="1"/>
  <c r="G495" i="56" s="1"/>
  <c r="G496" i="56" s="1"/>
  <c r="G497" i="56" s="1"/>
  <c r="G498" i="56" s="1"/>
  <c r="G499" i="56" s="1"/>
  <c r="G500" i="56" s="1"/>
  <c r="H2" i="56" l="1"/>
  <c r="A1" i="55" s="1"/>
  <c r="H3" i="56"/>
  <c r="A2" i="55" s="1"/>
  <c r="H4" i="56"/>
  <c r="A3" i="55" s="1"/>
  <c r="H24" i="56"/>
  <c r="A23" i="55" s="1"/>
  <c r="H33" i="56"/>
  <c r="A32" i="55" s="1"/>
  <c r="H30" i="56"/>
  <c r="A29" i="55" s="1"/>
  <c r="H7" i="56"/>
  <c r="A6" i="55" s="1"/>
  <c r="H13" i="56"/>
  <c r="A12" i="55" s="1"/>
  <c r="H27" i="56"/>
  <c r="A26" i="55" s="1"/>
  <c r="H9" i="56"/>
  <c r="A8" i="55" s="1"/>
  <c r="H21" i="56"/>
  <c r="A20" i="55" s="1"/>
  <c r="H16" i="56"/>
  <c r="A15" i="55" s="1"/>
  <c r="H31" i="56"/>
  <c r="A30" i="55" s="1"/>
  <c r="H22" i="56"/>
  <c r="A21" i="55" s="1"/>
  <c r="H19" i="56"/>
  <c r="A18" i="55" s="1"/>
  <c r="H28" i="56"/>
  <c r="A27" i="55" s="1"/>
  <c r="H32" i="56"/>
  <c r="A31" i="55" s="1"/>
  <c r="H23" i="56"/>
  <c r="A22" i="55" s="1"/>
  <c r="H18" i="56"/>
  <c r="A17" i="55" s="1"/>
  <c r="H17" i="56"/>
  <c r="A16" i="55" s="1"/>
  <c r="H15" i="56"/>
  <c r="A14" i="55" s="1"/>
  <c r="H25" i="56"/>
  <c r="A24" i="55" s="1"/>
  <c r="H11" i="56"/>
  <c r="A10" i="55" s="1"/>
  <c r="H34" i="56"/>
  <c r="A33" i="55" s="1"/>
  <c r="H26" i="56"/>
  <c r="A25" i="55" s="1"/>
  <c r="H29" i="56"/>
  <c r="A28" i="55" s="1"/>
  <c r="H20" i="56"/>
  <c r="A19" i="55" s="1"/>
  <c r="H8" i="56"/>
  <c r="A7" i="55" s="1"/>
  <c r="H14" i="56"/>
  <c r="A13" i="55" s="1"/>
  <c r="H12" i="56"/>
  <c r="A11" i="55" s="1"/>
  <c r="H10" i="56"/>
  <c r="A9" i="55" s="1"/>
  <c r="H6" i="56"/>
  <c r="A5" i="55" s="1"/>
  <c r="H61" i="56"/>
  <c r="A60" i="55" s="1"/>
  <c r="H89" i="56"/>
  <c r="A88" i="55" s="1"/>
  <c r="H38" i="56"/>
  <c r="A37" i="55" s="1"/>
  <c r="H74" i="56"/>
  <c r="A73" i="55" s="1"/>
  <c r="H81" i="56"/>
  <c r="A80" i="55" s="1"/>
  <c r="H71" i="56"/>
  <c r="A70" i="55" s="1"/>
  <c r="H70" i="56"/>
  <c r="A69" i="55" s="1"/>
  <c r="H78" i="56"/>
  <c r="A77" i="55" s="1"/>
  <c r="H80" i="56"/>
  <c r="A79" i="55" s="1"/>
  <c r="H41" i="56"/>
  <c r="A40" i="55" s="1"/>
  <c r="H40" i="56"/>
  <c r="A39" i="55" s="1"/>
  <c r="H86" i="56"/>
  <c r="A85" i="55" s="1"/>
  <c r="H84" i="56"/>
  <c r="A83" i="55" s="1"/>
  <c r="H60" i="56"/>
  <c r="A59" i="55" s="1"/>
  <c r="H53" i="56"/>
  <c r="A52" i="55" s="1"/>
  <c r="H83" i="56"/>
  <c r="A82" i="55" s="1"/>
  <c r="H35" i="56"/>
  <c r="A34" i="55" s="1"/>
  <c r="H73" i="56"/>
  <c r="A72" i="55" s="1"/>
  <c r="H92" i="56"/>
  <c r="A91" i="55" s="1"/>
  <c r="H91" i="56"/>
  <c r="A90" i="55" s="1"/>
  <c r="H87" i="56"/>
  <c r="A86" i="55" s="1"/>
  <c r="H50" i="56"/>
  <c r="A49" i="55" s="1"/>
  <c r="H39" i="56"/>
  <c r="A38" i="55" s="1"/>
  <c r="H82" i="56"/>
  <c r="A81" i="55" s="1"/>
  <c r="H85" i="56"/>
  <c r="A84" i="55" s="1"/>
  <c r="H79" i="56"/>
  <c r="A78" i="55" s="1"/>
  <c r="H90" i="56"/>
  <c r="A89" i="55" s="1"/>
  <c r="H75" i="56"/>
  <c r="A74" i="55" s="1"/>
  <c r="H96" i="56"/>
  <c r="A95" i="55" s="1"/>
  <c r="H59" i="56"/>
  <c r="A58" i="55" s="1"/>
  <c r="H43" i="56"/>
  <c r="A42" i="55" s="1"/>
  <c r="H46" i="56"/>
  <c r="A45" i="55" s="1"/>
  <c r="H37" i="56"/>
  <c r="A36" i="55" s="1"/>
  <c r="H54" i="56"/>
  <c r="A53" i="55" s="1"/>
  <c r="H94" i="56"/>
  <c r="A93" i="55" s="1"/>
  <c r="H63" i="56"/>
  <c r="A62" i="55" s="1"/>
  <c r="H62" i="56"/>
  <c r="A61" i="55" s="1"/>
  <c r="H69" i="56"/>
  <c r="A68" i="55" s="1"/>
  <c r="H68" i="56"/>
  <c r="A67" i="55" s="1"/>
  <c r="H57" i="56"/>
  <c r="A56" i="55" s="1"/>
  <c r="H36" i="56"/>
  <c r="A35" i="55" s="1"/>
  <c r="H51" i="56"/>
  <c r="A50" i="55" s="1"/>
  <c r="H52" i="56"/>
  <c r="A51" i="55" s="1"/>
  <c r="H76" i="56"/>
  <c r="A75" i="55" s="1"/>
  <c r="H72" i="56"/>
  <c r="A71" i="55" s="1"/>
  <c r="H48" i="56"/>
  <c r="A47" i="55" s="1"/>
  <c r="H58" i="56"/>
  <c r="A57" i="55" s="1"/>
  <c r="H45" i="56"/>
  <c r="A44" i="55" s="1"/>
  <c r="H47" i="56"/>
  <c r="A46" i="55" s="1"/>
  <c r="H42" i="56"/>
  <c r="A41" i="55" s="1"/>
  <c r="H77" i="56"/>
  <c r="A76" i="55" s="1"/>
  <c r="H67" i="56"/>
  <c r="A66" i="55" s="1"/>
  <c r="H49" i="56"/>
  <c r="A48" i="55" s="1"/>
  <c r="H64" i="56"/>
  <c r="A63" i="55" s="1"/>
  <c r="H88" i="56"/>
  <c r="A87" i="55" s="1"/>
  <c r="H55" i="56"/>
  <c r="A54" i="55" s="1"/>
  <c r="H44" i="56"/>
  <c r="A43" i="55" s="1"/>
  <c r="H93" i="56"/>
  <c r="A92" i="55" s="1"/>
  <c r="H56" i="56"/>
  <c r="A55" i="55" s="1"/>
  <c r="H65" i="56"/>
  <c r="A64" i="55" s="1"/>
  <c r="H66" i="56"/>
  <c r="A65" i="55" s="1"/>
  <c r="H95" i="56"/>
  <c r="A94" i="55" s="1"/>
  <c r="H108" i="56"/>
  <c r="A107" i="55" s="1"/>
  <c r="H115" i="56"/>
  <c r="A114" i="55" s="1"/>
  <c r="H112" i="56"/>
  <c r="A111" i="55" s="1"/>
  <c r="H100" i="56"/>
  <c r="A99" i="55" s="1"/>
  <c r="H105" i="56"/>
  <c r="A104" i="55" s="1"/>
  <c r="H98" i="56"/>
  <c r="A97" i="55" s="1"/>
  <c r="H103" i="56"/>
  <c r="A102" i="55" s="1"/>
  <c r="H113" i="56"/>
  <c r="A112" i="55" s="1"/>
  <c r="H99" i="56"/>
  <c r="A98" i="55" s="1"/>
  <c r="H109" i="56"/>
  <c r="A108" i="55" s="1"/>
  <c r="H97" i="56"/>
  <c r="A96" i="55" s="1"/>
  <c r="H102" i="56"/>
  <c r="A101" i="55" s="1"/>
  <c r="H111" i="56"/>
  <c r="A110" i="55" s="1"/>
  <c r="H101" i="56"/>
  <c r="A100" i="55" s="1"/>
  <c r="H114" i="56"/>
  <c r="A113" i="55" s="1"/>
  <c r="H110" i="56"/>
  <c r="A109" i="55" s="1"/>
  <c r="H117" i="56"/>
  <c r="A116" i="55" s="1"/>
  <c r="H116" i="56"/>
  <c r="A115" i="55" s="1"/>
  <c r="H104" i="56"/>
  <c r="A103" i="55" s="1"/>
  <c r="H106" i="56"/>
  <c r="A105" i="55" s="1"/>
  <c r="H107" i="56"/>
  <c r="A106" i="55" s="1"/>
  <c r="H119" i="56"/>
  <c r="A118" i="55" s="1"/>
  <c r="H118" i="56"/>
  <c r="A117" i="55" s="1"/>
  <c r="H120" i="56"/>
  <c r="A119" i="55" s="1"/>
  <c r="H122" i="56"/>
  <c r="A121" i="55" s="1"/>
  <c r="H121" i="56"/>
  <c r="A120" i="55" s="1"/>
  <c r="H124" i="56"/>
  <c r="A123" i="55" s="1"/>
  <c r="H123" i="56"/>
  <c r="A122" i="55" s="1"/>
  <c r="H329" i="56"/>
  <c r="A328" i="55" s="1"/>
  <c r="H233" i="56"/>
  <c r="A232" i="55" s="1"/>
  <c r="H130" i="56"/>
  <c r="A129" i="55" s="1"/>
  <c r="H242" i="56"/>
  <c r="A241" i="55" s="1"/>
  <c r="H475" i="56"/>
  <c r="A474" i="55" s="1"/>
  <c r="H164" i="56"/>
  <c r="A163" i="55" s="1"/>
  <c r="H268" i="56"/>
  <c r="A267" i="55" s="1"/>
  <c r="H345" i="56"/>
  <c r="A344" i="55" s="1"/>
  <c r="H184" i="56"/>
  <c r="A183" i="55" s="1"/>
  <c r="H390" i="56"/>
  <c r="A389" i="55" s="1"/>
  <c r="H353" i="56"/>
  <c r="A352" i="55" s="1"/>
  <c r="H459" i="56"/>
  <c r="A458" i="55" s="1"/>
  <c r="H336" i="56"/>
  <c r="A335" i="55" s="1"/>
  <c r="H204" i="56"/>
  <c r="A203" i="55" s="1"/>
  <c r="H279" i="56"/>
  <c r="A278" i="55" s="1"/>
  <c r="H312" i="56"/>
  <c r="A311" i="55" s="1"/>
  <c r="H278" i="56"/>
  <c r="A277" i="55" s="1"/>
  <c r="H479" i="56"/>
  <c r="A478" i="55" s="1"/>
  <c r="H394" i="56"/>
  <c r="A393" i="55" s="1"/>
  <c r="H262" i="56"/>
  <c r="A261" i="55" s="1"/>
  <c r="H141" i="56"/>
  <c r="A140" i="55" s="1"/>
  <c r="H168" i="56"/>
  <c r="A167" i="55" s="1"/>
  <c r="H354" i="56"/>
  <c r="A353" i="55" s="1"/>
  <c r="H188" i="56"/>
  <c r="A187" i="55" s="1"/>
  <c r="H387" i="56"/>
  <c r="A386" i="55" s="1"/>
  <c r="H485" i="56"/>
  <c r="A484" i="55" s="1"/>
  <c r="H449" i="56"/>
  <c r="A448" i="55" s="1"/>
  <c r="H414" i="56"/>
  <c r="A413" i="55" s="1"/>
  <c r="H231" i="56"/>
  <c r="A230" i="55" s="1"/>
  <c r="H466" i="56"/>
  <c r="A465" i="55" s="1"/>
  <c r="H457" i="56"/>
  <c r="A456" i="55" s="1"/>
  <c r="H318" i="56"/>
  <c r="A317" i="55" s="1"/>
  <c r="H291" i="56"/>
  <c r="A290" i="55" s="1"/>
  <c r="H250" i="56"/>
  <c r="A249" i="55" s="1"/>
  <c r="H157" i="56"/>
  <c r="A156" i="55" s="1"/>
  <c r="H219" i="56"/>
  <c r="A218" i="55" s="1"/>
  <c r="H436" i="56"/>
  <c r="A435" i="55" s="1"/>
  <c r="H135" i="56"/>
  <c r="A134" i="55" s="1"/>
  <c r="H251" i="56"/>
  <c r="A250" i="55" s="1"/>
  <c r="H409" i="56"/>
  <c r="A408" i="55" s="1"/>
  <c r="H311" i="56"/>
  <c r="A310" i="55" s="1"/>
  <c r="H456" i="56"/>
  <c r="A455" i="55" s="1"/>
  <c r="H134" i="56"/>
  <c r="A133" i="55" s="1"/>
  <c r="H372" i="56"/>
  <c r="A371" i="55" s="1"/>
  <c r="H169" i="56"/>
  <c r="A168" i="55" s="1"/>
  <c r="H147" i="56"/>
  <c r="A146" i="55" s="1"/>
  <c r="H385" i="56"/>
  <c r="A384" i="55" s="1"/>
  <c r="H489" i="56"/>
  <c r="A488" i="55" s="1"/>
  <c r="H498" i="56"/>
  <c r="A497" i="55" s="1"/>
  <c r="H332" i="56"/>
  <c r="A331" i="55" s="1"/>
  <c r="H325" i="56"/>
  <c r="A324" i="55" s="1"/>
  <c r="H238" i="56"/>
  <c r="A237" i="55" s="1"/>
  <c r="H209" i="56"/>
  <c r="A208" i="55" s="1"/>
  <c r="H295" i="56"/>
  <c r="A294" i="55" s="1"/>
  <c r="H293" i="56"/>
  <c r="A292" i="55" s="1"/>
  <c r="H419" i="56"/>
  <c r="A418" i="55" s="1"/>
  <c r="H418" i="56"/>
  <c r="A417" i="55" s="1"/>
  <c r="H285" i="56"/>
  <c r="A284" i="55" s="1"/>
  <c r="H150" i="56"/>
  <c r="A149" i="55" s="1"/>
  <c r="H265" i="56"/>
  <c r="A264" i="55" s="1"/>
  <c r="H270" i="56"/>
  <c r="A269" i="55" s="1"/>
  <c r="H486" i="56"/>
  <c r="A485" i="55" s="1"/>
  <c r="H365" i="56"/>
  <c r="A364" i="55" s="1"/>
  <c r="H165" i="56"/>
  <c r="A164" i="55" s="1"/>
  <c r="H287" i="56"/>
  <c r="A286" i="55" s="1"/>
  <c r="H351" i="56"/>
  <c r="A350" i="55" s="1"/>
  <c r="H246" i="56"/>
  <c r="A245" i="55" s="1"/>
  <c r="H322" i="56"/>
  <c r="A321" i="55" s="1"/>
  <c r="H158" i="56"/>
  <c r="A157" i="55" s="1"/>
  <c r="H161" i="56"/>
  <c r="A160" i="55" s="1"/>
  <c r="H305" i="56"/>
  <c r="A304" i="55" s="1"/>
  <c r="H404" i="56"/>
  <c r="A403" i="55" s="1"/>
  <c r="H395" i="56"/>
  <c r="A394" i="55" s="1"/>
  <c r="H402" i="56"/>
  <c r="A401" i="55" s="1"/>
  <c r="H427" i="56"/>
  <c r="A426" i="55" s="1"/>
  <c r="H273" i="56"/>
  <c r="A272" i="55" s="1"/>
  <c r="H455" i="56"/>
  <c r="A454" i="55" s="1"/>
  <c r="H249" i="56"/>
  <c r="A248" i="55" s="1"/>
  <c r="H223" i="56"/>
  <c r="A222" i="55" s="1"/>
  <c r="H320" i="56"/>
  <c r="A319" i="55" s="1"/>
  <c r="H373" i="56"/>
  <c r="A372" i="55" s="1"/>
  <c r="H339" i="56"/>
  <c r="A338" i="55" s="1"/>
  <c r="H225" i="56"/>
  <c r="A224" i="55" s="1"/>
  <c r="H239" i="56"/>
  <c r="A238" i="55" s="1"/>
  <c r="H380" i="56"/>
  <c r="A379" i="55" s="1"/>
  <c r="H266" i="56"/>
  <c r="A265" i="55" s="1"/>
  <c r="H392" i="56"/>
  <c r="A391" i="55" s="1"/>
  <c r="H442" i="56"/>
  <c r="A441" i="55" s="1"/>
  <c r="H439" i="56"/>
  <c r="A438" i="55" s="1"/>
  <c r="H411" i="56"/>
  <c r="A410" i="55" s="1"/>
  <c r="H152" i="56"/>
  <c r="A151" i="55" s="1"/>
  <c r="H220" i="56"/>
  <c r="A219" i="55" s="1"/>
  <c r="H410" i="56"/>
  <c r="A409" i="55" s="1"/>
  <c r="H370" i="56"/>
  <c r="A369" i="55" s="1"/>
  <c r="H162" i="56"/>
  <c r="A161" i="55" s="1"/>
  <c r="H391" i="56"/>
  <c r="A390" i="55" s="1"/>
  <c r="H417" i="56"/>
  <c r="A416" i="55" s="1"/>
  <c r="H5" i="56"/>
  <c r="A4" i="55" s="1"/>
  <c r="H126" i="56"/>
  <c r="A125" i="55" s="1"/>
  <c r="H125" i="56"/>
  <c r="A124" i="55" s="1"/>
  <c r="H127" i="56"/>
  <c r="A126" i="55" s="1"/>
  <c r="H128" i="56"/>
  <c r="A127" i="55" s="1"/>
  <c r="H453" i="56"/>
  <c r="A452" i="55" s="1"/>
  <c r="H181" i="56"/>
  <c r="A180" i="55" s="1"/>
  <c r="H292" i="56"/>
  <c r="A291" i="55" s="1"/>
  <c r="H399" i="56"/>
  <c r="A398" i="55" s="1"/>
  <c r="H244" i="56"/>
  <c r="A243" i="55" s="1"/>
  <c r="H432" i="56"/>
  <c r="A431" i="55" s="1"/>
  <c r="H424" i="56"/>
  <c r="A423" i="55" s="1"/>
  <c r="H302" i="56"/>
  <c r="A301" i="55" s="1"/>
  <c r="H452" i="56"/>
  <c r="A451" i="55" s="1"/>
  <c r="H314" i="56"/>
  <c r="A313" i="55" s="1"/>
  <c r="H269" i="56"/>
  <c r="A268" i="55" s="1"/>
  <c r="H234" i="56"/>
  <c r="A233" i="55" s="1"/>
  <c r="H433" i="56"/>
  <c r="A432" i="55" s="1"/>
  <c r="H212" i="56"/>
  <c r="A211" i="55" s="1"/>
  <c r="H435" i="56"/>
  <c r="A434" i="55" s="1"/>
  <c r="H148" i="56"/>
  <c r="A147" i="55" s="1"/>
  <c r="H491" i="56"/>
  <c r="A490" i="55" s="1"/>
  <c r="H160" i="56"/>
  <c r="A159" i="55" s="1"/>
  <c r="H317" i="56"/>
  <c r="A316" i="55" s="1"/>
  <c r="H144" i="56"/>
  <c r="A143" i="55" s="1"/>
  <c r="H129" i="56"/>
  <c r="A128" i="55" s="1"/>
  <c r="H230" i="56"/>
  <c r="A229" i="55" s="1"/>
  <c r="H307" i="56"/>
  <c r="A306" i="55" s="1"/>
  <c r="H476" i="56"/>
  <c r="A475" i="55" s="1"/>
  <c r="H323" i="56"/>
  <c r="A322" i="55" s="1"/>
  <c r="H294" i="56"/>
  <c r="A293" i="55" s="1"/>
  <c r="H357" i="56"/>
  <c r="A356" i="55" s="1"/>
  <c r="H482" i="56"/>
  <c r="A481" i="55" s="1"/>
  <c r="H335" i="56"/>
  <c r="A334" i="55" s="1"/>
  <c r="H151" i="56"/>
  <c r="A150" i="55" s="1"/>
  <c r="H337" i="56"/>
  <c r="A336" i="55" s="1"/>
  <c r="H363" i="56"/>
  <c r="A362" i="55" s="1"/>
  <c r="H421" i="56"/>
  <c r="A420" i="55" s="1"/>
  <c r="H306" i="56"/>
  <c r="A305" i="55" s="1"/>
  <c r="H344" i="56"/>
  <c r="A343" i="55" s="1"/>
  <c r="H415" i="56"/>
  <c r="A414" i="55" s="1"/>
  <c r="H174" i="56"/>
  <c r="A173" i="55" s="1"/>
  <c r="H304" i="56"/>
  <c r="A303" i="55" s="1"/>
  <c r="H477" i="56"/>
  <c r="A476" i="55" s="1"/>
  <c r="H155" i="56"/>
  <c r="A154" i="55" s="1"/>
  <c r="H193" i="56"/>
  <c r="A192" i="55" s="1"/>
  <c r="H369" i="56"/>
  <c r="A368" i="55" s="1"/>
  <c r="H232" i="56"/>
  <c r="A231" i="55" s="1"/>
  <c r="H217" i="56"/>
  <c r="A216" i="55" s="1"/>
  <c r="H256" i="56"/>
  <c r="A255" i="55" s="1"/>
  <c r="H154" i="56"/>
  <c r="A153" i="55" s="1"/>
  <c r="H194" i="56"/>
  <c r="A193" i="55" s="1"/>
  <c r="H175" i="56"/>
  <c r="A174" i="55" s="1"/>
  <c r="H186" i="56"/>
  <c r="A185" i="55" s="1"/>
  <c r="H215" i="56"/>
  <c r="A214" i="55" s="1"/>
  <c r="H367" i="56"/>
  <c r="A366" i="55" s="1"/>
  <c r="H259" i="56"/>
  <c r="A258" i="55" s="1"/>
  <c r="H203" i="56"/>
  <c r="A202" i="55" s="1"/>
  <c r="H131" i="56"/>
  <c r="A130" i="55" s="1"/>
  <c r="H263" i="56"/>
  <c r="A262" i="55" s="1"/>
  <c r="H192" i="56"/>
  <c r="A191" i="55" s="1"/>
  <c r="H146" i="56"/>
  <c r="A145" i="55" s="1"/>
  <c r="H222" i="56"/>
  <c r="A221" i="55" s="1"/>
  <c r="H446" i="56"/>
  <c r="A445" i="55" s="1"/>
  <c r="H382" i="56"/>
  <c r="A381" i="55" s="1"/>
  <c r="H350" i="56"/>
  <c r="A349" i="55" s="1"/>
  <c r="H257" i="56"/>
  <c r="A256" i="55" s="1"/>
  <c r="H471" i="56"/>
  <c r="A470" i="55" s="1"/>
  <c r="H478" i="56"/>
  <c r="A477" i="55" s="1"/>
  <c r="H492" i="56"/>
  <c r="A491" i="55" s="1"/>
  <c r="H280" i="56"/>
  <c r="A279" i="55" s="1"/>
  <c r="H470" i="56"/>
  <c r="A469" i="55" s="1"/>
  <c r="H334" i="56"/>
  <c r="A333" i="55" s="1"/>
  <c r="H383" i="56"/>
  <c r="A382" i="55" s="1"/>
  <c r="H187" i="56"/>
  <c r="A186" i="55" s="1"/>
  <c r="H406" i="56"/>
  <c r="A405" i="55" s="1"/>
  <c r="H191" i="56"/>
  <c r="A190" i="55" s="1"/>
  <c r="H431" i="56"/>
  <c r="A430" i="55" s="1"/>
  <c r="H381" i="56"/>
  <c r="A380" i="55" s="1"/>
  <c r="H179" i="56"/>
  <c r="A178" i="55" s="1"/>
  <c r="H196" i="56"/>
  <c r="A195" i="55" s="1"/>
  <c r="H368" i="56"/>
  <c r="A367" i="55" s="1"/>
  <c r="H281" i="56"/>
  <c r="A280" i="55" s="1"/>
  <c r="H342" i="56"/>
  <c r="A341" i="55" s="1"/>
  <c r="H228" i="56"/>
  <c r="A227" i="55" s="1"/>
  <c r="H480" i="56"/>
  <c r="A479" i="55" s="1"/>
  <c r="H454" i="56"/>
  <c r="A453" i="55" s="1"/>
  <c r="H338" i="56"/>
  <c r="A337" i="55" s="1"/>
  <c r="H460" i="56"/>
  <c r="A459" i="55" s="1"/>
  <c r="H258" i="56"/>
  <c r="A257" i="55" s="1"/>
  <c r="H252" i="56"/>
  <c r="A251" i="55" s="1"/>
  <c r="H461" i="56"/>
  <c r="A460" i="55" s="1"/>
  <c r="H493" i="56"/>
  <c r="A492" i="55" s="1"/>
  <c r="H468" i="56"/>
  <c r="A467" i="55" s="1"/>
  <c r="H321" i="56"/>
  <c r="A320" i="55" s="1"/>
  <c r="H176" i="56"/>
  <c r="A175" i="55" s="1"/>
  <c r="H494" i="56"/>
  <c r="A493" i="55" s="1"/>
  <c r="H316" i="56"/>
  <c r="A315" i="55" s="1"/>
  <c r="H331" i="56"/>
  <c r="A330" i="55" s="1"/>
  <c r="H286" i="56"/>
  <c r="A285" i="55" s="1"/>
  <c r="H260" i="56"/>
  <c r="A259" i="55" s="1"/>
  <c r="H362" i="56"/>
  <c r="A361" i="55" s="1"/>
  <c r="H441" i="56"/>
  <c r="A440" i="55" s="1"/>
  <c r="H425" i="56"/>
  <c r="A424" i="55" s="1"/>
  <c r="H235" i="56"/>
  <c r="A234" i="55" s="1"/>
  <c r="H195" i="56"/>
  <c r="A194" i="55" s="1"/>
  <c r="H167" i="56"/>
  <c r="A166" i="55" s="1"/>
  <c r="H288" i="56"/>
  <c r="A287" i="55" s="1"/>
  <c r="H348" i="56"/>
  <c r="A347" i="55" s="1"/>
  <c r="H137" i="56"/>
  <c r="A136" i="55" s="1"/>
  <c r="H172" i="56"/>
  <c r="A171" i="55" s="1"/>
  <c r="H401" i="56"/>
  <c r="A400" i="55" s="1"/>
  <c r="H205" i="56"/>
  <c r="A204" i="55" s="1"/>
  <c r="H407" i="56"/>
  <c r="A406" i="55" s="1"/>
  <c r="H139" i="56"/>
  <c r="A138" i="55" s="1"/>
  <c r="H308" i="56"/>
  <c r="A307" i="55" s="1"/>
  <c r="H343" i="56"/>
  <c r="A342" i="55" s="1"/>
  <c r="H388" i="56"/>
  <c r="A387" i="55" s="1"/>
  <c r="H283" i="56"/>
  <c r="A282" i="55" s="1"/>
  <c r="H463" i="56"/>
  <c r="A462" i="55" s="1"/>
  <c r="H496" i="56"/>
  <c r="A495" i="55" s="1"/>
  <c r="H275" i="56"/>
  <c r="A274" i="55" s="1"/>
  <c r="H299" i="56"/>
  <c r="A298" i="55" s="1"/>
  <c r="H422" i="56"/>
  <c r="A421" i="55" s="1"/>
  <c r="H183" i="56"/>
  <c r="A182" i="55" s="1"/>
  <c r="H403" i="56"/>
  <c r="A402" i="55" s="1"/>
  <c r="H253" i="56"/>
  <c r="A252" i="55" s="1"/>
  <c r="H300" i="56"/>
  <c r="A299" i="55" s="1"/>
  <c r="H490" i="56"/>
  <c r="A489" i="55" s="1"/>
  <c r="H473" i="56"/>
  <c r="A472" i="55" s="1"/>
  <c r="H428" i="56"/>
  <c r="A427" i="55" s="1"/>
  <c r="H178" i="56"/>
  <c r="A177" i="55" s="1"/>
  <c r="H303" i="56"/>
  <c r="A302" i="55" s="1"/>
  <c r="H483" i="56"/>
  <c r="A482" i="55" s="1"/>
  <c r="H495" i="56"/>
  <c r="A494" i="55" s="1"/>
  <c r="H177" i="56"/>
  <c r="A176" i="55" s="1"/>
  <c r="H227" i="56"/>
  <c r="A226" i="55" s="1"/>
  <c r="H153" i="56"/>
  <c r="A152" i="55" s="1"/>
  <c r="H379" i="56"/>
  <c r="A378" i="55" s="1"/>
  <c r="H420" i="56"/>
  <c r="A419" i="55" s="1"/>
  <c r="H467" i="56"/>
  <c r="A466" i="55" s="1"/>
  <c r="H386" i="56"/>
  <c r="A385" i="55" s="1"/>
  <c r="H346" i="56"/>
  <c r="A345" i="55" s="1"/>
  <c r="H211" i="56"/>
  <c r="A210" i="55" s="1"/>
  <c r="H371" i="56"/>
  <c r="A370" i="55" s="1"/>
  <c r="H469" i="56"/>
  <c r="A468" i="55" s="1"/>
  <c r="H173" i="56"/>
  <c r="A172" i="55" s="1"/>
  <c r="H298" i="56"/>
  <c r="A297" i="55" s="1"/>
  <c r="H500" i="56"/>
  <c r="A499" i="55" s="1"/>
  <c r="H132" i="56"/>
  <c r="A131" i="55" s="1"/>
  <c r="H221" i="56"/>
  <c r="A220" i="55" s="1"/>
  <c r="H360" i="56"/>
  <c r="A359" i="55" s="1"/>
  <c r="H229" i="56"/>
  <c r="A228" i="55" s="1"/>
  <c r="H213" i="56"/>
  <c r="A212" i="55" s="1"/>
  <c r="H330" i="56"/>
  <c r="A329" i="55" s="1"/>
  <c r="H261" i="56"/>
  <c r="A260" i="55" s="1"/>
  <c r="H241" i="56"/>
  <c r="A240" i="55" s="1"/>
  <c r="H297" i="56"/>
  <c r="A296" i="55" s="1"/>
  <c r="H474" i="56"/>
  <c r="A473" i="55" s="1"/>
  <c r="H237" i="56"/>
  <c r="A236" i="55" s="1"/>
  <c r="H327" i="56"/>
  <c r="A326" i="55" s="1"/>
  <c r="H397" i="56"/>
  <c r="A396" i="55" s="1"/>
  <c r="H375" i="56"/>
  <c r="A374" i="55" s="1"/>
  <c r="H197" i="56"/>
  <c r="A196" i="55" s="1"/>
  <c r="H264" i="56"/>
  <c r="A263" i="55" s="1"/>
  <c r="H450" i="56"/>
  <c r="A449" i="55" s="1"/>
  <c r="H310" i="56"/>
  <c r="A309" i="55" s="1"/>
  <c r="H248" i="56"/>
  <c r="A247" i="55" s="1"/>
  <c r="H214" i="56"/>
  <c r="A213" i="55" s="1"/>
  <c r="H190" i="56"/>
  <c r="A189" i="55" s="1"/>
  <c r="H488" i="56"/>
  <c r="A487" i="55" s="1"/>
  <c r="H189" i="56"/>
  <c r="A188" i="55" s="1"/>
  <c r="H356" i="56"/>
  <c r="A355" i="55" s="1"/>
  <c r="H445" i="56"/>
  <c r="A444" i="55" s="1"/>
  <c r="H224" i="56"/>
  <c r="A223" i="55" s="1"/>
  <c r="H412" i="56"/>
  <c r="A411" i="55" s="1"/>
  <c r="H393" i="56"/>
  <c r="A392" i="55" s="1"/>
  <c r="H296" i="56"/>
  <c r="A295" i="55" s="1"/>
  <c r="H208" i="56"/>
  <c r="A207" i="55" s="1"/>
  <c r="H210" i="56"/>
  <c r="A209" i="55" s="1"/>
  <c r="H423" i="56"/>
  <c r="A422" i="55" s="1"/>
  <c r="H405" i="56"/>
  <c r="A404" i="55" s="1"/>
  <c r="H328" i="56"/>
  <c r="A327" i="55" s="1"/>
  <c r="H462" i="56"/>
  <c r="A461" i="55" s="1"/>
  <c r="H290" i="56"/>
  <c r="A289" i="55" s="1"/>
  <c r="H163" i="56"/>
  <c r="A162" i="55" s="1"/>
  <c r="H324" i="56"/>
  <c r="A323" i="55" s="1"/>
  <c r="H352" i="56"/>
  <c r="A351" i="55" s="1"/>
  <c r="H451" i="56"/>
  <c r="A450" i="55" s="1"/>
  <c r="H389" i="56"/>
  <c r="A388" i="55" s="1"/>
  <c r="H458" i="56"/>
  <c r="A457" i="55" s="1"/>
  <c r="H142" i="56"/>
  <c r="A141" i="55" s="1"/>
  <c r="H347" i="56"/>
  <c r="A346" i="55" s="1"/>
  <c r="H267" i="56"/>
  <c r="A266" i="55" s="1"/>
  <c r="H340" i="56"/>
  <c r="A339" i="55" s="1"/>
  <c r="H384" i="56"/>
  <c r="A383" i="55" s="1"/>
  <c r="H429" i="56"/>
  <c r="A428" i="55" s="1"/>
  <c r="H355" i="56"/>
  <c r="A354" i="55" s="1"/>
  <c r="H326" i="56"/>
  <c r="A325" i="55" s="1"/>
  <c r="H487" i="56"/>
  <c r="A486" i="55" s="1"/>
  <c r="H138" i="56"/>
  <c r="A137" i="55" s="1"/>
  <c r="H159" i="56"/>
  <c r="A158" i="55" s="1"/>
  <c r="H171" i="56"/>
  <c r="A170" i="55" s="1"/>
  <c r="H349" i="56"/>
  <c r="A348" i="55" s="1"/>
  <c r="H206" i="56"/>
  <c r="A205" i="55" s="1"/>
  <c r="H315" i="56"/>
  <c r="A314" i="55" s="1"/>
  <c r="H443" i="56"/>
  <c r="A442" i="55" s="1"/>
  <c r="H374" i="56"/>
  <c r="A373" i="55" s="1"/>
  <c r="H301" i="56"/>
  <c r="A300" i="55" s="1"/>
  <c r="H358" i="56"/>
  <c r="A357" i="55" s="1"/>
  <c r="H133" i="56"/>
  <c r="A132" i="55" s="1"/>
  <c r="H284" i="56"/>
  <c r="A283" i="55" s="1"/>
  <c r="H277" i="56"/>
  <c r="A276" i="55" s="1"/>
  <c r="H438" i="56"/>
  <c r="A437" i="55" s="1"/>
  <c r="H437" i="56"/>
  <c r="A436" i="55" s="1"/>
  <c r="H282" i="56"/>
  <c r="A281" i="55" s="1"/>
  <c r="H271" i="56"/>
  <c r="A270" i="55" s="1"/>
  <c r="H481" i="56"/>
  <c r="A480" i="55" s="1"/>
  <c r="H289" i="56"/>
  <c r="A288" i="55" s="1"/>
  <c r="H245" i="56"/>
  <c r="A244" i="55" s="1"/>
  <c r="H180" i="56"/>
  <c r="A179" i="55" s="1"/>
  <c r="H201" i="56"/>
  <c r="A200" i="55" s="1"/>
  <c r="H444" i="56"/>
  <c r="A443" i="55" s="1"/>
  <c r="H170" i="56"/>
  <c r="A169" i="55" s="1"/>
  <c r="H499" i="56"/>
  <c r="A498" i="55" s="1"/>
  <c r="H378" i="56"/>
  <c r="A377" i="55" s="1"/>
  <c r="H341" i="56"/>
  <c r="A340" i="55" s="1"/>
  <c r="H313" i="56"/>
  <c r="A312" i="55" s="1"/>
  <c r="H156" i="56"/>
  <c r="A155" i="55" s="1"/>
  <c r="H166" i="56"/>
  <c r="A165" i="55" s="1"/>
  <c r="H364" i="56"/>
  <c r="A363" i="55" s="1"/>
  <c r="H255" i="56"/>
  <c r="A254" i="55" s="1"/>
  <c r="H398" i="56"/>
  <c r="A397" i="55" s="1"/>
  <c r="H274" i="56"/>
  <c r="A273" i="55" s="1"/>
  <c r="H254" i="56"/>
  <c r="A253" i="55" s="1"/>
  <c r="H236" i="56"/>
  <c r="A235" i="55" s="1"/>
  <c r="H377" i="56"/>
  <c r="A376" i="55" s="1"/>
  <c r="H240" i="56"/>
  <c r="A239" i="55" s="1"/>
  <c r="H198" i="56"/>
  <c r="A197" i="55" s="1"/>
  <c r="H416" i="56"/>
  <c r="A415" i="55" s="1"/>
  <c r="H408" i="56"/>
  <c r="A407" i="55" s="1"/>
  <c r="H136" i="56"/>
  <c r="A135" i="55" s="1"/>
  <c r="H272" i="56"/>
  <c r="A271" i="55" s="1"/>
  <c r="H413" i="56"/>
  <c r="A412" i="55" s="1"/>
  <c r="H396" i="56"/>
  <c r="A395" i="55" s="1"/>
  <c r="H319" i="56"/>
  <c r="A318" i="55" s="1"/>
  <c r="H276" i="56"/>
  <c r="A275" i="55" s="1"/>
  <c r="H465" i="56"/>
  <c r="A464" i="55" s="1"/>
  <c r="H472" i="56"/>
  <c r="A471" i="55" s="1"/>
  <c r="H400" i="56"/>
  <c r="A399" i="55" s="1"/>
  <c r="H361" i="56"/>
  <c r="A360" i="55" s="1"/>
  <c r="H143" i="56"/>
  <c r="A142" i="55" s="1"/>
  <c r="H226" i="56"/>
  <c r="A225" i="55" s="1"/>
  <c r="H497" i="56"/>
  <c r="A496" i="55" s="1"/>
  <c r="H216" i="56"/>
  <c r="A215" i="55" s="1"/>
  <c r="H484" i="56"/>
  <c r="A483" i="55" s="1"/>
  <c r="H426" i="56"/>
  <c r="A425" i="55" s="1"/>
  <c r="H140" i="56"/>
  <c r="A139" i="55" s="1"/>
  <c r="H448" i="56"/>
  <c r="A447" i="55" s="1"/>
  <c r="H309" i="56"/>
  <c r="A308" i="55" s="1"/>
  <c r="H447" i="56"/>
  <c r="A446" i="55" s="1"/>
  <c r="H182" i="56"/>
  <c r="A181" i="55" s="1"/>
  <c r="H145" i="56"/>
  <c r="A144" i="55" s="1"/>
  <c r="H247" i="56"/>
  <c r="A246" i="55" s="1"/>
  <c r="H199" i="56"/>
  <c r="A198" i="55" s="1"/>
  <c r="H218" i="56"/>
  <c r="A217" i="55" s="1"/>
  <c r="H464" i="56"/>
  <c r="A463" i="55" s="1"/>
  <c r="H207" i="56"/>
  <c r="A206" i="55" s="1"/>
  <c r="H243" i="56"/>
  <c r="A242" i="55" s="1"/>
  <c r="H200" i="56"/>
  <c r="A199" i="55" s="1"/>
  <c r="H149" i="56"/>
  <c r="A148" i="55" s="1"/>
  <c r="H440" i="56"/>
  <c r="A439" i="55" s="1"/>
  <c r="H333" i="56"/>
  <c r="A332" i="55" s="1"/>
  <c r="H376" i="56"/>
  <c r="A375" i="55" s="1"/>
  <c r="H366" i="56"/>
  <c r="A365" i="55" s="1"/>
  <c r="H359" i="56"/>
  <c r="A358" i="55" s="1"/>
  <c r="H185" i="56"/>
  <c r="A184" i="55" s="1"/>
  <c r="H430" i="56"/>
  <c r="A429" i="55" s="1"/>
  <c r="H434" i="56"/>
  <c r="A433" i="55" s="1"/>
  <c r="H202" i="56"/>
  <c r="A201" i="55" s="1"/>
  <c r="G431" i="58"/>
  <c r="G432" i="58" l="1"/>
  <c r="G433" i="58" l="1"/>
  <c r="G434" i="58" l="1"/>
  <c r="G435" i="58" l="1"/>
  <c r="G436" i="58" l="1"/>
  <c r="G437" i="58" l="1"/>
  <c r="G438" i="58" l="1"/>
  <c r="G439" i="58" l="1"/>
  <c r="G440" i="58" l="1"/>
  <c r="G441" i="58" s="1"/>
  <c r="G442" i="58" s="1"/>
  <c r="G443" i="58" s="1"/>
  <c r="G444" i="58" s="1"/>
  <c r="G445" i="58" s="1"/>
  <c r="G446" i="58" s="1"/>
  <c r="G447" i="58" s="1"/>
  <c r="G448" i="58" s="1"/>
  <c r="G449" i="58" s="1"/>
  <c r="G450" i="58" s="1"/>
  <c r="G451" i="58" s="1"/>
  <c r="G452" i="58" s="1"/>
  <c r="G453" i="58" s="1"/>
  <c r="G454" i="58" s="1"/>
  <c r="G455" i="58" s="1"/>
  <c r="G456" i="58" s="1"/>
  <c r="G457" i="58" s="1"/>
  <c r="G458" i="58" s="1"/>
  <c r="G459" i="58" s="1"/>
  <c r="G460" i="58" s="1"/>
  <c r="G461" i="58" s="1"/>
  <c r="G462" i="58" s="1"/>
  <c r="G463" i="58" s="1"/>
  <c r="G464" i="58" s="1"/>
  <c r="G465" i="58" s="1"/>
  <c r="G466" i="58" s="1"/>
  <c r="G467" i="58" s="1"/>
  <c r="G468" i="58" s="1"/>
  <c r="G469" i="58" s="1"/>
  <c r="G470" i="58" s="1"/>
  <c r="G471" i="58" s="1"/>
  <c r="G472" i="58" s="1"/>
  <c r="G473" i="58" s="1"/>
  <c r="G474" i="58" s="1"/>
  <c r="G475" i="58" s="1"/>
  <c r="G476" i="58" s="1"/>
  <c r="G477" i="58" s="1"/>
  <c r="G478" i="58" s="1"/>
  <c r="G479" i="58" s="1"/>
  <c r="G480" i="58" s="1"/>
  <c r="G481" i="58" s="1"/>
  <c r="G482" i="58" s="1"/>
  <c r="G483" i="58" s="1"/>
  <c r="G484" i="58" s="1"/>
  <c r="G485" i="58" s="1"/>
  <c r="G486" i="58" s="1"/>
  <c r="G487" i="58" s="1"/>
  <c r="G488" i="58" s="1"/>
  <c r="G489" i="58" s="1"/>
  <c r="G490" i="58" s="1"/>
  <c r="G491" i="58" s="1"/>
  <c r="G492" i="58" s="1"/>
  <c r="G493" i="58" s="1"/>
  <c r="G494" i="58" s="1"/>
  <c r="G495" i="58" s="1"/>
  <c r="G496" i="58" s="1"/>
  <c r="G497" i="58" s="1"/>
  <c r="G498" i="58" s="1"/>
  <c r="G499" i="58" s="1"/>
  <c r="G500" i="58" s="1"/>
  <c r="B4" i="58" s="1"/>
  <c r="C151" i="58" l="1"/>
  <c r="B152" i="58" s="1"/>
  <c r="E83" i="58"/>
  <c r="D370" i="58"/>
  <c r="D33" i="58"/>
  <c r="C237" i="58"/>
  <c r="B238" i="58" s="1"/>
  <c r="C391" i="58"/>
  <c r="B392" i="58" s="1"/>
  <c r="E96" i="58"/>
  <c r="C139" i="58"/>
  <c r="B140" i="58" s="1"/>
  <c r="E115" i="58"/>
  <c r="D464" i="58"/>
  <c r="C202" i="58"/>
  <c r="B203" i="58" s="1"/>
  <c r="E380" i="58"/>
  <c r="C148" i="58"/>
  <c r="B149" i="58" s="1"/>
  <c r="E284" i="58"/>
  <c r="F493" i="58"/>
  <c r="C397" i="58"/>
  <c r="B398" i="58" s="1"/>
  <c r="F285" i="58"/>
  <c r="D394" i="58"/>
  <c r="D430" i="58"/>
  <c r="E76" i="58"/>
  <c r="D108" i="58"/>
  <c r="E326" i="58"/>
  <c r="C334" i="58"/>
  <c r="B335" i="58" s="1"/>
  <c r="F144" i="58"/>
  <c r="D368" i="58"/>
  <c r="E36" i="58"/>
  <c r="D500" i="58"/>
  <c r="E14" i="58"/>
  <c r="C493" i="58"/>
  <c r="B494" i="58" s="1"/>
  <c r="F175" i="58"/>
  <c r="E10" i="58"/>
  <c r="C362" i="58"/>
  <c r="B363" i="58" s="1"/>
  <c r="D290" i="58"/>
  <c r="E138" i="58"/>
  <c r="D333" i="58"/>
  <c r="C411" i="58"/>
  <c r="B412" i="58" s="1"/>
  <c r="E75" i="58"/>
  <c r="E255" i="58"/>
  <c r="E310" i="58"/>
  <c r="E387" i="58"/>
  <c r="C351" i="58"/>
  <c r="B352" i="58" s="1"/>
  <c r="F340" i="58"/>
  <c r="E287" i="58"/>
  <c r="F104" i="58"/>
  <c r="C76" i="58"/>
  <c r="B77" i="58" s="1"/>
  <c r="F247" i="58"/>
  <c r="C414" i="58"/>
  <c r="B415" i="58" s="1"/>
  <c r="E463" i="58"/>
  <c r="E418" i="58"/>
  <c r="C337" i="58"/>
  <c r="B338" i="58" s="1"/>
  <c r="D389" i="58"/>
  <c r="D99" i="58"/>
  <c r="D359" i="58"/>
  <c r="F8" i="58"/>
  <c r="F288" i="58"/>
  <c r="C21" i="58"/>
  <c r="B22" i="58" s="1"/>
  <c r="F164" i="58"/>
  <c r="D428" i="58"/>
  <c r="D27" i="58"/>
  <c r="C53" i="58"/>
  <c r="B54" i="58" s="1"/>
  <c r="C335" i="58"/>
  <c r="B336" i="58" s="1"/>
  <c r="E206" i="58"/>
  <c r="F436" i="58"/>
  <c r="F25" i="58"/>
  <c r="D296" i="58"/>
  <c r="F351" i="58"/>
  <c r="E180" i="58"/>
  <c r="E88" i="58"/>
  <c r="C58" i="58"/>
  <c r="B59" i="58" s="1"/>
  <c r="F483" i="58"/>
  <c r="C359" i="58"/>
  <c r="B360" i="58" s="1"/>
  <c r="F9" i="58"/>
  <c r="C416" i="58"/>
  <c r="B417" i="58" s="1"/>
  <c r="C310" i="58"/>
  <c r="B311" i="58" s="1"/>
  <c r="D291" i="58"/>
  <c r="F254" i="58"/>
  <c r="E55" i="58"/>
  <c r="E480" i="58"/>
  <c r="C248" i="58"/>
  <c r="B249" i="58" s="1"/>
  <c r="C37" i="58"/>
  <c r="B38" i="58" s="1"/>
  <c r="D269" i="58"/>
  <c r="D422" i="58"/>
  <c r="E324" i="58"/>
  <c r="C372" i="58"/>
  <c r="B373" i="58" s="1"/>
  <c r="E185" i="58"/>
  <c r="F379" i="58"/>
  <c r="C91" i="58"/>
  <c r="B92" i="58" s="1"/>
  <c r="C111" i="58"/>
  <c r="B112" i="58" s="1"/>
  <c r="E491" i="58"/>
  <c r="F304" i="58"/>
  <c r="D98" i="58"/>
  <c r="C158" i="58"/>
  <c r="B159" i="58" s="1"/>
  <c r="F220" i="58"/>
  <c r="F122" i="58"/>
  <c r="C23" i="58"/>
  <c r="B24" i="58" s="1"/>
  <c r="D419" i="58"/>
  <c r="F58" i="58"/>
  <c r="C253" i="58"/>
  <c r="B254" i="58" s="1"/>
  <c r="D431" i="58"/>
  <c r="F179" i="58"/>
  <c r="C129" i="58"/>
  <c r="B130" i="58" s="1"/>
  <c r="E383" i="58"/>
  <c r="F172" i="58"/>
  <c r="E250" i="58"/>
  <c r="E137" i="58"/>
  <c r="F492" i="58"/>
  <c r="C150" i="58"/>
  <c r="B151" i="58" s="1"/>
  <c r="F335" i="58"/>
  <c r="E386" i="58"/>
  <c r="C163" i="58"/>
  <c r="B164" i="58" s="1"/>
  <c r="E49" i="58"/>
  <c r="D34" i="58"/>
  <c r="D295" i="58"/>
  <c r="D498" i="58"/>
  <c r="E391" i="58"/>
  <c r="E174" i="58"/>
  <c r="F420" i="58"/>
  <c r="D216" i="58"/>
  <c r="E475" i="58"/>
  <c r="D288" i="58"/>
  <c r="F349" i="58"/>
  <c r="F392" i="58"/>
  <c r="D43" i="58"/>
  <c r="D335" i="58"/>
  <c r="C259" i="58"/>
  <c r="B260" i="58" s="1"/>
  <c r="E291" i="58"/>
  <c r="D161" i="58"/>
  <c r="C165" i="58"/>
  <c r="B166" i="58" s="1"/>
  <c r="C92" i="58"/>
  <c r="B93" i="58" s="1"/>
  <c r="D371" i="58"/>
  <c r="C345" i="58"/>
  <c r="B346" i="58" s="1"/>
  <c r="F61" i="58"/>
  <c r="E448" i="58"/>
  <c r="F417" i="58"/>
  <c r="E451" i="58"/>
  <c r="D294" i="58"/>
  <c r="F244" i="58"/>
  <c r="C272" i="58"/>
  <c r="B273" i="58" s="1"/>
  <c r="C73" i="58"/>
  <c r="B74" i="58" s="1"/>
  <c r="F429" i="58"/>
  <c r="E361" i="58"/>
  <c r="F169" i="58"/>
  <c r="E35" i="58"/>
  <c r="F226" i="58"/>
  <c r="F219" i="58"/>
  <c r="F489" i="58"/>
  <c r="D198" i="58"/>
  <c r="C45" i="58"/>
  <c r="B46" i="58" s="1"/>
  <c r="E56" i="58"/>
  <c r="D97" i="58"/>
  <c r="E404" i="58"/>
  <c r="F235" i="58"/>
  <c r="E194" i="58"/>
  <c r="F332" i="58"/>
  <c r="E398" i="58"/>
  <c r="C106" i="58"/>
  <c r="B107" i="58" s="1"/>
  <c r="E234" i="58"/>
  <c r="C320" i="58"/>
  <c r="B321" i="58" s="1"/>
  <c r="E373" i="58"/>
  <c r="F251" i="58"/>
  <c r="D173" i="58"/>
  <c r="C361" i="58"/>
  <c r="B362" i="58" s="1"/>
  <c r="C207" i="58"/>
  <c r="B208" i="58" s="1"/>
  <c r="F121" i="58"/>
  <c r="C203" i="58"/>
  <c r="B204" i="58" s="1"/>
  <c r="C473" i="58"/>
  <c r="B474" i="58" s="1"/>
  <c r="D26" i="58"/>
  <c r="F210" i="58"/>
  <c r="C294" i="58"/>
  <c r="B295" i="58" s="1"/>
  <c r="C140" i="58"/>
  <c r="B141" i="58" s="1"/>
  <c r="C180" i="58"/>
  <c r="B181" i="58" s="1"/>
  <c r="C108" i="58"/>
  <c r="B109" i="58" s="1"/>
  <c r="C231" i="58"/>
  <c r="B232" i="58" s="1"/>
  <c r="E59" i="58"/>
  <c r="D283" i="58"/>
  <c r="E223" i="58"/>
  <c r="C459" i="58"/>
  <c r="B460" i="58" s="1"/>
  <c r="C26" i="58"/>
  <c r="B27" i="58" s="1"/>
  <c r="C79" i="58"/>
  <c r="B80" i="58" s="1"/>
  <c r="F467" i="58"/>
  <c r="E345" i="58"/>
  <c r="C256" i="58"/>
  <c r="B257" i="58" s="1"/>
  <c r="D352" i="58"/>
  <c r="F15" i="58"/>
  <c r="F167" i="58"/>
  <c r="E272" i="58"/>
  <c r="D357" i="58"/>
  <c r="D208" i="58"/>
  <c r="D211" i="58"/>
  <c r="C250" i="58"/>
  <c r="B251" i="58" s="1"/>
  <c r="F403" i="58"/>
  <c r="F348" i="58"/>
  <c r="F342" i="58"/>
  <c r="D114" i="58"/>
  <c r="F272" i="58"/>
  <c r="C266" i="58"/>
  <c r="B267" i="58" s="1"/>
  <c r="F158" i="58"/>
  <c r="E95" i="58"/>
  <c r="E218" i="58"/>
  <c r="C164" i="58"/>
  <c r="B165" i="58" s="1"/>
  <c r="D396" i="58"/>
  <c r="D141" i="58"/>
  <c r="D207" i="58"/>
  <c r="C241" i="58"/>
  <c r="B242" i="58" s="1"/>
  <c r="D479" i="58"/>
  <c r="D403" i="58"/>
  <c r="E292" i="58"/>
  <c r="D486" i="58"/>
  <c r="D231" i="58"/>
  <c r="C315" i="58"/>
  <c r="B316" i="58" s="1"/>
  <c r="D362" i="58"/>
  <c r="F36" i="58"/>
  <c r="F142" i="58"/>
  <c r="E433" i="58"/>
  <c r="F54" i="58"/>
  <c r="E416" i="58"/>
  <c r="F305" i="58"/>
  <c r="F279" i="58"/>
  <c r="F410" i="58"/>
  <c r="F101" i="58"/>
  <c r="F89" i="58"/>
  <c r="F490" i="58"/>
  <c r="F157" i="58"/>
  <c r="C281" i="58"/>
  <c r="B282" i="58" s="1"/>
  <c r="E445" i="58"/>
  <c r="F425" i="58"/>
  <c r="E299" i="58"/>
  <c r="E425" i="58"/>
  <c r="D300" i="58"/>
  <c r="C314" i="58"/>
  <c r="B315" i="58" s="1"/>
  <c r="D384" i="58"/>
  <c r="E458" i="58"/>
  <c r="D39" i="58"/>
  <c r="F62" i="58"/>
  <c r="E230" i="58"/>
  <c r="C403" i="58"/>
  <c r="B404" i="58" s="1"/>
  <c r="F44" i="58"/>
  <c r="C454" i="58"/>
  <c r="B455" i="58" s="1"/>
  <c r="C27" i="58"/>
  <c r="B28" i="58" s="1"/>
  <c r="D190" i="58"/>
  <c r="D299" i="58"/>
  <c r="E281" i="58"/>
  <c r="C42" i="58"/>
  <c r="B43" i="58" s="1"/>
  <c r="F264" i="58"/>
  <c r="E343" i="58"/>
  <c r="C105" i="58"/>
  <c r="B106" i="58" s="1"/>
  <c r="C168" i="58"/>
  <c r="B169" i="58" s="1"/>
  <c r="E237" i="58"/>
  <c r="C490" i="58"/>
  <c r="B491" i="58" s="1"/>
  <c r="E118" i="58"/>
  <c r="E52" i="58"/>
  <c r="C286" i="58"/>
  <c r="B287" i="58" s="1"/>
  <c r="D322" i="58"/>
  <c r="D116" i="58"/>
  <c r="F28" i="58"/>
  <c r="F68" i="58"/>
  <c r="F21" i="58"/>
  <c r="D345" i="58"/>
  <c r="E72" i="58"/>
  <c r="E276" i="58"/>
  <c r="D249" i="58"/>
  <c r="F133" i="58"/>
  <c r="D416" i="58"/>
  <c r="F438" i="58"/>
  <c r="D139" i="58"/>
  <c r="C6" i="58"/>
  <c r="B7" i="58" s="1"/>
  <c r="E454" i="58"/>
  <c r="C118" i="58"/>
  <c r="B119" i="58" s="1"/>
  <c r="F148" i="58"/>
  <c r="E306" i="58"/>
  <c r="D96" i="58"/>
  <c r="D399" i="58"/>
  <c r="F315" i="58"/>
  <c r="C492" i="58"/>
  <c r="B493" i="58" s="1"/>
  <c r="E90" i="58"/>
  <c r="E144" i="58"/>
  <c r="E200" i="58"/>
  <c r="D461" i="58"/>
  <c r="C236" i="58"/>
  <c r="B237" i="58" s="1"/>
  <c r="C197" i="58"/>
  <c r="B198" i="58" s="1"/>
  <c r="D337" i="58"/>
  <c r="D205" i="58"/>
  <c r="F95" i="58"/>
  <c r="C24" i="58"/>
  <c r="B25" i="58" s="1"/>
  <c r="C442" i="58"/>
  <c r="B443" i="58" s="1"/>
  <c r="E313" i="58"/>
  <c r="F249" i="58"/>
  <c r="D267" i="58"/>
  <c r="E150" i="58"/>
  <c r="E249" i="58"/>
  <c r="D5" i="58"/>
  <c r="D258" i="58"/>
  <c r="F207" i="58"/>
  <c r="E296" i="58"/>
  <c r="F161" i="58"/>
  <c r="D279" i="58"/>
  <c r="F6" i="58"/>
  <c r="D415" i="58"/>
  <c r="D143" i="58"/>
  <c r="E350" i="58"/>
  <c r="C373" i="58"/>
  <c r="B374" i="58" s="1"/>
  <c r="F200" i="58"/>
  <c r="D406" i="58"/>
  <c r="F72" i="58"/>
  <c r="F475" i="58"/>
  <c r="F354" i="58"/>
  <c r="D408" i="58"/>
  <c r="D462" i="58"/>
  <c r="F198" i="58"/>
  <c r="E440" i="58"/>
  <c r="C177" i="58"/>
  <c r="B178" i="58" s="1"/>
  <c r="D131" i="58"/>
  <c r="F395" i="58"/>
  <c r="E293" i="58"/>
  <c r="C364" i="58"/>
  <c r="B365" i="58" s="1"/>
  <c r="F480" i="58"/>
  <c r="D113" i="58"/>
  <c r="D404" i="58"/>
  <c r="D317" i="58"/>
  <c r="F245" i="58"/>
  <c r="D280" i="58"/>
  <c r="C309" i="58"/>
  <c r="B310" i="58" s="1"/>
  <c r="C297" i="58"/>
  <c r="B298" i="58" s="1"/>
  <c r="D150" i="58"/>
  <c r="C156" i="58"/>
  <c r="B157" i="58" s="1"/>
  <c r="E286" i="58"/>
  <c r="C204" i="58"/>
  <c r="B205" i="58" s="1"/>
  <c r="F402" i="58"/>
  <c r="E411" i="58"/>
  <c r="D145" i="58"/>
  <c r="E84" i="58"/>
  <c r="C417" i="58"/>
  <c r="B418" i="58" s="1"/>
  <c r="D429" i="58"/>
  <c r="D365" i="58"/>
  <c r="D67" i="58"/>
  <c r="D62" i="58"/>
  <c r="F300" i="58"/>
  <c r="E32" i="58"/>
  <c r="E399" i="58"/>
  <c r="F295" i="58"/>
  <c r="F346" i="58"/>
  <c r="C220" i="58"/>
  <c r="B221" i="58" s="1"/>
  <c r="C152" i="58"/>
  <c r="B153" i="58" s="1"/>
  <c r="E483" i="58"/>
  <c r="E7" i="58"/>
  <c r="F75" i="58"/>
  <c r="D444" i="58"/>
  <c r="E359" i="58"/>
  <c r="F67" i="58"/>
  <c r="F188" i="58"/>
  <c r="E379" i="58"/>
  <c r="E91" i="58"/>
  <c r="D188" i="58"/>
  <c r="C293" i="58"/>
  <c r="B294" i="58" s="1"/>
  <c r="C63" i="58"/>
  <c r="B64" i="58" s="1"/>
  <c r="E479" i="58"/>
  <c r="F303" i="58"/>
  <c r="C346" i="58"/>
  <c r="B347" i="58" s="1"/>
  <c r="F386" i="58"/>
  <c r="D289" i="58"/>
  <c r="E58" i="58"/>
  <c r="C458" i="58"/>
  <c r="B459" i="58" s="1"/>
  <c r="D480" i="58"/>
  <c r="F246" i="58"/>
  <c r="D85" i="58"/>
  <c r="D414" i="58"/>
  <c r="F273" i="58"/>
  <c r="F415" i="58"/>
  <c r="F168" i="58"/>
  <c r="C439" i="58"/>
  <c r="B440" i="58" s="1"/>
  <c r="F57" i="58"/>
  <c r="F338" i="58"/>
  <c r="C300" i="58"/>
  <c r="B301" i="58" s="1"/>
  <c r="F84" i="58"/>
  <c r="F473" i="58"/>
  <c r="C54" i="58"/>
  <c r="B55" i="58" s="1"/>
  <c r="D452" i="58"/>
  <c r="C89" i="58"/>
  <c r="B90" i="58" s="1"/>
  <c r="F35" i="58"/>
  <c r="D482" i="58"/>
  <c r="C219" i="58"/>
  <c r="B220" i="58" s="1"/>
  <c r="F312" i="58"/>
  <c r="D421" i="58"/>
  <c r="C443" i="58"/>
  <c r="B444" i="58" s="1"/>
  <c r="C245" i="58"/>
  <c r="B246" i="58" s="1"/>
  <c r="D237" i="58"/>
  <c r="E187" i="58"/>
  <c r="C215" i="58"/>
  <c r="B216" i="58" s="1"/>
  <c r="C5" i="58"/>
  <c r="B6" i="58" s="1"/>
  <c r="C406" i="58"/>
  <c r="B407" i="58" s="1"/>
  <c r="C189" i="58"/>
  <c r="B190" i="58" s="1"/>
  <c r="E341" i="58"/>
  <c r="C329" i="58"/>
  <c r="B330" i="58" s="1"/>
  <c r="C475" i="58"/>
  <c r="B476" i="58" s="1"/>
  <c r="D397" i="58"/>
  <c r="E64" i="58"/>
  <c r="F422" i="58"/>
  <c r="D287" i="58"/>
  <c r="E135" i="58"/>
  <c r="F52" i="58"/>
  <c r="F440" i="58"/>
  <c r="F217" i="58"/>
  <c r="E385" i="58"/>
  <c r="C471" i="58"/>
  <c r="B472" i="58" s="1"/>
  <c r="E102" i="58"/>
  <c r="E339" i="58"/>
  <c r="E397" i="58"/>
  <c r="F103" i="58"/>
  <c r="C288" i="58"/>
  <c r="B289" i="58" s="1"/>
  <c r="F435" i="58"/>
  <c r="C98" i="58"/>
  <c r="B99" i="58" s="1"/>
  <c r="F90" i="58"/>
  <c r="C435" i="58"/>
  <c r="B436" i="58" s="1"/>
  <c r="E282" i="58"/>
  <c r="D234" i="58"/>
  <c r="F286" i="58"/>
  <c r="F299" i="58"/>
  <c r="C13" i="58"/>
  <c r="B14" i="58" s="1"/>
  <c r="C123" i="58"/>
  <c r="B124" i="58" s="1"/>
  <c r="E34" i="58"/>
  <c r="C60" i="58"/>
  <c r="B61" i="58" s="1"/>
  <c r="F11" i="58"/>
  <c r="C255" i="58"/>
  <c r="B256" i="58" s="1"/>
  <c r="C265" i="58"/>
  <c r="B266" i="58" s="1"/>
  <c r="D327" i="58"/>
  <c r="F5" i="58"/>
  <c r="F150" i="58"/>
  <c r="E4" i="58"/>
  <c r="F149" i="58"/>
  <c r="E492" i="58"/>
  <c r="C316" i="58"/>
  <c r="B317" i="58" s="1"/>
  <c r="C360" i="58"/>
  <c r="B361" i="58" s="1"/>
  <c r="C482" i="58"/>
  <c r="B483" i="58" s="1"/>
  <c r="E450" i="58"/>
  <c r="F145" i="58"/>
  <c r="D107" i="58"/>
  <c r="F156" i="58"/>
  <c r="E175" i="58"/>
  <c r="E375" i="58"/>
  <c r="D457" i="58"/>
  <c r="D240" i="58"/>
  <c r="D52" i="58"/>
  <c r="C162" i="58"/>
  <c r="B163" i="58" s="1"/>
  <c r="F214" i="58"/>
  <c r="C110" i="58"/>
  <c r="B111" i="58" s="1"/>
  <c r="D221" i="58"/>
  <c r="D375" i="58"/>
  <c r="F352" i="58"/>
  <c r="F500" i="58"/>
  <c r="D126" i="58"/>
  <c r="E160" i="58"/>
  <c r="C128" i="58"/>
  <c r="B129" i="58" s="1"/>
  <c r="C188" i="58"/>
  <c r="B189" i="58" s="1"/>
  <c r="D41" i="58"/>
  <c r="D402" i="58"/>
  <c r="D63" i="58"/>
  <c r="F487" i="58"/>
  <c r="F232" i="58"/>
  <c r="C34" i="58"/>
  <c r="B35" i="58" s="1"/>
  <c r="E164" i="58"/>
  <c r="F360" i="58"/>
  <c r="C200" i="58"/>
  <c r="B201" i="58" s="1"/>
  <c r="F495" i="58"/>
  <c r="E132" i="58"/>
  <c r="F173" i="58"/>
  <c r="C126" i="58"/>
  <c r="B127" i="58" s="1"/>
  <c r="E462" i="58"/>
  <c r="D111" i="58"/>
  <c r="C206" i="58"/>
  <c r="B207" i="58" s="1"/>
  <c r="D313" i="58"/>
  <c r="D70" i="58"/>
  <c r="C169" i="58"/>
  <c r="B170" i="58" s="1"/>
  <c r="C217" i="58"/>
  <c r="B218" i="58" s="1"/>
  <c r="D103" i="58"/>
  <c r="D326" i="58"/>
  <c r="D373" i="58"/>
  <c r="F37" i="58"/>
  <c r="E123" i="58"/>
  <c r="D148" i="58"/>
  <c r="E48" i="58"/>
  <c r="F382" i="58"/>
  <c r="E129" i="58"/>
  <c r="D301" i="58"/>
  <c r="F170" i="58"/>
  <c r="E217" i="58"/>
  <c r="F266" i="58"/>
  <c r="D149" i="58"/>
  <c r="F92" i="58"/>
  <c r="C218" i="58"/>
  <c r="B219" i="58" s="1"/>
  <c r="E192" i="58"/>
  <c r="F474" i="58"/>
  <c r="C116" i="58"/>
  <c r="B117" i="58" s="1"/>
  <c r="D425" i="58"/>
  <c r="E20" i="58"/>
  <c r="D438" i="58"/>
  <c r="E365" i="58"/>
  <c r="F325" i="58"/>
  <c r="E422" i="58"/>
  <c r="F204" i="58"/>
  <c r="E489" i="58"/>
  <c r="C227" i="58"/>
  <c r="B228" i="58" s="1"/>
  <c r="E244" i="58"/>
  <c r="D286" i="58"/>
  <c r="C418" i="58"/>
  <c r="B419" i="58" s="1"/>
  <c r="C61" i="58"/>
  <c r="B62" i="58" s="1"/>
  <c r="D405" i="58"/>
  <c r="E461" i="58"/>
  <c r="D277" i="58"/>
  <c r="C209" i="58"/>
  <c r="B210" i="58" s="1"/>
  <c r="C276" i="58"/>
  <c r="B277" i="58" s="1"/>
  <c r="F129" i="58"/>
  <c r="C275" i="58"/>
  <c r="B276" i="58" s="1"/>
  <c r="F202" i="58"/>
  <c r="D93" i="58"/>
  <c r="E93" i="58"/>
  <c r="E74" i="58"/>
  <c r="D497" i="58"/>
  <c r="E13" i="58"/>
  <c r="E500" i="58"/>
  <c r="C376" i="58"/>
  <c r="B377" i="58" s="1"/>
  <c r="F18" i="58"/>
  <c r="E269" i="58"/>
  <c r="D361" i="58"/>
  <c r="F344" i="58"/>
  <c r="D465" i="58"/>
  <c r="D201" i="58"/>
  <c r="F253" i="58"/>
  <c r="C122" i="58"/>
  <c r="B123" i="58" s="1"/>
  <c r="F397" i="58"/>
  <c r="D332" i="58"/>
  <c r="D363" i="58"/>
  <c r="C176" i="58"/>
  <c r="B177" i="58" s="1"/>
  <c r="F138" i="58"/>
  <c r="C8" i="58"/>
  <c r="B9" i="58" s="1"/>
  <c r="D393" i="58"/>
  <c r="E369" i="58"/>
  <c r="F353" i="58"/>
  <c r="F328" i="58"/>
  <c r="F230" i="58"/>
  <c r="D455" i="58"/>
  <c r="D492" i="58"/>
  <c r="E148" i="58"/>
  <c r="E420" i="58"/>
  <c r="F307" i="58"/>
  <c r="E396" i="58"/>
  <c r="D484" i="58"/>
  <c r="C449" i="58"/>
  <c r="B450" i="58" s="1"/>
  <c r="D390" i="58"/>
  <c r="D292" i="58"/>
  <c r="E122" i="58"/>
  <c r="C12" i="58"/>
  <c r="B13" i="58" s="1"/>
  <c r="F216" i="58"/>
  <c r="E328" i="58"/>
  <c r="E240" i="58"/>
  <c r="D360" i="58"/>
  <c r="F445" i="58"/>
  <c r="E277" i="58"/>
  <c r="E388" i="58"/>
  <c r="D119" i="58"/>
  <c r="F123" i="58"/>
  <c r="F345" i="58"/>
  <c r="E370" i="58"/>
  <c r="D16" i="58"/>
  <c r="E203" i="58"/>
  <c r="F481" i="58"/>
  <c r="D65" i="58"/>
  <c r="E405" i="58"/>
  <c r="F218" i="58"/>
  <c r="D11" i="58"/>
  <c r="D12" i="58"/>
  <c r="D92" i="58"/>
  <c r="D30" i="58"/>
  <c r="F446" i="58"/>
  <c r="D230" i="58"/>
  <c r="F499" i="58"/>
  <c r="D453" i="58"/>
  <c r="E476" i="58"/>
  <c r="E381" i="58"/>
  <c r="E173" i="58"/>
  <c r="E100" i="58"/>
  <c r="F401" i="58"/>
  <c r="C16" i="58"/>
  <c r="B17" i="58" s="1"/>
  <c r="D436" i="58"/>
  <c r="E21" i="58"/>
  <c r="D169" i="58"/>
  <c r="D323" i="58"/>
  <c r="F233" i="58"/>
  <c r="E146" i="58"/>
  <c r="F394" i="58"/>
  <c r="C485" i="58"/>
  <c r="B486" i="58" s="1"/>
  <c r="F423" i="58"/>
  <c r="F373" i="58"/>
  <c r="E419" i="58"/>
  <c r="E371" i="58"/>
  <c r="C358" i="58"/>
  <c r="B359" i="58" s="1"/>
  <c r="C22" i="58"/>
  <c r="B23" i="58" s="1"/>
  <c r="F409" i="58"/>
  <c r="E392" i="58"/>
  <c r="D46" i="58"/>
  <c r="D121" i="58"/>
  <c r="C383" i="58"/>
  <c r="B384" i="58" s="1"/>
  <c r="F317" i="58"/>
  <c r="D256" i="58"/>
  <c r="D54" i="58"/>
  <c r="C280" i="58"/>
  <c r="B281" i="58" s="1"/>
  <c r="E307" i="58"/>
  <c r="F488" i="58"/>
  <c r="F277" i="58"/>
  <c r="C450" i="58"/>
  <c r="B451" i="58" s="1"/>
  <c r="D213" i="58"/>
  <c r="D255" i="58"/>
  <c r="D245" i="58"/>
  <c r="F66" i="58"/>
  <c r="F313" i="58"/>
  <c r="E449" i="58"/>
  <c r="E417" i="58"/>
  <c r="E50" i="58"/>
  <c r="D451" i="58"/>
  <c r="D87" i="58"/>
  <c r="C88" i="58"/>
  <c r="B89" i="58" s="1"/>
  <c r="F77" i="58"/>
  <c r="C50" i="58"/>
  <c r="B51" i="58" s="1"/>
  <c r="C104" i="58"/>
  <c r="B105" i="58" s="1"/>
  <c r="C14" i="58"/>
  <c r="B15" i="58" s="1"/>
  <c r="E261" i="58"/>
  <c r="C238" i="58"/>
  <c r="B239" i="58" s="1"/>
  <c r="F189" i="58"/>
  <c r="E317" i="58"/>
  <c r="F485" i="58"/>
  <c r="C341" i="58"/>
  <c r="B342" i="58" s="1"/>
  <c r="D180" i="58"/>
  <c r="C322" i="58"/>
  <c r="B323" i="58" s="1"/>
  <c r="E87" i="58"/>
  <c r="D75" i="58"/>
  <c r="C146" i="58"/>
  <c r="B147" i="58" s="1"/>
  <c r="E376" i="58"/>
  <c r="D284" i="58"/>
  <c r="D265" i="58"/>
  <c r="C51" i="58"/>
  <c r="B52" i="58" s="1"/>
  <c r="D177" i="58"/>
  <c r="D89" i="58"/>
  <c r="E60" i="58"/>
  <c r="F378" i="58"/>
  <c r="D182" i="58"/>
  <c r="D248" i="58"/>
  <c r="F268" i="58"/>
  <c r="C313" i="58"/>
  <c r="B314" i="58" s="1"/>
  <c r="C479" i="58"/>
  <c r="B480" i="58" s="1"/>
  <c r="C483" i="58"/>
  <c r="B484" i="58" s="1"/>
  <c r="E79" i="58"/>
  <c r="D250" i="58"/>
  <c r="F350" i="58"/>
  <c r="C233" i="58"/>
  <c r="B234" i="58" s="1"/>
  <c r="F4" i="58"/>
  <c r="D35" i="58"/>
  <c r="F265" i="58"/>
  <c r="E262" i="58"/>
  <c r="C244" i="58"/>
  <c r="B245" i="58" s="1"/>
  <c r="D175" i="58"/>
  <c r="C96" i="58"/>
  <c r="B97" i="58" s="1"/>
  <c r="F322" i="58"/>
  <c r="F355" i="58"/>
  <c r="D76" i="58"/>
  <c r="D155" i="58"/>
  <c r="E356" i="58"/>
  <c r="F193" i="58"/>
  <c r="D233" i="58"/>
  <c r="F414" i="58"/>
  <c r="C119" i="58"/>
  <c r="B120" i="58" s="1"/>
  <c r="E470" i="58"/>
  <c r="F152" i="58"/>
  <c r="E413" i="58"/>
  <c r="F270" i="58"/>
  <c r="D94" i="58"/>
  <c r="C344" i="58"/>
  <c r="B345" i="58" s="1"/>
  <c r="C478" i="58"/>
  <c r="B479" i="58" s="1"/>
  <c r="C356" i="58"/>
  <c r="B357" i="58" s="1"/>
  <c r="E498" i="58"/>
  <c r="C66" i="58"/>
  <c r="B67" i="58" s="1"/>
  <c r="C278" i="58"/>
  <c r="B279" i="58" s="1"/>
  <c r="F56" i="58"/>
  <c r="F364" i="58"/>
  <c r="C453" i="58"/>
  <c r="B454" i="58" s="1"/>
  <c r="E247" i="58"/>
  <c r="E18" i="58"/>
  <c r="C254" i="58"/>
  <c r="B255" i="58" s="1"/>
  <c r="E421" i="58"/>
  <c r="E300" i="58"/>
  <c r="D192" i="58"/>
  <c r="D468" i="58"/>
  <c r="E384" i="58"/>
  <c r="F94" i="58"/>
  <c r="E295" i="58"/>
  <c r="C225" i="58"/>
  <c r="B226" i="58" s="1"/>
  <c r="F497" i="58"/>
  <c r="E89" i="58"/>
  <c r="C107" i="58"/>
  <c r="B108" i="58" s="1"/>
  <c r="D55" i="58"/>
  <c r="F19" i="58"/>
  <c r="F229" i="58"/>
  <c r="F117" i="58"/>
  <c r="D58" i="58"/>
  <c r="C95" i="58"/>
  <c r="B96" i="58" s="1"/>
  <c r="D329" i="58"/>
  <c r="C242" i="58"/>
  <c r="B243" i="58" s="1"/>
  <c r="C153" i="58"/>
  <c r="B154" i="58" s="1"/>
  <c r="F331" i="58"/>
  <c r="C456" i="58"/>
  <c r="B457" i="58" s="1"/>
  <c r="E143" i="58"/>
  <c r="C109" i="58"/>
  <c r="B110" i="58" s="1"/>
  <c r="F405" i="58"/>
  <c r="E314" i="58"/>
  <c r="E28" i="58"/>
  <c r="D347" i="58"/>
  <c r="C7" i="58"/>
  <c r="B8" i="58" s="1"/>
  <c r="E432" i="58"/>
  <c r="D219" i="58"/>
  <c r="C131" i="58"/>
  <c r="B132" i="58" s="1"/>
  <c r="F374" i="58"/>
  <c r="C291" i="58"/>
  <c r="B292" i="58" s="1"/>
  <c r="E412" i="58"/>
  <c r="E366" i="58"/>
  <c r="F260" i="58"/>
  <c r="C410" i="58"/>
  <c r="B411" i="58" s="1"/>
  <c r="D485" i="58"/>
  <c r="E493" i="58"/>
  <c r="D17" i="58"/>
  <c r="E188" i="58"/>
  <c r="E400" i="58"/>
  <c r="F447" i="58"/>
  <c r="D424" i="58"/>
  <c r="D239" i="58"/>
  <c r="F306" i="58"/>
  <c r="D14" i="58"/>
  <c r="C240" i="58"/>
  <c r="B241" i="58" s="1"/>
  <c r="E362" i="58"/>
  <c r="C332" i="58"/>
  <c r="B333" i="58" s="1"/>
  <c r="E336" i="58"/>
  <c r="E352" i="58"/>
  <c r="F457" i="58"/>
  <c r="E246" i="58"/>
  <c r="E372" i="58"/>
  <c r="F221" i="58"/>
  <c r="E103" i="58"/>
  <c r="F135" i="58"/>
  <c r="D325" i="58"/>
  <c r="C133" i="58"/>
  <c r="B134" i="58" s="1"/>
  <c r="F412" i="58"/>
  <c r="E474" i="58"/>
  <c r="D136" i="58"/>
  <c r="E209" i="58"/>
  <c r="C125" i="58"/>
  <c r="B126" i="58" s="1"/>
  <c r="D69" i="58"/>
  <c r="F96" i="58"/>
  <c r="D346" i="58"/>
  <c r="F16" i="58"/>
  <c r="C415" i="58"/>
  <c r="B416" i="58" s="1"/>
  <c r="D426" i="58"/>
  <c r="C190" i="58"/>
  <c r="B191" i="58" s="1"/>
  <c r="E31" i="58"/>
  <c r="F39" i="58"/>
  <c r="F324" i="58"/>
  <c r="D308" i="58"/>
  <c r="D142" i="58"/>
  <c r="C41" i="58"/>
  <c r="B42" i="58" s="1"/>
  <c r="D29" i="58"/>
  <c r="C38" i="58"/>
  <c r="B39" i="58" s="1"/>
  <c r="D9" i="58"/>
  <c r="D385" i="58"/>
  <c r="F13" i="58"/>
  <c r="D386" i="58"/>
  <c r="D496" i="58"/>
  <c r="C28" i="58"/>
  <c r="B29" i="58" s="1"/>
  <c r="D344" i="58"/>
  <c r="D312" i="58"/>
  <c r="D380" i="58"/>
  <c r="E19" i="58"/>
  <c r="D469" i="58"/>
  <c r="E347" i="58"/>
  <c r="D264" i="58"/>
  <c r="E207" i="58"/>
  <c r="E431" i="58"/>
  <c r="D191" i="58"/>
  <c r="C480" i="58"/>
  <c r="B481" i="58" s="1"/>
  <c r="F91" i="58"/>
  <c r="D45" i="58"/>
  <c r="D443" i="58"/>
  <c r="C181" i="58"/>
  <c r="B182" i="58" s="1"/>
  <c r="E181" i="58"/>
  <c r="C340" i="58"/>
  <c r="B341" i="58" s="1"/>
  <c r="F477" i="58"/>
  <c r="F106" i="58"/>
  <c r="E94" i="58"/>
  <c r="F93" i="58"/>
  <c r="C155" i="58"/>
  <c r="B156" i="58" s="1"/>
  <c r="E156" i="58"/>
  <c r="D235" i="58"/>
  <c r="F385" i="58"/>
  <c r="E348" i="58"/>
  <c r="C112" i="58"/>
  <c r="B113" i="58" s="1"/>
  <c r="F367" i="58"/>
  <c r="C420" i="58"/>
  <c r="B421" i="58" s="1"/>
  <c r="F347" i="58"/>
  <c r="F463" i="58"/>
  <c r="D7" i="58"/>
  <c r="F416" i="58"/>
  <c r="E68" i="58"/>
  <c r="E351" i="58"/>
  <c r="F51" i="58"/>
  <c r="D316" i="58"/>
  <c r="E171" i="58"/>
  <c r="E43" i="58"/>
  <c r="F343" i="58"/>
  <c r="E157" i="58"/>
  <c r="F213" i="58"/>
  <c r="F78" i="58"/>
  <c r="C308" i="58"/>
  <c r="B309" i="58" s="1"/>
  <c r="F140" i="58"/>
  <c r="D95" i="58"/>
  <c r="D212" i="58"/>
  <c r="E316" i="58"/>
  <c r="F174" i="58"/>
  <c r="E490" i="58"/>
  <c r="F190" i="58"/>
  <c r="F206" i="58"/>
  <c r="E437" i="58"/>
  <c r="F413" i="58"/>
  <c r="C243" i="58"/>
  <c r="B244" i="58" s="1"/>
  <c r="D467" i="58"/>
  <c r="D28" i="58"/>
  <c r="C390" i="58"/>
  <c r="B391" i="58" s="1"/>
  <c r="E395" i="58"/>
  <c r="E332" i="58"/>
  <c r="F209" i="58"/>
  <c r="E464" i="58"/>
  <c r="C319" i="58"/>
  <c r="B320" i="58" s="1"/>
  <c r="C10" i="58"/>
  <c r="B11" i="58" s="1"/>
  <c r="C421" i="58"/>
  <c r="B422" i="58" s="1"/>
  <c r="C262" i="58"/>
  <c r="B263" i="58" s="1"/>
  <c r="F363" i="58"/>
  <c r="D268" i="58"/>
  <c r="C235" i="58"/>
  <c r="B236" i="58" s="1"/>
  <c r="E29" i="58"/>
  <c r="C49" i="58"/>
  <c r="B50" i="58" s="1"/>
  <c r="E319" i="58"/>
  <c r="E488" i="58"/>
  <c r="C405" i="58"/>
  <c r="B406" i="58" s="1"/>
  <c r="E346" i="58"/>
  <c r="C157" i="58"/>
  <c r="B158" i="58" s="1"/>
  <c r="C355" i="58"/>
  <c r="B356" i="58" s="1"/>
  <c r="D6" i="58"/>
  <c r="F10" i="58"/>
  <c r="E496" i="58"/>
  <c r="E12" i="58"/>
  <c r="F60" i="58"/>
  <c r="F192" i="58"/>
  <c r="D79" i="58"/>
  <c r="D90" i="58"/>
  <c r="F316" i="58"/>
  <c r="F197" i="58"/>
  <c r="F43" i="58"/>
  <c r="F248" i="58"/>
  <c r="F241" i="58"/>
  <c r="E44" i="58"/>
  <c r="E153" i="58"/>
  <c r="F115" i="58"/>
  <c r="F430" i="58"/>
  <c r="D338" i="58"/>
  <c r="E280" i="58"/>
  <c r="F471" i="58"/>
  <c r="C127" i="58"/>
  <c r="B128" i="58" s="1"/>
  <c r="D56" i="58"/>
  <c r="E302" i="58"/>
  <c r="E378" i="58"/>
  <c r="F376" i="58"/>
  <c r="E127" i="58"/>
  <c r="F130" i="58"/>
  <c r="E265" i="58"/>
  <c r="D307" i="58"/>
  <c r="D25" i="58"/>
  <c r="D321" i="58"/>
  <c r="C382" i="58"/>
  <c r="B383" i="58" s="1"/>
  <c r="E340" i="58"/>
  <c r="E309" i="58"/>
  <c r="F301" i="58"/>
  <c r="C302" i="58"/>
  <c r="B303" i="58" s="1"/>
  <c r="F465" i="58"/>
  <c r="C350" i="58"/>
  <c r="B351" i="58" s="1"/>
  <c r="D343" i="58"/>
  <c r="C271" i="58"/>
  <c r="B272" i="58" s="1"/>
  <c r="E410" i="58"/>
  <c r="C370" i="58"/>
  <c r="B371" i="58" s="1"/>
  <c r="D74" i="58"/>
  <c r="E459" i="58"/>
  <c r="C171" i="58"/>
  <c r="B172" i="58" s="1"/>
  <c r="C339" i="58"/>
  <c r="B340" i="58" s="1"/>
  <c r="D124" i="58"/>
  <c r="C65" i="58"/>
  <c r="B66" i="58" s="1"/>
  <c r="E131" i="58"/>
  <c r="E455" i="58"/>
  <c r="E191" i="58"/>
  <c r="F26" i="58"/>
  <c r="C349" i="58"/>
  <c r="B350" i="58" s="1"/>
  <c r="D127" i="58"/>
  <c r="D236" i="58"/>
  <c r="C263" i="58"/>
  <c r="B264" i="58" s="1"/>
  <c r="C365" i="58"/>
  <c r="B366" i="58" s="1"/>
  <c r="F387" i="58"/>
  <c r="F160" i="58"/>
  <c r="C69" i="58"/>
  <c r="B70" i="58" s="1"/>
  <c r="E389" i="58"/>
  <c r="E486" i="58"/>
  <c r="E260" i="58"/>
  <c r="D310" i="58"/>
  <c r="D437" i="58"/>
  <c r="C461" i="58"/>
  <c r="B462" i="58" s="1"/>
  <c r="E239" i="58"/>
  <c r="D68" i="58"/>
  <c r="C33" i="58"/>
  <c r="B34" i="58" s="1"/>
  <c r="C282" i="58"/>
  <c r="B283" i="58" s="1"/>
  <c r="D138" i="58"/>
  <c r="D217" i="58"/>
  <c r="C303" i="58"/>
  <c r="B304" i="58" s="1"/>
  <c r="C289" i="58"/>
  <c r="B290" i="58" s="1"/>
  <c r="C113" i="58"/>
  <c r="B114" i="58" s="1"/>
  <c r="E212" i="58"/>
  <c r="C444" i="58"/>
  <c r="B445" i="58" s="1"/>
  <c r="E142" i="58"/>
  <c r="D218" i="58"/>
  <c r="C381" i="58"/>
  <c r="B382" i="58" s="1"/>
  <c r="D460" i="58"/>
  <c r="C489" i="58"/>
  <c r="B490" i="58" s="1"/>
  <c r="E53" i="58"/>
  <c r="C380" i="58"/>
  <c r="B381" i="58" s="1"/>
  <c r="F109" i="58"/>
  <c r="D21" i="58"/>
  <c r="D187" i="58"/>
  <c r="C194" i="58"/>
  <c r="B195" i="58" s="1"/>
  <c r="E162" i="58"/>
  <c r="D318" i="58"/>
  <c r="F80" i="58"/>
  <c r="C357" i="58"/>
  <c r="B358" i="58" s="1"/>
  <c r="C307" i="58"/>
  <c r="B308" i="58" s="1"/>
  <c r="E215" i="58"/>
  <c r="F361" i="58"/>
  <c r="D411" i="58"/>
  <c r="E318" i="58"/>
  <c r="E441" i="58"/>
  <c r="E40" i="58"/>
  <c r="E117" i="58"/>
  <c r="C70" i="58"/>
  <c r="B71" i="58" s="1"/>
  <c r="F47" i="58"/>
  <c r="F454" i="58"/>
  <c r="F110" i="58"/>
  <c r="E322" i="58"/>
  <c r="C193" i="58"/>
  <c r="B194" i="58" s="1"/>
  <c r="E335" i="58"/>
  <c r="D477" i="58"/>
  <c r="E85" i="58"/>
  <c r="C379" i="58"/>
  <c r="B380" i="58" s="1"/>
  <c r="D263" i="58"/>
  <c r="E190" i="58"/>
  <c r="F469" i="58"/>
  <c r="F238" i="58"/>
  <c r="F155" i="58"/>
  <c r="C463" i="58"/>
  <c r="B464" i="58" s="1"/>
  <c r="E285" i="58"/>
  <c r="F498" i="58"/>
  <c r="F185" i="58"/>
  <c r="D273" i="58"/>
  <c r="D220" i="58"/>
  <c r="E77" i="58"/>
  <c r="D285" i="58"/>
  <c r="C455" i="58"/>
  <c r="B456" i="58" s="1"/>
  <c r="C174" i="58"/>
  <c r="B175" i="58" s="1"/>
  <c r="E353" i="58"/>
  <c r="E11" i="58"/>
  <c r="E447" i="58"/>
  <c r="C78" i="58"/>
  <c r="B79" i="58" s="1"/>
  <c r="E178" i="58"/>
  <c r="D115" i="58"/>
  <c r="E311" i="58"/>
  <c r="F212" i="58"/>
  <c r="E423" i="58"/>
  <c r="F458" i="58"/>
  <c r="D493" i="58"/>
  <c r="E393" i="58"/>
  <c r="E193" i="58"/>
  <c r="D302" i="58"/>
  <c r="C317" i="58"/>
  <c r="B318" i="58" s="1"/>
  <c r="C15" i="58"/>
  <c r="B16" i="58" s="1"/>
  <c r="D200" i="58"/>
  <c r="E86" i="58"/>
  <c r="C196" i="58"/>
  <c r="B197" i="58" s="1"/>
  <c r="F114" i="58"/>
  <c r="C428" i="58"/>
  <c r="B429" i="58" s="1"/>
  <c r="C298" i="58"/>
  <c r="B299" i="58" s="1"/>
  <c r="C130" i="58"/>
  <c r="B131" i="58" s="1"/>
  <c r="E151" i="58"/>
  <c r="C224" i="58"/>
  <c r="B225" i="58" s="1"/>
  <c r="C35" i="58"/>
  <c r="B36" i="58" s="1"/>
  <c r="C230" i="58"/>
  <c r="B231" i="58" s="1"/>
  <c r="E104" i="58"/>
  <c r="F448" i="58"/>
  <c r="C393" i="58"/>
  <c r="B394" i="58" s="1"/>
  <c r="C86" i="58"/>
  <c r="B87" i="58" s="1"/>
  <c r="C457" i="58"/>
  <c r="B458" i="58" s="1"/>
  <c r="C247" i="58"/>
  <c r="B248" i="58" s="1"/>
  <c r="C445" i="58"/>
  <c r="B446" i="58" s="1"/>
  <c r="E228" i="58"/>
  <c r="C44" i="58"/>
  <c r="B45" i="58" s="1"/>
  <c r="F428" i="58"/>
  <c r="C184" i="58"/>
  <c r="B185" i="58" s="1"/>
  <c r="D153" i="58"/>
  <c r="C30" i="58"/>
  <c r="B31" i="58" s="1"/>
  <c r="E325" i="58"/>
  <c r="C52" i="58"/>
  <c r="B53" i="58" s="1"/>
  <c r="F384" i="58"/>
  <c r="D151" i="58"/>
  <c r="E308" i="58"/>
  <c r="D488" i="58"/>
  <c r="E275" i="58"/>
  <c r="C179" i="58"/>
  <c r="B180" i="58" s="1"/>
  <c r="C173" i="58"/>
  <c r="B174" i="58" s="1"/>
  <c r="F450" i="58"/>
  <c r="F146" i="58"/>
  <c r="E141" i="58"/>
  <c r="E467" i="58"/>
  <c r="F250" i="58"/>
  <c r="F391" i="58"/>
  <c r="D410" i="58"/>
  <c r="D252" i="58"/>
  <c r="E270" i="58"/>
  <c r="F33" i="58"/>
  <c r="E394" i="58"/>
  <c r="F362" i="58"/>
  <c r="C132" i="58"/>
  <c r="B133" i="58" s="1"/>
  <c r="D356" i="58"/>
  <c r="E38" i="58"/>
  <c r="E327" i="58"/>
  <c r="C72" i="58"/>
  <c r="B73" i="58" s="1"/>
  <c r="E51" i="58"/>
  <c r="C312" i="58"/>
  <c r="B313" i="58" s="1"/>
  <c r="D330" i="58"/>
  <c r="D137" i="58"/>
  <c r="F38" i="58"/>
  <c r="D254" i="58"/>
  <c r="D13" i="58"/>
  <c r="E97" i="58"/>
  <c r="E497" i="58"/>
  <c r="D132" i="58"/>
  <c r="F32" i="58"/>
  <c r="F427" i="58"/>
  <c r="D125" i="58"/>
  <c r="F83" i="58"/>
  <c r="E220" i="58"/>
  <c r="E67" i="58"/>
  <c r="D407" i="58"/>
  <c r="F199" i="58"/>
  <c r="E338" i="58"/>
  <c r="C268" i="58"/>
  <c r="B269" i="58" s="1"/>
  <c r="E408" i="58"/>
  <c r="E147" i="58"/>
  <c r="E427" i="58"/>
  <c r="D181" i="58"/>
  <c r="E172" i="58"/>
  <c r="E430" i="58"/>
  <c r="E154" i="58"/>
  <c r="C159" i="58"/>
  <c r="B160" i="58" s="1"/>
  <c r="F211" i="58"/>
  <c r="E17" i="58"/>
  <c r="D298" i="58"/>
  <c r="E45" i="58"/>
  <c r="F452" i="58"/>
  <c r="E321" i="58"/>
  <c r="D118" i="58"/>
  <c r="F31" i="58"/>
  <c r="F281" i="58"/>
  <c r="D129" i="58"/>
  <c r="C430" i="58"/>
  <c r="B431" i="58" s="1"/>
  <c r="E235" i="58"/>
  <c r="D340" i="58"/>
  <c r="C436" i="58"/>
  <c r="B437" i="58" s="1"/>
  <c r="F183" i="58"/>
  <c r="D18" i="58"/>
  <c r="F182" i="58"/>
  <c r="E27" i="58"/>
  <c r="D160" i="58"/>
  <c r="C117" i="58"/>
  <c r="B118" i="58" s="1"/>
  <c r="C172" i="58"/>
  <c r="B173" i="58" s="1"/>
  <c r="F46" i="58"/>
  <c r="E5" i="58"/>
  <c r="F14" i="58"/>
  <c r="E403" i="58"/>
  <c r="E23" i="58"/>
  <c r="F271" i="58"/>
  <c r="D112" i="58"/>
  <c r="F357" i="58"/>
  <c r="E415" i="58"/>
  <c r="F418" i="58"/>
  <c r="F439" i="58"/>
  <c r="C446" i="58"/>
  <c r="B447" i="58" s="1"/>
  <c r="D133" i="58"/>
  <c r="D154" i="58"/>
  <c r="C394" i="58"/>
  <c r="B395" i="58" s="1"/>
  <c r="E278" i="58"/>
  <c r="E363" i="58"/>
  <c r="D341" i="58"/>
  <c r="C199" i="58"/>
  <c r="B200" i="58" s="1"/>
  <c r="F227" i="58"/>
  <c r="D353" i="58"/>
  <c r="F275" i="58"/>
  <c r="D376" i="58"/>
  <c r="E457" i="58"/>
  <c r="F472" i="58"/>
  <c r="D473" i="58"/>
  <c r="F82" i="58"/>
  <c r="D42" i="58"/>
  <c r="E159" i="58"/>
  <c r="F282" i="58"/>
  <c r="C342" i="58"/>
  <c r="B343" i="58" s="1"/>
  <c r="F381" i="58"/>
  <c r="E358" i="58"/>
  <c r="C494" i="58"/>
  <c r="B495" i="58" s="1"/>
  <c r="F399" i="58"/>
  <c r="D78" i="58"/>
  <c r="E107" i="58"/>
  <c r="E69" i="58"/>
  <c r="E224" i="58"/>
  <c r="D158" i="58"/>
  <c r="F97" i="58"/>
  <c r="D434" i="58"/>
  <c r="E355" i="58"/>
  <c r="C198" i="58"/>
  <c r="B199" i="58" s="1"/>
  <c r="C366" i="58"/>
  <c r="B367" i="58" s="1"/>
  <c r="E54" i="58"/>
  <c r="D210" i="58"/>
  <c r="C85" i="58"/>
  <c r="B86" i="58" s="1"/>
  <c r="D73" i="58"/>
  <c r="C487" i="58"/>
  <c r="B488" i="58" s="1"/>
  <c r="C497" i="58"/>
  <c r="B498" i="58" s="1"/>
  <c r="D275" i="58"/>
  <c r="D251" i="58"/>
  <c r="C223" i="58"/>
  <c r="B224" i="58" s="1"/>
  <c r="D164" i="58"/>
  <c r="C354" i="58"/>
  <c r="B355" i="58" s="1"/>
  <c r="F308" i="58"/>
  <c r="C413" i="58"/>
  <c r="B414" i="58" s="1"/>
  <c r="C274" i="58"/>
  <c r="B275" i="58" s="1"/>
  <c r="E360" i="58"/>
  <c r="C277" i="58"/>
  <c r="B278" i="58" s="1"/>
  <c r="E468" i="58"/>
  <c r="D342" i="58"/>
  <c r="C324" i="58"/>
  <c r="B325" i="58" s="1"/>
  <c r="C221" i="58"/>
  <c r="B222" i="58" s="1"/>
  <c r="F296" i="58"/>
  <c r="F456" i="58"/>
  <c r="E330" i="58"/>
  <c r="E472" i="58"/>
  <c r="F283" i="58"/>
  <c r="E231" i="58"/>
  <c r="F65" i="58"/>
  <c r="D409" i="58"/>
  <c r="D266" i="58"/>
  <c r="E236" i="58"/>
  <c r="C9" i="58"/>
  <c r="B10" i="58" s="1"/>
  <c r="F12" i="58"/>
  <c r="D82" i="58"/>
  <c r="F276" i="58"/>
  <c r="E334" i="58"/>
  <c r="D449" i="58"/>
  <c r="D448" i="58"/>
  <c r="C477" i="58"/>
  <c r="B478" i="58" s="1"/>
  <c r="E245" i="58"/>
  <c r="E477" i="58"/>
  <c r="C306" i="58"/>
  <c r="B307" i="58" s="1"/>
  <c r="F222" i="58"/>
  <c r="F400" i="58"/>
  <c r="D324" i="58"/>
  <c r="D381" i="58"/>
  <c r="E213" i="58"/>
  <c r="E109" i="58"/>
  <c r="D355" i="58"/>
  <c r="F63" i="58"/>
  <c r="D102" i="58"/>
  <c r="F314" i="58"/>
  <c r="C4" i="58"/>
  <c r="B5" i="58" s="1"/>
  <c r="E61" i="58"/>
  <c r="D184" i="58"/>
  <c r="E62" i="58"/>
  <c r="D442" i="58"/>
  <c r="E305" i="58"/>
  <c r="F372" i="58"/>
  <c r="F243" i="58"/>
  <c r="D196" i="58"/>
  <c r="C402" i="58"/>
  <c r="B403" i="58" s="1"/>
  <c r="E342" i="58"/>
  <c r="F462" i="58"/>
  <c r="E16" i="58"/>
  <c r="E288" i="58"/>
  <c r="F187" i="58"/>
  <c r="D225" i="58"/>
  <c r="C201" i="58"/>
  <c r="B202" i="58" s="1"/>
  <c r="E456" i="58"/>
  <c r="D199" i="58"/>
  <c r="F85" i="58"/>
  <c r="E22" i="58"/>
  <c r="C74" i="58"/>
  <c r="B75" i="58" s="1"/>
  <c r="F424" i="58"/>
  <c r="E176" i="58"/>
  <c r="C333" i="58"/>
  <c r="B334" i="58" s="1"/>
  <c r="D81" i="58"/>
  <c r="E254" i="58"/>
  <c r="D228" i="58"/>
  <c r="D441" i="58"/>
  <c r="F262" i="58"/>
  <c r="C216" i="58"/>
  <c r="B217" i="58" s="1"/>
  <c r="E216" i="58"/>
  <c r="D60" i="58"/>
  <c r="E211" i="58"/>
  <c r="D369" i="58"/>
  <c r="C229" i="58"/>
  <c r="B230" i="58" s="1"/>
  <c r="E111" i="58"/>
  <c r="D71" i="58"/>
  <c r="E222" i="58"/>
  <c r="D257" i="58"/>
  <c r="F451" i="58"/>
  <c r="E473" i="58"/>
  <c r="F310" i="58"/>
  <c r="D146" i="58"/>
  <c r="E367" i="58"/>
  <c r="F98" i="58"/>
  <c r="E304" i="58"/>
  <c r="D412" i="58"/>
  <c r="F388" i="58"/>
  <c r="C481" i="58"/>
  <c r="B482" i="58" s="1"/>
  <c r="F119" i="58"/>
  <c r="C447" i="58"/>
  <c r="B448" i="58" s="1"/>
  <c r="D336" i="58"/>
  <c r="E66" i="58"/>
  <c r="D395" i="58"/>
  <c r="F42" i="58"/>
  <c r="C136" i="58"/>
  <c r="B137" i="58" s="1"/>
  <c r="C323" i="58"/>
  <c r="B324" i="58" s="1"/>
  <c r="E108" i="58"/>
  <c r="F108" i="58"/>
  <c r="C232" i="58"/>
  <c r="B233" i="58" s="1"/>
  <c r="D270" i="58"/>
  <c r="E374" i="58"/>
  <c r="C100" i="58"/>
  <c r="B101" i="58" s="1"/>
  <c r="E205" i="58"/>
  <c r="D179" i="58"/>
  <c r="D320" i="58"/>
  <c r="F99" i="58"/>
  <c r="E471" i="58"/>
  <c r="E6" i="58"/>
  <c r="E382" i="58"/>
  <c r="F195" i="58"/>
  <c r="C378" i="58"/>
  <c r="B379" i="58" s="1"/>
  <c r="E166" i="58"/>
  <c r="C295" i="58"/>
  <c r="B296" i="58" s="1"/>
  <c r="E149" i="58"/>
  <c r="C469" i="58"/>
  <c r="B470" i="58" s="1"/>
  <c r="F291" i="58"/>
  <c r="D130" i="58"/>
  <c r="D66" i="58"/>
  <c r="D168" i="58"/>
  <c r="E42" i="58"/>
  <c r="C20" i="58"/>
  <c r="B21" i="58" s="1"/>
  <c r="F23" i="58"/>
  <c r="C142" i="58"/>
  <c r="B143" i="58" s="1"/>
  <c r="E70" i="58"/>
  <c r="F408" i="58"/>
  <c r="D458" i="58"/>
  <c r="F380" i="58"/>
  <c r="E264" i="58"/>
  <c r="D135" i="58"/>
  <c r="E401" i="58"/>
  <c r="E252" i="58"/>
  <c r="D227" i="58"/>
  <c r="D222" i="58"/>
  <c r="F7" i="58"/>
  <c r="E92" i="58"/>
  <c r="C343" i="58"/>
  <c r="B344" i="58" s="1"/>
  <c r="D48" i="58"/>
  <c r="E485" i="58"/>
  <c r="C407" i="58"/>
  <c r="B408" i="58" s="1"/>
  <c r="D401" i="58"/>
  <c r="D214" i="58"/>
  <c r="F459" i="58"/>
  <c r="C368" i="58"/>
  <c r="B369" i="58" s="1"/>
  <c r="D319" i="58"/>
  <c r="D274" i="58"/>
  <c r="D183" i="58"/>
  <c r="E323" i="58"/>
  <c r="E196" i="58"/>
  <c r="C284" i="58"/>
  <c r="B285" i="58" s="1"/>
  <c r="E297" i="58"/>
  <c r="E195" i="58"/>
  <c r="C210" i="58"/>
  <c r="B211" i="58" s="1"/>
  <c r="D204" i="58"/>
  <c r="D377" i="58"/>
  <c r="F181" i="58"/>
  <c r="E41" i="58"/>
  <c r="F126" i="58"/>
  <c r="C371" i="58"/>
  <c r="B372" i="58" s="1"/>
  <c r="C258" i="58"/>
  <c r="B259" i="58" s="1"/>
  <c r="F203" i="58"/>
  <c r="D383" i="58"/>
  <c r="C167" i="58"/>
  <c r="B168" i="58" s="1"/>
  <c r="C144" i="58"/>
  <c r="B145" i="58" s="1"/>
  <c r="E37" i="58"/>
  <c r="E390" i="58"/>
  <c r="E426" i="58"/>
  <c r="F139" i="58"/>
  <c r="F261" i="58"/>
  <c r="E294" i="58"/>
  <c r="D334" i="58"/>
  <c r="D174" i="58"/>
  <c r="D50" i="58"/>
  <c r="E263" i="58"/>
  <c r="C103" i="58"/>
  <c r="B104" i="58" s="1"/>
  <c r="D303" i="58"/>
  <c r="C124" i="58"/>
  <c r="B125" i="58" s="1"/>
  <c r="F449" i="58"/>
  <c r="F368" i="58"/>
  <c r="E15" i="58"/>
  <c r="F292" i="58"/>
  <c r="D474" i="58"/>
  <c r="F334" i="58"/>
  <c r="D44" i="58"/>
  <c r="F24" i="58"/>
  <c r="E33" i="58"/>
  <c r="C134" i="58"/>
  <c r="B135" i="58" s="1"/>
  <c r="D86" i="58"/>
  <c r="D229" i="58"/>
  <c r="D435" i="58"/>
  <c r="E465" i="58"/>
  <c r="C195" i="58"/>
  <c r="B196" i="58" s="1"/>
  <c r="E290" i="58"/>
  <c r="E204" i="58"/>
  <c r="F81" i="58"/>
  <c r="E80" i="58"/>
  <c r="F201" i="58"/>
  <c r="D420" i="58"/>
  <c r="C426" i="58"/>
  <c r="B427" i="58" s="1"/>
  <c r="D306" i="58"/>
  <c r="D224" i="58"/>
  <c r="C186" i="58"/>
  <c r="B187" i="58" s="1"/>
  <c r="D494" i="58"/>
  <c r="F124" i="58"/>
  <c r="F491" i="58"/>
  <c r="E268" i="58"/>
  <c r="E349" i="58"/>
  <c r="C336" i="58"/>
  <c r="B337" i="58" s="1"/>
  <c r="E26" i="58"/>
  <c r="F466" i="58"/>
  <c r="C249" i="58"/>
  <c r="B250" i="58" s="1"/>
  <c r="F257" i="58"/>
  <c r="D439" i="58"/>
  <c r="E101" i="58"/>
  <c r="F460" i="58"/>
  <c r="E354" i="58"/>
  <c r="C147" i="58"/>
  <c r="B148" i="58" s="1"/>
  <c r="D80" i="58"/>
  <c r="E134" i="58"/>
  <c r="D372" i="58"/>
  <c r="D246" i="58"/>
  <c r="C59" i="58"/>
  <c r="B60" i="58" s="1"/>
  <c r="C338" i="58"/>
  <c r="B339" i="58" s="1"/>
  <c r="E315" i="58"/>
  <c r="C384" i="58"/>
  <c r="B385" i="58" s="1"/>
  <c r="D206" i="58"/>
  <c r="D49" i="58"/>
  <c r="C62" i="58"/>
  <c r="B63" i="58" s="1"/>
  <c r="C75" i="58"/>
  <c r="B76" i="58" s="1"/>
  <c r="F225" i="58"/>
  <c r="F494" i="58"/>
  <c r="F41" i="58"/>
  <c r="C84" i="58"/>
  <c r="B85" i="58" s="1"/>
  <c r="C239" i="58"/>
  <c r="B240" i="58" s="1"/>
  <c r="C93" i="58"/>
  <c r="B94" i="58" s="1"/>
  <c r="E105" i="58"/>
  <c r="F64" i="58"/>
  <c r="C192" i="58"/>
  <c r="B193" i="58" s="1"/>
  <c r="F50" i="58"/>
  <c r="D400" i="58"/>
  <c r="D186" i="58"/>
  <c r="E119" i="58"/>
  <c r="E446" i="58"/>
  <c r="C387" i="58"/>
  <c r="B388" i="58" s="1"/>
  <c r="D272" i="58"/>
  <c r="F252" i="58"/>
  <c r="E179" i="58"/>
  <c r="D57" i="58"/>
  <c r="C468" i="58"/>
  <c r="B469" i="58" s="1"/>
  <c r="E429" i="58"/>
  <c r="E274" i="58"/>
  <c r="E481" i="58"/>
  <c r="E46" i="58"/>
  <c r="F131" i="58"/>
  <c r="F421" i="58"/>
  <c r="C138" i="58"/>
  <c r="B139" i="58" s="1"/>
  <c r="C270" i="58"/>
  <c r="B271" i="58" s="1"/>
  <c r="C71" i="58"/>
  <c r="B72" i="58" s="1"/>
  <c r="C331" i="58"/>
  <c r="B332" i="58" s="1"/>
  <c r="E452" i="58"/>
  <c r="F196" i="58"/>
  <c r="F444" i="58"/>
  <c r="E169" i="58"/>
  <c r="C369" i="58"/>
  <c r="B370" i="58" s="1"/>
  <c r="E82" i="58"/>
  <c r="D276" i="58"/>
  <c r="E238" i="58"/>
  <c r="F370" i="58"/>
  <c r="D495" i="58"/>
  <c r="F153" i="58"/>
  <c r="F396" i="58"/>
  <c r="C347" i="58"/>
  <c r="B348" i="58" s="1"/>
  <c r="E436" i="58"/>
  <c r="D152" i="58"/>
  <c r="E208" i="58"/>
  <c r="C94" i="58"/>
  <c r="B95" i="58" s="1"/>
  <c r="E152" i="58"/>
  <c r="E337" i="58"/>
  <c r="F434" i="58"/>
  <c r="C264" i="58"/>
  <c r="B265" i="58" s="1"/>
  <c r="C318" i="58"/>
  <c r="B319" i="58" s="1"/>
  <c r="D472" i="58"/>
  <c r="F455" i="58"/>
  <c r="D109" i="58"/>
  <c r="F113" i="58"/>
  <c r="C228" i="58"/>
  <c r="B229" i="58" s="1"/>
  <c r="F326" i="58"/>
  <c r="C115" i="58"/>
  <c r="B116" i="58" s="1"/>
  <c r="D53" i="58"/>
  <c r="C388" i="58"/>
  <c r="B389" i="58" s="1"/>
  <c r="D271" i="58"/>
  <c r="F163" i="58"/>
  <c r="E331" i="58"/>
  <c r="E256" i="58"/>
  <c r="D134" i="58"/>
  <c r="C149" i="58"/>
  <c r="B150" i="58" s="1"/>
  <c r="F356" i="58"/>
  <c r="C19" i="58"/>
  <c r="B20" i="58" s="1"/>
  <c r="E183" i="58"/>
  <c r="E482" i="58"/>
  <c r="E99" i="58"/>
  <c r="E271" i="58"/>
  <c r="E499" i="58"/>
  <c r="F79" i="58"/>
  <c r="E439" i="58"/>
  <c r="E78" i="58"/>
  <c r="D140" i="58"/>
  <c r="F431" i="58"/>
  <c r="F30" i="58"/>
  <c r="F486" i="58"/>
  <c r="F73" i="58"/>
  <c r="D470" i="58"/>
  <c r="E198" i="58"/>
  <c r="E402" i="58"/>
  <c r="F453" i="58"/>
  <c r="C285" i="58"/>
  <c r="B286" i="58" s="1"/>
  <c r="F178" i="58"/>
  <c r="C182" i="58"/>
  <c r="B183" i="58" s="1"/>
  <c r="E170" i="58"/>
  <c r="D24" i="58"/>
  <c r="D61" i="58"/>
  <c r="C205" i="58"/>
  <c r="B206" i="58" s="1"/>
  <c r="C260" i="58"/>
  <c r="B261" i="58" s="1"/>
  <c r="D244" i="58"/>
  <c r="C404" i="58"/>
  <c r="B405" i="58" s="1"/>
  <c r="F120" i="58"/>
  <c r="D242" i="58"/>
  <c r="F433" i="58"/>
  <c r="F267" i="58"/>
  <c r="C135" i="58"/>
  <c r="B136" i="58" s="1"/>
  <c r="F143" i="58"/>
  <c r="E267" i="58"/>
  <c r="C183" i="58"/>
  <c r="B184" i="58" s="1"/>
  <c r="F479" i="58"/>
  <c r="E320" i="58"/>
  <c r="C178" i="58"/>
  <c r="B179" i="58" s="1"/>
  <c r="D157" i="58"/>
  <c r="C401" i="58"/>
  <c r="B402" i="58" s="1"/>
  <c r="E202" i="58"/>
  <c r="F53" i="58"/>
  <c r="C211" i="58"/>
  <c r="B212" i="58" s="1"/>
  <c r="D122" i="58"/>
  <c r="D166" i="58"/>
  <c r="C398" i="58"/>
  <c r="B399" i="58" s="1"/>
  <c r="D72" i="58"/>
  <c r="C57" i="58"/>
  <c r="B58" i="58" s="1"/>
  <c r="E182" i="58"/>
  <c r="C326" i="58"/>
  <c r="B327" i="58" s="1"/>
  <c r="C83" i="58"/>
  <c r="B84" i="58" s="1"/>
  <c r="D417" i="58"/>
  <c r="E161" i="58"/>
  <c r="D189" i="58"/>
  <c r="E435" i="58"/>
  <c r="C311" i="58"/>
  <c r="B312" i="58" s="1"/>
  <c r="D4" i="58"/>
  <c r="F341" i="58"/>
  <c r="C40" i="58"/>
  <c r="B41" i="58" s="1"/>
  <c r="C437" i="58"/>
  <c r="B438" i="58" s="1"/>
  <c r="D281" i="58"/>
  <c r="D84" i="58"/>
  <c r="D156" i="58"/>
  <c r="F125" i="58"/>
  <c r="D110" i="58"/>
  <c r="D379" i="58"/>
  <c r="D83" i="58"/>
  <c r="C11" i="58"/>
  <c r="B12" i="58" s="1"/>
  <c r="D328" i="58"/>
  <c r="C145" i="58"/>
  <c r="B146" i="58" s="1"/>
  <c r="D100" i="58"/>
  <c r="E57" i="58"/>
  <c r="E112" i="58"/>
  <c r="E283" i="58"/>
  <c r="C121" i="58"/>
  <c r="B122" i="58" s="1"/>
  <c r="C252" i="58"/>
  <c r="B253" i="58" s="1"/>
  <c r="E25" i="58"/>
  <c r="D47" i="58"/>
  <c r="C17" i="58"/>
  <c r="B18" i="58" s="1"/>
  <c r="C304" i="58"/>
  <c r="B305" i="58" s="1"/>
  <c r="D490" i="58"/>
  <c r="C56" i="58"/>
  <c r="B57" i="58" s="1"/>
  <c r="D487" i="58"/>
  <c r="F278" i="58"/>
  <c r="D491" i="58"/>
  <c r="C432" i="58"/>
  <c r="B433" i="58" s="1"/>
  <c r="F49" i="58"/>
  <c r="C246" i="58"/>
  <c r="B247" i="58" s="1"/>
  <c r="C431" i="58"/>
  <c r="B432" i="58" s="1"/>
  <c r="F359" i="58"/>
  <c r="F426" i="58"/>
  <c r="C290" i="58"/>
  <c r="B291" i="58" s="1"/>
  <c r="E113" i="58"/>
  <c r="C375" i="58"/>
  <c r="B376" i="58" s="1"/>
  <c r="C296" i="58"/>
  <c r="B297" i="58" s="1"/>
  <c r="C261" i="58"/>
  <c r="B262" i="58" s="1"/>
  <c r="C102" i="58"/>
  <c r="B103" i="58" s="1"/>
  <c r="E364" i="58"/>
  <c r="F228" i="58"/>
  <c r="F358" i="58"/>
  <c r="D471" i="58"/>
  <c r="F336" i="58"/>
  <c r="D209" i="58"/>
  <c r="E177" i="58"/>
  <c r="F205" i="58"/>
  <c r="E167" i="58"/>
  <c r="D91" i="58"/>
  <c r="E214" i="58"/>
  <c r="F280" i="58"/>
  <c r="F365" i="58"/>
  <c r="E478" i="58"/>
  <c r="E469" i="58"/>
  <c r="E71" i="58"/>
  <c r="D247" i="58"/>
  <c r="E24" i="58"/>
  <c r="C438" i="58"/>
  <c r="B439" i="58" s="1"/>
  <c r="D309" i="58"/>
  <c r="D10" i="58"/>
  <c r="F297" i="58"/>
  <c r="E120" i="58"/>
  <c r="F71" i="58"/>
  <c r="E406" i="58"/>
  <c r="E258" i="58"/>
  <c r="F128" i="58"/>
  <c r="F309" i="58"/>
  <c r="F484" i="58"/>
  <c r="D64" i="58"/>
  <c r="D339" i="58"/>
  <c r="D331" i="58"/>
  <c r="D241" i="58"/>
  <c r="C87" i="58"/>
  <c r="B88" i="58" s="1"/>
  <c r="F290" i="58"/>
  <c r="E136" i="58"/>
  <c r="C226" i="58"/>
  <c r="B227" i="58" s="1"/>
  <c r="E121" i="58"/>
  <c r="D378" i="58"/>
  <c r="F327" i="58"/>
  <c r="D262" i="58"/>
  <c r="E229" i="58"/>
  <c r="C424" i="58"/>
  <c r="B425" i="58" s="1"/>
  <c r="D167" i="58"/>
  <c r="C476" i="58"/>
  <c r="B477" i="58" s="1"/>
  <c r="F406" i="58"/>
  <c r="F55" i="58"/>
  <c r="C328" i="58"/>
  <c r="B329" i="58" s="1"/>
  <c r="C31" i="58"/>
  <c r="B32" i="58" s="1"/>
  <c r="C400" i="58"/>
  <c r="B401" i="58" s="1"/>
  <c r="F478" i="58"/>
  <c r="E128" i="58"/>
  <c r="D238" i="58"/>
  <c r="D423" i="58"/>
  <c r="D391" i="58"/>
  <c r="E460" i="58"/>
  <c r="F319" i="58"/>
  <c r="C466" i="58"/>
  <c r="B467" i="58" s="1"/>
  <c r="D203" i="58"/>
  <c r="E298" i="58"/>
  <c r="C499" i="58"/>
  <c r="B500" i="58" s="1"/>
  <c r="E442" i="58"/>
  <c r="F223" i="58"/>
  <c r="E232" i="58"/>
  <c r="D15" i="58"/>
  <c r="D215" i="58"/>
  <c r="E438" i="58"/>
  <c r="F74" i="58"/>
  <c r="C352" i="58"/>
  <c r="B353" i="58" s="1"/>
  <c r="C29" i="58"/>
  <c r="B30" i="58" s="1"/>
  <c r="F461" i="58"/>
  <c r="C464" i="58"/>
  <c r="B465" i="58" s="1"/>
  <c r="D253" i="58"/>
  <c r="D260" i="58"/>
  <c r="F284" i="58"/>
  <c r="F111" i="58"/>
  <c r="F70" i="58"/>
  <c r="C484" i="58"/>
  <c r="B485" i="58" s="1"/>
  <c r="D374" i="58"/>
  <c r="C251" i="58"/>
  <c r="B252" i="58" s="1"/>
  <c r="F29" i="58"/>
  <c r="E133" i="58"/>
  <c r="E219" i="58"/>
  <c r="F321" i="58"/>
  <c r="D163" i="58"/>
  <c r="C166" i="58"/>
  <c r="B167" i="58" s="1"/>
  <c r="C396" i="58"/>
  <c r="B397" i="58" s="1"/>
  <c r="E233" i="58"/>
  <c r="E39" i="58"/>
  <c r="C283" i="58"/>
  <c r="B284" i="58" s="1"/>
  <c r="F208" i="58"/>
  <c r="C434" i="58"/>
  <c r="B435" i="58" s="1"/>
  <c r="F255" i="58"/>
  <c r="C68" i="58"/>
  <c r="B69" i="58" s="1"/>
  <c r="F464" i="58"/>
  <c r="E65" i="58"/>
  <c r="F371" i="58"/>
  <c r="C321" i="58"/>
  <c r="B322" i="58" s="1"/>
  <c r="F339" i="58"/>
  <c r="F180" i="58"/>
  <c r="C267" i="58"/>
  <c r="B268" i="58" s="1"/>
  <c r="F274" i="58"/>
  <c r="E259" i="58"/>
  <c r="F177" i="58"/>
  <c r="C474" i="58"/>
  <c r="B475" i="58" s="1"/>
  <c r="F333" i="58"/>
  <c r="E63" i="58"/>
  <c r="D20" i="58"/>
  <c r="C279" i="58"/>
  <c r="B280" i="58" s="1"/>
  <c r="C448" i="58"/>
  <c r="B449" i="58" s="1"/>
  <c r="F105" i="58"/>
  <c r="C427" i="58"/>
  <c r="B428" i="58" s="1"/>
  <c r="D351" i="58"/>
  <c r="F20" i="58"/>
  <c r="E434" i="58"/>
  <c r="D232" i="58"/>
  <c r="D101" i="58"/>
  <c r="E114" i="58"/>
  <c r="D382" i="58"/>
  <c r="E273" i="58"/>
  <c r="E116" i="58"/>
  <c r="F88" i="58"/>
  <c r="F329" i="58"/>
  <c r="F191" i="58"/>
  <c r="C160" i="58"/>
  <c r="B161" i="58" s="1"/>
  <c r="C409" i="58"/>
  <c r="B410" i="58" s="1"/>
  <c r="E409" i="58"/>
  <c r="C64" i="58"/>
  <c r="B65" i="58" s="1"/>
  <c r="C353" i="58"/>
  <c r="B354" i="58" s="1"/>
  <c r="E8" i="58"/>
  <c r="C433" i="58"/>
  <c r="B434" i="58" s="1"/>
  <c r="D364" i="58"/>
  <c r="E227" i="58"/>
  <c r="F194" i="58"/>
  <c r="D51" i="58"/>
  <c r="D278" i="58"/>
  <c r="F323" i="58"/>
  <c r="C234" i="58"/>
  <c r="B235" i="58" s="1"/>
  <c r="C451" i="58"/>
  <c r="B452" i="58" s="1"/>
  <c r="E140" i="58"/>
  <c r="E251" i="58"/>
  <c r="C32" i="58"/>
  <c r="B33" i="58" s="1"/>
  <c r="C486" i="58"/>
  <c r="B487" i="58" s="1"/>
  <c r="F318" i="58"/>
  <c r="D185" i="58"/>
  <c r="F141" i="58"/>
  <c r="C39" i="58"/>
  <c r="B40" i="58" s="1"/>
  <c r="E47" i="58"/>
  <c r="E199" i="58"/>
  <c r="D36" i="58"/>
  <c r="F154" i="58"/>
  <c r="F287" i="58"/>
  <c r="C208" i="58"/>
  <c r="B209" i="58" s="1"/>
  <c r="F147" i="58"/>
  <c r="D499" i="58"/>
  <c r="F215" i="58"/>
  <c r="D314" i="58"/>
  <c r="D59" i="58"/>
  <c r="D447" i="58"/>
  <c r="F419" i="58"/>
  <c r="C363" i="58"/>
  <c r="B364" i="58" s="1"/>
  <c r="D226" i="58"/>
  <c r="F240" i="58"/>
  <c r="C470" i="58"/>
  <c r="B471" i="58" s="1"/>
  <c r="C441" i="58"/>
  <c r="B442" i="58" s="1"/>
  <c r="F231" i="58"/>
  <c r="F162" i="58"/>
  <c r="D446" i="58"/>
  <c r="D387" i="58"/>
  <c r="C299" i="58"/>
  <c r="B300" i="58" s="1"/>
  <c r="F432" i="58"/>
  <c r="C495" i="58"/>
  <c r="B496" i="58" s="1"/>
  <c r="C422" i="58"/>
  <c r="B423" i="58" s="1"/>
  <c r="D304" i="58"/>
  <c r="C81" i="58"/>
  <c r="B82" i="58" s="1"/>
  <c r="C187" i="58"/>
  <c r="B188" i="58" s="1"/>
  <c r="E242" i="58"/>
  <c r="F256" i="58"/>
  <c r="C82" i="58"/>
  <c r="B83" i="58" s="1"/>
  <c r="C43" i="58"/>
  <c r="B44" i="58" s="1"/>
  <c r="C222" i="58"/>
  <c r="B223" i="58" s="1"/>
  <c r="D398" i="58"/>
  <c r="F289" i="58"/>
  <c r="D88" i="58"/>
  <c r="C325" i="58"/>
  <c r="B326" i="58" s="1"/>
  <c r="D293" i="58"/>
  <c r="E126" i="58"/>
  <c r="F239" i="58"/>
  <c r="F45" i="58"/>
  <c r="E248" i="58"/>
  <c r="F293" i="58"/>
  <c r="C425" i="58"/>
  <c r="B426" i="58" s="1"/>
  <c r="F377" i="58"/>
  <c r="E279" i="58"/>
  <c r="D305" i="58"/>
  <c r="F151" i="58"/>
  <c r="C385" i="58"/>
  <c r="B386" i="58" s="1"/>
  <c r="C99" i="58"/>
  <c r="B100" i="58" s="1"/>
  <c r="E428" i="58"/>
  <c r="D19" i="58"/>
  <c r="C212" i="58"/>
  <c r="B213" i="58" s="1"/>
  <c r="C269" i="58"/>
  <c r="B270" i="58" s="1"/>
  <c r="F294" i="58"/>
  <c r="D172" i="58"/>
  <c r="C465" i="58"/>
  <c r="B466" i="58" s="1"/>
  <c r="C141" i="58"/>
  <c r="B142" i="58" s="1"/>
  <c r="F263" i="58"/>
  <c r="E377" i="58"/>
  <c r="F337" i="58"/>
  <c r="F100" i="58"/>
  <c r="F234" i="58"/>
  <c r="F369" i="58"/>
  <c r="E225" i="58"/>
  <c r="C36" i="58"/>
  <c r="B37" i="58" s="1"/>
  <c r="E312" i="58"/>
  <c r="D418" i="58"/>
  <c r="C374" i="58"/>
  <c r="B375" i="58" s="1"/>
  <c r="D38" i="58"/>
  <c r="D440" i="58"/>
  <c r="E145" i="58"/>
  <c r="D348" i="58"/>
  <c r="F17" i="58"/>
  <c r="E125" i="58"/>
  <c r="E184" i="58"/>
  <c r="F259" i="58"/>
  <c r="E329" i="58"/>
  <c r="F22" i="58"/>
  <c r="D8" i="58"/>
  <c r="E333" i="58"/>
  <c r="D31" i="58"/>
  <c r="E253" i="58"/>
  <c r="F48" i="58"/>
  <c r="D223" i="58"/>
  <c r="E243" i="58"/>
  <c r="F476" i="58"/>
  <c r="C25" i="58"/>
  <c r="B26" i="58" s="1"/>
  <c r="F320" i="58"/>
  <c r="E9" i="58"/>
  <c r="C46" i="58"/>
  <c r="B47" i="58" s="1"/>
  <c r="C175" i="58"/>
  <c r="B176" i="58" s="1"/>
  <c r="D128" i="58"/>
  <c r="D159" i="58"/>
  <c r="C257" i="58"/>
  <c r="B258" i="58" s="1"/>
  <c r="F496" i="58"/>
  <c r="D77" i="58"/>
  <c r="D194" i="58"/>
  <c r="E197" i="58"/>
  <c r="D367" i="58"/>
  <c r="C392" i="58"/>
  <c r="B393" i="58" s="1"/>
  <c r="F437" i="58"/>
  <c r="D120" i="58"/>
  <c r="E139" i="58"/>
  <c r="D358" i="58"/>
  <c r="F166" i="58"/>
  <c r="D193" i="58"/>
  <c r="F186" i="58"/>
  <c r="C377" i="58"/>
  <c r="B378" i="58" s="1"/>
  <c r="D475" i="58"/>
  <c r="E110" i="58"/>
  <c r="D104" i="58"/>
  <c r="F171" i="58"/>
  <c r="E163" i="58"/>
  <c r="C305" i="58"/>
  <c r="B306" i="58" s="1"/>
  <c r="D32" i="58"/>
  <c r="D350" i="58"/>
  <c r="F34" i="58"/>
  <c r="C488" i="58"/>
  <c r="B489" i="58" s="1"/>
  <c r="F441" i="58"/>
  <c r="F237" i="58"/>
  <c r="C77" i="58"/>
  <c r="B78" i="58" s="1"/>
  <c r="D202" i="58"/>
  <c r="F258" i="58"/>
  <c r="F442" i="58"/>
  <c r="F59" i="58"/>
  <c r="E466" i="58"/>
  <c r="C185" i="58"/>
  <c r="B186" i="58" s="1"/>
  <c r="D459" i="58"/>
  <c r="F137" i="58"/>
  <c r="F112" i="58"/>
  <c r="C301" i="58"/>
  <c r="B302" i="58" s="1"/>
  <c r="C491" i="58"/>
  <c r="B492" i="58" s="1"/>
  <c r="C18" i="58"/>
  <c r="B19" i="58" s="1"/>
  <c r="E158" i="58"/>
  <c r="F224" i="58"/>
  <c r="D22" i="58"/>
  <c r="C419" i="58"/>
  <c r="B420" i="58" s="1"/>
  <c r="C348" i="58"/>
  <c r="B349" i="58" s="1"/>
  <c r="F118" i="58"/>
  <c r="C213" i="58"/>
  <c r="B214" i="58" s="1"/>
  <c r="E494" i="58"/>
  <c r="E165" i="58"/>
  <c r="E443" i="58"/>
  <c r="F134" i="58"/>
  <c r="C386" i="58"/>
  <c r="B387" i="58" s="1"/>
  <c r="F76" i="58"/>
  <c r="F330" i="58"/>
  <c r="D147" i="58"/>
  <c r="C67" i="58"/>
  <c r="B68" i="58" s="1"/>
  <c r="D349" i="58"/>
  <c r="D197" i="58"/>
  <c r="C500" i="58"/>
  <c r="F470" i="58"/>
  <c r="E444" i="58"/>
  <c r="F127" i="58"/>
  <c r="D392" i="58"/>
  <c r="E407" i="58"/>
  <c r="C170" i="58"/>
  <c r="B171" i="58" s="1"/>
  <c r="D366" i="58"/>
  <c r="E124" i="58"/>
  <c r="C429" i="58"/>
  <c r="B430" i="58" s="1"/>
  <c r="D171" i="58"/>
  <c r="F236" i="58"/>
  <c r="F136" i="58"/>
  <c r="E155" i="58"/>
  <c r="F242" i="58"/>
  <c r="E487" i="58"/>
  <c r="D162" i="58"/>
  <c r="C399" i="58"/>
  <c r="B400" i="58" s="1"/>
  <c r="F411" i="58"/>
  <c r="E226" i="58"/>
  <c r="D123" i="58"/>
  <c r="C191" i="58"/>
  <c r="B192" i="58" s="1"/>
  <c r="C80" i="58"/>
  <c r="B81" i="58" s="1"/>
  <c r="D178" i="58"/>
  <c r="D483" i="58"/>
  <c r="D427" i="58"/>
  <c r="E257" i="58"/>
  <c r="C154" i="58"/>
  <c r="B155" i="58" s="1"/>
  <c r="F443" i="58"/>
  <c r="D315" i="58"/>
  <c r="D450" i="58"/>
  <c r="D454" i="58"/>
  <c r="D297" i="58"/>
  <c r="C143" i="58"/>
  <c r="B144" i="58" s="1"/>
  <c r="F311" i="58"/>
  <c r="D456" i="58"/>
  <c r="F87" i="58"/>
  <c r="D478" i="58"/>
  <c r="C47" i="58"/>
  <c r="B48" i="58" s="1"/>
  <c r="E289" i="58"/>
  <c r="C395" i="58"/>
  <c r="B396" i="58" s="1"/>
  <c r="D445" i="58"/>
  <c r="C412" i="58"/>
  <c r="B413" i="58" s="1"/>
  <c r="C452" i="58"/>
  <c r="B453" i="58" s="1"/>
  <c r="D259" i="58"/>
  <c r="C55" i="58"/>
  <c r="B56" i="58" s="1"/>
  <c r="F389" i="58"/>
  <c r="E266" i="58"/>
  <c r="E221" i="58"/>
  <c r="E201" i="58"/>
  <c r="E368" i="58"/>
  <c r="F69" i="58"/>
  <c r="D481" i="58"/>
  <c r="C389" i="58"/>
  <c r="B390" i="58" s="1"/>
  <c r="D354" i="58"/>
  <c r="E484" i="58"/>
  <c r="E424" i="58"/>
  <c r="C114" i="58"/>
  <c r="B115" i="58" s="1"/>
  <c r="E130" i="58"/>
  <c r="F116" i="58"/>
  <c r="C408" i="58"/>
  <c r="B409" i="58" s="1"/>
  <c r="F165" i="58"/>
  <c r="F176" i="58"/>
  <c r="D40" i="58"/>
  <c r="C97" i="58"/>
  <c r="B98" i="58" s="1"/>
  <c r="C460" i="58"/>
  <c r="B461" i="58" s="1"/>
  <c r="C273" i="58"/>
  <c r="B274" i="58" s="1"/>
  <c r="D106" i="58"/>
  <c r="F27" i="58"/>
  <c r="F398" i="58"/>
  <c r="C330" i="58"/>
  <c r="B331" i="58" s="1"/>
  <c r="F468" i="58"/>
  <c r="F302" i="58"/>
  <c r="D176" i="58"/>
  <c r="F269" i="58"/>
  <c r="E210" i="58"/>
  <c r="D433" i="58"/>
  <c r="F393" i="58"/>
  <c r="C101" i="58"/>
  <c r="B102" i="58" s="1"/>
  <c r="F40" i="58"/>
  <c r="E495" i="58"/>
  <c r="C90" i="58"/>
  <c r="B91" i="58" s="1"/>
  <c r="F366" i="58"/>
  <c r="C120" i="58"/>
  <c r="B121" i="58" s="1"/>
  <c r="F482" i="58"/>
  <c r="C498" i="58"/>
  <c r="B499" i="58" s="1"/>
  <c r="D311" i="58"/>
  <c r="D432" i="58"/>
  <c r="E301" i="58"/>
  <c r="D243" i="58"/>
  <c r="C161" i="58"/>
  <c r="B162" i="58" s="1"/>
  <c r="F107" i="58"/>
  <c r="D37" i="58"/>
  <c r="D261" i="58"/>
  <c r="F404" i="58"/>
  <c r="E30" i="58"/>
  <c r="D413" i="58"/>
  <c r="C496" i="58"/>
  <c r="B497" i="58" s="1"/>
  <c r="C367" i="58"/>
  <c r="B368" i="58" s="1"/>
  <c r="D388" i="58"/>
  <c r="C467" i="58"/>
  <c r="B468" i="58" s="1"/>
  <c r="C137" i="58"/>
  <c r="B138" i="58" s="1"/>
  <c r="D144" i="58"/>
  <c r="C472" i="58"/>
  <c r="B473" i="58" s="1"/>
  <c r="E81" i="58"/>
  <c r="E186" i="58"/>
  <c r="D282" i="58"/>
  <c r="F184" i="58"/>
  <c r="F102" i="58"/>
  <c r="D23" i="58"/>
  <c r="F390" i="58"/>
  <c r="D476" i="58"/>
  <c r="F159" i="58"/>
  <c r="F298" i="58"/>
  <c r="E106" i="58"/>
  <c r="C287" i="58"/>
  <c r="B288" i="58" s="1"/>
  <c r="C292" i="58"/>
  <c r="B293" i="58" s="1"/>
  <c r="C423" i="58"/>
  <c r="B424" i="58" s="1"/>
  <c r="D489" i="58"/>
  <c r="E168" i="58"/>
  <c r="F383" i="58"/>
  <c r="D195" i="58"/>
  <c r="D466" i="58"/>
  <c r="C214" i="58"/>
  <c r="B215" i="58" s="1"/>
  <c r="E98" i="58"/>
  <c r="E344" i="58"/>
  <c r="F375" i="58"/>
  <c r="D463" i="58"/>
  <c r="E241" i="58"/>
  <c r="E73" i="58"/>
  <c r="E189" i="58"/>
  <c r="E453" i="58"/>
  <c r="E414" i="58"/>
  <c r="C440" i="58"/>
  <c r="B441" i="58" s="1"/>
  <c r="D165" i="58"/>
  <c r="D117" i="58"/>
  <c r="E357" i="58"/>
  <c r="C48" i="58"/>
  <c r="B49" i="58" s="1"/>
  <c r="D170" i="58"/>
  <c r="D105" i="58"/>
  <c r="E303" i="58"/>
  <c r="C462" i="58"/>
  <c r="B463" i="58" s="1"/>
  <c r="F407" i="58"/>
  <c r="F86" i="58"/>
  <c r="C327" i="58"/>
  <c r="B328" i="58" s="1"/>
  <c r="F132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<sst xmlns="http://schemas.openxmlformats.org/spreadsheetml/2006/main" count="2735" uniqueCount="930">
  <si>
    <t>StartDate</t>
  </si>
  <si>
    <t>StartRow</t>
  </si>
  <si>
    <t>TimeOffset</t>
  </si>
  <si>
    <t>EVENT</t>
  </si>
  <si>
    <t>Race</t>
  </si>
  <si>
    <t>CIRCUIT</t>
  </si>
  <si>
    <t>Melbourne</t>
  </si>
  <si>
    <t>START D/M/Y</t>
  </si>
  <si>
    <t>END D/M/Y</t>
  </si>
  <si>
    <t>TIME ZONE</t>
  </si>
  <si>
    <t>DATE</t>
  </si>
  <si>
    <t>FROM</t>
  </si>
  <si>
    <t>TO</t>
  </si>
  <si>
    <t xml:space="preserve"> </t>
  </si>
  <si>
    <t>TRANSPORT</t>
  </si>
  <si>
    <t>DEPARTURE</t>
  </si>
  <si>
    <t>ARRIVAL TIME</t>
  </si>
  <si>
    <t>NOTES</t>
  </si>
  <si>
    <t>TEAM PERSONNEL</t>
  </si>
  <si>
    <t>HOTEL</t>
  </si>
  <si>
    <t>Hyatt Place Montreal - Downtown</t>
  </si>
  <si>
    <t>Montreal</t>
  </si>
  <si>
    <t>ADDRESS</t>
  </si>
  <si>
    <t>1415 Rue St-Hubert, 
Montréal, QC H2L 3Y9, Canada</t>
  </si>
  <si>
    <t>22-24/05/2026</t>
  </si>
  <si>
    <t>Single</t>
  </si>
  <si>
    <t>FORMULA 2</t>
  </si>
  <si>
    <t>Twin</t>
  </si>
  <si>
    <t>ROOM</t>
  </si>
  <si>
    <t>TYPE</t>
  </si>
  <si>
    <t>Arrival</t>
  </si>
  <si>
    <t>Depart</t>
  </si>
  <si>
    <t xml:space="preserve">Nights </t>
  </si>
  <si>
    <t>Info</t>
  </si>
  <si>
    <t>Bradley Joyce</t>
  </si>
  <si>
    <t>Amber Kouwen</t>
  </si>
  <si>
    <t>Double</t>
  </si>
  <si>
    <t>Jessica Rona</t>
  </si>
  <si>
    <t>Mike Konst</t>
  </si>
  <si>
    <t>Peter van Leeuwen</t>
  </si>
  <si>
    <t>Marc Giannone</t>
  </si>
  <si>
    <t>Carlo Ruffo</t>
  </si>
  <si>
    <t>Maarten van der Poel</t>
  </si>
  <si>
    <t>Robin van den Berg</t>
  </si>
  <si>
    <t>Keiran Breaden Boyce</t>
  </si>
  <si>
    <t>Karel Bobisud</t>
  </si>
  <si>
    <t>Fran Fernandez</t>
  </si>
  <si>
    <t>Pavel Gellner</t>
  </si>
  <si>
    <t>Paul Sicard</t>
  </si>
  <si>
    <t>Atte Ahonen</t>
  </si>
  <si>
    <t>Nick Toetenel</t>
  </si>
  <si>
    <t>Roberto Quintas Alvarez</t>
  </si>
  <si>
    <t>Nico Varrone</t>
  </si>
  <si>
    <t>TBC</t>
  </si>
  <si>
    <t>Martin Varrone</t>
  </si>
  <si>
    <t>Rafael Villagomez Jr</t>
  </si>
  <si>
    <t>Pieter Belmans</t>
  </si>
  <si>
    <t>Luke Selby</t>
  </si>
  <si>
    <t>Tom Claessen</t>
  </si>
  <si>
    <t>FORMULA 3</t>
  </si>
  <si>
    <t>Amsterdam (AMS)</t>
  </si>
  <si>
    <t>Bologna (BLQ)</t>
  </si>
  <si>
    <t>Geneva (GVA)</t>
  </si>
  <si>
    <t>Montreal (YUL)</t>
  </si>
  <si>
    <t>AIRLINE</t>
  </si>
  <si>
    <t>Air Canada</t>
  </si>
  <si>
    <t>Lufthansa</t>
  </si>
  <si>
    <t>KLM</t>
  </si>
  <si>
    <t>FLIGHT NUMBER</t>
  </si>
  <si>
    <t>AC901</t>
  </si>
  <si>
    <t>LH6792</t>
  </si>
  <si>
    <t>KL0671</t>
  </si>
  <si>
    <t>LH9483 / LH474</t>
  </si>
  <si>
    <t>AC3794 / AC4593</t>
  </si>
  <si>
    <t>BOOKING REFERENCE</t>
  </si>
  <si>
    <t>BO8LVK</t>
  </si>
  <si>
    <t>7NRK9B / 7OZGWH*</t>
  </si>
  <si>
    <t>XZHFV7</t>
  </si>
  <si>
    <t>7OA78V</t>
  </si>
  <si>
    <t>BNDBZH</t>
  </si>
  <si>
    <t>ARRIVAL</t>
  </si>
  <si>
    <t>PASSENGERS</t>
  </si>
  <si>
    <t>Mike Könst</t>
  </si>
  <si>
    <t>Robin van den Berg*</t>
  </si>
  <si>
    <t>Prague (PRG)</t>
  </si>
  <si>
    <t>Madrid (MAD)</t>
  </si>
  <si>
    <t>Vienna (VIE)</t>
  </si>
  <si>
    <t>Helsinki (HEL)</t>
  </si>
  <si>
    <t>London - Heathrow (LHR)</t>
  </si>
  <si>
    <t>Austrian Airlines</t>
  </si>
  <si>
    <t>KL1354 / KL671</t>
  </si>
  <si>
    <t>AC835</t>
  </si>
  <si>
    <t>OS55</t>
  </si>
  <si>
    <t>LH4063 / LH474</t>
  </si>
  <si>
    <t>AC865</t>
  </si>
  <si>
    <t>ZSY928</t>
  </si>
  <si>
    <t>C9W2S7 / C9LR9L*</t>
  </si>
  <si>
    <t>7O6ADH</t>
  </si>
  <si>
    <t>7NVCDG</t>
  </si>
  <si>
    <t>CA2VS7</t>
  </si>
  <si>
    <t>British Airways</t>
  </si>
  <si>
    <t>BA0095</t>
  </si>
  <si>
    <t>ZXL4B3</t>
  </si>
  <si>
    <t>Brad Joyce</t>
  </si>
  <si>
    <t>06-08/03/2026</t>
  </si>
  <si>
    <t>Brussels (BRU)</t>
  </si>
  <si>
    <t>Swiss Airlines</t>
  </si>
  <si>
    <t>BA457</t>
  </si>
  <si>
    <t>KL1011</t>
  </si>
  <si>
    <t>BA391</t>
  </si>
  <si>
    <t>BA853</t>
  </si>
  <si>
    <t>LX 354</t>
  </si>
  <si>
    <t>YADZZ4</t>
  </si>
  <si>
    <t>YAV6EQ</t>
  </si>
  <si>
    <t>YAVO4Z</t>
  </si>
  <si>
    <t>YBOYJT</t>
  </si>
  <si>
    <t>YBNIJQ</t>
  </si>
  <si>
    <t>Roel Van De Voorde</t>
  </si>
  <si>
    <t>BA541</t>
  </si>
  <si>
    <t>YASLWD</t>
  </si>
  <si>
    <t>London Heathrow (LHR)</t>
  </si>
  <si>
    <t>Melbourne (MEL)</t>
  </si>
  <si>
    <t>KL887 / KL4894</t>
  </si>
  <si>
    <t>BA033 / BA8175</t>
  </si>
  <si>
    <t>Y6RYLL</t>
  </si>
  <si>
    <t>YA935P*</t>
  </si>
  <si>
    <t>Y9ZMTS</t>
  </si>
  <si>
    <t>07:50 +1</t>
  </si>
  <si>
    <t>09:25 +1</t>
  </si>
  <si>
    <t>Ties Verrijt</t>
  </si>
  <si>
    <t>Damian Besselsen</t>
  </si>
  <si>
    <t>Amber Kouwen*</t>
  </si>
  <si>
    <t>Keyvan Yaghmai</t>
  </si>
  <si>
    <t>Felix van Delft</t>
  </si>
  <si>
    <t>Keiran Breaden Boyce*</t>
  </si>
  <si>
    <t>Daniel Blackledge</t>
  </si>
  <si>
    <t>Ashley Blewett</t>
  </si>
  <si>
    <t>Barcelona (BCN)</t>
  </si>
  <si>
    <t>United Airlines</t>
  </si>
  <si>
    <t>UA673 / UA60</t>
  </si>
  <si>
    <t>Y9SHJQ</t>
  </si>
  <si>
    <t>MYPTQ0</t>
  </si>
  <si>
    <t>10:00 +2</t>
  </si>
  <si>
    <t>Javier Davila Bello</t>
  </si>
  <si>
    <t>Oscar Torla Centelles</t>
  </si>
  <si>
    <t>BA7053</t>
  </si>
  <si>
    <t>KL1004</t>
  </si>
  <si>
    <t>BA388</t>
  </si>
  <si>
    <t>BA730</t>
  </si>
  <si>
    <t>YKU8ZZ</t>
  </si>
  <si>
    <t>BA540</t>
  </si>
  <si>
    <t>AC900</t>
  </si>
  <si>
    <t>KL0672</t>
  </si>
  <si>
    <t>AC6820 / LX1668</t>
  </si>
  <si>
    <t>AC844 / AC6846</t>
  </si>
  <si>
    <t>KL672 / KL1353</t>
  </si>
  <si>
    <t>AC834</t>
  </si>
  <si>
    <t>OS56</t>
  </si>
  <si>
    <t>LH6795 / LH848</t>
  </si>
  <si>
    <t>AC862</t>
  </si>
  <si>
    <t>C9W2S7</t>
  </si>
  <si>
    <t>BA0094</t>
  </si>
  <si>
    <t>PICK-UP</t>
  </si>
  <si>
    <t xml:space="preserve">Rental Car Price </t>
  </si>
  <si>
    <t>COMPANY</t>
  </si>
  <si>
    <t>AVIS</t>
  </si>
  <si>
    <t>PLACE</t>
  </si>
  <si>
    <t>BOOKING CODE</t>
  </si>
  <si>
    <t>13744664ES3</t>
  </si>
  <si>
    <t>13744665ES4</t>
  </si>
  <si>
    <t>13744815ES0</t>
  </si>
  <si>
    <t>12773058ES4</t>
  </si>
  <si>
    <t>PICK-UP TIME</t>
  </si>
  <si>
    <t>DRIVER</t>
  </si>
  <si>
    <t>Total</t>
  </si>
  <si>
    <t>Jessica Taxi</t>
  </si>
  <si>
    <t>Mike Taxi</t>
  </si>
  <si>
    <t>Roberto Fran Taxi</t>
  </si>
  <si>
    <t>ON-SITE</t>
  </si>
  <si>
    <t>1. Marc</t>
  </si>
  <si>
    <t>2. Nick</t>
  </si>
  <si>
    <t>Otmar Szafnauer</t>
  </si>
  <si>
    <t>3. Atte</t>
  </si>
  <si>
    <t>4. Brad</t>
  </si>
  <si>
    <t>5. Rafa</t>
  </si>
  <si>
    <t>DROP-OFF</t>
  </si>
  <si>
    <t>7. Ricco</t>
  </si>
  <si>
    <t>8. Rafa</t>
  </si>
  <si>
    <t>DROP OFF TIME</t>
  </si>
  <si>
    <t>Roberto</t>
  </si>
  <si>
    <t>Fran</t>
  </si>
  <si>
    <t>Bahrain</t>
  </si>
  <si>
    <t>DAY 1: FRIDAY 2ND</t>
  </si>
  <si>
    <t>START</t>
  </si>
  <si>
    <t>END</t>
  </si>
  <si>
    <t>SESSION</t>
  </si>
  <si>
    <t>FREE PRACTICE</t>
  </si>
  <si>
    <t>QUALIFYING</t>
  </si>
  <si>
    <t>DAY 2: SATURDAY 3RD</t>
  </si>
  <si>
    <t>SPRINT RACE</t>
  </si>
  <si>
    <t>DAY 3: SUNDAY 4TH</t>
  </si>
  <si>
    <t>FEATURE RACE</t>
  </si>
  <si>
    <t>x</t>
  </si>
  <si>
    <t>Instructions</t>
  </si>
  <si>
    <t>FOOD TIMES</t>
  </si>
  <si>
    <t>MEDIA</t>
  </si>
  <si>
    <t>- Only use TBA or TBC in the start column</t>
  </si>
  <si>
    <t>PM = PRE MEETING / DB = DEBRIEF</t>
  </si>
  <si>
    <t>SESSIONS</t>
  </si>
  <si>
    <t>DRIVERS</t>
  </si>
  <si>
    <t>PROMOTER MEETINGS</t>
  </si>
  <si>
    <t>22-24/05/2025</t>
  </si>
  <si>
    <t>DAY</t>
  </si>
  <si>
    <t>Tuesday 19 May</t>
  </si>
  <si>
    <t>TOTAL</t>
  </si>
  <si>
    <t>ACTIVITY</t>
  </si>
  <si>
    <t>LOCATION</t>
  </si>
  <si>
    <t>COMMENTS</t>
  </si>
  <si>
    <t>Breakfast</t>
  </si>
  <si>
    <t>Leaving Hotel</t>
  </si>
  <si>
    <t>Access to Freight</t>
  </si>
  <si>
    <t>Lunch</t>
  </si>
  <si>
    <t>JR Arranges</t>
  </si>
  <si>
    <t xml:space="preserve">Team Meeting </t>
  </si>
  <si>
    <t>Dinner</t>
  </si>
  <si>
    <t>Wednesday 20 May</t>
  </si>
  <si>
    <t>Circuit Catering</t>
  </si>
  <si>
    <t>Thursday 21 May</t>
  </si>
  <si>
    <t>Team Arrival Circuit</t>
  </si>
  <si>
    <t>Drivers Arrival Circuit</t>
  </si>
  <si>
    <t>PREP Equipment for Scrutineering</t>
  </si>
  <si>
    <t>Track walk</t>
  </si>
  <si>
    <t>Bring Armbands!</t>
  </si>
  <si>
    <t>VAR F2 Weigh Bridge slot</t>
  </si>
  <si>
    <t>Operational Staff Deadline</t>
  </si>
  <si>
    <t>JR</t>
  </si>
  <si>
    <t>Driver and TM Sign on</t>
  </si>
  <si>
    <t>F2/F3 office</t>
  </si>
  <si>
    <t>Drivers, PVL</t>
  </si>
  <si>
    <t>Driver's Equipment Scrutineering</t>
  </si>
  <si>
    <t>Mike</t>
  </si>
  <si>
    <t>Tickets from JR</t>
  </si>
  <si>
    <t>Car Scrutineering</t>
  </si>
  <si>
    <t>Mechanics</t>
  </si>
  <si>
    <t>Engineering PM Event</t>
  </si>
  <si>
    <t>Tyre pick up pirelli</t>
  </si>
  <si>
    <t>High Speed Track Test</t>
  </si>
  <si>
    <t>Pavel &amp; Peter</t>
  </si>
  <si>
    <t>Pitstop Practice - Warm Up</t>
  </si>
  <si>
    <t>Keiran &amp; Crew</t>
  </si>
  <si>
    <t>Pitstop Practice</t>
  </si>
  <si>
    <t>All</t>
  </si>
  <si>
    <t>Pitstop Box Marking</t>
  </si>
  <si>
    <t>F1 Pitlane</t>
  </si>
  <si>
    <t>TM and Drivers Briefing</t>
  </si>
  <si>
    <t>PVL, Drivers</t>
  </si>
  <si>
    <t>Engineering Meeting</t>
  </si>
  <si>
    <t>Eng</t>
  </si>
  <si>
    <t>Pirelli Parc Ferme</t>
  </si>
  <si>
    <t>Friday 22 May</t>
  </si>
  <si>
    <t>Box</t>
  </si>
  <si>
    <t>Team</t>
  </si>
  <si>
    <t>Delta to session time (hh:mm):</t>
  </si>
  <si>
    <t>Full Engine Warm-Up</t>
  </si>
  <si>
    <t>Driver Arrival Circuit</t>
  </si>
  <si>
    <t xml:space="preserve">Drivers PM  </t>
  </si>
  <si>
    <t>Office</t>
  </si>
  <si>
    <t>Drivers, Eng</t>
  </si>
  <si>
    <t>2nd engine fire up</t>
  </si>
  <si>
    <t>Session Fuel in</t>
  </si>
  <si>
    <t>Driver Training Start Procedure</t>
  </si>
  <si>
    <t>Set Tyre Pres.</t>
  </si>
  <si>
    <t>Deadline FIA Plank and Brake Nomination</t>
  </si>
  <si>
    <t>Last Fire Up (Car on the Ground)</t>
  </si>
  <si>
    <t>Trolleys Loaded and ready to depart</t>
  </si>
  <si>
    <t xml:space="preserve">Cars stand by </t>
  </si>
  <si>
    <t>Drivers ready in car</t>
  </si>
  <si>
    <t>Trolleys released to F1 Pit Lane</t>
  </si>
  <si>
    <t>Cars realeased to F1 Pit Lane</t>
  </si>
  <si>
    <t>PRACTICE SESSION</t>
  </si>
  <si>
    <t xml:space="preserve">Drivers DB    </t>
  </si>
  <si>
    <t>Pirelli mount one set of tyres (slick or wets)</t>
  </si>
  <si>
    <t>Car Crew Session Meeting</t>
  </si>
  <si>
    <t>Engine Fire Up</t>
  </si>
  <si>
    <t xml:space="preserve">Drivers PM    </t>
  </si>
  <si>
    <t>Cars stand by</t>
  </si>
  <si>
    <t>Cars released to F1 Pit Lane</t>
  </si>
  <si>
    <t>QUALIFYING SESSION</t>
  </si>
  <si>
    <t>Team Principal Meeting</t>
  </si>
  <si>
    <t>Brad</t>
  </si>
  <si>
    <t>Press Conference</t>
  </si>
  <si>
    <t>Press conference room</t>
  </si>
  <si>
    <t>1st, 2nd, 3rd Drivers</t>
  </si>
  <si>
    <t>Pirelli Parc Ferme Closed / 2H AFTER END OF Parc F.</t>
  </si>
  <si>
    <t xml:space="preserve">Restricted Period Starts </t>
  </si>
  <si>
    <t xml:space="preserve">DAY </t>
  </si>
  <si>
    <t>Saturday 23 May</t>
  </si>
  <si>
    <t>Hotel</t>
  </si>
  <si>
    <t xml:space="preserve">Team </t>
  </si>
  <si>
    <t>Restricted Period Ends</t>
  </si>
  <si>
    <t>On Arrival</t>
  </si>
  <si>
    <t>Drivers PM</t>
  </si>
  <si>
    <t>Session Fuel in Cars</t>
  </si>
  <si>
    <t>Cars Stand by</t>
  </si>
  <si>
    <t>Pit Lane Open</t>
  </si>
  <si>
    <t>SPRINT RACE (28 Laps or 45 min +1 Lap)</t>
  </si>
  <si>
    <t>1st, 2nd, 3rd Driver</t>
  </si>
  <si>
    <t>Drivers DB</t>
  </si>
  <si>
    <t>Sunday 24 May</t>
  </si>
  <si>
    <t>Full Engine Fire Up</t>
  </si>
  <si>
    <t>Tickets from Jessica</t>
  </si>
  <si>
    <t>FEATURE RACE (39 Laps or 60 min +1 Lap)</t>
  </si>
  <si>
    <t>Tyres back to Pirelli / ASAP after the end of Parc fermé</t>
  </si>
  <si>
    <t>ASAP</t>
  </si>
  <si>
    <t>Pack-Up</t>
  </si>
  <si>
    <t>DHL Pack-Up Deadline</t>
  </si>
  <si>
    <t>DRIVER ARRIVAL</t>
  </si>
  <si>
    <t>Tuesday 03 March</t>
  </si>
  <si>
    <t xml:space="preserve">RODIN MOTORSPORT </t>
  </si>
  <si>
    <t>Wednesday 04 March</t>
  </si>
  <si>
    <t>FIA F2 &amp; F3 - Driver Training</t>
  </si>
  <si>
    <t>Briefing Room</t>
  </si>
  <si>
    <t>DRIVERS &amp; TEAMMANAGERS</t>
  </si>
  <si>
    <t>VAR F3 Weigh Bridge slot</t>
  </si>
  <si>
    <t>Pitstop Practice / Radio Check</t>
  </si>
  <si>
    <t>Thursday 05 March</t>
  </si>
  <si>
    <t>Pitstop Practice / Radio Check Car #16</t>
  </si>
  <si>
    <t>Tent</t>
  </si>
  <si>
    <t>After Pitstop Practice</t>
  </si>
  <si>
    <t>Hiyu - Arrival Circuit</t>
  </si>
  <si>
    <t>Hiyu - Melbourne Walk</t>
  </si>
  <si>
    <t>Meet at catering</t>
  </si>
  <si>
    <t>Drivers, RVDV</t>
  </si>
  <si>
    <t>Bruno &amp; Enzo - Arrival Circuit</t>
  </si>
  <si>
    <t xml:space="preserve">Talk with Alexa - FIA F3 Media </t>
  </si>
  <si>
    <t>VAR box</t>
  </si>
  <si>
    <t>All drivers</t>
  </si>
  <si>
    <t>Pre-Event Meeting</t>
  </si>
  <si>
    <t>Hiyu - EA Scan</t>
  </si>
  <si>
    <t>First Office Box</t>
  </si>
  <si>
    <t>In Suit, Teamshirt. Bring Helmet + Gloves</t>
  </si>
  <si>
    <t>Engine Fire Up #14</t>
  </si>
  <si>
    <t>Engine Fire Up #15</t>
  </si>
  <si>
    <t>Engine Fire Up #16</t>
  </si>
  <si>
    <t>2nd Mechanics</t>
  </si>
  <si>
    <t>F3 SYSTEMS CHECK SESSION</t>
  </si>
  <si>
    <t>On track</t>
  </si>
  <si>
    <t>Drivers</t>
  </si>
  <si>
    <t>Drivers Equipment Scrutineering</t>
  </si>
  <si>
    <t>Bruno - Influencer Interview</t>
  </si>
  <si>
    <t xml:space="preserve">TBC </t>
  </si>
  <si>
    <t>Enzo - EA Scan</t>
  </si>
  <si>
    <t>Friday 06 March</t>
  </si>
  <si>
    <t>2nd mechanics</t>
  </si>
  <si>
    <t>Pitlane Trolley stand by</t>
  </si>
  <si>
    <t>VAR Garage Tour with Enzo</t>
  </si>
  <si>
    <t>Tour for F1 guests</t>
  </si>
  <si>
    <t xml:space="preserve">Engines Fire Up - All cars </t>
  </si>
  <si>
    <t>FvD</t>
  </si>
  <si>
    <t>1st, 2nd &amp; 3rd Driver</t>
  </si>
  <si>
    <t>Pirelli Parc Ferme/2H AFTER END OF Parc F.</t>
  </si>
  <si>
    <t>Saturday 07 March</t>
  </si>
  <si>
    <t>Mechanics No. 2</t>
  </si>
  <si>
    <t xml:space="preserve">  </t>
  </si>
  <si>
    <t>SPRINT RACE (20 Laps or 40 min +1 Lap)</t>
  </si>
  <si>
    <t>VAR Social Media</t>
  </si>
  <si>
    <t>VAR Tent</t>
  </si>
  <si>
    <t>With Amber - After Lunch</t>
  </si>
  <si>
    <t xml:space="preserve">Tyre wear measurements </t>
  </si>
  <si>
    <t xml:space="preserve"> Mechanics No. 2</t>
  </si>
  <si>
    <t>Sunday 08 March</t>
  </si>
  <si>
    <t>Breakfast Boxes</t>
  </si>
  <si>
    <t>From 05:00</t>
  </si>
  <si>
    <t>FEATURE RACE (23 Laps or 45 min +1 Lap)</t>
  </si>
  <si>
    <t>TYRES BACK TO PIRELLI</t>
  </si>
  <si>
    <t>Dismantle</t>
  </si>
  <si>
    <t>Pack Up Deadline 22:00</t>
  </si>
  <si>
    <t xml:space="preserve">Food Times </t>
  </si>
  <si>
    <t>Media</t>
  </si>
  <si>
    <t xml:space="preserve">PM = PreMeeting / DB = Debrief </t>
  </si>
  <si>
    <t>Sessions</t>
  </si>
  <si>
    <t>Driver Arrival</t>
  </si>
  <si>
    <t>Monday 24 March</t>
  </si>
  <si>
    <t xml:space="preserve">Breakfast </t>
  </si>
  <si>
    <t xml:space="preserve">Hotel  </t>
  </si>
  <si>
    <t>Rental Car Arrival</t>
  </si>
  <si>
    <t>Build-Up</t>
  </si>
  <si>
    <t>Prep Cars</t>
  </si>
  <si>
    <t>JR Organizes</t>
  </si>
  <si>
    <t>Tuesday 25 March</t>
  </si>
  <si>
    <t>Event PM - Part 1</t>
  </si>
  <si>
    <t>Circuit / Small Dome Tent</t>
  </si>
  <si>
    <t>Event PM - Part 2</t>
  </si>
  <si>
    <t>ARAMCO Presentation</t>
  </si>
  <si>
    <t>Track Walk</t>
  </si>
  <si>
    <t>Together with F3</t>
  </si>
  <si>
    <t xml:space="preserve">Pitstop Practice &amp; Radio check </t>
  </si>
  <si>
    <t>Wednesday 26 March</t>
  </si>
  <si>
    <t>Team Meeting</t>
  </si>
  <si>
    <t>Engine Warm-up</t>
  </si>
  <si>
    <t>Pirelli parc ferme open</t>
  </si>
  <si>
    <t>Session 1</t>
  </si>
  <si>
    <t>DB Session 3</t>
  </si>
  <si>
    <t>Engine Fire-Up</t>
  </si>
  <si>
    <t>Session 2</t>
  </si>
  <si>
    <t>ASAP return all tyres to pirelli Parc Fermé</t>
  </si>
  <si>
    <t>Thursday 27 March</t>
  </si>
  <si>
    <t>Session 3</t>
  </si>
  <si>
    <t>Session 4</t>
  </si>
  <si>
    <t>DB Session 4</t>
  </si>
  <si>
    <t>Friday 28 March</t>
  </si>
  <si>
    <t>Session 5</t>
  </si>
  <si>
    <t>Session 6</t>
  </si>
  <si>
    <t>Saturday 29 March</t>
  </si>
  <si>
    <t>Rafael Villagomez</t>
  </si>
  <si>
    <t>AUTO GENERATE ALL PERSONAL</t>
  </si>
  <si>
    <t>PERSONAL ALPHABETICAL ORDER</t>
  </si>
  <si>
    <t>DRIVERS ALPHABETICAL ORDER</t>
  </si>
  <si>
    <t>ENGINEERS ALPHABETICAL ORDER</t>
  </si>
  <si>
    <t>MECHANICS ALPHABETICAL ORDER</t>
  </si>
  <si>
    <t>TRUCKIES ALPHABETICAL ORDER</t>
  </si>
  <si>
    <t>MANAGER ALPHABETICAL ORDER</t>
  </si>
  <si>
    <t>OTHERS ALPHABETICAL ORDER</t>
  </si>
  <si>
    <t>- Avoid Duplicates</t>
  </si>
  <si>
    <t>Hiyu Yamakoshi</t>
  </si>
  <si>
    <t>- Do not add rows manually</t>
  </si>
  <si>
    <t>Enzo Deligny</t>
  </si>
  <si>
    <t>Bruno Del Pino</t>
  </si>
  <si>
    <t>Engineers</t>
  </si>
  <si>
    <t>Rick Janse</t>
  </si>
  <si>
    <t>Niek van der Weijden</t>
  </si>
  <si>
    <t>Patrik Larsson</t>
  </si>
  <si>
    <t>Tomas Kohler</t>
  </si>
  <si>
    <t>Benny Pagett</t>
  </si>
  <si>
    <t>Klaudija Jakaj</t>
  </si>
  <si>
    <t>Truckies</t>
  </si>
  <si>
    <t>Management</t>
  </si>
  <si>
    <t>Frits van Amersfoort</t>
  </si>
  <si>
    <t>Rob Niessink</t>
  </si>
  <si>
    <t>Nathalie Perlee</t>
  </si>
  <si>
    <t>Francisco Freitas</t>
  </si>
  <si>
    <t>Anneleen Walch</t>
  </si>
  <si>
    <t>Christophe Wijnen</t>
  </si>
  <si>
    <t>Other</t>
  </si>
  <si>
    <t>Jose Balbiani</t>
  </si>
  <si>
    <t>Start</t>
  </si>
  <si>
    <t>Weekday</t>
  </si>
  <si>
    <t>Day</t>
  </si>
  <si>
    <t>Month</t>
  </si>
  <si>
    <t>Range</t>
  </si>
  <si>
    <t>Weekday Calc</t>
  </si>
  <si>
    <t>Month Calc</t>
  </si>
  <si>
    <t>List of Weekdays</t>
  </si>
  <si>
    <t>List of Months</t>
  </si>
  <si>
    <t>Day 1</t>
  </si>
  <si>
    <t>Monday</t>
  </si>
  <si>
    <t>January</t>
  </si>
  <si>
    <t>Day 2</t>
  </si>
  <si>
    <t>Tuesday</t>
  </si>
  <si>
    <t>February</t>
  </si>
  <si>
    <t>Day 3</t>
  </si>
  <si>
    <t>Wednesday</t>
  </si>
  <si>
    <t>March</t>
  </si>
  <si>
    <t>Day 4</t>
  </si>
  <si>
    <t>Thursday</t>
  </si>
  <si>
    <t>April</t>
  </si>
  <si>
    <t>Day 5</t>
  </si>
  <si>
    <t>Friday</t>
  </si>
  <si>
    <t>May</t>
  </si>
  <si>
    <t>Day 6</t>
  </si>
  <si>
    <t>Saturday</t>
  </si>
  <si>
    <t>June</t>
  </si>
  <si>
    <t>Day 7</t>
  </si>
  <si>
    <t>Sunday</t>
  </si>
  <si>
    <t>July</t>
  </si>
  <si>
    <t>Day 8</t>
  </si>
  <si>
    <t>August</t>
  </si>
  <si>
    <t>September</t>
  </si>
  <si>
    <t>October</t>
  </si>
  <si>
    <t>November</t>
  </si>
  <si>
    <t>December</t>
  </si>
  <si>
    <t>List of Tracks</t>
  </si>
  <si>
    <t>Event Type</t>
  </si>
  <si>
    <t>Colours</t>
  </si>
  <si>
    <t>Cars</t>
  </si>
  <si>
    <t>Numbers</t>
  </si>
  <si>
    <t>Chassis</t>
  </si>
  <si>
    <t>Room Types</t>
  </si>
  <si>
    <t>Vehicles</t>
  </si>
  <si>
    <t>Airports</t>
  </si>
  <si>
    <t>List of Types of Wheel Rim</t>
  </si>
  <si>
    <t>Rental Cars</t>
  </si>
  <si>
    <t>List of tyre Conditions</t>
  </si>
  <si>
    <t>Radio Channel</t>
  </si>
  <si>
    <t>Hotel Names</t>
  </si>
  <si>
    <t>Hotel Adresses 1</t>
  </si>
  <si>
    <t>Tel</t>
  </si>
  <si>
    <t>Time Zones</t>
  </si>
  <si>
    <t>Airlines</t>
  </si>
  <si>
    <t>Abu Dhabi</t>
  </si>
  <si>
    <t>Official Test</t>
  </si>
  <si>
    <t>Yellow</t>
  </si>
  <si>
    <t>A</t>
  </si>
  <si>
    <t>G319-052</t>
  </si>
  <si>
    <t>Abu Dhabi (AUH)</t>
  </si>
  <si>
    <t>ATS</t>
  </si>
  <si>
    <t>Alamo</t>
  </si>
  <si>
    <t>New</t>
  </si>
  <si>
    <t>Car A</t>
  </si>
  <si>
    <t>W Abu Dhabi - Yas Island</t>
  </si>
  <si>
    <t>Yas Island</t>
  </si>
  <si>
    <t>Abu Dhabi, 131808</t>
  </si>
  <si>
    <t>United Arab Emirates</t>
  </si>
  <si>
    <t>Asia/Bahrain</t>
  </si>
  <si>
    <t>Adria</t>
  </si>
  <si>
    <t>Private Test</t>
  </si>
  <si>
    <t>Blue</t>
  </si>
  <si>
    <t>B</t>
  </si>
  <si>
    <t>G319-049</t>
  </si>
  <si>
    <t>OZ</t>
  </si>
  <si>
    <t>Fresh</t>
  </si>
  <si>
    <t>Car B</t>
  </si>
  <si>
    <t>B&amp;B Hotel Faenza</t>
  </si>
  <si>
    <t xml:space="preserve">Via S. Silvestro, 171, </t>
  </si>
  <si>
    <t>48018 Faenza RA,</t>
  </si>
  <si>
    <t>Italy</t>
  </si>
  <si>
    <t>Asia/Baku</t>
  </si>
  <si>
    <t>Airfrance</t>
  </si>
  <si>
    <t>Albacete</t>
  </si>
  <si>
    <t>Orange</t>
  </si>
  <si>
    <t>C</t>
  </si>
  <si>
    <t>G319-007</t>
  </si>
  <si>
    <t>Bahrain (BAH)</t>
  </si>
  <si>
    <t>Motec</t>
  </si>
  <si>
    <t>Buchbinder</t>
  </si>
  <si>
    <t>Used</t>
  </si>
  <si>
    <t>Car C</t>
  </si>
  <si>
    <t>B&amp;B Hotel Milano-Monza</t>
  </si>
  <si>
    <t xml:space="preserve">Via Lario, 19, </t>
  </si>
  <si>
    <t xml:space="preserve">20900 Monza MB, </t>
  </si>
  <si>
    <t>Asia/Dubai</t>
  </si>
  <si>
    <t>Easyjet</t>
  </si>
  <si>
    <t>Almeria</t>
  </si>
  <si>
    <t>Shakedown</t>
  </si>
  <si>
    <t>Green</t>
  </si>
  <si>
    <t>D</t>
  </si>
  <si>
    <t>Bangkok (BKK)</t>
  </si>
  <si>
    <t>Budget</t>
  </si>
  <si>
    <t>Car D</t>
  </si>
  <si>
    <t>Bastion Hotel Haarlem-Velsen</t>
  </si>
  <si>
    <t xml:space="preserve">Vlietweg 20, </t>
  </si>
  <si>
    <t>2071 KW Santpoort-Noord,</t>
  </si>
  <si>
    <t xml:space="preserve"> Netherlands</t>
  </si>
  <si>
    <t>Europe/Amsterdam</t>
  </si>
  <si>
    <t>WizzAir</t>
  </si>
  <si>
    <t>Andalucia</t>
  </si>
  <si>
    <t>Post Season Test</t>
  </si>
  <si>
    <t>White</t>
  </si>
  <si>
    <t>E</t>
  </si>
  <si>
    <t>Trailers</t>
  </si>
  <si>
    <t>Dollar</t>
  </si>
  <si>
    <t>Car E</t>
  </si>
  <si>
    <t xml:space="preserve">SWISS-BELHOTEL SEEF </t>
  </si>
  <si>
    <t>King Mohammed VI AVE, Jidhafs</t>
  </si>
  <si>
    <t>SEEF</t>
  </si>
  <si>
    <t>+973 6631 0000</t>
  </si>
  <si>
    <t>Europe/London</t>
  </si>
  <si>
    <t>Aragon</t>
  </si>
  <si>
    <t>MGP</t>
  </si>
  <si>
    <t>Red</t>
  </si>
  <si>
    <t>F</t>
  </si>
  <si>
    <t>Own car</t>
  </si>
  <si>
    <t>Berlin - Schoenefeld (SXF)</t>
  </si>
  <si>
    <t>Enterprise</t>
  </si>
  <si>
    <t xml:space="preserve">Grand Mercure Hotel and Residences Dubai Airport </t>
  </si>
  <si>
    <t>61B Street Garhoud next to metrostation GGICO</t>
  </si>
  <si>
    <t>79841 DUBAI</t>
  </si>
  <si>
    <t>UAE</t>
  </si>
  <si>
    <t>Europe/Budapest</t>
  </si>
  <si>
    <t>Finnair</t>
  </si>
  <si>
    <t>Ascari</t>
  </si>
  <si>
    <t>Gearbox Dyno</t>
  </si>
  <si>
    <t>Black</t>
  </si>
  <si>
    <t>G</t>
  </si>
  <si>
    <t>Train</t>
  </si>
  <si>
    <t>Berlin - Tegel (TXL)</t>
  </si>
  <si>
    <t>Europcar</t>
  </si>
  <si>
    <t>Erzsebet Kiralyne Szalloda</t>
  </si>
  <si>
    <t xml:space="preserve">Gödöllő, Dózsa György út 2, </t>
  </si>
  <si>
    <t xml:space="preserve"> Hungary</t>
  </si>
  <si>
    <t>Iberia</t>
  </si>
  <si>
    <t>Assen</t>
  </si>
  <si>
    <t>K&amp;C</t>
  </si>
  <si>
    <t>Color 8</t>
  </si>
  <si>
    <t>H</t>
  </si>
  <si>
    <t>Berlin - tempelhof (THF)</t>
  </si>
  <si>
    <t>Firefly</t>
  </si>
  <si>
    <t>Hotel Fohnsdorf</t>
  </si>
  <si>
    <t xml:space="preserve">Siemensstraße 9, </t>
  </si>
  <si>
    <t xml:space="preserve">8753 Fohnsdorf, </t>
  </si>
  <si>
    <t>Austria</t>
  </si>
  <si>
    <t>Ryanair</t>
  </si>
  <si>
    <t>Color 9</t>
  </si>
  <si>
    <t>Berlin (BER)</t>
  </si>
  <si>
    <t>Fox</t>
  </si>
  <si>
    <t>Hotel Massimino</t>
  </si>
  <si>
    <t xml:space="preserve">Via Anguillarese, km 4.200, </t>
  </si>
  <si>
    <t xml:space="preserve">00061 Anguillara Sabazia RM, </t>
  </si>
  <si>
    <t>Baku</t>
  </si>
  <si>
    <t>Color 10</t>
  </si>
  <si>
    <t>Birmingham (BHX)</t>
  </si>
  <si>
    <t>Goldcar</t>
  </si>
  <si>
    <t xml:space="preserve">Ibis Styles Haarlem </t>
  </si>
  <si>
    <t xml:space="preserve">A.W.F. van Idenburglaan 2, </t>
  </si>
  <si>
    <t>2024 AX Haarlem,</t>
  </si>
  <si>
    <t>ITA Airways</t>
  </si>
  <si>
    <t>Baltimore</t>
  </si>
  <si>
    <t>Color 11</t>
  </si>
  <si>
    <t>Hertz</t>
  </si>
  <si>
    <t>Inn Hotel</t>
  </si>
  <si>
    <t xml:space="preserve">Via Enrico Fermi, 4, </t>
  </si>
  <si>
    <t xml:space="preserve">50031 Barberino di Mugello FI, </t>
  </si>
  <si>
    <t>Barcelona</t>
  </si>
  <si>
    <t>Color 12</t>
  </si>
  <si>
    <t>Interrent</t>
  </si>
  <si>
    <t>Lindner Hotel Nürburgring</t>
  </si>
  <si>
    <t xml:space="preserve">Eifel-Ardennen-Straße, </t>
  </si>
  <si>
    <t>53520 Nürburg,</t>
  </si>
  <si>
    <t xml:space="preserve"> Germany</t>
  </si>
  <si>
    <t>SAS</t>
  </si>
  <si>
    <t>Brands Hatch</t>
  </si>
  <si>
    <t>Color 13</t>
  </si>
  <si>
    <t>Budapest (BUD)</t>
  </si>
  <si>
    <t>Keddy</t>
  </si>
  <si>
    <t>Park hotel Kursaal</t>
  </si>
  <si>
    <t xml:space="preserve">Park Hotel Kursaal, Via Litoranea Sud, </t>
  </si>
  <si>
    <t>Misano Adriatico,</t>
  </si>
  <si>
    <t xml:space="preserve"> Italy</t>
  </si>
  <si>
    <t>TAP Air Portugal</t>
  </si>
  <si>
    <t>Brno</t>
  </si>
  <si>
    <t>Color 14</t>
  </si>
  <si>
    <t>Charleroi (CRL)</t>
  </si>
  <si>
    <t>National</t>
  </si>
  <si>
    <t>Pension Merten / Landhaus Sonnenhof</t>
  </si>
  <si>
    <t xml:space="preserve">Neuhausstraße 2, </t>
  </si>
  <si>
    <t xml:space="preserve">53520 Nürburg, </t>
  </si>
  <si>
    <t>Germany</t>
  </si>
  <si>
    <t>Calafat</t>
  </si>
  <si>
    <t>Color 15</t>
  </si>
  <si>
    <t>Cologne (CGN)</t>
  </si>
  <si>
    <t>Sicily by Car</t>
  </si>
  <si>
    <t>ACHAT Hotel Schwarzheide Lausitz</t>
  </si>
  <si>
    <t>Ruhlander Strabe 75</t>
  </si>
  <si>
    <t>01987 Schwarzheide</t>
  </si>
  <si>
    <t>LOT</t>
  </si>
  <si>
    <t>Croix en Ternois</t>
  </si>
  <si>
    <t>Color 16</t>
  </si>
  <si>
    <t>Copenhagen (CPH)</t>
  </si>
  <si>
    <t>Sixt</t>
  </si>
  <si>
    <t>Hotel Lungomare</t>
  </si>
  <si>
    <t>Viale Milano 7</t>
  </si>
  <si>
    <t>478338 Riccione</t>
  </si>
  <si>
    <t>Vueling</t>
  </si>
  <si>
    <t>Curitiba</t>
  </si>
  <si>
    <t>Color 17</t>
  </si>
  <si>
    <t>Doha (DOH)</t>
  </si>
  <si>
    <t>Smilerent</t>
  </si>
  <si>
    <t>Vallelunga Park Hotel</t>
  </si>
  <si>
    <t>Via della Mola Maggiorana 2</t>
  </si>
  <si>
    <t>00063 Campagnano di Roma RM</t>
  </si>
  <si>
    <t>Transavia</t>
  </si>
  <si>
    <t>Dijon</t>
  </si>
  <si>
    <t>Color 18</t>
  </si>
  <si>
    <t>Dortmund (DTM)</t>
  </si>
  <si>
    <t>Thrifty</t>
  </si>
  <si>
    <t>Barcelo Montecastillo Golf</t>
  </si>
  <si>
    <t xml:space="preserve">Av. De Montecastillo, km. 6 </t>
  </si>
  <si>
    <t>11400 Jerez de la Frontera</t>
  </si>
  <si>
    <t>Spain</t>
  </si>
  <si>
    <t>Volotea</t>
  </si>
  <si>
    <t>Doningoton</t>
  </si>
  <si>
    <t>Color 19</t>
  </si>
  <si>
    <t>Dresden (DRS)</t>
  </si>
  <si>
    <t>Yelo</t>
  </si>
  <si>
    <t>Holiday Inn express Barcelona</t>
  </si>
  <si>
    <t>Cami de can Gordi 15</t>
  </si>
  <si>
    <t>08403 Granollers</t>
  </si>
  <si>
    <t xml:space="preserve">Spain </t>
  </si>
  <si>
    <t>Norwegian Airlines</t>
  </si>
  <si>
    <t>Dubai</t>
  </si>
  <si>
    <t>Color 20</t>
  </si>
  <si>
    <t>Dubai (DXB)</t>
  </si>
  <si>
    <t xml:space="preserve">Premier Inn Milton Keynes Theater District </t>
  </si>
  <si>
    <t xml:space="preserve">801 Avebury Blvd </t>
  </si>
  <si>
    <t xml:space="preserve">Milton Keynes MK9 3JT </t>
  </si>
  <si>
    <t xml:space="preserve">UK </t>
  </si>
  <si>
    <t>Brussels Airlines</t>
  </si>
  <si>
    <t>Estoril</t>
  </si>
  <si>
    <t>Color 21</t>
  </si>
  <si>
    <t>Dusseldorf (DUS)</t>
  </si>
  <si>
    <t xml:space="preserve">Hotel Jufa Bruck </t>
  </si>
  <si>
    <t xml:space="preserve">Stadtwaldatrasse 1 </t>
  </si>
  <si>
    <t>Bruck an der Mur 8600</t>
  </si>
  <si>
    <t>Twinjet</t>
  </si>
  <si>
    <t>Fuji</t>
  </si>
  <si>
    <t>Color 22</t>
  </si>
  <si>
    <t>Eindhoven (EIN)</t>
  </si>
  <si>
    <t>Aquaworld Resort Budapest</t>
  </si>
  <si>
    <t>Ives Ut 16</t>
  </si>
  <si>
    <t>Budapest 1044</t>
  </si>
  <si>
    <t xml:space="preserve">Hungary </t>
  </si>
  <si>
    <t>Emirates</t>
  </si>
  <si>
    <t>Guadix</t>
  </si>
  <si>
    <t>Faro (FAO)</t>
  </si>
  <si>
    <t xml:space="preserve">Van der Valk Congres </t>
  </si>
  <si>
    <t xml:space="preserve">Esplanade de l'europe 2 </t>
  </si>
  <si>
    <t xml:space="preserve">4020 Liege </t>
  </si>
  <si>
    <t xml:space="preserve">Belgique </t>
  </si>
  <si>
    <t>Qatar Airways</t>
  </si>
  <si>
    <t>Guangdong</t>
  </si>
  <si>
    <t>Florence (FLR)</t>
  </si>
  <si>
    <t>Ramada by Wyndham Manama City Centre</t>
  </si>
  <si>
    <t>3236, Road 4654, block 346</t>
  </si>
  <si>
    <t>Manama 1010</t>
  </si>
  <si>
    <t>+973 1710 4000</t>
  </si>
  <si>
    <t>Etihad Airways</t>
  </si>
  <si>
    <t>Hockenheim</t>
  </si>
  <si>
    <t>Frankfurt - Hahn (HHN)</t>
  </si>
  <si>
    <t>QUEST MARIBYRNONG</t>
  </si>
  <si>
    <t>2 West Road</t>
  </si>
  <si>
    <t>Maribyrnong 3032</t>
  </si>
  <si>
    <t>Australia</t>
  </si>
  <si>
    <t>0061 390 702222</t>
  </si>
  <si>
    <t>Malaysian Airlines</t>
  </si>
  <si>
    <t>Hungaroring</t>
  </si>
  <si>
    <t>Frankfurt (FRA)</t>
  </si>
  <si>
    <t>B&amp;B Hotel Jerez</t>
  </si>
  <si>
    <t>Avenida Chema Rodriguez s/n</t>
  </si>
  <si>
    <t>11405 Jerez de la Frontera</t>
  </si>
  <si>
    <t>0034 956327222</t>
  </si>
  <si>
    <t>Jetstar</t>
  </si>
  <si>
    <t>Idiada</t>
  </si>
  <si>
    <t>Graz (GRZ)</t>
  </si>
  <si>
    <t>Euro Hotel Imola</t>
  </si>
  <si>
    <t>Via Ugo La Malfa,7</t>
  </si>
  <si>
    <t>40026 Imola (BO)</t>
  </si>
  <si>
    <t>0039 542643950</t>
  </si>
  <si>
    <t>China Eastern</t>
  </si>
  <si>
    <t>Imola</t>
  </si>
  <si>
    <t>Hyderabad (HYD)</t>
  </si>
  <si>
    <t>Premier Inn Milton Keynes Central (Theatre district)</t>
  </si>
  <si>
    <t>801 Avebury Boulevard</t>
  </si>
  <si>
    <t>Milton Keynes</t>
  </si>
  <si>
    <t>China Southern</t>
  </si>
  <si>
    <t>Indianapolis</t>
  </si>
  <si>
    <t>Istanbul (IST)</t>
  </si>
  <si>
    <t>Le Loup Gris</t>
  </si>
  <si>
    <t>58 Hinter der Heck</t>
  </si>
  <si>
    <t xml:space="preserve">4750 Butgenbach </t>
  </si>
  <si>
    <t>Belgium</t>
  </si>
  <si>
    <t xml:space="preserve">Interlagos </t>
  </si>
  <si>
    <t>Jeddah (JED)</t>
  </si>
  <si>
    <t>ô ChÔmière</t>
  </si>
  <si>
    <t>17 Place du Vinâve</t>
  </si>
  <si>
    <t>4970 Stavelot</t>
  </si>
  <si>
    <t>American Airlines</t>
  </si>
  <si>
    <t>Ismaning</t>
  </si>
  <si>
    <t>Jerez (XRY)</t>
  </si>
  <si>
    <t>Grand Hotel Duca di Mantova</t>
  </si>
  <si>
    <t>Piazza Franceso Caltagirone 40/48</t>
  </si>
  <si>
    <t>20099 Sesto San Giovanni</t>
  </si>
  <si>
    <t>Istanbul</t>
  </si>
  <si>
    <t>Element Melbourne Richmond</t>
  </si>
  <si>
    <t xml:space="preserve">588 Swan St, Richmond </t>
  </si>
  <si>
    <t>VIC 3121</t>
  </si>
  <si>
    <t>0061 3 9112 8888</t>
  </si>
  <si>
    <t>Aer Lingus</t>
  </si>
  <si>
    <t>Jarama</t>
  </si>
  <si>
    <t>Kraków-Balice (KRK)</t>
  </si>
  <si>
    <t>PAM Nice Hotel</t>
  </si>
  <si>
    <t>1415 Rue St-Hubert, Montréal, QC H2L 3Y9, Canada</t>
  </si>
  <si>
    <t>Jeddah</t>
  </si>
  <si>
    <t>Lisbon (LIS)</t>
  </si>
  <si>
    <t>Landhotel Reitingblick</t>
  </si>
  <si>
    <t>Jerez</t>
  </si>
  <si>
    <t>London - City (LCY)</t>
  </si>
  <si>
    <t>Domina Milano</t>
  </si>
  <si>
    <t>Kyalami</t>
  </si>
  <si>
    <t>London - Gatwick (LGW)</t>
  </si>
  <si>
    <t>Auszeit St. Lambrecht</t>
  </si>
  <si>
    <t>Laguna Seca</t>
  </si>
  <si>
    <t>Holiday Inn Rugby</t>
  </si>
  <si>
    <t>Lausitzring DTM</t>
  </si>
  <si>
    <t>London - Luton (LTN)</t>
  </si>
  <si>
    <t>Ibis Melbourne - Hotel &amp; Apartments</t>
  </si>
  <si>
    <t>Lausitzring GP</t>
  </si>
  <si>
    <t>London - Stansted (STN)</t>
  </si>
  <si>
    <t>Le Mans</t>
  </si>
  <si>
    <t>Lime Rock</t>
  </si>
  <si>
    <t>Malaga (AGP)</t>
  </si>
  <si>
    <t>Long Beach</t>
  </si>
  <si>
    <t>Marseille (MRS)</t>
  </si>
  <si>
    <t>Lurcy Levis</t>
  </si>
  <si>
    <t>Macau</t>
  </si>
  <si>
    <t>Milan - Linate (LIN)</t>
  </si>
  <si>
    <t>Magny Cours</t>
  </si>
  <si>
    <t>Milan - Malpensa (MXP)</t>
  </si>
  <si>
    <t>Marrakesh</t>
  </si>
  <si>
    <t>Munich (MUC)</t>
  </si>
  <si>
    <t>Nice (NCE)</t>
  </si>
  <si>
    <t>Menorca</t>
  </si>
  <si>
    <t>Paris - Orly (ORY)</t>
  </si>
  <si>
    <t>Mexico City</t>
  </si>
  <si>
    <t>Paris (CDG)</t>
  </si>
  <si>
    <t>Mid Ohio</t>
  </si>
  <si>
    <t>Miller Park</t>
  </si>
  <si>
    <t>Rome - Ciampino (CIA)</t>
  </si>
  <si>
    <t>Mira</t>
  </si>
  <si>
    <t>Rome - Fiumicino (FCO)</t>
  </si>
  <si>
    <t>Miramas</t>
  </si>
  <si>
    <t>Rotterdam (RTM)</t>
  </si>
  <si>
    <t>Misano</t>
  </si>
  <si>
    <t>Salzburg (SZG)</t>
  </si>
  <si>
    <t>Monaco</t>
  </si>
  <si>
    <t>São Paulo Guarulhos (GRU)</t>
  </si>
  <si>
    <t>Monteblanco</t>
  </si>
  <si>
    <t>Sevilla (SVQ)</t>
  </si>
  <si>
    <t>Toulouse (TLS)</t>
  </si>
  <si>
    <t>Monza</t>
  </si>
  <si>
    <t>Valencia (VLC)</t>
  </si>
  <si>
    <t>Moscow Raceway</t>
  </si>
  <si>
    <t>Mosport</t>
  </si>
  <si>
    <t>Warsaw (WAW)</t>
  </si>
  <si>
    <t>Most</t>
  </si>
  <si>
    <t>Stuttgart (STR)</t>
  </si>
  <si>
    <t>Motorland</t>
  </si>
  <si>
    <t>Dublin (DUB)</t>
  </si>
  <si>
    <t>Mugello</t>
  </si>
  <si>
    <t>Kristiansand (KRS)</t>
  </si>
  <si>
    <t>Navarra</t>
  </si>
  <si>
    <t>Stockholm (ARL)</t>
  </si>
  <si>
    <t>Nogaro</t>
  </si>
  <si>
    <t>Brisbane (BNE)</t>
  </si>
  <si>
    <t>Nordschleife</t>
  </si>
  <si>
    <t>Norisring</t>
  </si>
  <si>
    <t>Lyon (LYS)</t>
  </si>
  <si>
    <t>Nurburgring GP</t>
  </si>
  <si>
    <t>Nurburgring Short</t>
  </si>
  <si>
    <t>Clermont-Ferrand (CFE)</t>
  </si>
  <si>
    <t>Nurburgring 24h</t>
  </si>
  <si>
    <t>Santiago (SCQ)</t>
  </si>
  <si>
    <t>Okayama</t>
  </si>
  <si>
    <t>Gotenborg (GOT)</t>
  </si>
  <si>
    <t>Oschersleben (Slow)</t>
  </si>
  <si>
    <t>Perth (PER)</t>
  </si>
  <si>
    <t>Oschersleben (Fast)</t>
  </si>
  <si>
    <t>Colombo (CMB)</t>
  </si>
  <si>
    <t>Pau</t>
  </si>
  <si>
    <t>Whitsunday Coast (PPP)</t>
  </si>
  <si>
    <t>Paul Ricard</t>
  </si>
  <si>
    <t>Miami International (MIA)</t>
  </si>
  <si>
    <t xml:space="preserve">Portimao </t>
  </si>
  <si>
    <t>Bristol (BRS)</t>
  </si>
  <si>
    <t>Portimao (Chicane)</t>
  </si>
  <si>
    <t>Portland</t>
  </si>
  <si>
    <t>Puebla</t>
  </si>
  <si>
    <t>Red Bull Ring</t>
  </si>
  <si>
    <t>Road America</t>
  </si>
  <si>
    <t>Sachsenring</t>
  </si>
  <si>
    <t>Salzburgring</t>
  </si>
  <si>
    <t>Sebring</t>
  </si>
  <si>
    <t>Sentul</t>
  </si>
  <si>
    <t>Sepang</t>
  </si>
  <si>
    <t>Shanghai</t>
  </si>
  <si>
    <t>Shanghai Street</t>
  </si>
  <si>
    <t>Silverstone</t>
  </si>
  <si>
    <t>Singapore</t>
  </si>
  <si>
    <t>Smolensk</t>
  </si>
  <si>
    <t>Snetterton</t>
  </si>
  <si>
    <t>Sochi</t>
  </si>
  <si>
    <t>Spa</t>
  </si>
  <si>
    <t>Suzuka</t>
  </si>
  <si>
    <t>Vairano</t>
  </si>
  <si>
    <t>Val de Vienne</t>
  </si>
  <si>
    <t>Val de Vienne Moto</t>
  </si>
  <si>
    <t>Valencia</t>
  </si>
  <si>
    <t>Valencia Street</t>
  </si>
  <si>
    <t>Vallelunga</t>
  </si>
  <si>
    <t>Zandvoort</t>
  </si>
  <si>
    <t>Zhuhai</t>
  </si>
  <si>
    <t>Zolder</t>
  </si>
  <si>
    <t>Miami</t>
  </si>
  <si>
    <t>Version Number</t>
  </si>
  <si>
    <t>Changes Made</t>
  </si>
  <si>
    <t>Changes Made by</t>
  </si>
  <si>
    <t>Date of Change</t>
  </si>
  <si>
    <t>V1</t>
  </si>
  <si>
    <t>Document Created</t>
  </si>
  <si>
    <t>V2</t>
  </si>
  <si>
    <t>Internal schedule updates: dates and countdown</t>
  </si>
  <si>
    <t>V3</t>
  </si>
  <si>
    <t>Bug fixes, Event Info tab update with Timezone cell, VBA for OT export file</t>
  </si>
  <si>
    <t>Diego Fernandez</t>
  </si>
  <si>
    <t>V4-9</t>
  </si>
  <si>
    <t>Improved OT export and Implemented other features such as Calendar export</t>
  </si>
  <si>
    <t>Leo van der Eijk</t>
  </si>
  <si>
    <t>V10</t>
  </si>
  <si>
    <t>Master schedule dividing into Driver and Team schedule. Dropdowns in alphabetical order</t>
  </si>
  <si>
    <t>V11</t>
  </si>
  <si>
    <t>Added conditional formatting on the schedules + column location + test schedule</t>
  </si>
  <si>
    <t>V12</t>
  </si>
  <si>
    <t>Updated for 2024 F3 exports</t>
  </si>
  <si>
    <t>Start Date</t>
  </si>
  <si>
    <t>End Date</t>
  </si>
  <si>
    <t>Title</t>
  </si>
  <si>
    <t>Location</t>
  </si>
  <si>
    <t>OneTiming Export</t>
  </si>
  <si>
    <t>OneTiming Export without empty rows</t>
  </si>
  <si>
    <t>Destination</t>
  </si>
  <si>
    <t>C:\Users\Leo\Desktop\</t>
  </si>
  <si>
    <t>- If no end date it takes the next start date</t>
  </si>
  <si>
    <t>- If no end date and no next start date it takes the following duration:</t>
  </si>
  <si>
    <t>VBA coded time zone</t>
  </si>
  <si>
    <t>https://unicode-org.github.io/cldr-staging/charts/37/supplemental/zone_tzid.html</t>
  </si>
  <si>
    <t>Zone</t>
  </si>
  <si>
    <t>COPY HERE</t>
  </si>
  <si>
    <t>Empty row detect</t>
  </si>
  <si>
    <t>Copy Corner</t>
  </si>
  <si>
    <t>- If no previous end date or 2nd/3rd task overlap the following duration:</t>
  </si>
  <si>
    <t>- In case more then 3 events pending this will be highlighted in red. Meaning Start time is before end time 3 jobs earlier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</si>
</sst>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&quot;€&quot;\ * #,##0.00_ ;_ &quot;€&quot;\ * \-#,##0.00_ ;_ &quot;€&quot;\ * &quot;-&quot;??_ ;_ @_ "/>
    <numFmt numFmtId="165" formatCode="0.0"/>
    <numFmt numFmtId="166" formatCode="\+#"/>
    <numFmt numFmtId="167" formatCode="yyyy\-mm\-dd"/>
    <numFmt numFmtId="168" formatCode="[$-F800]dddd\,\ mmmm\ dd\,\ yyyy"/>
    <numFmt numFmtId="169" formatCode="_ [$€-2]\ * #,##0.00_ ;_ [$€-2]\ * \-#,##0.00_ ;_ [$€-2]\ * &quot;-&quot;??_ ;_ @_ "/>
    <numFmt numFmtId="170" formatCode="&quot;€&quot;\ #,##0.00"/>
    <numFmt numFmtId="171" formatCode="_(&quot;€&quot;* #,##0.00_);_(&quot;€&quot;* \(#,##0.00\);_(&quot;€&quot;* &quot;-&quot;??_);_(@_)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Montserrat"/>
      <family val="3"/>
    </font>
    <font>
      <b/>
      <sz val="11"/>
      <color theme="1"/>
      <name val="Montserrat"/>
      <family val="3"/>
    </font>
    <font>
      <b/>
      <sz val="11"/>
      <color theme="0"/>
      <name val="Montserrat"/>
      <family val="3"/>
    </font>
    <font>
      <b/>
      <sz val="9"/>
      <color rgb="FF080808"/>
      <name val="Montserrat"/>
      <family val="3"/>
    </font>
    <font>
      <b/>
      <sz val="11"/>
      <color rgb="FF080808"/>
      <name val="Montserrat"/>
      <family val="3"/>
    </font>
    <font>
      <sz val="11"/>
      <color rgb="FF080808"/>
      <name val="Montserrat"/>
      <family val="3"/>
    </font>
    <font>
      <b/>
      <sz val="10"/>
      <color rgb="FF080808"/>
      <name val="Montserrat"/>
      <family val="3"/>
    </font>
    <font>
      <b/>
      <sz val="11"/>
      <name val="Montserrat"/>
      <family val="3"/>
    </font>
    <font>
      <b/>
      <sz val="10"/>
      <color theme="1"/>
      <name val="Montserrat"/>
      <family val="3"/>
    </font>
    <font>
      <sz val="10"/>
      <color theme="1"/>
      <name val="Montserrat"/>
      <family val="3"/>
    </font>
    <font>
      <b/>
      <sz val="10"/>
      <color theme="0"/>
      <name val="Montserrat"/>
      <family val="3"/>
    </font>
    <font>
      <sz val="9"/>
      <color rgb="FF080808"/>
      <name val="Montserrat"/>
      <family val="3"/>
    </font>
    <font>
      <b/>
      <sz val="9"/>
      <color theme="0"/>
      <name val="Montserrat"/>
      <family val="3"/>
    </font>
    <font>
      <b/>
      <sz val="9"/>
      <name val="Montserrat"/>
      <family val="3"/>
    </font>
    <font>
      <b/>
      <sz val="10"/>
      <name val="Montserrat"/>
      <family val="3"/>
    </font>
    <font>
      <sz val="9"/>
      <color theme="1"/>
      <name val="Montserrat"/>
      <family val="3"/>
    </font>
    <font>
      <sz val="10"/>
      <color rgb="FF080808"/>
      <name val="Montserrat"/>
      <family val="3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FF0000"/>
      <name val="Montserrat"/>
      <family val="3"/>
    </font>
    <font>
      <sz val="10"/>
      <name val="Montserrat"/>
      <family val="3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Montserrat"/>
      <family val="3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6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Montserrat"/>
      <family val="3"/>
    </font>
    <font>
      <sz val="9"/>
      <name val="Montserrat"/>
      <family val="3"/>
    </font>
    <font>
      <b/>
      <sz val="9"/>
      <color theme="1"/>
      <name val="Montserrat"/>
      <family val="3"/>
    </font>
    <font>
      <sz val="9"/>
      <color rgb="FFFF0000"/>
      <name val="Montserrat"/>
      <family val="3"/>
    </font>
    <font>
      <b/>
      <i/>
      <sz val="10"/>
      <name val="Montserrat"/>
      <family val="3"/>
    </font>
    <font>
      <b/>
      <sz val="16"/>
      <color theme="1"/>
      <name val="Montserrat"/>
      <family val="3"/>
    </font>
    <font>
      <b/>
      <sz val="9"/>
      <color rgb="FFFF0000"/>
      <name val="Montserrat"/>
      <family val="3"/>
    </font>
    <font>
      <sz val="12"/>
      <color theme="1"/>
      <name val="Aptos"/>
      <family val="2"/>
    </font>
    <font>
      <sz val="12"/>
      <color theme="1"/>
      <name val="Calibri"/>
      <family val="2"/>
      <scheme val="minor"/>
    </font>
    <font>
      <sz val="11"/>
      <name val="Montserrat"/>
      <family val="3"/>
    </font>
    <font>
      <b/>
      <u/>
      <sz val="11"/>
      <color theme="1"/>
      <name val="Montserrat"/>
      <family val="3"/>
    </font>
    <font>
      <b/>
      <sz val="10"/>
      <name val="Montserrat"/>
    </font>
    <font>
      <b/>
      <sz val="10"/>
      <color rgb="FF080808"/>
      <name val="Montserrat"/>
    </font>
    <font>
      <b/>
      <sz val="10"/>
      <color theme="1"/>
      <name val="Montserrat"/>
    </font>
    <font>
      <b/>
      <sz val="7"/>
      <color rgb="FF080808"/>
      <name val="Montserrat"/>
    </font>
    <font>
      <sz val="10"/>
      <color theme="1"/>
      <name val="Montserrat"/>
    </font>
    <font>
      <b/>
      <sz val="10"/>
      <color rgb="FFFF0000"/>
      <name val="Montserrat"/>
    </font>
    <font>
      <sz val="10"/>
      <color rgb="FFFF0000"/>
      <name val="Montserrat"/>
    </font>
    <font>
      <b/>
      <sz val="8"/>
      <color theme="1"/>
      <name val="Montserrat"/>
      <family val="3"/>
    </font>
    <font>
      <b/>
      <sz val="11"/>
      <color theme="1"/>
      <name val="Montserrat"/>
    </font>
    <font>
      <sz val="10"/>
      <color rgb="FF080808"/>
      <name val="Montserrat"/>
    </font>
    <font>
      <sz val="10"/>
      <name val="Montserrat"/>
    </font>
    <font>
      <sz val="9"/>
      <color rgb="FF080808"/>
      <name val="Montserrat"/>
    </font>
    <font>
      <sz val="7"/>
      <color theme="1"/>
      <name val="Montserrat"/>
      <family val="3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E59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BE4FF"/>
        <bgColor indexed="64"/>
      </patternFill>
    </fill>
  </fills>
  <borders count="2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FE5900"/>
      </left>
      <right style="thin">
        <color rgb="FFFE5900"/>
      </right>
      <top style="thin">
        <color rgb="FFFE5900"/>
      </top>
      <bottom style="thin">
        <color theme="0"/>
      </bottom>
      <diagonal/>
    </border>
    <border>
      <left style="thin">
        <color rgb="FFFE5900"/>
      </left>
      <right style="thin">
        <color rgb="FFFE5900"/>
      </right>
      <top style="thin">
        <color rgb="FFFE5900"/>
      </top>
      <bottom style="thin">
        <color rgb="FFFE5900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A3A3A3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A3A3A3"/>
      </bottom>
      <diagonal/>
    </border>
    <border>
      <left style="thin">
        <color rgb="FFA3A3A3"/>
      </left>
      <right/>
      <top style="thin">
        <color indexed="64"/>
      </top>
      <bottom style="thin">
        <color rgb="FFA3A3A3"/>
      </bottom>
      <diagonal/>
    </border>
    <border>
      <left/>
      <right/>
      <top style="thin">
        <color rgb="FFA3A3A3"/>
      </top>
      <bottom style="thin">
        <color rgb="FFA3A3A3"/>
      </bottom>
      <diagonal/>
    </border>
    <border>
      <left/>
      <right style="thin">
        <color rgb="FFA3A3A3"/>
      </right>
      <top style="thin">
        <color rgb="FFA3A3A3"/>
      </top>
      <bottom style="thin">
        <color rgb="FFA3A3A3"/>
      </bottom>
      <diagonal/>
    </border>
    <border>
      <left style="thin">
        <color rgb="FFA3A3A3"/>
      </left>
      <right/>
      <top style="thin">
        <color rgb="FFA3A3A3"/>
      </top>
      <bottom style="thin">
        <color rgb="FFA3A3A3"/>
      </bottom>
      <diagonal/>
    </border>
    <border>
      <left style="thin">
        <color rgb="FFA3A3A3"/>
      </left>
      <right/>
      <top style="thin">
        <color rgb="FFA3A3A3"/>
      </top>
      <bottom style="thin">
        <color indexed="64"/>
      </bottom>
      <diagonal/>
    </border>
    <border>
      <left/>
      <right/>
      <top/>
      <bottom style="thin">
        <color rgb="FFA3A3A3"/>
      </bottom>
      <diagonal/>
    </border>
    <border>
      <left/>
      <right style="thin">
        <color rgb="FFA3A3A3"/>
      </right>
      <top style="thin">
        <color rgb="FFA3A3A3"/>
      </top>
      <bottom style="thin">
        <color indexed="64"/>
      </bottom>
      <diagonal/>
    </border>
    <border>
      <left/>
      <right/>
      <top style="thin">
        <color rgb="FFFE5900"/>
      </top>
      <bottom style="thin">
        <color rgb="FFFE5900"/>
      </bottom>
      <diagonal/>
    </border>
    <border>
      <left/>
      <right style="thin">
        <color rgb="FFFE5900"/>
      </right>
      <top style="thin">
        <color rgb="FFFE5900"/>
      </top>
      <bottom style="thin">
        <color rgb="FFFE5900"/>
      </bottom>
      <diagonal/>
    </border>
    <border>
      <left style="thin">
        <color rgb="FFFE5900"/>
      </left>
      <right/>
      <top style="thin">
        <color rgb="FFFE5900"/>
      </top>
      <bottom style="thin">
        <color rgb="FFFE59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A3A3A3"/>
      </bottom>
      <diagonal/>
    </border>
    <border>
      <left/>
      <right style="thin">
        <color indexed="64"/>
      </right>
      <top style="thin">
        <color indexed="64"/>
      </top>
      <bottom style="thin">
        <color rgb="FFA3A3A3"/>
      </bottom>
      <diagonal/>
    </border>
    <border>
      <left style="thin">
        <color indexed="64"/>
      </left>
      <right/>
      <top style="thin">
        <color rgb="FFA3A3A3"/>
      </top>
      <bottom style="thin">
        <color rgb="FFA3A3A3"/>
      </bottom>
      <diagonal/>
    </border>
    <border>
      <left/>
      <right style="thin">
        <color indexed="64"/>
      </right>
      <top style="thin">
        <color rgb="FFA3A3A3"/>
      </top>
      <bottom style="thin">
        <color rgb="FFA3A3A3"/>
      </bottom>
      <diagonal/>
    </border>
    <border>
      <left/>
      <right style="thin">
        <color indexed="64"/>
      </right>
      <top/>
      <bottom style="thin">
        <color rgb="FFA3A3A3"/>
      </bottom>
      <diagonal/>
    </border>
    <border>
      <left style="thin">
        <color indexed="64"/>
      </left>
      <right/>
      <top style="thin">
        <color rgb="FFA3A3A3"/>
      </top>
      <bottom style="thin">
        <color indexed="64"/>
      </bottom>
      <diagonal/>
    </border>
    <border>
      <left/>
      <right style="thin">
        <color indexed="64"/>
      </right>
      <top style="thin">
        <color rgb="FFA3A3A3"/>
      </top>
      <bottom style="thin">
        <color indexed="64"/>
      </bottom>
      <diagonal/>
    </border>
    <border>
      <left style="thin">
        <color rgb="FFA3A3A3"/>
      </left>
      <right style="thin">
        <color rgb="FFA3A3A3"/>
      </right>
      <top style="thin">
        <color rgb="FFA3A3A3"/>
      </top>
      <bottom style="thin">
        <color rgb="FFA3A3A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rgb="FFA3A3A3"/>
      </left>
      <right style="thin">
        <color rgb="FFA3A3A3"/>
      </right>
      <top style="thin">
        <color rgb="FFA3A3A3"/>
      </top>
      <bottom style="thin">
        <color indexed="64"/>
      </bottom>
      <diagonal/>
    </border>
    <border>
      <left style="thin">
        <color theme="0"/>
      </left>
      <right/>
      <top/>
      <bottom style="thin">
        <color rgb="FFA3A3A3"/>
      </bottom>
      <diagonal/>
    </border>
    <border>
      <left style="thin">
        <color indexed="64"/>
      </left>
      <right style="thin">
        <color rgb="FFA3A3A3"/>
      </right>
      <top style="thin">
        <color rgb="FFA3A3A3"/>
      </top>
      <bottom style="thin">
        <color rgb="FFA3A3A3"/>
      </bottom>
      <diagonal/>
    </border>
    <border>
      <left style="thin">
        <color rgb="FFA3A3A3"/>
      </left>
      <right style="thin">
        <color indexed="64"/>
      </right>
      <top style="thin">
        <color rgb="FFA3A3A3"/>
      </top>
      <bottom style="thin">
        <color rgb="FFA3A3A3"/>
      </bottom>
      <diagonal/>
    </border>
    <border>
      <left style="thin">
        <color indexed="64"/>
      </left>
      <right style="thin">
        <color rgb="FFA3A3A3"/>
      </right>
      <top style="thin">
        <color rgb="FFA3A3A3"/>
      </top>
      <bottom style="thin">
        <color indexed="64"/>
      </bottom>
      <diagonal/>
    </border>
    <border>
      <left style="thin">
        <color rgb="FFA3A3A3"/>
      </left>
      <right style="thin">
        <color indexed="64"/>
      </right>
      <top style="thin">
        <color rgb="FFA3A3A3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A3A3A3"/>
      </bottom>
      <diagonal/>
    </border>
    <border>
      <left/>
      <right style="thin">
        <color theme="0"/>
      </right>
      <top/>
      <bottom style="thin">
        <color rgb="FFA3A3A3"/>
      </bottom>
      <diagonal/>
    </border>
    <border>
      <left/>
      <right style="thin">
        <color indexed="64"/>
      </right>
      <top/>
      <bottom/>
      <diagonal/>
    </border>
    <border>
      <left style="thin">
        <color rgb="FFFE5900"/>
      </left>
      <right/>
      <top style="thin">
        <color rgb="FFFE5900"/>
      </top>
      <bottom style="thin">
        <color theme="0"/>
      </bottom>
      <diagonal/>
    </border>
    <border>
      <left/>
      <right/>
      <top style="thin">
        <color rgb="FFFE5900"/>
      </top>
      <bottom style="thin">
        <color theme="0"/>
      </bottom>
      <diagonal/>
    </border>
    <border>
      <left/>
      <right style="thin">
        <color rgb="FFFE5900"/>
      </right>
      <top style="thin">
        <color rgb="FFFE5900"/>
      </top>
      <bottom style="thin">
        <color theme="0"/>
      </bottom>
      <diagonal/>
    </border>
    <border>
      <left/>
      <right style="thin">
        <color rgb="FFFE5900"/>
      </right>
      <top style="thin">
        <color theme="0"/>
      </top>
      <bottom style="thin">
        <color theme="0"/>
      </bottom>
      <diagonal/>
    </border>
    <border>
      <left style="thin">
        <color rgb="FFFE590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E590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rgb="FFFE5900"/>
      </bottom>
      <diagonal/>
    </border>
    <border>
      <left/>
      <right style="thin">
        <color rgb="FFFE5900"/>
      </right>
      <top style="thin">
        <color theme="0"/>
      </top>
      <bottom style="thin">
        <color rgb="FFFE5900"/>
      </bottom>
      <diagonal/>
    </border>
    <border>
      <left style="thin">
        <color rgb="FFFE5900"/>
      </left>
      <right/>
      <top/>
      <bottom style="thin">
        <color rgb="FFFE5900"/>
      </bottom>
      <diagonal/>
    </border>
    <border>
      <left/>
      <right/>
      <top/>
      <bottom style="thin">
        <color rgb="FFFE5900"/>
      </bottom>
      <diagonal/>
    </border>
    <border>
      <left/>
      <right style="thin">
        <color rgb="FFFE5900"/>
      </right>
      <top/>
      <bottom style="thin">
        <color rgb="FFFE59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A3A3A3"/>
      </top>
      <bottom style="thin">
        <color rgb="FFA3A3A3"/>
      </bottom>
      <diagonal/>
    </border>
    <border>
      <left/>
      <right style="thin">
        <color rgb="FF7F7F7F"/>
      </right>
      <top style="thin">
        <color rgb="FFA3A3A3"/>
      </top>
      <bottom style="thin">
        <color rgb="FFA3A3A3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rgb="FFFE590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/>
      <bottom style="thin">
        <color rgb="FFFE590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rgb="FFFE5900"/>
      </left>
      <right/>
      <top/>
      <bottom/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A3A3A3"/>
      </right>
      <top style="thin">
        <color indexed="64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FE5900"/>
      </bottom>
      <diagonal/>
    </border>
    <border>
      <left style="thin">
        <color rgb="FFFE5900"/>
      </left>
      <right/>
      <top style="thin">
        <color theme="0"/>
      </top>
      <bottom style="thin">
        <color rgb="FFFE5900"/>
      </bottom>
      <diagonal/>
    </border>
    <border>
      <left style="thin">
        <color rgb="FFFE5900"/>
      </left>
      <right/>
      <top style="thin">
        <color theme="0"/>
      </top>
      <bottom style="thin">
        <color theme="0"/>
      </bottom>
      <diagonal/>
    </border>
    <border>
      <left style="thin">
        <color rgb="FFFE5900"/>
      </left>
      <right style="thin">
        <color rgb="FFFE5900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n">
        <color theme="0" tint="-0.249977111117893"/>
      </left>
      <right style="thick">
        <color rgb="FFFF0000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 style="thin">
        <color theme="0" tint="-0.24994659260841701"/>
      </left>
      <right style="thin">
        <color rgb="FFA3A3A3"/>
      </right>
      <top style="thin">
        <color indexed="64"/>
      </top>
      <bottom style="thin">
        <color rgb="FFA3A3A3"/>
      </bottom>
      <diagonal/>
    </border>
    <border>
      <left style="thin">
        <color theme="0" tint="-0.24994659260841701"/>
      </left>
      <right style="thin">
        <color rgb="FFA3A3A3"/>
      </right>
      <top style="thin">
        <color rgb="FFA3A3A3"/>
      </top>
      <bottom style="thin">
        <color rgb="FFA3A3A3"/>
      </bottom>
      <diagonal/>
    </border>
    <border>
      <left/>
      <right style="thin">
        <color theme="0" tint="-0.24994659260841701"/>
      </right>
      <top style="thin">
        <color rgb="FFA3A3A3"/>
      </top>
      <bottom style="thin">
        <color rgb="FFA3A3A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 style="thin">
        <color rgb="FFA3A3A3"/>
      </right>
      <top style="thin">
        <color indexed="64"/>
      </top>
      <bottom/>
      <diagonal/>
    </border>
    <border>
      <left style="thin">
        <color rgb="FFA3A3A3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rgb="FFA3A3A3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/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thin">
        <color theme="0" tint="-0.34998626667073579"/>
      </left>
      <right style="thin">
        <color rgb="FFA3A3A3"/>
      </right>
      <top style="thin">
        <color rgb="FFA3A3A3"/>
      </top>
      <bottom style="thin">
        <color rgb="FFA3A3A3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FE5900"/>
      </right>
      <top/>
      <bottom/>
      <diagonal/>
    </border>
    <border>
      <left/>
      <right/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A3A3A3"/>
      </left>
      <right/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rgb="FFA3A3A3"/>
      </top>
      <bottom style="thin">
        <color theme="0" tint="-0.249977111117893"/>
      </bottom>
      <diagonal/>
    </border>
    <border>
      <left/>
      <right/>
      <top style="thin">
        <color rgb="FFA3A3A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rgb="FFA3A3A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rgb="FFA3A3A3"/>
      </top>
      <bottom style="thin">
        <color rgb="FFA3A3A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rgb="FFA3A3A3"/>
      </bottom>
      <diagonal/>
    </border>
    <border>
      <left/>
      <right/>
      <top style="thin">
        <color theme="0" tint="-0.249977111117893"/>
      </top>
      <bottom style="thin">
        <color rgb="FFA3A3A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rgb="FFA3A3A3"/>
      </bottom>
      <diagonal/>
    </border>
    <border>
      <left style="thin">
        <color indexed="64"/>
      </left>
      <right/>
      <top style="thin">
        <color theme="0" tint="-0.249977111117893"/>
      </top>
      <bottom/>
      <diagonal/>
    </border>
    <border>
      <left style="thin">
        <color indexed="64"/>
      </left>
      <right/>
      <top/>
      <bottom style="thin">
        <color theme="0" tint="-0.249977111117893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FE5900"/>
      </left>
      <right/>
      <top style="thin">
        <color rgb="FFFE5900"/>
      </top>
      <bottom/>
      <diagonal/>
    </border>
    <border>
      <left/>
      <right/>
      <top style="thin">
        <color rgb="FFFE5900"/>
      </top>
      <bottom/>
      <diagonal/>
    </border>
    <border>
      <left/>
      <right style="thin">
        <color rgb="FFFE5900"/>
      </right>
      <top style="thin">
        <color rgb="FFFE5900"/>
      </top>
      <bottom/>
      <diagonal/>
    </border>
    <border>
      <left style="thin">
        <color theme="0" tint="-0.24994659260841701"/>
      </left>
      <right/>
      <top style="thin">
        <color rgb="FFA3A3A3"/>
      </top>
      <bottom style="thin">
        <color rgb="FFA3A3A3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rgb="FFA3A3A3"/>
      </top>
      <bottom/>
      <diagonal/>
    </border>
    <border>
      <left style="thin">
        <color rgb="FFA3A3A3"/>
      </left>
      <right/>
      <top style="thin">
        <color rgb="FFA3A3A3"/>
      </top>
      <bottom/>
      <diagonal/>
    </border>
    <border>
      <left/>
      <right style="thin">
        <color indexed="64"/>
      </right>
      <top style="thin">
        <color rgb="FFA3A3A3"/>
      </top>
      <bottom/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1" fillId="0" borderId="0"/>
    <xf numFmtId="0" fontId="21" fillId="6" borderId="56" applyNumberFormat="0" applyAlignment="0" applyProtection="0"/>
    <xf numFmtId="0" fontId="23" fillId="7" borderId="56" applyNumberFormat="0" applyAlignment="0" applyProtection="0"/>
    <xf numFmtId="0" fontId="30" fillId="0" borderId="0" applyNumberFormat="0" applyFill="0" applyBorder="0" applyAlignment="0" applyProtection="0"/>
    <xf numFmtId="0" fontId="34" fillId="0" borderId="0"/>
    <xf numFmtId="164" fontId="1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209">
    <xf numFmtId="0" fontId="0" fillId="0" borderId="0" xfId="0"/>
    <xf numFmtId="0" fontId="3" fillId="2" borderId="0" xfId="0" applyFont="1" applyFill="1"/>
    <xf numFmtId="0" fontId="3" fillId="2" borderId="3" xfId="0" applyFont="1" applyFill="1" applyBorder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left" vertical="center"/>
    </xf>
    <xf numFmtId="0" fontId="4" fillId="0" borderId="0" xfId="0" applyFont="1"/>
    <xf numFmtId="0" fontId="7" fillId="0" borderId="0" xfId="0" applyFont="1" applyAlignment="1">
      <alignment wrapText="1"/>
    </xf>
    <xf numFmtId="0" fontId="7" fillId="0" borderId="0" xfId="0" applyFont="1" applyAlignment="1">
      <alignment vertical="center" wrapText="1"/>
    </xf>
    <xf numFmtId="0" fontId="7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/>
    <xf numFmtId="0" fontId="10" fillId="0" borderId="0" xfId="0" applyFont="1" applyAlignment="1">
      <alignment vertical="center"/>
    </xf>
    <xf numFmtId="0" fontId="10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0" xfId="2" applyFont="1" applyFill="1"/>
    <xf numFmtId="0" fontId="3" fillId="0" borderId="0" xfId="2" applyFont="1"/>
    <xf numFmtId="4" fontId="3" fillId="0" borderId="0" xfId="2" applyNumberFormat="1" applyFont="1"/>
    <xf numFmtId="0" fontId="4" fillId="2" borderId="0" xfId="2" applyFont="1" applyFill="1"/>
    <xf numFmtId="4" fontId="5" fillId="0" borderId="0" xfId="2" applyNumberFormat="1" applyFont="1" applyAlignment="1">
      <alignment vertical="center"/>
    </xf>
    <xf numFmtId="0" fontId="4" fillId="0" borderId="0" xfId="2" applyFont="1"/>
    <xf numFmtId="0" fontId="0" fillId="0" borderId="0" xfId="0" applyAlignment="1">
      <alignment horizontal="left"/>
    </xf>
    <xf numFmtId="0" fontId="22" fillId="0" borderId="0" xfId="0" applyFont="1"/>
    <xf numFmtId="0" fontId="22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61" xfId="2" applyFont="1" applyFill="1" applyBorder="1" applyAlignment="1">
      <alignment horizontal="left" vertical="center"/>
    </xf>
    <xf numFmtId="1" fontId="0" fillId="0" borderId="61" xfId="0" applyNumberFormat="1" applyBorder="1" applyAlignment="1">
      <alignment horizontal="center" vertical="center"/>
    </xf>
    <xf numFmtId="1" fontId="0" fillId="0" borderId="0" xfId="0" applyNumberFormat="1"/>
    <xf numFmtId="0" fontId="21" fillId="6" borderId="56" xfId="3"/>
    <xf numFmtId="1" fontId="21" fillId="6" borderId="56" xfId="3" applyNumberFormat="1"/>
    <xf numFmtId="14" fontId="21" fillId="6" borderId="56" xfId="3" applyNumberFormat="1"/>
    <xf numFmtId="0" fontId="23" fillId="7" borderId="56" xfId="4"/>
    <xf numFmtId="0" fontId="3" fillId="2" borderId="62" xfId="0" applyFont="1" applyFill="1" applyBorder="1"/>
    <xf numFmtId="0" fontId="3" fillId="2" borderId="63" xfId="0" applyFont="1" applyFill="1" applyBorder="1"/>
    <xf numFmtId="0" fontId="3" fillId="2" borderId="64" xfId="0" applyFont="1" applyFill="1" applyBorder="1"/>
    <xf numFmtId="0" fontId="3" fillId="2" borderId="51" xfId="0" applyFont="1" applyFill="1" applyBorder="1"/>
    <xf numFmtId="0" fontId="3" fillId="2" borderId="33" xfId="0" applyFont="1" applyFill="1" applyBorder="1"/>
    <xf numFmtId="0" fontId="3" fillId="2" borderId="65" xfId="0" applyFont="1" applyFill="1" applyBorder="1"/>
    <xf numFmtId="0" fontId="3" fillId="2" borderId="66" xfId="0" applyFont="1" applyFill="1" applyBorder="1"/>
    <xf numFmtId="0" fontId="4" fillId="2" borderId="67" xfId="0" applyFont="1" applyFill="1" applyBorder="1"/>
    <xf numFmtId="0" fontId="4" fillId="2" borderId="0" xfId="2" applyFont="1" applyFill="1" applyAlignment="1">
      <alignment horizontal="center" vertical="center"/>
    </xf>
    <xf numFmtId="0" fontId="4" fillId="2" borderId="0" xfId="2" applyFont="1" applyFill="1" applyAlignment="1">
      <alignment horizontal="left" vertical="center"/>
    </xf>
    <xf numFmtId="15" fontId="4" fillId="2" borderId="0" xfId="2" applyNumberFormat="1" applyFont="1" applyFill="1" applyAlignment="1">
      <alignment horizontal="center" vertical="center"/>
    </xf>
    <xf numFmtId="0" fontId="0" fillId="0" borderId="0" xfId="0" quotePrefix="1"/>
    <xf numFmtId="167" fontId="0" fillId="9" borderId="0" xfId="0" applyNumberFormat="1" applyFill="1"/>
    <xf numFmtId="0" fontId="0" fillId="9" borderId="0" xfId="0" applyFill="1"/>
    <xf numFmtId="49" fontId="0" fillId="0" borderId="0" xfId="0" applyNumberFormat="1"/>
    <xf numFmtId="0" fontId="29" fillId="0" borderId="77" xfId="1" applyFont="1" applyBorder="1" applyAlignment="1"/>
    <xf numFmtId="0" fontId="0" fillId="0" borderId="0" xfId="0" applyAlignment="1">
      <alignment horizontal="center" vertical="center"/>
    </xf>
    <xf numFmtId="0" fontId="5" fillId="3" borderId="6" xfId="0" applyFont="1" applyFill="1" applyBorder="1" applyAlignment="1">
      <alignment vertical="center"/>
    </xf>
    <xf numFmtId="0" fontId="5" fillId="3" borderId="17" xfId="0" applyFont="1" applyFill="1" applyBorder="1" applyAlignment="1">
      <alignment vertical="center"/>
    </xf>
    <xf numFmtId="0" fontId="5" fillId="2" borderId="0" xfId="2" applyFont="1" applyFill="1" applyAlignment="1">
      <alignment vertical="center"/>
    </xf>
    <xf numFmtId="0" fontId="5" fillId="0" borderId="0" xfId="2" applyFont="1" applyAlignment="1">
      <alignment vertical="center"/>
    </xf>
    <xf numFmtId="0" fontId="5" fillId="2" borderId="67" xfId="2" applyFont="1" applyFill="1" applyBorder="1" applyAlignment="1">
      <alignment vertical="center"/>
    </xf>
    <xf numFmtId="0" fontId="5" fillId="3" borderId="0" xfId="0" applyFont="1" applyFill="1"/>
    <xf numFmtId="0" fontId="5" fillId="3" borderId="80" xfId="0" applyFont="1" applyFill="1" applyBorder="1"/>
    <xf numFmtId="0" fontId="0" fillId="0" borderId="70" xfId="0" applyBorder="1"/>
    <xf numFmtId="22" fontId="5" fillId="3" borderId="0" xfId="0" applyNumberFormat="1" applyFont="1" applyFill="1"/>
    <xf numFmtId="22" fontId="0" fillId="0" borderId="70" xfId="0" applyNumberFormat="1" applyBorder="1"/>
    <xf numFmtId="22" fontId="0" fillId="0" borderId="0" xfId="0" applyNumberFormat="1"/>
    <xf numFmtId="0" fontId="5" fillId="12" borderId="0" xfId="0" applyFont="1" applyFill="1"/>
    <xf numFmtId="0" fontId="30" fillId="0" borderId="0" xfId="5"/>
    <xf numFmtId="20" fontId="0" fillId="9" borderId="86" xfId="0" applyNumberFormat="1" applyFill="1" applyBorder="1" applyAlignment="1">
      <alignment horizontal="left"/>
    </xf>
    <xf numFmtId="0" fontId="27" fillId="13" borderId="0" xfId="0" applyFont="1" applyFill="1"/>
    <xf numFmtId="0" fontId="0" fillId="0" borderId="90" xfId="0" applyBorder="1"/>
    <xf numFmtId="0" fontId="0" fillId="0" borderId="91" xfId="0" applyBorder="1"/>
    <xf numFmtId="0" fontId="24" fillId="0" borderId="91" xfId="0" applyFont="1" applyBorder="1" applyAlignment="1">
      <alignment vertical="center"/>
    </xf>
    <xf numFmtId="0" fontId="0" fillId="0" borderId="92" xfId="0" applyBorder="1"/>
    <xf numFmtId="0" fontId="31" fillId="13" borderId="0" xfId="0" applyFont="1" applyFill="1"/>
    <xf numFmtId="0" fontId="0" fillId="0" borderId="85" xfId="0" applyBorder="1"/>
    <xf numFmtId="0" fontId="32" fillId="0" borderId="0" xfId="0" applyFont="1"/>
    <xf numFmtId="0" fontId="31" fillId="3" borderId="0" xfId="0" applyFont="1" applyFill="1" applyAlignment="1">
      <alignment horizontal="center"/>
    </xf>
    <xf numFmtId="22" fontId="5" fillId="3" borderId="0" xfId="0" applyNumberFormat="1" applyFont="1" applyFill="1" applyAlignment="1">
      <alignment horizontal="left"/>
    </xf>
    <xf numFmtId="0" fontId="31" fillId="0" borderId="0" xfId="0" applyFont="1" applyAlignment="1">
      <alignment horizontal="center"/>
    </xf>
    <xf numFmtId="0" fontId="22" fillId="0" borderId="91" xfId="0" applyFont="1" applyBorder="1"/>
    <xf numFmtId="0" fontId="22" fillId="0" borderId="90" xfId="0" applyFont="1" applyBorder="1" applyAlignment="1">
      <alignment horizontal="left"/>
    </xf>
    <xf numFmtId="0" fontId="22" fillId="0" borderId="92" xfId="0" applyFont="1" applyBorder="1"/>
    <xf numFmtId="0" fontId="0" fillId="0" borderId="82" xfId="0" applyBorder="1"/>
    <xf numFmtId="0" fontId="36" fillId="0" borderId="0" xfId="6" applyFont="1" applyAlignment="1">
      <alignment horizontal="center" vertical="center"/>
    </xf>
    <xf numFmtId="0" fontId="37" fillId="0" borderId="0" xfId="6" applyFont="1"/>
    <xf numFmtId="14" fontId="35" fillId="0" borderId="93" xfId="6" applyNumberFormat="1" applyFont="1" applyBorder="1" applyAlignment="1" applyProtection="1">
      <alignment horizontal="center" vertical="center"/>
      <protection locked="0"/>
    </xf>
    <xf numFmtId="0" fontId="38" fillId="0" borderId="93" xfId="0" applyFont="1" applyBorder="1" applyAlignment="1">
      <alignment horizontal="right"/>
    </xf>
    <xf numFmtId="0" fontId="34" fillId="0" borderId="0" xfId="6"/>
    <xf numFmtId="0" fontId="41" fillId="0" borderId="0" xfId="6" applyFont="1"/>
    <xf numFmtId="0" fontId="42" fillId="0" borderId="0" xfId="6" applyFont="1"/>
    <xf numFmtId="20" fontId="34" fillId="0" borderId="0" xfId="6" applyNumberFormat="1"/>
    <xf numFmtId="0" fontId="34" fillId="0" borderId="0" xfId="6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 wrapText="1"/>
    </xf>
    <xf numFmtId="168" fontId="33" fillId="14" borderId="96" xfId="6" applyNumberFormat="1" applyFont="1" applyFill="1" applyBorder="1" applyAlignment="1">
      <alignment vertical="center" wrapText="1"/>
    </xf>
    <xf numFmtId="20" fontId="33" fillId="14" borderId="0" xfId="6" applyNumberFormat="1" applyFont="1" applyFill="1" applyAlignment="1">
      <alignment vertical="center" wrapText="1"/>
    </xf>
    <xf numFmtId="168" fontId="33" fillId="14" borderId="0" xfId="6" applyNumberFormat="1" applyFont="1" applyFill="1" applyAlignment="1">
      <alignment vertical="center" wrapText="1"/>
    </xf>
    <xf numFmtId="0" fontId="33" fillId="14" borderId="0" xfId="6" applyFont="1" applyFill="1" applyAlignment="1">
      <alignment horizontal="center" vertical="center" wrapText="1"/>
    </xf>
    <xf numFmtId="168" fontId="33" fillId="14" borderId="94" xfId="6" applyNumberFormat="1" applyFont="1" applyFill="1" applyBorder="1" applyAlignment="1">
      <alignment horizontal="center" vertical="center" wrapText="1"/>
    </xf>
    <xf numFmtId="0" fontId="28" fillId="12" borderId="97" xfId="6" applyFont="1" applyFill="1" applyBorder="1" applyAlignment="1">
      <alignment horizontal="center" vertical="center" wrapText="1"/>
    </xf>
    <xf numFmtId="20" fontId="28" fillId="12" borderId="0" xfId="6" applyNumberFormat="1" applyFont="1" applyFill="1" applyAlignment="1">
      <alignment horizontal="center" vertical="center" wrapText="1"/>
    </xf>
    <xf numFmtId="0" fontId="28" fillId="12" borderId="0" xfId="6" applyFont="1" applyFill="1" applyAlignment="1">
      <alignment horizontal="center" vertical="center" wrapText="1"/>
    </xf>
    <xf numFmtId="0" fontId="28" fillId="12" borderId="95" xfId="6" applyFont="1" applyFill="1" applyBorder="1" applyAlignment="1">
      <alignment horizontal="center" vertical="center" wrapText="1"/>
    </xf>
    <xf numFmtId="20" fontId="22" fillId="0" borderId="70" xfId="6" applyNumberFormat="1" applyFont="1" applyBorder="1" applyAlignment="1" applyProtection="1">
      <alignment horizontal="center" vertical="center" wrapText="1"/>
      <protection locked="0"/>
    </xf>
    <xf numFmtId="20" fontId="22" fillId="0" borderId="70" xfId="6" applyNumberFormat="1" applyFont="1" applyBorder="1" applyAlignment="1">
      <alignment vertical="center" wrapText="1"/>
    </xf>
    <xf numFmtId="0" fontId="22" fillId="0" borderId="70" xfId="6" applyFont="1" applyBorder="1" applyAlignment="1" applyProtection="1">
      <alignment horizontal="center" vertical="center" wrapText="1"/>
      <protection locked="0"/>
    </xf>
    <xf numFmtId="20" fontId="0" fillId="9" borderId="83" xfId="0" applyNumberFormat="1" applyFill="1" applyBorder="1" applyAlignment="1">
      <alignment vertical="center"/>
    </xf>
    <xf numFmtId="14" fontId="22" fillId="0" borderId="70" xfId="6" applyNumberFormat="1" applyFont="1" applyBorder="1" applyAlignment="1" applyProtection="1">
      <alignment horizontal="left" vertical="center" wrapText="1"/>
      <protection locked="0"/>
    </xf>
    <xf numFmtId="20" fontId="22" fillId="0" borderId="89" xfId="6" applyNumberFormat="1" applyFont="1" applyBorder="1" applyAlignment="1" applyProtection="1">
      <alignment horizontal="center" vertical="center" wrapText="1"/>
      <protection locked="0"/>
    </xf>
    <xf numFmtId="0" fontId="34" fillId="0" borderId="95" xfId="6" applyBorder="1"/>
    <xf numFmtId="0" fontId="22" fillId="0" borderId="98" xfId="6" applyFont="1" applyBorder="1" applyAlignment="1" applyProtection="1">
      <alignment horizontal="center" vertical="center" wrapText="1"/>
      <protection locked="0"/>
    </xf>
    <xf numFmtId="0" fontId="29" fillId="0" borderId="77" xfId="1" applyFont="1" applyBorder="1" applyAlignment="1">
      <alignment wrapText="1"/>
    </xf>
    <xf numFmtId="166" fontId="0" fillId="0" borderId="0" xfId="0" applyNumberFormat="1"/>
    <xf numFmtId="0" fontId="34" fillId="0" borderId="0" xfId="6" applyAlignment="1">
      <alignment horizontal="center"/>
    </xf>
    <xf numFmtId="14" fontId="35" fillId="0" borderId="0" xfId="6" applyNumberFormat="1" applyFont="1" applyAlignment="1" applyProtection="1">
      <alignment horizontal="center" vertical="center"/>
      <protection locked="0"/>
    </xf>
    <xf numFmtId="168" fontId="33" fillId="14" borderId="0" xfId="6" applyNumberFormat="1" applyFont="1" applyFill="1" applyAlignment="1">
      <alignment horizontal="center" vertical="center" wrapText="1"/>
    </xf>
    <xf numFmtId="0" fontId="22" fillId="0" borderId="87" xfId="6" applyFont="1" applyBorder="1" applyAlignment="1" applyProtection="1">
      <alignment horizontal="center" vertical="center" wrapText="1"/>
      <protection locked="0"/>
    </xf>
    <xf numFmtId="0" fontId="34" fillId="0" borderId="99" xfId="6" applyBorder="1"/>
    <xf numFmtId="0" fontId="34" fillId="0" borderId="91" xfId="6" applyBorder="1"/>
    <xf numFmtId="168" fontId="33" fillId="14" borderId="99" xfId="6" applyNumberFormat="1" applyFont="1" applyFill="1" applyBorder="1" applyAlignment="1">
      <alignment vertical="center" wrapText="1"/>
    </xf>
    <xf numFmtId="0" fontId="28" fillId="12" borderId="84" xfId="6" applyFont="1" applyFill="1" applyBorder="1" applyAlignment="1">
      <alignment horizontal="center" vertical="center" wrapText="1"/>
    </xf>
    <xf numFmtId="168" fontId="33" fillId="14" borderId="100" xfId="6" applyNumberFormat="1" applyFont="1" applyFill="1" applyBorder="1" applyAlignment="1">
      <alignment horizontal="center" vertical="center" wrapText="1"/>
    </xf>
    <xf numFmtId="49" fontId="31" fillId="13" borderId="0" xfId="0" applyNumberFormat="1" applyFont="1" applyFill="1"/>
    <xf numFmtId="0" fontId="4" fillId="5" borderId="105" xfId="0" applyFont="1" applyFill="1" applyBorder="1" applyAlignment="1">
      <alignment horizontal="center" vertical="center" shrinkToFit="1"/>
    </xf>
    <xf numFmtId="0" fontId="12" fillId="0" borderId="106" xfId="0" applyFont="1" applyBorder="1" applyAlignment="1">
      <alignment horizontal="center" vertical="center" shrinkToFit="1"/>
    </xf>
    <xf numFmtId="0" fontId="11" fillId="0" borderId="106" xfId="0" applyFont="1" applyBorder="1" applyAlignment="1">
      <alignment horizontal="center" vertical="center" shrinkToFit="1"/>
    </xf>
    <xf numFmtId="0" fontId="3" fillId="2" borderId="0" xfId="0" applyFont="1" applyFill="1" applyAlignment="1">
      <alignment shrinkToFit="1"/>
    </xf>
    <xf numFmtId="0" fontId="3" fillId="0" borderId="0" xfId="0" applyFont="1" applyAlignment="1">
      <alignment shrinkToFit="1"/>
    </xf>
    <xf numFmtId="0" fontId="0" fillId="0" borderId="0" xfId="0" applyAlignment="1">
      <alignment shrinkToFit="1"/>
    </xf>
    <xf numFmtId="49" fontId="31" fillId="0" borderId="0" xfId="0" applyNumberFormat="1" applyFont="1" applyAlignment="1">
      <alignment shrinkToFit="1"/>
    </xf>
    <xf numFmtId="49" fontId="3" fillId="0" borderId="0" xfId="0" applyNumberFormat="1" applyFont="1" applyAlignment="1">
      <alignment shrinkToFit="1"/>
    </xf>
    <xf numFmtId="20" fontId="3" fillId="0" borderId="0" xfId="0" applyNumberFormat="1" applyFont="1" applyAlignment="1">
      <alignment shrinkToFit="1"/>
    </xf>
    <xf numFmtId="0" fontId="4" fillId="2" borderId="0" xfId="0" applyFont="1" applyFill="1" applyAlignment="1">
      <alignment shrinkToFit="1"/>
    </xf>
    <xf numFmtId="0" fontId="11" fillId="2" borderId="0" xfId="0" applyFont="1" applyFill="1" applyAlignment="1">
      <alignment vertical="center" shrinkToFit="1"/>
    </xf>
    <xf numFmtId="0" fontId="4" fillId="2" borderId="0" xfId="0" applyFont="1" applyFill="1" applyAlignment="1">
      <alignment vertical="center" shrinkToFit="1"/>
    </xf>
    <xf numFmtId="0" fontId="4" fillId="0" borderId="0" xfId="0" applyFont="1" applyAlignment="1">
      <alignment horizontal="center" shrinkToFit="1"/>
    </xf>
    <xf numFmtId="0" fontId="4" fillId="0" borderId="0" xfId="0" applyFont="1" applyAlignment="1">
      <alignment shrinkToFit="1"/>
    </xf>
    <xf numFmtId="49" fontId="4" fillId="0" borderId="0" xfId="0" applyNumberFormat="1" applyFont="1" applyAlignment="1">
      <alignment shrinkToFit="1"/>
    </xf>
    <xf numFmtId="0" fontId="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12" fillId="2" borderId="0" xfId="0" applyFont="1" applyFill="1" applyAlignment="1">
      <alignment shrinkToFit="1"/>
    </xf>
    <xf numFmtId="0" fontId="12" fillId="0" borderId="0" xfId="0" applyFont="1" applyAlignment="1">
      <alignment shrinkToFit="1"/>
    </xf>
    <xf numFmtId="20" fontId="12" fillId="0" borderId="0" xfId="0" applyNumberFormat="1" applyFont="1" applyAlignment="1">
      <alignment horizontal="left" shrinkToFit="1"/>
    </xf>
    <xf numFmtId="49" fontId="12" fillId="0" borderId="0" xfId="0" applyNumberFormat="1" applyFont="1" applyAlignment="1">
      <alignment shrinkToFit="1"/>
    </xf>
    <xf numFmtId="49" fontId="3" fillId="0" borderId="0" xfId="0" quotePrefix="1" applyNumberFormat="1" applyFont="1" applyAlignment="1">
      <alignment shrinkToFit="1"/>
    </xf>
    <xf numFmtId="20" fontId="12" fillId="0" borderId="0" xfId="0" applyNumberFormat="1" applyFont="1" applyAlignment="1">
      <alignment shrinkToFit="1"/>
    </xf>
    <xf numFmtId="0" fontId="25" fillId="0" borderId="106" xfId="0" applyFont="1" applyBorder="1" applyAlignment="1">
      <alignment horizontal="center" vertical="center" shrinkToFit="1"/>
    </xf>
    <xf numFmtId="0" fontId="43" fillId="0" borderId="106" xfId="0" applyFont="1" applyBorder="1" applyAlignment="1">
      <alignment horizontal="center" vertical="center" shrinkToFit="1"/>
    </xf>
    <xf numFmtId="0" fontId="47" fillId="15" borderId="106" xfId="0" applyFont="1" applyFill="1" applyBorder="1" applyAlignment="1">
      <alignment horizontal="center" vertical="center" shrinkToFit="1"/>
    </xf>
    <xf numFmtId="0" fontId="12" fillId="0" borderId="34" xfId="0" applyFont="1" applyBorder="1" applyAlignment="1">
      <alignment horizontal="center" shrinkToFit="1"/>
    </xf>
    <xf numFmtId="0" fontId="12" fillId="0" borderId="0" xfId="0" applyFont="1" applyAlignment="1">
      <alignment horizontal="center" shrinkToFit="1"/>
    </xf>
    <xf numFmtId="0" fontId="12" fillId="16" borderId="106" xfId="0" applyFont="1" applyFill="1" applyBorder="1" applyAlignment="1">
      <alignment horizontal="center" vertical="center" shrinkToFit="1"/>
    </xf>
    <xf numFmtId="0" fontId="3" fillId="0" borderId="21" xfId="0" applyFont="1" applyBorder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2" fillId="15" borderId="106" xfId="0" applyFont="1" applyFill="1" applyBorder="1" applyAlignment="1">
      <alignment horizontal="center" vertical="center" shrinkToFit="1"/>
    </xf>
    <xf numFmtId="0" fontId="0" fillId="0" borderId="100" xfId="0" applyBorder="1"/>
    <xf numFmtId="49" fontId="0" fillId="0" borderId="91" xfId="0" applyNumberFormat="1" applyBorder="1"/>
    <xf numFmtId="49" fontId="0" fillId="0" borderId="92" xfId="0" applyNumberFormat="1" applyBorder="1"/>
    <xf numFmtId="0" fontId="0" fillId="0" borderId="91" xfId="0" quotePrefix="1" applyBorder="1"/>
    <xf numFmtId="0" fontId="12" fillId="0" borderId="70" xfId="0" applyFont="1" applyBorder="1" applyAlignment="1">
      <alignment horizontal="center" vertical="center" shrinkToFit="1"/>
    </xf>
    <xf numFmtId="0" fontId="4" fillId="5" borderId="132" xfId="0" applyFont="1" applyFill="1" applyBorder="1" applyAlignment="1">
      <alignment horizontal="center" vertical="center" shrinkToFit="1"/>
    </xf>
    <xf numFmtId="0" fontId="12" fillId="16" borderId="70" xfId="0" applyFont="1" applyFill="1" applyBorder="1" applyAlignment="1">
      <alignment horizontal="center" vertical="center" shrinkToFit="1"/>
    </xf>
    <xf numFmtId="0" fontId="12" fillId="9" borderId="70" xfId="0" applyFont="1" applyFill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11" fillId="10" borderId="70" xfId="0" applyFont="1" applyFill="1" applyBorder="1" applyAlignment="1">
      <alignment horizontal="center" vertical="center" shrinkToFit="1"/>
    </xf>
    <xf numFmtId="0" fontId="12" fillId="2" borderId="43" xfId="0" applyFont="1" applyFill="1" applyBorder="1" applyAlignment="1">
      <alignment shrinkToFit="1"/>
    </xf>
    <xf numFmtId="0" fontId="3" fillId="2" borderId="43" xfId="0" applyFont="1" applyFill="1" applyBorder="1" applyAlignment="1">
      <alignment shrinkToFit="1"/>
    </xf>
    <xf numFmtId="0" fontId="12" fillId="0" borderId="135" xfId="0" applyFont="1" applyBorder="1" applyAlignment="1">
      <alignment horizontal="center" vertical="center" shrinkToFit="1"/>
    </xf>
    <xf numFmtId="0" fontId="12" fillId="14" borderId="140" xfId="0" applyFont="1" applyFill="1" applyBorder="1" applyAlignment="1">
      <alignment shrinkToFit="1"/>
    </xf>
    <xf numFmtId="0" fontId="12" fillId="0" borderId="141" xfId="0" applyFont="1" applyBorder="1" applyAlignment="1">
      <alignment horizontal="center" vertical="center" shrinkToFit="1"/>
    </xf>
    <xf numFmtId="0" fontId="12" fillId="0" borderId="134" xfId="0" applyFont="1" applyBorder="1" applyAlignment="1">
      <alignment horizontal="center" vertical="center" shrinkToFit="1"/>
    </xf>
    <xf numFmtId="0" fontId="12" fillId="0" borderId="140" xfId="0" applyFont="1" applyBorder="1" applyAlignment="1">
      <alignment horizontal="center" vertical="center" shrinkToFit="1"/>
    </xf>
    <xf numFmtId="0" fontId="12" fillId="0" borderId="142" xfId="0" applyFont="1" applyBorder="1" applyAlignment="1">
      <alignment horizontal="center" vertical="center" shrinkToFit="1"/>
    </xf>
    <xf numFmtId="0" fontId="12" fillId="14" borderId="140" xfId="0" applyFont="1" applyFill="1" applyBorder="1" applyAlignment="1">
      <alignment horizontal="center" vertical="center" shrinkToFit="1"/>
    </xf>
    <xf numFmtId="0" fontId="11" fillId="5" borderId="122" xfId="0" applyFont="1" applyFill="1" applyBorder="1" applyAlignment="1">
      <alignment horizontal="center" vertical="center" shrinkToFit="1"/>
    </xf>
    <xf numFmtId="0" fontId="12" fillId="2" borderId="141" xfId="0" applyFont="1" applyFill="1" applyBorder="1" applyAlignment="1">
      <alignment horizontal="center" vertical="center" shrinkToFit="1"/>
    </xf>
    <xf numFmtId="0" fontId="12" fillId="2" borderId="140" xfId="0" applyFont="1" applyFill="1" applyBorder="1" applyAlignment="1">
      <alignment horizontal="center" vertical="center" shrinkToFit="1"/>
    </xf>
    <xf numFmtId="0" fontId="12" fillId="0" borderId="141" xfId="0" applyFont="1" applyBorder="1" applyAlignment="1">
      <alignment horizontal="center" vertical="center"/>
    </xf>
    <xf numFmtId="0" fontId="12" fillId="0" borderId="143" xfId="0" applyFont="1" applyBorder="1" applyAlignment="1">
      <alignment horizontal="center" vertical="center" shrinkToFit="1"/>
    </xf>
    <xf numFmtId="0" fontId="50" fillId="0" borderId="0" xfId="0" applyFont="1"/>
    <xf numFmtId="0" fontId="51" fillId="0" borderId="0" xfId="0" applyFont="1" applyAlignment="1">
      <alignment horizontal="left" vertical="center" indent="5"/>
    </xf>
    <xf numFmtId="0" fontId="4" fillId="0" borderId="67" xfId="0" applyFont="1" applyBorder="1"/>
    <xf numFmtId="0" fontId="3" fillId="0" borderId="114" xfId="0" applyFont="1" applyBorder="1"/>
    <xf numFmtId="0" fontId="12" fillId="9" borderId="106" xfId="0" applyFont="1" applyFill="1" applyBorder="1" applyAlignment="1">
      <alignment horizontal="center" vertical="center" shrinkToFit="1"/>
    </xf>
    <xf numFmtId="0" fontId="12" fillId="2" borderId="106" xfId="0" applyFont="1" applyFill="1" applyBorder="1" applyAlignment="1">
      <alignment horizontal="center" vertical="center" shrinkToFit="1"/>
    </xf>
    <xf numFmtId="20" fontId="43" fillId="0" borderId="162" xfId="0" applyNumberFormat="1" applyFont="1" applyBorder="1" applyAlignment="1">
      <alignment vertical="center" shrinkToFit="1"/>
    </xf>
    <xf numFmtId="0" fontId="11" fillId="9" borderId="106" xfId="0" applyFont="1" applyFill="1" applyBorder="1" applyAlignment="1">
      <alignment horizontal="center" vertical="center" shrinkToFit="1"/>
    </xf>
    <xf numFmtId="20" fontId="3" fillId="2" borderId="0" xfId="0" applyNumberFormat="1" applyFont="1" applyFill="1" applyAlignment="1">
      <alignment shrinkToFit="1"/>
    </xf>
    <xf numFmtId="0" fontId="7" fillId="0" borderId="0" xfId="2" applyFont="1"/>
    <xf numFmtId="0" fontId="5" fillId="3" borderId="5" xfId="2" applyFont="1" applyFill="1" applyBorder="1" applyAlignment="1">
      <alignment vertical="center"/>
    </xf>
    <xf numFmtId="0" fontId="5" fillId="3" borderId="44" xfId="2" applyFont="1" applyFill="1" applyBorder="1" applyAlignment="1">
      <alignment vertical="center"/>
    </xf>
    <xf numFmtId="0" fontId="5" fillId="3" borderId="45" xfId="2" applyFont="1" applyFill="1" applyBorder="1" applyAlignment="1">
      <alignment vertical="center"/>
    </xf>
    <xf numFmtId="0" fontId="5" fillId="3" borderId="46" xfId="2" applyFont="1" applyFill="1" applyBorder="1" applyAlignment="1">
      <alignment vertical="center"/>
    </xf>
    <xf numFmtId="0" fontId="5" fillId="3" borderId="79" xfId="2" applyFont="1" applyFill="1" applyBorder="1" applyAlignment="1">
      <alignment vertical="center"/>
    </xf>
    <xf numFmtId="0" fontId="5" fillId="3" borderId="33" xfId="2" applyFont="1" applyFill="1" applyBorder="1" applyAlignment="1">
      <alignment vertical="center"/>
    </xf>
    <xf numFmtId="0" fontId="5" fillId="3" borderId="47" xfId="2" applyFont="1" applyFill="1" applyBorder="1" applyAlignment="1">
      <alignment vertical="center"/>
    </xf>
    <xf numFmtId="0" fontId="5" fillId="3" borderId="48" xfId="2" applyFont="1" applyFill="1" applyBorder="1" applyAlignment="1">
      <alignment vertical="center"/>
    </xf>
    <xf numFmtId="0" fontId="5" fillId="3" borderId="49" xfId="2" applyFont="1" applyFill="1" applyBorder="1" applyAlignment="1">
      <alignment vertical="center"/>
    </xf>
    <xf numFmtId="0" fontId="5" fillId="3" borderId="50" xfId="2" applyFont="1" applyFill="1" applyBorder="1" applyAlignment="1">
      <alignment vertical="center"/>
    </xf>
    <xf numFmtId="0" fontId="5" fillId="3" borderId="78" xfId="2" applyFont="1" applyFill="1" applyBorder="1" applyAlignment="1">
      <alignment vertical="center"/>
    </xf>
    <xf numFmtId="0" fontId="5" fillId="3" borderId="51" xfId="2" applyFont="1" applyFill="1" applyBorder="1" applyAlignment="1">
      <alignment vertical="center"/>
    </xf>
    <xf numFmtId="0" fontId="5" fillId="3" borderId="52" xfId="2" applyFont="1" applyFill="1" applyBorder="1" applyAlignment="1">
      <alignment vertical="center"/>
    </xf>
    <xf numFmtId="0" fontId="5" fillId="3" borderId="53" xfId="2" applyFont="1" applyFill="1" applyBorder="1" applyAlignment="1">
      <alignment vertical="center"/>
    </xf>
    <xf numFmtId="0" fontId="5" fillId="3" borderId="54" xfId="2" applyFont="1" applyFill="1" applyBorder="1" applyAlignment="1">
      <alignment vertical="center"/>
    </xf>
    <xf numFmtId="0" fontId="5" fillId="3" borderId="55" xfId="2" applyFont="1" applyFill="1" applyBorder="1" applyAlignment="1">
      <alignment vertical="center"/>
    </xf>
    <xf numFmtId="4" fontId="52" fillId="0" borderId="0" xfId="2" applyNumberFormat="1" applyFont="1" applyAlignment="1">
      <alignment vertical="center"/>
    </xf>
    <xf numFmtId="170" fontId="3" fillId="0" borderId="0" xfId="2" applyNumberFormat="1" applyFont="1"/>
    <xf numFmtId="0" fontId="7" fillId="0" borderId="0" xfId="2" applyFont="1" applyAlignment="1">
      <alignment wrapText="1"/>
    </xf>
    <xf numFmtId="49" fontId="3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7" applyNumberFormat="1" applyFont="1" applyBorder="1" applyAlignment="1">
      <alignment horizontal="center"/>
    </xf>
    <xf numFmtId="164" fontId="3" fillId="0" borderId="0" xfId="7" applyFont="1" applyBorder="1"/>
    <xf numFmtId="0" fontId="4" fillId="0" borderId="7" xfId="0" applyFont="1" applyBorder="1"/>
    <xf numFmtId="0" fontId="3" fillId="0" borderId="7" xfId="0" applyFont="1" applyBorder="1"/>
    <xf numFmtId="0" fontId="4" fillId="0" borderId="21" xfId="0" applyFont="1" applyBorder="1"/>
    <xf numFmtId="0" fontId="4" fillId="0" borderId="175" xfId="0" applyFont="1" applyBorder="1"/>
    <xf numFmtId="0" fontId="5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71" fontId="3" fillId="0" borderId="20" xfId="8" applyFont="1" applyBorder="1"/>
    <xf numFmtId="171" fontId="3" fillId="0" borderId="21" xfId="8" applyFont="1" applyBorder="1"/>
    <xf numFmtId="169" fontId="4" fillId="0" borderId="21" xfId="8" applyNumberFormat="1" applyFont="1" applyBorder="1"/>
    <xf numFmtId="0" fontId="53" fillId="0" borderId="0" xfId="0" applyFont="1"/>
    <xf numFmtId="20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0" fontId="56" fillId="18" borderId="70" xfId="0" applyFont="1" applyFill="1" applyBorder="1" applyAlignment="1">
      <alignment horizontal="center" vertical="center" shrinkToFit="1"/>
    </xf>
    <xf numFmtId="20" fontId="12" fillId="2" borderId="43" xfId="0" applyNumberFormat="1" applyFont="1" applyFill="1" applyBorder="1" applyAlignment="1">
      <alignment shrinkToFit="1"/>
    </xf>
    <xf numFmtId="0" fontId="3" fillId="16" borderId="70" xfId="0" applyFont="1" applyFill="1" applyBorder="1" applyAlignment="1">
      <alignment horizontal="center" vertical="center" shrinkToFit="1"/>
    </xf>
    <xf numFmtId="0" fontId="44" fillId="2" borderId="75" xfId="0" applyFont="1" applyFill="1" applyBorder="1" applyAlignment="1">
      <alignment horizontal="center" vertical="center"/>
    </xf>
    <xf numFmtId="0" fontId="44" fillId="2" borderId="74" xfId="0" applyFont="1" applyFill="1" applyBorder="1" applyAlignment="1">
      <alignment horizontal="center" vertical="center"/>
    </xf>
    <xf numFmtId="0" fontId="44" fillId="2" borderId="193" xfId="0" applyFont="1" applyFill="1" applyBorder="1" applyAlignment="1">
      <alignment horizontal="center" vertical="center"/>
    </xf>
    <xf numFmtId="169" fontId="4" fillId="0" borderId="0" xfId="8" applyNumberFormat="1" applyFont="1" applyBorder="1"/>
    <xf numFmtId="0" fontId="8" fillId="0" borderId="0" xfId="2" applyFont="1" applyAlignment="1">
      <alignment horizontal="center"/>
    </xf>
    <xf numFmtId="165" fontId="8" fillId="0" borderId="0" xfId="2" applyNumberFormat="1" applyFont="1" applyAlignment="1">
      <alignment horizontal="center" vertical="center"/>
    </xf>
    <xf numFmtId="0" fontId="3" fillId="20" borderId="0" xfId="0" applyFont="1" applyFill="1" applyAlignment="1">
      <alignment shrinkToFit="1"/>
    </xf>
    <xf numFmtId="0" fontId="59" fillId="0" borderId="106" xfId="0" applyFont="1" applyBorder="1" applyAlignment="1">
      <alignment horizontal="center" vertical="center" shrinkToFit="1"/>
    </xf>
    <xf numFmtId="49" fontId="0" fillId="2" borderId="91" xfId="0" applyNumberFormat="1" applyFill="1" applyBorder="1"/>
    <xf numFmtId="20" fontId="43" fillId="0" borderId="12" xfId="0" applyNumberFormat="1" applyFont="1" applyBorder="1" applyAlignment="1">
      <alignment vertical="center" shrinkToFit="1"/>
    </xf>
    <xf numFmtId="49" fontId="12" fillId="0" borderId="201" xfId="0" applyNumberFormat="1" applyFont="1" applyBorder="1" applyAlignment="1">
      <alignment horizontal="center" vertical="center" shrinkToFit="1"/>
    </xf>
    <xf numFmtId="0" fontId="62" fillId="0" borderId="0" xfId="0" applyFont="1"/>
    <xf numFmtId="0" fontId="3" fillId="0" borderId="112" xfId="0" applyFont="1" applyBorder="1"/>
    <xf numFmtId="0" fontId="3" fillId="0" borderId="103" xfId="0" applyFont="1" applyBorder="1"/>
    <xf numFmtId="0" fontId="3" fillId="0" borderId="126" xfId="0" applyFont="1" applyBorder="1"/>
    <xf numFmtId="0" fontId="3" fillId="0" borderId="109" xfId="0" applyFont="1" applyBorder="1"/>
    <xf numFmtId="0" fontId="12" fillId="20" borderId="0" xfId="0" applyFont="1" applyFill="1" applyAlignment="1">
      <alignment shrinkToFit="1"/>
    </xf>
    <xf numFmtId="0" fontId="56" fillId="9" borderId="106" xfId="0" applyFont="1" applyFill="1" applyBorder="1" applyAlignment="1">
      <alignment horizontal="center" vertical="center" shrinkToFit="1"/>
    </xf>
    <xf numFmtId="0" fontId="58" fillId="10" borderId="106" xfId="0" applyFont="1" applyFill="1" applyBorder="1" applyAlignment="1">
      <alignment horizontal="center" vertical="center" shrinkToFit="1"/>
    </xf>
    <xf numFmtId="0" fontId="47" fillId="18" borderId="106" xfId="0" applyFont="1" applyFill="1" applyBorder="1" applyAlignment="1">
      <alignment horizontal="center" vertical="center" shrinkToFit="1"/>
    </xf>
    <xf numFmtId="0" fontId="12" fillId="11" borderId="106" xfId="0" applyFont="1" applyFill="1" applyBorder="1" applyAlignment="1">
      <alignment horizontal="center" vertical="center" shrinkToFit="1"/>
    </xf>
    <xf numFmtId="0" fontId="3" fillId="0" borderId="0" xfId="0" applyFont="1" applyAlignment="1">
      <alignment wrapText="1"/>
    </xf>
    <xf numFmtId="0" fontId="3" fillId="0" borderId="3" xfId="2" applyFont="1" applyBorder="1"/>
    <xf numFmtId="0" fontId="16" fillId="0" borderId="22" xfId="0" applyFont="1" applyBorder="1" applyAlignment="1">
      <alignment vertical="center"/>
    </xf>
    <xf numFmtId="0" fontId="16" fillId="0" borderId="23" xfId="0" applyFont="1" applyBorder="1" applyAlignment="1">
      <alignment vertical="center"/>
    </xf>
    <xf numFmtId="0" fontId="16" fillId="0" borderId="32" xfId="0" applyFont="1" applyBorder="1" applyAlignment="1">
      <alignment vertical="center"/>
    </xf>
    <xf numFmtId="0" fontId="7" fillId="0" borderId="7" xfId="0" applyFont="1" applyBorder="1" applyAlignment="1">
      <alignment wrapText="1"/>
    </xf>
    <xf numFmtId="0" fontId="3" fillId="0" borderId="197" xfId="0" applyFont="1" applyBorder="1"/>
    <xf numFmtId="0" fontId="16" fillId="0" borderId="3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75" xfId="0" applyFont="1" applyBorder="1" applyAlignment="1">
      <alignment vertical="center"/>
    </xf>
    <xf numFmtId="49" fontId="12" fillId="0" borderId="13" xfId="0" quotePrefix="1" applyNumberFormat="1" applyFont="1" applyBorder="1" applyAlignment="1">
      <alignment horizontal="center" vertical="center" shrinkToFit="1"/>
    </xf>
    <xf numFmtId="49" fontId="12" fillId="0" borderId="11" xfId="0" quotePrefix="1" applyNumberFormat="1" applyFont="1" applyBorder="1" applyAlignment="1">
      <alignment horizontal="center" vertical="center" shrinkToFit="1"/>
    </xf>
    <xf numFmtId="49" fontId="12" fillId="0" borderId="27" xfId="0" quotePrefix="1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15" borderId="0" xfId="0" applyFont="1" applyFill="1" applyAlignment="1">
      <alignment horizontal="left" vertical="center"/>
    </xf>
    <xf numFmtId="0" fontId="66" fillId="0" borderId="106" xfId="0" applyFont="1" applyBorder="1" applyAlignment="1">
      <alignment horizontal="center" vertical="center" wrapText="1" shrinkToFit="1"/>
    </xf>
    <xf numFmtId="0" fontId="12" fillId="18" borderId="106" xfId="0" applyFont="1" applyFill="1" applyBorder="1" applyAlignment="1">
      <alignment horizontal="center" vertical="center" shrinkToFit="1"/>
    </xf>
    <xf numFmtId="0" fontId="12" fillId="0" borderId="34" xfId="0" applyFont="1" applyBorder="1" applyAlignment="1">
      <alignment horizontal="center" shrinkToFit="1"/>
    </xf>
    <xf numFmtId="0" fontId="12" fillId="0" borderId="0" xfId="0" applyFont="1" applyAlignment="1">
      <alignment horizontal="center" shrinkToFit="1"/>
    </xf>
    <xf numFmtId="20" fontId="9" fillId="0" borderId="26" xfId="0" applyNumberFormat="1" applyFont="1" applyBorder="1" applyAlignment="1">
      <alignment horizontal="center" vertical="center" shrinkToFit="1"/>
    </xf>
    <xf numFmtId="20" fontId="9" fillId="0" borderId="11" xfId="0" applyNumberFormat="1" applyFont="1" applyBorder="1" applyAlignment="1">
      <alignment horizontal="center" vertical="center" shrinkToFit="1"/>
    </xf>
    <xf numFmtId="20" fontId="9" fillId="0" borderId="12" xfId="0" applyNumberFormat="1" applyFont="1" applyBorder="1" applyAlignment="1">
      <alignment horizontal="center" vertical="center" shrinkToFit="1"/>
    </xf>
    <xf numFmtId="20" fontId="9" fillId="0" borderId="13" xfId="0" applyNumberFormat="1" applyFont="1" applyBorder="1" applyAlignment="1">
      <alignment horizontal="center" vertical="center" shrinkToFit="1"/>
    </xf>
    <xf numFmtId="20" fontId="9" fillId="0" borderId="60" xfId="0" applyNumberFormat="1" applyFont="1" applyBorder="1" applyAlignment="1">
      <alignment horizontal="center" vertical="center" shrinkToFit="1"/>
    </xf>
    <xf numFmtId="20" fontId="17" fillId="0" borderId="57" xfId="3" applyNumberFormat="1" applyFont="1" applyFill="1" applyBorder="1" applyAlignment="1">
      <alignment horizontal="center" vertical="center" shrinkToFit="1"/>
    </xf>
    <xf numFmtId="20" fontId="17" fillId="0" borderId="58" xfId="3" applyNumberFormat="1" applyFont="1" applyFill="1" applyBorder="1" applyAlignment="1">
      <alignment horizontal="center" vertical="center" shrinkToFit="1"/>
    </xf>
    <xf numFmtId="0" fontId="12" fillId="0" borderId="59" xfId="0" applyFont="1" applyBorder="1" applyAlignment="1">
      <alignment horizontal="center" vertical="center" shrinkToFit="1"/>
    </xf>
    <xf numFmtId="0" fontId="12" fillId="0" borderId="11" xfId="0" applyFont="1" applyBorder="1" applyAlignment="1">
      <alignment horizontal="center" vertical="center" shrinkToFit="1"/>
    </xf>
    <xf numFmtId="49" fontId="12" fillId="0" borderId="13" xfId="0" applyNumberFormat="1" applyFont="1" applyBorder="1" applyAlignment="1">
      <alignment horizontal="center" vertical="center" shrinkToFit="1"/>
    </xf>
    <xf numFmtId="49" fontId="12" fillId="0" borderId="11" xfId="0" applyNumberFormat="1" applyFont="1" applyBorder="1" applyAlignment="1">
      <alignment horizontal="center" vertical="center" shrinkToFit="1"/>
    </xf>
    <xf numFmtId="49" fontId="12" fillId="0" borderId="27" xfId="0" applyNumberFormat="1" applyFont="1" applyBorder="1" applyAlignment="1">
      <alignment horizontal="center" vertical="center" shrinkToFit="1"/>
    </xf>
    <xf numFmtId="0" fontId="12" fillId="0" borderId="107" xfId="0" applyFont="1" applyBorder="1" applyAlignment="1">
      <alignment horizontal="center" vertical="center" shrinkToFit="1"/>
    </xf>
    <xf numFmtId="49" fontId="12" fillId="0" borderId="13" xfId="0" quotePrefix="1" applyNumberFormat="1" applyFont="1" applyBorder="1" applyAlignment="1">
      <alignment horizontal="center" vertical="center" shrinkToFit="1"/>
    </xf>
    <xf numFmtId="49" fontId="12" fillId="0" borderId="11" xfId="0" quotePrefix="1" applyNumberFormat="1" applyFont="1" applyBorder="1" applyAlignment="1">
      <alignment horizontal="center" vertical="center" shrinkToFit="1"/>
    </xf>
    <xf numFmtId="49" fontId="12" fillId="0" borderId="27" xfId="0" quotePrefix="1" applyNumberFormat="1" applyFont="1" applyBorder="1" applyAlignment="1">
      <alignment horizontal="center" vertical="center" shrinkToFit="1"/>
    </xf>
    <xf numFmtId="14" fontId="5" fillId="14" borderId="104" xfId="0" applyNumberFormat="1" applyFont="1" applyFill="1" applyBorder="1" applyAlignment="1">
      <alignment horizontal="center" vertical="center" shrinkToFit="1"/>
    </xf>
    <xf numFmtId="14" fontId="5" fillId="14" borderId="74" xfId="0" applyNumberFormat="1" applyFont="1" applyFill="1" applyBorder="1" applyAlignment="1">
      <alignment horizontal="center" vertical="center" shrinkToFit="1"/>
    </xf>
    <xf numFmtId="0" fontId="7" fillId="5" borderId="24" xfId="0" applyFont="1" applyFill="1" applyBorder="1" applyAlignment="1">
      <alignment horizontal="center" vertical="center" shrinkToFit="1"/>
    </xf>
    <xf numFmtId="0" fontId="7" fillId="5" borderId="9" xfId="0" applyFont="1" applyFill="1" applyBorder="1" applyAlignment="1">
      <alignment horizontal="center" vertical="center" shrinkToFit="1"/>
    </xf>
    <xf numFmtId="0" fontId="7" fillId="5" borderId="68" xfId="0" applyFont="1" applyFill="1" applyBorder="1" applyAlignment="1">
      <alignment horizontal="center" vertical="center" shrinkToFit="1"/>
    </xf>
    <xf numFmtId="0" fontId="7" fillId="5" borderId="69" xfId="0" applyFont="1" applyFill="1" applyBorder="1" applyAlignment="1">
      <alignment horizontal="center" vertical="center" shrinkToFit="1"/>
    </xf>
    <xf numFmtId="0" fontId="4" fillId="5" borderId="10" xfId="0" applyFont="1" applyFill="1" applyBorder="1" applyAlignment="1">
      <alignment horizontal="center" vertical="center" shrinkToFit="1"/>
    </xf>
    <xf numFmtId="0" fontId="4" fillId="5" borderId="9" xfId="0" applyFont="1" applyFill="1" applyBorder="1" applyAlignment="1">
      <alignment horizontal="center" vertical="center" shrinkToFit="1"/>
    </xf>
    <xf numFmtId="0" fontId="11" fillId="0" borderId="59" xfId="0" applyFont="1" applyBorder="1" applyAlignment="1">
      <alignment horizontal="center" vertical="center" shrinkToFit="1"/>
    </xf>
    <xf numFmtId="0" fontId="11" fillId="0" borderId="11" xfId="0" applyFont="1" applyBorder="1" applyAlignment="1">
      <alignment horizontal="center" vertical="center" shrinkToFit="1"/>
    </xf>
    <xf numFmtId="20" fontId="43" fillId="0" borderId="26" xfId="0" applyNumberFormat="1" applyFont="1" applyBorder="1" applyAlignment="1">
      <alignment horizontal="center" vertical="center" shrinkToFit="1"/>
    </xf>
    <xf numFmtId="20" fontId="43" fillId="0" borderId="11" xfId="0" applyNumberFormat="1" applyFont="1" applyBorder="1" applyAlignment="1">
      <alignment horizontal="center" vertical="center" shrinkToFit="1"/>
    </xf>
    <xf numFmtId="20" fontId="43" fillId="0" borderId="12" xfId="0" applyNumberFormat="1" applyFont="1" applyBorder="1" applyAlignment="1">
      <alignment horizontal="center" vertical="center" shrinkToFit="1"/>
    </xf>
    <xf numFmtId="0" fontId="4" fillId="14" borderId="22" xfId="0" applyFont="1" applyFill="1" applyBorder="1" applyAlignment="1">
      <alignment horizontal="center" vertical="center" shrinkToFit="1"/>
    </xf>
    <xf numFmtId="0" fontId="4" fillId="14" borderId="23" xfId="0" applyFont="1" applyFill="1" applyBorder="1" applyAlignment="1">
      <alignment horizontal="center" vertical="center" shrinkToFit="1"/>
    </xf>
    <xf numFmtId="14" fontId="5" fillId="14" borderId="23" xfId="0" applyNumberFormat="1" applyFont="1" applyFill="1" applyBorder="1" applyAlignment="1">
      <alignment horizontal="center" vertical="center" shrinkToFit="1"/>
    </xf>
    <xf numFmtId="20" fontId="43" fillId="0" borderId="13" xfId="0" applyNumberFormat="1" applyFont="1" applyBorder="1" applyAlignment="1">
      <alignment horizontal="center" vertical="center" shrinkToFit="1"/>
    </xf>
    <xf numFmtId="20" fontId="43" fillId="0" borderId="60" xfId="0" applyNumberFormat="1" applyFont="1" applyBorder="1" applyAlignment="1">
      <alignment horizontal="center" vertical="center" shrinkToFit="1"/>
    </xf>
    <xf numFmtId="20" fontId="43" fillId="0" borderId="57" xfId="3" applyNumberFormat="1" applyFont="1" applyFill="1" applyBorder="1" applyAlignment="1">
      <alignment horizontal="center" vertical="center" shrinkToFit="1"/>
    </xf>
    <xf numFmtId="20" fontId="43" fillId="0" borderId="58" xfId="3" applyNumberFormat="1" applyFont="1" applyFill="1" applyBorder="1" applyAlignment="1">
      <alignment horizontal="center" vertical="center" shrinkToFit="1"/>
    </xf>
    <xf numFmtId="0" fontId="25" fillId="0" borderId="59" xfId="0" applyFont="1" applyBorder="1" applyAlignment="1">
      <alignment horizontal="center" vertical="center" shrinkToFit="1"/>
    </xf>
    <xf numFmtId="0" fontId="25" fillId="0" borderId="11" xfId="0" applyFont="1" applyBorder="1" applyAlignment="1">
      <alignment horizontal="center" vertical="center" shrinkToFit="1"/>
    </xf>
    <xf numFmtId="0" fontId="13" fillId="3" borderId="6" xfId="0" applyFont="1" applyFill="1" applyBorder="1" applyAlignment="1">
      <alignment horizontal="center" vertical="center" shrinkToFit="1"/>
    </xf>
    <xf numFmtId="0" fontId="11" fillId="2" borderId="6" xfId="0" applyFont="1" applyFill="1" applyBorder="1" applyAlignment="1">
      <alignment horizontal="center" vertical="center" shrinkToFit="1"/>
    </xf>
    <xf numFmtId="14" fontId="11" fillId="2" borderId="6" xfId="0" applyNumberFormat="1" applyFont="1" applyFill="1" applyBorder="1" applyAlignment="1">
      <alignment horizontal="center" vertical="center" shrinkToFit="1"/>
    </xf>
    <xf numFmtId="0" fontId="48" fillId="0" borderId="21" xfId="0" applyFont="1" applyBorder="1" applyAlignment="1">
      <alignment horizontal="center" vertical="center" shrinkToFit="1"/>
    </xf>
    <xf numFmtId="0" fontId="11" fillId="16" borderId="0" xfId="0" applyFont="1" applyFill="1" applyAlignment="1">
      <alignment horizontal="center" vertical="center" shrinkToFit="1"/>
    </xf>
    <xf numFmtId="0" fontId="17" fillId="11" borderId="0" xfId="0" applyFont="1" applyFill="1" applyAlignment="1">
      <alignment horizontal="center" vertical="center" shrinkToFit="1"/>
    </xf>
    <xf numFmtId="0" fontId="0" fillId="0" borderId="21" xfId="0" quotePrefix="1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11" fillId="8" borderId="0" xfId="0" applyFont="1" applyFill="1" applyAlignment="1">
      <alignment horizontal="center" vertical="center" shrinkToFit="1"/>
    </xf>
    <xf numFmtId="0" fontId="17" fillId="17" borderId="0" xfId="0" applyFont="1" applyFill="1" applyAlignment="1">
      <alignment horizontal="center" vertical="center" shrinkToFit="1"/>
    </xf>
    <xf numFmtId="0" fontId="11" fillId="9" borderId="0" xfId="0" applyFont="1" applyFill="1" applyAlignment="1">
      <alignment horizontal="center" vertical="center" shrinkToFit="1"/>
    </xf>
    <xf numFmtId="0" fontId="4" fillId="18" borderId="0" xfId="0" applyFont="1" applyFill="1" applyAlignment="1">
      <alignment horizontal="center" vertical="center" shrinkToFit="1"/>
    </xf>
    <xf numFmtId="20" fontId="17" fillId="16" borderId="57" xfId="3" applyNumberFormat="1" applyFont="1" applyFill="1" applyBorder="1" applyAlignment="1">
      <alignment horizontal="center" vertical="center" shrinkToFit="1"/>
    </xf>
    <xf numFmtId="20" fontId="17" fillId="16" borderId="58" xfId="3" applyNumberFormat="1" applyFont="1" applyFill="1" applyBorder="1" applyAlignment="1">
      <alignment horizontal="center" vertical="center" shrinkToFit="1"/>
    </xf>
    <xf numFmtId="0" fontId="11" fillId="16" borderId="59" xfId="0" applyFont="1" applyFill="1" applyBorder="1" applyAlignment="1">
      <alignment horizontal="center" vertical="center" shrinkToFit="1"/>
    </xf>
    <xf numFmtId="0" fontId="11" fillId="16" borderId="11" xfId="0" applyFont="1" applyFill="1" applyBorder="1" applyAlignment="1">
      <alignment horizontal="center" vertical="center" shrinkToFit="1"/>
    </xf>
    <xf numFmtId="0" fontId="4" fillId="14" borderId="75" xfId="0" applyFont="1" applyFill="1" applyBorder="1" applyAlignment="1">
      <alignment horizontal="center" vertical="center" shrinkToFit="1"/>
    </xf>
    <xf numFmtId="0" fontId="4" fillId="14" borderId="74" xfId="0" applyFont="1" applyFill="1" applyBorder="1" applyAlignment="1">
      <alignment horizontal="center" vertical="center" shrinkToFit="1"/>
    </xf>
    <xf numFmtId="20" fontId="9" fillId="16" borderId="26" xfId="0" applyNumberFormat="1" applyFont="1" applyFill="1" applyBorder="1" applyAlignment="1">
      <alignment horizontal="center" vertical="center" shrinkToFit="1"/>
    </xf>
    <xf numFmtId="20" fontId="9" fillId="16" borderId="11" xfId="0" applyNumberFormat="1" applyFont="1" applyFill="1" applyBorder="1" applyAlignment="1">
      <alignment horizontal="center" vertical="center" shrinkToFit="1"/>
    </xf>
    <xf numFmtId="20" fontId="9" fillId="16" borderId="12" xfId="0" applyNumberFormat="1" applyFont="1" applyFill="1" applyBorder="1" applyAlignment="1">
      <alignment horizontal="center" vertical="center" shrinkToFit="1"/>
    </xf>
    <xf numFmtId="20" fontId="9" fillId="16" borderId="13" xfId="0" applyNumberFormat="1" applyFont="1" applyFill="1" applyBorder="1" applyAlignment="1">
      <alignment horizontal="center" vertical="center" shrinkToFit="1"/>
    </xf>
    <xf numFmtId="20" fontId="9" fillId="16" borderId="60" xfId="0" applyNumberFormat="1" applyFont="1" applyFill="1" applyBorder="1" applyAlignment="1">
      <alignment horizontal="center" vertical="center" shrinkToFit="1"/>
    </xf>
    <xf numFmtId="20" fontId="9" fillId="9" borderId="26" xfId="0" applyNumberFormat="1" applyFont="1" applyFill="1" applyBorder="1" applyAlignment="1">
      <alignment horizontal="center" vertical="center" shrinkToFit="1"/>
    </xf>
    <xf numFmtId="20" fontId="9" fillId="9" borderId="11" xfId="0" applyNumberFormat="1" applyFont="1" applyFill="1" applyBorder="1" applyAlignment="1">
      <alignment horizontal="center" vertical="center" shrinkToFit="1"/>
    </xf>
    <xf numFmtId="20" fontId="9" fillId="9" borderId="12" xfId="0" applyNumberFormat="1" applyFont="1" applyFill="1" applyBorder="1" applyAlignment="1">
      <alignment horizontal="center" vertical="center" shrinkToFit="1"/>
    </xf>
    <xf numFmtId="20" fontId="9" fillId="9" borderId="13" xfId="0" applyNumberFormat="1" applyFont="1" applyFill="1" applyBorder="1" applyAlignment="1">
      <alignment horizontal="center" vertical="center" shrinkToFit="1"/>
    </xf>
    <xf numFmtId="20" fontId="9" fillId="9" borderId="60" xfId="0" applyNumberFormat="1" applyFont="1" applyFill="1" applyBorder="1" applyAlignment="1">
      <alignment horizontal="center" vertical="center" shrinkToFit="1"/>
    </xf>
    <xf numFmtId="20" fontId="17" fillId="9" borderId="57" xfId="3" applyNumberFormat="1" applyFont="1" applyFill="1" applyBorder="1" applyAlignment="1">
      <alignment horizontal="center" vertical="center" shrinkToFit="1"/>
    </xf>
    <xf numFmtId="20" fontId="17" fillId="9" borderId="58" xfId="3" applyNumberFormat="1" applyFont="1" applyFill="1" applyBorder="1" applyAlignment="1">
      <alignment horizontal="center" vertical="center" shrinkToFit="1"/>
    </xf>
    <xf numFmtId="0" fontId="12" fillId="9" borderId="59" xfId="0" applyFont="1" applyFill="1" applyBorder="1" applyAlignment="1">
      <alignment horizontal="center" vertical="center" shrinkToFit="1"/>
    </xf>
    <xf numFmtId="0" fontId="12" fillId="9" borderId="11" xfId="0" applyFont="1" applyFill="1" applyBorder="1" applyAlignment="1">
      <alignment horizontal="center" vertical="center" shrinkToFit="1"/>
    </xf>
    <xf numFmtId="49" fontId="12" fillId="9" borderId="13" xfId="0" quotePrefix="1" applyNumberFormat="1" applyFont="1" applyFill="1" applyBorder="1" applyAlignment="1">
      <alignment horizontal="center" vertical="center" shrinkToFit="1"/>
    </xf>
    <xf numFmtId="49" fontId="12" fillId="9" borderId="11" xfId="0" quotePrefix="1" applyNumberFormat="1" applyFont="1" applyFill="1" applyBorder="1" applyAlignment="1">
      <alignment horizontal="center" vertical="center" shrinkToFit="1"/>
    </xf>
    <xf numFmtId="49" fontId="12" fillId="9" borderId="27" xfId="0" quotePrefix="1" applyNumberFormat="1" applyFont="1" applyFill="1" applyBorder="1" applyAlignment="1">
      <alignment horizontal="center" vertical="center" shrinkToFit="1"/>
    </xf>
    <xf numFmtId="0" fontId="11" fillId="9" borderId="59" xfId="0" applyFont="1" applyFill="1" applyBorder="1" applyAlignment="1">
      <alignment horizontal="center" vertical="center" shrinkToFit="1"/>
    </xf>
    <xf numFmtId="0" fontId="11" fillId="9" borderId="11" xfId="0" applyFont="1" applyFill="1" applyBorder="1" applyAlignment="1">
      <alignment horizontal="center" vertical="center" shrinkToFit="1"/>
    </xf>
    <xf numFmtId="49" fontId="12" fillId="9" borderId="13" xfId="0" applyNumberFormat="1" applyFont="1" applyFill="1" applyBorder="1" applyAlignment="1">
      <alignment horizontal="center" vertical="center" shrinkToFit="1"/>
    </xf>
    <xf numFmtId="49" fontId="12" fillId="9" borderId="11" xfId="0" applyNumberFormat="1" applyFont="1" applyFill="1" applyBorder="1" applyAlignment="1">
      <alignment horizontal="center" vertical="center" shrinkToFit="1"/>
    </xf>
    <xf numFmtId="49" fontId="12" fillId="9" borderId="27" xfId="0" applyNumberFormat="1" applyFont="1" applyFill="1" applyBorder="1" applyAlignment="1">
      <alignment horizontal="center" vertical="center" shrinkToFit="1"/>
    </xf>
    <xf numFmtId="49" fontId="12" fillId="2" borderId="13" xfId="0" applyNumberFormat="1" applyFont="1" applyFill="1" applyBorder="1" applyAlignment="1">
      <alignment horizontal="center" vertical="center" shrinkToFit="1"/>
    </xf>
    <xf numFmtId="49" fontId="12" fillId="2" borderId="11" xfId="0" applyNumberFormat="1" applyFont="1" applyFill="1" applyBorder="1" applyAlignment="1">
      <alignment horizontal="center" vertical="center" shrinkToFit="1"/>
    </xf>
    <xf numFmtId="49" fontId="12" fillId="2" borderId="27" xfId="0" applyNumberFormat="1" applyFont="1" applyFill="1" applyBorder="1" applyAlignment="1">
      <alignment horizontal="center" vertical="center" shrinkToFit="1"/>
    </xf>
    <xf numFmtId="20" fontId="17" fillId="2" borderId="57" xfId="3" applyNumberFormat="1" applyFont="1" applyFill="1" applyBorder="1" applyAlignment="1">
      <alignment horizontal="center" vertical="center" shrinkToFit="1"/>
    </xf>
    <xf numFmtId="20" fontId="17" fillId="2" borderId="58" xfId="3" applyNumberFormat="1" applyFont="1" applyFill="1" applyBorder="1" applyAlignment="1">
      <alignment horizontal="center" vertical="center" shrinkToFit="1"/>
    </xf>
    <xf numFmtId="49" fontId="25" fillId="0" borderId="13" xfId="0" quotePrefix="1" applyNumberFormat="1" applyFont="1" applyBorder="1" applyAlignment="1">
      <alignment horizontal="center" vertical="center" shrinkToFit="1"/>
    </xf>
    <xf numFmtId="49" fontId="25" fillId="0" borderId="11" xfId="0" quotePrefix="1" applyNumberFormat="1" applyFont="1" applyBorder="1" applyAlignment="1">
      <alignment horizontal="center" vertical="center" shrinkToFit="1"/>
    </xf>
    <xf numFmtId="49" fontId="25" fillId="0" borderId="27" xfId="0" quotePrefix="1" applyNumberFormat="1" applyFont="1" applyBorder="1" applyAlignment="1">
      <alignment horizontal="center" vertical="center" shrinkToFit="1"/>
    </xf>
    <xf numFmtId="0" fontId="11" fillId="0" borderId="107" xfId="0" applyFont="1" applyBorder="1" applyAlignment="1">
      <alignment horizontal="center" vertical="center" shrinkToFit="1"/>
    </xf>
    <xf numFmtId="49" fontId="11" fillId="0" borderId="13" xfId="0" applyNumberFormat="1" applyFont="1" applyBorder="1" applyAlignment="1">
      <alignment horizontal="center" vertical="center" shrinkToFit="1"/>
    </xf>
    <xf numFmtId="49" fontId="11" fillId="0" borderId="11" xfId="0" applyNumberFormat="1" applyFont="1" applyBorder="1" applyAlignment="1">
      <alignment horizontal="center" vertical="center" shrinkToFit="1"/>
    </xf>
    <xf numFmtId="49" fontId="11" fillId="0" borderId="27" xfId="0" applyNumberFormat="1" applyFont="1" applyBorder="1" applyAlignment="1">
      <alignment horizontal="center" vertical="center" shrinkToFit="1"/>
    </xf>
    <xf numFmtId="0" fontId="56" fillId="9" borderId="59" xfId="0" applyFont="1" applyFill="1" applyBorder="1" applyAlignment="1">
      <alignment horizontal="center" vertical="center" shrinkToFit="1"/>
    </xf>
    <xf numFmtId="0" fontId="56" fillId="9" borderId="11" xfId="0" applyFont="1" applyFill="1" applyBorder="1" applyAlignment="1">
      <alignment horizontal="center" vertical="center" shrinkToFit="1"/>
    </xf>
    <xf numFmtId="0" fontId="56" fillId="9" borderId="107" xfId="0" applyFont="1" applyFill="1" applyBorder="1" applyAlignment="1">
      <alignment horizontal="center" vertical="center" shrinkToFit="1"/>
    </xf>
    <xf numFmtId="20" fontId="9" fillId="15" borderId="26" xfId="0" applyNumberFormat="1" applyFont="1" applyFill="1" applyBorder="1" applyAlignment="1">
      <alignment horizontal="center" vertical="center" shrinkToFit="1"/>
    </xf>
    <xf numFmtId="20" fontId="9" fillId="15" borderId="11" xfId="0" applyNumberFormat="1" applyFont="1" applyFill="1" applyBorder="1" applyAlignment="1">
      <alignment horizontal="center" vertical="center" shrinkToFit="1"/>
    </xf>
    <xf numFmtId="20" fontId="9" fillId="15" borderId="12" xfId="0" applyNumberFormat="1" applyFont="1" applyFill="1" applyBorder="1" applyAlignment="1">
      <alignment horizontal="center" vertical="center" shrinkToFit="1"/>
    </xf>
    <xf numFmtId="20" fontId="9" fillId="15" borderId="13" xfId="0" applyNumberFormat="1" applyFont="1" applyFill="1" applyBorder="1" applyAlignment="1">
      <alignment horizontal="center" vertical="center" shrinkToFit="1"/>
    </xf>
    <xf numFmtId="20" fontId="9" fillId="15" borderId="60" xfId="0" applyNumberFormat="1" applyFont="1" applyFill="1" applyBorder="1" applyAlignment="1">
      <alignment horizontal="center" vertical="center" shrinkToFit="1"/>
    </xf>
    <xf numFmtId="20" fontId="17" fillId="15" borderId="57" xfId="3" applyNumberFormat="1" applyFont="1" applyFill="1" applyBorder="1" applyAlignment="1">
      <alignment horizontal="center" vertical="center" shrinkToFit="1"/>
    </xf>
    <xf numFmtId="20" fontId="17" fillId="15" borderId="58" xfId="3" applyNumberFormat="1" applyFont="1" applyFill="1" applyBorder="1" applyAlignment="1">
      <alignment horizontal="center" vertical="center" shrinkToFit="1"/>
    </xf>
    <xf numFmtId="49" fontId="11" fillId="9" borderId="13" xfId="0" quotePrefix="1" applyNumberFormat="1" applyFont="1" applyFill="1" applyBorder="1" applyAlignment="1">
      <alignment horizontal="center" vertical="center" shrinkToFit="1"/>
    </xf>
    <xf numFmtId="49" fontId="11" fillId="9" borderId="11" xfId="0" quotePrefix="1" applyNumberFormat="1" applyFont="1" applyFill="1" applyBorder="1" applyAlignment="1">
      <alignment horizontal="center" vertical="center" shrinkToFit="1"/>
    </xf>
    <xf numFmtId="49" fontId="11" fillId="9" borderId="27" xfId="0" quotePrefix="1" applyNumberFormat="1" applyFont="1" applyFill="1" applyBorder="1" applyAlignment="1">
      <alignment horizontal="center" vertical="center" shrinkToFit="1"/>
    </xf>
    <xf numFmtId="49" fontId="25" fillId="0" borderId="13" xfId="0" applyNumberFormat="1" applyFont="1" applyBorder="1" applyAlignment="1">
      <alignment horizontal="center" vertical="center" shrinkToFit="1"/>
    </xf>
    <xf numFmtId="49" fontId="25" fillId="0" borderId="11" xfId="0" applyNumberFormat="1" applyFont="1" applyBorder="1" applyAlignment="1">
      <alignment horizontal="center" vertical="center" shrinkToFit="1"/>
    </xf>
    <xf numFmtId="49" fontId="25" fillId="0" borderId="27" xfId="0" applyNumberFormat="1" applyFont="1" applyBorder="1" applyAlignment="1">
      <alignment horizontal="center" vertical="center" shrinkToFit="1"/>
    </xf>
    <xf numFmtId="49" fontId="11" fillId="9" borderId="13" xfId="0" applyNumberFormat="1" applyFont="1" applyFill="1" applyBorder="1" applyAlignment="1">
      <alignment horizontal="center" vertical="center" shrinkToFit="1"/>
    </xf>
    <xf numFmtId="49" fontId="11" fillId="9" borderId="11" xfId="0" applyNumberFormat="1" applyFont="1" applyFill="1" applyBorder="1" applyAlignment="1">
      <alignment horizontal="center" vertical="center" shrinkToFit="1"/>
    </xf>
    <xf numFmtId="49" fontId="11" fillId="9" borderId="27" xfId="0" applyNumberFormat="1" applyFont="1" applyFill="1" applyBorder="1" applyAlignment="1">
      <alignment horizontal="center" vertical="center" shrinkToFit="1"/>
    </xf>
    <xf numFmtId="49" fontId="43" fillId="0" borderId="13" xfId="0" applyNumberFormat="1" applyFont="1" applyBorder="1" applyAlignment="1">
      <alignment horizontal="center" vertical="center" shrinkToFit="1"/>
    </xf>
    <xf numFmtId="49" fontId="43" fillId="0" borderId="11" xfId="0" applyNumberFormat="1" applyFont="1" applyBorder="1" applyAlignment="1">
      <alignment horizontal="center" vertical="center" shrinkToFit="1"/>
    </xf>
    <xf numFmtId="49" fontId="43" fillId="0" borderId="27" xfId="0" applyNumberFormat="1" applyFont="1" applyBorder="1" applyAlignment="1">
      <alignment horizontal="center" vertical="center" shrinkToFit="1"/>
    </xf>
    <xf numFmtId="20" fontId="9" fillId="18" borderId="26" xfId="0" applyNumberFormat="1" applyFont="1" applyFill="1" applyBorder="1" applyAlignment="1">
      <alignment horizontal="center" vertical="center" shrinkToFit="1"/>
    </xf>
    <xf numFmtId="20" fontId="9" fillId="18" borderId="11" xfId="0" applyNumberFormat="1" applyFont="1" applyFill="1" applyBorder="1" applyAlignment="1">
      <alignment horizontal="center" vertical="center" shrinkToFit="1"/>
    </xf>
    <xf numFmtId="20" fontId="9" fillId="18" borderId="12" xfId="0" applyNumberFormat="1" applyFont="1" applyFill="1" applyBorder="1" applyAlignment="1">
      <alignment horizontal="center" vertical="center" shrinkToFit="1"/>
    </xf>
    <xf numFmtId="20" fontId="9" fillId="18" borderId="13" xfId="0" applyNumberFormat="1" applyFont="1" applyFill="1" applyBorder="1" applyAlignment="1">
      <alignment horizontal="center" vertical="center" shrinkToFit="1"/>
    </xf>
    <xf numFmtId="20" fontId="9" fillId="18" borderId="60" xfId="0" applyNumberFormat="1" applyFont="1" applyFill="1" applyBorder="1" applyAlignment="1">
      <alignment horizontal="center" vertical="center" shrinkToFit="1"/>
    </xf>
    <xf numFmtId="20" fontId="17" fillId="18" borderId="57" xfId="3" applyNumberFormat="1" applyFont="1" applyFill="1" applyBorder="1" applyAlignment="1">
      <alignment horizontal="center" vertical="center" shrinkToFit="1"/>
    </xf>
    <xf numFmtId="20" fontId="17" fillId="18" borderId="58" xfId="3" applyNumberFormat="1" applyFont="1" applyFill="1" applyBorder="1" applyAlignment="1">
      <alignment horizontal="center" vertical="center" shrinkToFit="1"/>
    </xf>
    <xf numFmtId="0" fontId="12" fillId="18" borderId="59" xfId="0" applyFont="1" applyFill="1" applyBorder="1" applyAlignment="1">
      <alignment horizontal="center" vertical="center" shrinkToFit="1"/>
    </xf>
    <xf numFmtId="0" fontId="12" fillId="18" borderId="11" xfId="0" applyFont="1" applyFill="1" applyBorder="1" applyAlignment="1">
      <alignment horizontal="center" vertical="center" shrinkToFit="1"/>
    </xf>
    <xf numFmtId="49" fontId="12" fillId="18" borderId="13" xfId="0" quotePrefix="1" applyNumberFormat="1" applyFont="1" applyFill="1" applyBorder="1" applyAlignment="1">
      <alignment horizontal="center" vertical="center" shrinkToFit="1"/>
    </xf>
    <xf numFmtId="49" fontId="12" fillId="18" borderId="11" xfId="0" quotePrefix="1" applyNumberFormat="1" applyFont="1" applyFill="1" applyBorder="1" applyAlignment="1">
      <alignment horizontal="center" vertical="center" shrinkToFit="1"/>
    </xf>
    <xf numFmtId="49" fontId="12" fillId="18" borderId="27" xfId="0" quotePrefix="1" applyNumberFormat="1" applyFont="1" applyFill="1" applyBorder="1" applyAlignment="1">
      <alignment horizontal="center" vertical="center" shrinkToFit="1"/>
    </xf>
    <xf numFmtId="14" fontId="5" fillId="14" borderId="8" xfId="0" applyNumberFormat="1" applyFont="1" applyFill="1" applyBorder="1" applyAlignment="1">
      <alignment horizontal="center" vertical="center" shrinkToFit="1"/>
    </xf>
    <xf numFmtId="20" fontId="19" fillId="0" borderId="26" xfId="0" applyNumberFormat="1" applyFont="1" applyBorder="1" applyAlignment="1">
      <alignment horizontal="center" vertical="center" shrinkToFit="1"/>
    </xf>
    <xf numFmtId="20" fontId="19" fillId="0" borderId="11" xfId="0" applyNumberFormat="1" applyFont="1" applyBorder="1" applyAlignment="1">
      <alignment horizontal="center" vertical="center" shrinkToFit="1"/>
    </xf>
    <xf numFmtId="20" fontId="19" fillId="0" borderId="12" xfId="0" applyNumberFormat="1" applyFont="1" applyBorder="1" applyAlignment="1">
      <alignment horizontal="center" vertical="center" shrinkToFit="1"/>
    </xf>
    <xf numFmtId="20" fontId="19" fillId="0" borderId="13" xfId="0" applyNumberFormat="1" applyFont="1" applyBorder="1" applyAlignment="1">
      <alignment horizontal="center" vertical="center" shrinkToFit="1"/>
    </xf>
    <xf numFmtId="20" fontId="19" fillId="0" borderId="60" xfId="0" applyNumberFormat="1" applyFont="1" applyBorder="1" applyAlignment="1">
      <alignment horizontal="center" vertical="center" shrinkToFit="1"/>
    </xf>
    <xf numFmtId="20" fontId="26" fillId="0" borderId="57" xfId="3" applyNumberFormat="1" applyFont="1" applyFill="1" applyBorder="1" applyAlignment="1">
      <alignment horizontal="center" vertical="center" shrinkToFit="1"/>
    </xf>
    <xf numFmtId="20" fontId="26" fillId="0" borderId="58" xfId="3" applyNumberFormat="1" applyFont="1" applyFill="1" applyBorder="1" applyAlignment="1">
      <alignment horizontal="center" vertical="center" shrinkToFit="1"/>
    </xf>
    <xf numFmtId="0" fontId="4" fillId="14" borderId="29" xfId="0" applyFont="1" applyFill="1" applyBorder="1" applyAlignment="1">
      <alignment horizontal="center" vertical="center" shrinkToFit="1"/>
    </xf>
    <xf numFmtId="0" fontId="4" fillId="14" borderId="8" xfId="0" applyFont="1" applyFill="1" applyBorder="1" applyAlignment="1">
      <alignment horizontal="center" vertical="center" shrinkToFit="1"/>
    </xf>
    <xf numFmtId="49" fontId="5" fillId="14" borderId="8" xfId="0" quotePrefix="1" applyNumberFormat="1" applyFont="1" applyFill="1" applyBorder="1" applyAlignment="1">
      <alignment horizontal="center" vertical="center" shrinkToFit="1"/>
    </xf>
    <xf numFmtId="49" fontId="5" fillId="14" borderId="30" xfId="0" quotePrefix="1" applyNumberFormat="1" applyFont="1" applyFill="1" applyBorder="1" applyAlignment="1">
      <alignment horizontal="center" vertical="center" shrinkToFit="1"/>
    </xf>
    <xf numFmtId="49" fontId="4" fillId="5" borderId="10" xfId="0" applyNumberFormat="1" applyFont="1" applyFill="1" applyBorder="1" applyAlignment="1">
      <alignment horizontal="center" vertical="center" shrinkToFit="1"/>
    </xf>
    <xf numFmtId="49" fontId="4" fillId="5" borderId="9" xfId="0" quotePrefix="1" applyNumberFormat="1" applyFont="1" applyFill="1" applyBorder="1" applyAlignment="1">
      <alignment horizontal="center" vertical="center" shrinkToFit="1"/>
    </xf>
    <xf numFmtId="49" fontId="4" fillId="5" borderId="25" xfId="0" quotePrefix="1" applyNumberFormat="1" applyFont="1" applyFill="1" applyBorder="1" applyAlignment="1">
      <alignment horizontal="center" vertical="center" shrinkToFit="1"/>
    </xf>
    <xf numFmtId="49" fontId="11" fillId="16" borderId="13" xfId="0" applyNumberFormat="1" applyFont="1" applyFill="1" applyBorder="1" applyAlignment="1">
      <alignment horizontal="center" vertical="center" shrinkToFit="1"/>
    </xf>
    <xf numFmtId="49" fontId="11" fillId="16" borderId="11" xfId="0" applyNumberFormat="1" applyFont="1" applyFill="1" applyBorder="1" applyAlignment="1">
      <alignment horizontal="center" vertical="center" shrinkToFit="1"/>
    </xf>
    <xf numFmtId="49" fontId="11" fillId="16" borderId="27" xfId="0" applyNumberFormat="1" applyFont="1" applyFill="1" applyBorder="1" applyAlignment="1">
      <alignment horizontal="center" vertical="center" shrinkToFit="1"/>
    </xf>
    <xf numFmtId="49" fontId="4" fillId="5" borderId="9" xfId="0" applyNumberFormat="1" applyFont="1" applyFill="1" applyBorder="1" applyAlignment="1">
      <alignment horizontal="center" vertical="center" shrinkToFit="1"/>
    </xf>
    <xf numFmtId="49" fontId="4" fillId="5" borderId="25" xfId="0" applyNumberFormat="1" applyFont="1" applyFill="1" applyBorder="1" applyAlignment="1">
      <alignment horizontal="center" vertical="center" shrinkToFit="1"/>
    </xf>
    <xf numFmtId="0" fontId="12" fillId="15" borderId="59" xfId="0" applyFont="1" applyFill="1" applyBorder="1" applyAlignment="1">
      <alignment horizontal="center" vertical="center" shrinkToFit="1"/>
    </xf>
    <xf numFmtId="0" fontId="12" fillId="15" borderId="11" xfId="0" applyFont="1" applyFill="1" applyBorder="1" applyAlignment="1">
      <alignment horizontal="center" vertical="center" shrinkToFit="1"/>
    </xf>
    <xf numFmtId="0" fontId="56" fillId="0" borderId="59" xfId="0" applyFont="1" applyBorder="1" applyAlignment="1">
      <alignment horizontal="center" vertical="center" shrinkToFit="1"/>
    </xf>
    <xf numFmtId="0" fontId="56" fillId="0" borderId="11" xfId="0" applyFont="1" applyBorder="1" applyAlignment="1">
      <alignment horizontal="center" vertical="center" shrinkToFit="1"/>
    </xf>
    <xf numFmtId="0" fontId="12" fillId="16" borderId="59" xfId="0" applyFont="1" applyFill="1" applyBorder="1" applyAlignment="1">
      <alignment horizontal="center" vertical="center" shrinkToFit="1"/>
    </xf>
    <xf numFmtId="0" fontId="12" fillId="16" borderId="11" xfId="0" applyFont="1" applyFill="1" applyBorder="1" applyAlignment="1">
      <alignment horizontal="center" vertical="center" shrinkToFit="1"/>
    </xf>
    <xf numFmtId="49" fontId="12" fillId="16" borderId="13" xfId="0" applyNumberFormat="1" applyFont="1" applyFill="1" applyBorder="1" applyAlignment="1">
      <alignment horizontal="center" vertical="center" shrinkToFit="1"/>
    </xf>
    <xf numFmtId="49" fontId="12" fillId="16" borderId="11" xfId="0" applyNumberFormat="1" applyFont="1" applyFill="1" applyBorder="1" applyAlignment="1">
      <alignment horizontal="center" vertical="center" shrinkToFit="1"/>
    </xf>
    <xf numFmtId="49" fontId="12" fillId="16" borderId="27" xfId="0" applyNumberFormat="1" applyFont="1" applyFill="1" applyBorder="1" applyAlignment="1">
      <alignment horizontal="center" vertical="center" shrinkToFit="1"/>
    </xf>
    <xf numFmtId="49" fontId="12" fillId="15" borderId="13" xfId="0" applyNumberFormat="1" applyFont="1" applyFill="1" applyBorder="1" applyAlignment="1">
      <alignment horizontal="center" vertical="center" shrinkToFit="1"/>
    </xf>
    <xf numFmtId="49" fontId="12" fillId="15" borderId="11" xfId="0" applyNumberFormat="1" applyFont="1" applyFill="1" applyBorder="1" applyAlignment="1">
      <alignment horizontal="center" vertical="center" shrinkToFit="1"/>
    </xf>
    <xf numFmtId="49" fontId="12" fillId="15" borderId="27" xfId="0" applyNumberFormat="1" applyFont="1" applyFill="1" applyBorder="1" applyAlignment="1">
      <alignment horizontal="center" vertical="center" shrinkToFit="1"/>
    </xf>
    <xf numFmtId="49" fontId="5" fillId="14" borderId="23" xfId="0" applyNumberFormat="1" applyFont="1" applyFill="1" applyBorder="1" applyAlignment="1">
      <alignment horizontal="center" vertical="center" shrinkToFit="1"/>
    </xf>
    <xf numFmtId="49" fontId="5" fillId="14" borderId="32" xfId="0" applyNumberFormat="1" applyFont="1" applyFill="1" applyBorder="1" applyAlignment="1">
      <alignment horizontal="center" vertical="center" shrinkToFit="1"/>
    </xf>
    <xf numFmtId="20" fontId="43" fillId="0" borderId="59" xfId="0" applyNumberFormat="1" applyFont="1" applyBorder="1" applyAlignment="1">
      <alignment horizontal="center" vertical="center" shrinkToFit="1"/>
    </xf>
    <xf numFmtId="49" fontId="12" fillId="15" borderId="14" xfId="0" applyNumberFormat="1" applyFont="1" applyFill="1" applyBorder="1" applyAlignment="1">
      <alignment horizontal="center" vertical="center" shrinkToFit="1"/>
    </xf>
    <xf numFmtId="49" fontId="12" fillId="15" borderId="8" xfId="0" applyNumberFormat="1" applyFont="1" applyFill="1" applyBorder="1" applyAlignment="1">
      <alignment horizontal="center" vertical="center" shrinkToFit="1"/>
    </xf>
    <xf numFmtId="49" fontId="12" fillId="15" borderId="30" xfId="0" applyNumberFormat="1" applyFont="1" applyFill="1" applyBorder="1" applyAlignment="1">
      <alignment horizontal="center" vertical="center" shrinkToFit="1"/>
    </xf>
    <xf numFmtId="49" fontId="5" fillId="14" borderId="8" xfId="0" applyNumberFormat="1" applyFont="1" applyFill="1" applyBorder="1" applyAlignment="1">
      <alignment horizontal="center" vertical="center" shrinkToFit="1"/>
    </xf>
    <xf numFmtId="49" fontId="5" fillId="14" borderId="30" xfId="0" applyNumberFormat="1" applyFont="1" applyFill="1" applyBorder="1" applyAlignment="1">
      <alignment horizontal="center" vertical="center" shrinkToFit="1"/>
    </xf>
    <xf numFmtId="49" fontId="56" fillId="0" borderId="216" xfId="0" quotePrefix="1" applyNumberFormat="1" applyFont="1" applyBorder="1" applyAlignment="1">
      <alignment horizontal="center" vertical="center" shrinkToFit="1"/>
    </xf>
    <xf numFmtId="49" fontId="56" fillId="0" borderId="215" xfId="0" quotePrefix="1" applyNumberFormat="1" applyFont="1" applyBorder="1" applyAlignment="1">
      <alignment horizontal="center" vertical="center" shrinkToFit="1"/>
    </xf>
    <xf numFmtId="49" fontId="56" fillId="0" borderId="217" xfId="0" quotePrefix="1" applyNumberFormat="1" applyFont="1" applyBorder="1" applyAlignment="1">
      <alignment horizontal="center" vertical="center" shrinkToFit="1"/>
    </xf>
    <xf numFmtId="49" fontId="47" fillId="15" borderId="13" xfId="0" quotePrefix="1" applyNumberFormat="1" applyFont="1" applyFill="1" applyBorder="1" applyAlignment="1">
      <alignment horizontal="center" vertical="center" shrinkToFit="1"/>
    </xf>
    <xf numFmtId="49" fontId="47" fillId="15" borderId="11" xfId="0" quotePrefix="1" applyNumberFormat="1" applyFont="1" applyFill="1" applyBorder="1" applyAlignment="1">
      <alignment horizontal="center" vertical="center" shrinkToFit="1"/>
    </xf>
    <xf numFmtId="49" fontId="47" fillId="15" borderId="27" xfId="0" quotePrefix="1" applyNumberFormat="1" applyFont="1" applyFill="1" applyBorder="1" applyAlignment="1">
      <alignment horizontal="center" vertical="center" shrinkToFit="1"/>
    </xf>
    <xf numFmtId="20" fontId="47" fillId="15" borderId="26" xfId="0" applyNumberFormat="1" applyFont="1" applyFill="1" applyBorder="1" applyAlignment="1">
      <alignment horizontal="center" vertical="center" shrinkToFit="1"/>
    </xf>
    <xf numFmtId="20" fontId="47" fillId="15" borderId="11" xfId="0" applyNumberFormat="1" applyFont="1" applyFill="1" applyBorder="1" applyAlignment="1">
      <alignment horizontal="center" vertical="center" shrinkToFit="1"/>
    </xf>
    <xf numFmtId="20" fontId="47" fillId="15" borderId="12" xfId="0" applyNumberFormat="1" applyFont="1" applyFill="1" applyBorder="1" applyAlignment="1">
      <alignment horizontal="center" vertical="center" shrinkToFit="1"/>
    </xf>
    <xf numFmtId="20" fontId="47" fillId="15" borderId="13" xfId="0" applyNumberFormat="1" applyFont="1" applyFill="1" applyBorder="1" applyAlignment="1">
      <alignment horizontal="center" vertical="center" shrinkToFit="1"/>
    </xf>
    <xf numFmtId="20" fontId="47" fillId="15" borderId="60" xfId="0" applyNumberFormat="1" applyFont="1" applyFill="1" applyBorder="1" applyAlignment="1">
      <alignment horizontal="center" vertical="center" shrinkToFit="1"/>
    </xf>
    <xf numFmtId="0" fontId="47" fillId="15" borderId="59" xfId="0" applyFont="1" applyFill="1" applyBorder="1" applyAlignment="1">
      <alignment horizontal="center" vertical="center" shrinkToFit="1"/>
    </xf>
    <xf numFmtId="0" fontId="47" fillId="15" borderId="11" xfId="0" applyFont="1" applyFill="1" applyBorder="1" applyAlignment="1">
      <alignment horizontal="center" vertical="center" shrinkToFit="1"/>
    </xf>
    <xf numFmtId="0" fontId="47" fillId="15" borderId="107" xfId="0" applyFont="1" applyFill="1" applyBorder="1" applyAlignment="1">
      <alignment horizontal="center" vertical="center" shrinkToFit="1"/>
    </xf>
    <xf numFmtId="0" fontId="25" fillId="0" borderId="107" xfId="0" applyFont="1" applyBorder="1" applyAlignment="1">
      <alignment horizontal="center" vertical="center" shrinkToFit="1"/>
    </xf>
    <xf numFmtId="20" fontId="9" fillId="2" borderId="26" xfId="0" applyNumberFormat="1" applyFont="1" applyFill="1" applyBorder="1" applyAlignment="1">
      <alignment horizontal="center" vertical="center" shrinkToFit="1"/>
    </xf>
    <xf numFmtId="20" fontId="9" fillId="2" borderId="11" xfId="0" applyNumberFormat="1" applyFont="1" applyFill="1" applyBorder="1" applyAlignment="1">
      <alignment horizontal="center" vertical="center" shrinkToFit="1"/>
    </xf>
    <xf numFmtId="20" fontId="9" fillId="2" borderId="12" xfId="0" applyNumberFormat="1" applyFont="1" applyFill="1" applyBorder="1" applyAlignment="1">
      <alignment horizontal="center" vertical="center" shrinkToFit="1"/>
    </xf>
    <xf numFmtId="20" fontId="9" fillId="2" borderId="13" xfId="0" applyNumberFormat="1" applyFont="1" applyFill="1" applyBorder="1" applyAlignment="1">
      <alignment horizontal="center" vertical="center" shrinkToFit="1"/>
    </xf>
    <xf numFmtId="20" fontId="9" fillId="2" borderId="60" xfId="0" applyNumberFormat="1" applyFont="1" applyFill="1" applyBorder="1" applyAlignment="1">
      <alignment horizontal="center" vertical="center" shrinkToFit="1"/>
    </xf>
    <xf numFmtId="20" fontId="11" fillId="2" borderId="26" xfId="0" applyNumberFormat="1" applyFont="1" applyFill="1" applyBorder="1" applyAlignment="1">
      <alignment horizontal="center" vertical="center" shrinkToFit="1"/>
    </xf>
    <xf numFmtId="20" fontId="11" fillId="2" borderId="11" xfId="0" applyNumberFormat="1" applyFont="1" applyFill="1" applyBorder="1" applyAlignment="1">
      <alignment horizontal="center" vertical="center" shrinkToFit="1"/>
    </xf>
    <xf numFmtId="20" fontId="11" fillId="2" borderId="12" xfId="0" applyNumberFormat="1" applyFont="1" applyFill="1" applyBorder="1" applyAlignment="1">
      <alignment horizontal="center" vertical="center" shrinkToFit="1"/>
    </xf>
    <xf numFmtId="20" fontId="17" fillId="2" borderId="13" xfId="0" applyNumberFormat="1" applyFont="1" applyFill="1" applyBorder="1" applyAlignment="1">
      <alignment horizontal="center" vertical="center" shrinkToFit="1"/>
    </xf>
    <xf numFmtId="20" fontId="17" fillId="2" borderId="11" xfId="0" applyNumberFormat="1" applyFont="1" applyFill="1" applyBorder="1" applyAlignment="1">
      <alignment horizontal="center" vertical="center" shrinkToFit="1"/>
    </xf>
    <xf numFmtId="20" fontId="17" fillId="2" borderId="60" xfId="0" applyNumberFormat="1" applyFont="1" applyFill="1" applyBorder="1" applyAlignment="1">
      <alignment horizontal="center" vertical="center" shrinkToFit="1"/>
    </xf>
    <xf numFmtId="0" fontId="43" fillId="0" borderId="59" xfId="0" applyFont="1" applyBorder="1" applyAlignment="1">
      <alignment horizontal="center" vertical="center" shrinkToFit="1"/>
    </xf>
    <xf numFmtId="0" fontId="43" fillId="0" borderId="11" xfId="0" applyFont="1" applyBorder="1" applyAlignment="1">
      <alignment horizontal="center" vertical="center" shrinkToFit="1"/>
    </xf>
    <xf numFmtId="0" fontId="43" fillId="0" borderId="107" xfId="0" applyFont="1" applyBorder="1" applyAlignment="1">
      <alignment horizontal="center" vertical="center" shrinkToFit="1"/>
    </xf>
    <xf numFmtId="0" fontId="0" fillId="0" borderId="61" xfId="0" applyBorder="1" applyAlignment="1">
      <alignment horizontal="center" vertical="center"/>
    </xf>
    <xf numFmtId="166" fontId="0" fillId="0" borderId="71" xfId="0" applyNumberFormat="1" applyBorder="1" applyAlignment="1">
      <alignment horizontal="center" vertical="center"/>
    </xf>
    <xf numFmtId="166" fontId="0" fillId="0" borderId="72" xfId="0" applyNumberFormat="1" applyBorder="1" applyAlignment="1">
      <alignment horizontal="center" vertical="center"/>
    </xf>
    <xf numFmtId="166" fontId="0" fillId="0" borderId="73" xfId="0" applyNumberFormat="1" applyBorder="1" applyAlignment="1">
      <alignment horizontal="center" vertical="center"/>
    </xf>
    <xf numFmtId="0" fontId="44" fillId="2" borderId="158" xfId="0" applyFont="1" applyFill="1" applyBorder="1" applyAlignment="1">
      <alignment horizontal="center" vertical="center"/>
    </xf>
    <xf numFmtId="0" fontId="44" fillId="2" borderId="159" xfId="0" applyFont="1" applyFill="1" applyBorder="1" applyAlignment="1">
      <alignment horizontal="center" vertical="center"/>
    </xf>
    <xf numFmtId="0" fontId="44" fillId="2" borderId="160" xfId="0" applyFont="1" applyFill="1" applyBorder="1" applyAlignment="1">
      <alignment horizontal="center" vertical="center"/>
    </xf>
    <xf numFmtId="0" fontId="44" fillId="2" borderId="161" xfId="0" applyFont="1" applyFill="1" applyBorder="1" applyAlignment="1">
      <alignment horizontal="center" vertical="center"/>
    </xf>
    <xf numFmtId="0" fontId="44" fillId="2" borderId="22" xfId="0" applyFont="1" applyFill="1" applyBorder="1" applyAlignment="1">
      <alignment horizontal="center" vertical="center"/>
    </xf>
    <xf numFmtId="0" fontId="44" fillId="2" borderId="23" xfId="0" applyFont="1" applyFill="1" applyBorder="1" applyAlignment="1">
      <alignment horizontal="center" vertical="center"/>
    </xf>
    <xf numFmtId="0" fontId="44" fillId="2" borderId="32" xfId="0" applyFont="1" applyFill="1" applyBorder="1" applyAlignment="1">
      <alignment horizontal="center" vertical="center"/>
    </xf>
    <xf numFmtId="0" fontId="44" fillId="2" borderId="154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 vertical="center"/>
    </xf>
    <xf numFmtId="20" fontId="16" fillId="2" borderId="22" xfId="0" applyNumberFormat="1" applyFont="1" applyFill="1" applyBorder="1" applyAlignment="1">
      <alignment horizontal="center" vertical="center"/>
    </xf>
    <xf numFmtId="20" fontId="16" fillId="2" borderId="23" xfId="0" applyNumberFormat="1" applyFont="1" applyFill="1" applyBorder="1" applyAlignment="1">
      <alignment horizontal="center" vertical="center"/>
    </xf>
    <xf numFmtId="20" fontId="16" fillId="2" borderId="32" xfId="0" applyNumberFormat="1" applyFont="1" applyFill="1" applyBorder="1" applyAlignment="1">
      <alignment horizontal="center" vertical="center"/>
    </xf>
    <xf numFmtId="20" fontId="16" fillId="2" borderId="158" xfId="0" applyNumberFormat="1" applyFont="1" applyFill="1" applyBorder="1" applyAlignment="1">
      <alignment horizontal="center" vertical="center" wrapText="1"/>
    </xf>
    <xf numFmtId="20" fontId="16" fillId="2" borderId="159" xfId="0" applyNumberFormat="1" applyFont="1" applyFill="1" applyBorder="1" applyAlignment="1">
      <alignment horizontal="center" vertical="center" wrapText="1"/>
    </xf>
    <xf numFmtId="20" fontId="16" fillId="2" borderId="160" xfId="0" applyNumberFormat="1" applyFont="1" applyFill="1" applyBorder="1" applyAlignment="1">
      <alignment horizontal="center" vertical="center" wrapText="1"/>
    </xf>
    <xf numFmtId="0" fontId="6" fillId="2" borderId="122" xfId="0" applyFont="1" applyFill="1" applyBorder="1" applyAlignment="1">
      <alignment horizontal="center" vertical="center"/>
    </xf>
    <xf numFmtId="0" fontId="6" fillId="2" borderId="167" xfId="0" applyFont="1" applyFill="1" applyBorder="1" applyAlignment="1">
      <alignment horizontal="center" vertical="center"/>
    </xf>
    <xf numFmtId="20" fontId="46" fillId="2" borderId="2" xfId="0" applyNumberFormat="1" applyFont="1" applyFill="1" applyBorder="1" applyAlignment="1">
      <alignment horizontal="center" vertical="center"/>
    </xf>
    <xf numFmtId="20" fontId="46" fillId="2" borderId="3" xfId="0" applyNumberFormat="1" applyFont="1" applyFill="1" applyBorder="1" applyAlignment="1">
      <alignment horizontal="center" vertical="center"/>
    </xf>
    <xf numFmtId="20" fontId="46" fillId="2" borderId="4" xfId="0" applyNumberFormat="1" applyFont="1" applyFill="1" applyBorder="1" applyAlignment="1">
      <alignment horizontal="center" vertical="center"/>
    </xf>
    <xf numFmtId="0" fontId="44" fillId="2" borderId="151" xfId="0" applyFont="1" applyFill="1" applyBorder="1" applyAlignment="1">
      <alignment horizontal="center" vertical="center"/>
    </xf>
    <xf numFmtId="0" fontId="44" fillId="2" borderId="152" xfId="0" applyFont="1" applyFill="1" applyBorder="1" applyAlignment="1">
      <alignment horizontal="center" vertical="center"/>
    </xf>
    <xf numFmtId="0" fontId="44" fillId="2" borderId="148" xfId="0" applyFont="1" applyFill="1" applyBorder="1" applyAlignment="1">
      <alignment horizontal="center" vertical="center"/>
    </xf>
    <xf numFmtId="0" fontId="44" fillId="2" borderId="149" xfId="0" applyFont="1" applyFill="1" applyBorder="1" applyAlignment="1">
      <alignment horizontal="center" vertical="center"/>
    </xf>
    <xf numFmtId="0" fontId="44" fillId="2" borderId="150" xfId="0" applyFont="1" applyFill="1" applyBorder="1" applyAlignment="1">
      <alignment horizontal="center" vertical="center"/>
    </xf>
    <xf numFmtId="20" fontId="16" fillId="2" borderId="21" xfId="0" applyNumberFormat="1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65" xfId="0" applyFont="1" applyFill="1" applyBorder="1" applyAlignment="1">
      <alignment horizontal="center" vertical="center"/>
    </xf>
    <xf numFmtId="0" fontId="6" fillId="2" borderId="166" xfId="0" applyFont="1" applyFill="1" applyBorder="1" applyAlignment="1">
      <alignment vertical="center"/>
    </xf>
    <xf numFmtId="0" fontId="6" fillId="2" borderId="122" xfId="0" applyFont="1" applyFill="1" applyBorder="1" applyAlignment="1">
      <alignment vertical="center"/>
    </xf>
    <xf numFmtId="0" fontId="6" fillId="2" borderId="164" xfId="0" applyFont="1" applyFill="1" applyBorder="1" applyAlignment="1">
      <alignment vertical="center"/>
    </xf>
    <xf numFmtId="0" fontId="6" fillId="2" borderId="21" xfId="0" applyFont="1" applyFill="1" applyBorder="1" applyAlignment="1">
      <alignment vertical="center"/>
    </xf>
    <xf numFmtId="0" fontId="6" fillId="2" borderId="145" xfId="0" applyFont="1" applyFill="1" applyBorder="1" applyAlignment="1">
      <alignment horizontal="left" vertical="center" wrapText="1"/>
    </xf>
    <xf numFmtId="0" fontId="6" fillId="2" borderId="146" xfId="0" applyFont="1" applyFill="1" applyBorder="1" applyAlignment="1">
      <alignment horizontal="left" vertical="center" wrapText="1"/>
    </xf>
    <xf numFmtId="0" fontId="6" fillId="2" borderId="147" xfId="0" applyFont="1" applyFill="1" applyBorder="1" applyAlignment="1">
      <alignment horizontal="left" vertical="center" wrapText="1"/>
    </xf>
    <xf numFmtId="0" fontId="6" fillId="2" borderId="153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43" xfId="0" applyFont="1" applyFill="1" applyBorder="1" applyAlignment="1">
      <alignment horizontal="left" vertical="center" wrapText="1"/>
    </xf>
    <xf numFmtId="0" fontId="6" fillId="2" borderId="155" xfId="0" applyFont="1" applyFill="1" applyBorder="1" applyAlignment="1">
      <alignment horizontal="left" vertical="center" wrapText="1"/>
    </xf>
    <xf numFmtId="0" fontId="6" fillId="2" borderId="156" xfId="0" applyFont="1" applyFill="1" applyBorder="1" applyAlignment="1">
      <alignment horizontal="left" vertical="center" wrapText="1"/>
    </xf>
    <xf numFmtId="0" fontId="6" fillId="2" borderId="157" xfId="0" applyFont="1" applyFill="1" applyBorder="1" applyAlignment="1">
      <alignment horizontal="left" vertical="center" wrapText="1"/>
    </xf>
    <xf numFmtId="0" fontId="49" fillId="2" borderId="2" xfId="0" applyFont="1" applyFill="1" applyBorder="1" applyAlignment="1">
      <alignment vertical="center" wrapText="1"/>
    </xf>
    <xf numFmtId="0" fontId="49" fillId="2" borderId="3" xfId="0" applyFont="1" applyFill="1" applyBorder="1" applyAlignment="1">
      <alignment vertical="center" wrapText="1"/>
    </xf>
    <xf numFmtId="0" fontId="49" fillId="2" borderId="4" xfId="0" applyFont="1" applyFill="1" applyBorder="1" applyAlignment="1">
      <alignment vertical="center" wrapText="1"/>
    </xf>
    <xf numFmtId="14" fontId="16" fillId="2" borderId="21" xfId="0" applyNumberFormat="1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16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2" borderId="148" xfId="0" applyFont="1" applyFill="1" applyBorder="1" applyAlignment="1">
      <alignment vertical="center"/>
    </xf>
    <xf numFmtId="0" fontId="16" fillId="2" borderId="149" xfId="0" applyFont="1" applyFill="1" applyBorder="1" applyAlignment="1">
      <alignment vertical="center"/>
    </xf>
    <xf numFmtId="0" fontId="16" fillId="2" borderId="150" xfId="0" applyFont="1" applyFill="1" applyBorder="1" applyAlignment="1">
      <alignment vertical="center"/>
    </xf>
    <xf numFmtId="0" fontId="16" fillId="2" borderId="75" xfId="0" applyFont="1" applyFill="1" applyBorder="1" applyAlignment="1">
      <alignment vertical="center"/>
    </xf>
    <xf numFmtId="0" fontId="16" fillId="2" borderId="74" xfId="0" applyFont="1" applyFill="1" applyBorder="1" applyAlignment="1">
      <alignment vertical="center"/>
    </xf>
    <xf numFmtId="0" fontId="16" fillId="2" borderId="76" xfId="0" applyFont="1" applyFill="1" applyBorder="1" applyAlignment="1">
      <alignment vertical="center"/>
    </xf>
    <xf numFmtId="0" fontId="16" fillId="2" borderId="148" xfId="0" applyFont="1" applyFill="1" applyBorder="1" applyAlignment="1">
      <alignment horizontal="center" vertical="center"/>
    </xf>
    <xf numFmtId="0" fontId="16" fillId="2" borderId="149" xfId="0" applyFont="1" applyFill="1" applyBorder="1" applyAlignment="1">
      <alignment horizontal="center" vertical="center"/>
    </xf>
    <xf numFmtId="0" fontId="16" fillId="2" borderId="150" xfId="0" applyFont="1" applyFill="1" applyBorder="1" applyAlignment="1">
      <alignment horizontal="center" vertical="center"/>
    </xf>
    <xf numFmtId="0" fontId="16" fillId="2" borderId="151" xfId="0" applyFont="1" applyFill="1" applyBorder="1" applyAlignment="1">
      <alignment horizontal="center" vertical="center"/>
    </xf>
    <xf numFmtId="14" fontId="16" fillId="2" borderId="22" xfId="0" applyNumberFormat="1" applyFont="1" applyFill="1" applyBorder="1" applyAlignment="1">
      <alignment horizontal="center" vertical="center"/>
    </xf>
    <xf numFmtId="14" fontId="16" fillId="2" borderId="23" xfId="0" applyNumberFormat="1" applyFont="1" applyFill="1" applyBorder="1" applyAlignment="1">
      <alignment horizontal="center" vertical="center"/>
    </xf>
    <xf numFmtId="14" fontId="16" fillId="2" borderId="3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0" fontId="16" fillId="0" borderId="21" xfId="0" applyNumberFormat="1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5" fillId="3" borderId="6" xfId="0" applyFont="1" applyFill="1" applyBorder="1" applyAlignment="1">
      <alignment horizontal="left" vertical="center"/>
    </xf>
    <xf numFmtId="0" fontId="5" fillId="4" borderId="113" xfId="0" applyFont="1" applyFill="1" applyBorder="1" applyAlignment="1">
      <alignment horizontal="center" vertical="center"/>
    </xf>
    <xf numFmtId="0" fontId="5" fillId="4" borderId="114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6" fillId="2" borderId="163" xfId="0" applyFont="1" applyFill="1" applyBorder="1" applyAlignment="1">
      <alignment vertical="center"/>
    </xf>
    <xf numFmtId="0" fontId="6" fillId="2" borderId="151" xfId="0" applyFont="1" applyFill="1" applyBorder="1" applyAlignment="1">
      <alignment vertical="center"/>
    </xf>
    <xf numFmtId="0" fontId="16" fillId="2" borderId="152" xfId="0" applyFont="1" applyFill="1" applyBorder="1" applyAlignment="1">
      <alignment horizontal="center" vertical="center"/>
    </xf>
    <xf numFmtId="0" fontId="44" fillId="2" borderId="117" xfId="0" applyFont="1" applyFill="1" applyBorder="1" applyAlignment="1">
      <alignment horizontal="center" vertical="center"/>
    </xf>
    <xf numFmtId="0" fontId="44" fillId="2" borderId="127" xfId="0" applyFont="1" applyFill="1" applyBorder="1" applyAlignment="1">
      <alignment horizontal="center" vertical="center"/>
    </xf>
    <xf numFmtId="0" fontId="44" fillId="2" borderId="123" xfId="0" applyFont="1" applyFill="1" applyBorder="1" applyAlignment="1">
      <alignment horizontal="center" vertical="center"/>
    </xf>
    <xf numFmtId="0" fontId="44" fillId="2" borderId="146" xfId="0" applyFont="1" applyFill="1" applyBorder="1" applyAlignment="1">
      <alignment horizontal="center" vertical="center"/>
    </xf>
    <xf numFmtId="0" fontId="44" fillId="2" borderId="0" xfId="0" applyFont="1" applyFill="1" applyAlignment="1">
      <alignment horizontal="center" vertical="center"/>
    </xf>
    <xf numFmtId="0" fontId="44" fillId="2" borderId="109" xfId="0" applyFont="1" applyFill="1" applyBorder="1" applyAlignment="1">
      <alignment horizontal="center" vertical="center"/>
    </xf>
    <xf numFmtId="0" fontId="44" fillId="2" borderId="103" xfId="0" applyFont="1" applyFill="1" applyBorder="1" applyAlignment="1">
      <alignment horizontal="center" vertical="center"/>
    </xf>
    <xf numFmtId="0" fontId="44" fillId="2" borderId="126" xfId="0" applyFont="1" applyFill="1" applyBorder="1" applyAlignment="1">
      <alignment horizontal="center" vertical="center"/>
    </xf>
    <xf numFmtId="0" fontId="6" fillId="2" borderId="113" xfId="0" applyFont="1" applyFill="1" applyBorder="1" applyAlignment="1">
      <alignment horizontal="left" vertical="center" wrapText="1"/>
    </xf>
    <xf numFmtId="0" fontId="6" fillId="2" borderId="114" xfId="0" applyFont="1" applyFill="1" applyBorder="1" applyAlignment="1">
      <alignment horizontal="left" vertical="center" wrapText="1"/>
    </xf>
    <xf numFmtId="0" fontId="6" fillId="2" borderId="125" xfId="0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left" vertical="center" wrapText="1"/>
    </xf>
    <xf numFmtId="0" fontId="6" fillId="2" borderId="120" xfId="0" applyFont="1" applyFill="1" applyBorder="1" applyAlignment="1">
      <alignment horizontal="left" vertical="center" wrapText="1"/>
    </xf>
    <xf numFmtId="0" fontId="6" fillId="2" borderId="112" xfId="0" applyFont="1" applyFill="1" applyBorder="1" applyAlignment="1">
      <alignment horizontal="left" vertical="center" wrapText="1"/>
    </xf>
    <xf numFmtId="0" fontId="44" fillId="2" borderId="2" xfId="0" applyFont="1" applyFill="1" applyBorder="1" applyAlignment="1">
      <alignment horizontal="center" vertical="center"/>
    </xf>
    <xf numFmtId="0" fontId="44" fillId="2" borderId="3" xfId="0" applyFont="1" applyFill="1" applyBorder="1" applyAlignment="1">
      <alignment horizontal="center" vertical="center"/>
    </xf>
    <xf numFmtId="0" fontId="44" fillId="2" borderId="110" xfId="0" applyFont="1" applyFill="1" applyBorder="1" applyAlignment="1">
      <alignment horizontal="center" vertical="center"/>
    </xf>
    <xf numFmtId="0" fontId="6" fillId="2" borderId="121" xfId="0" applyFont="1" applyFill="1" applyBorder="1" applyAlignment="1">
      <alignment vertical="center"/>
    </xf>
    <xf numFmtId="0" fontId="6" fillId="2" borderId="108" xfId="0" applyFont="1" applyFill="1" applyBorder="1" applyAlignment="1">
      <alignment vertical="center"/>
    </xf>
    <xf numFmtId="0" fontId="49" fillId="2" borderId="122" xfId="0" applyFont="1" applyFill="1" applyBorder="1" applyAlignment="1">
      <alignment vertical="center" wrapText="1"/>
    </xf>
    <xf numFmtId="20" fontId="6" fillId="2" borderId="103" xfId="0" applyNumberFormat="1" applyFont="1" applyFill="1" applyBorder="1" applyAlignment="1">
      <alignment horizontal="center" vertical="center"/>
    </xf>
    <xf numFmtId="20" fontId="6" fillId="2" borderId="110" xfId="0" applyNumberFormat="1" applyFont="1" applyFill="1" applyBorder="1" applyAlignment="1">
      <alignment horizontal="center" vertical="center"/>
    </xf>
    <xf numFmtId="0" fontId="6" fillId="2" borderId="118" xfId="0" applyFont="1" applyFill="1" applyBorder="1" applyAlignment="1">
      <alignment vertical="center"/>
    </xf>
    <xf numFmtId="0" fontId="16" fillId="2" borderId="21" xfId="0" applyFont="1" applyFill="1" applyBorder="1" applyAlignment="1">
      <alignment vertical="center"/>
    </xf>
    <xf numFmtId="20" fontId="6" fillId="2" borderId="109" xfId="0" applyNumberFormat="1" applyFont="1" applyFill="1" applyBorder="1" applyAlignment="1">
      <alignment horizontal="center" vertical="center"/>
    </xf>
    <xf numFmtId="20" fontId="6" fillId="2" borderId="126" xfId="0" applyNumberFormat="1" applyFont="1" applyFill="1" applyBorder="1" applyAlignment="1">
      <alignment horizontal="center" vertical="center"/>
    </xf>
    <xf numFmtId="0" fontId="16" fillId="2" borderId="119" xfId="0" applyFont="1" applyFill="1" applyBorder="1" applyAlignment="1">
      <alignment horizontal="center" vertical="center"/>
    </xf>
    <xf numFmtId="0" fontId="6" fillId="2" borderId="119" xfId="0" applyFont="1" applyFill="1" applyBorder="1" applyAlignment="1">
      <alignment horizontal="center" vertical="center"/>
    </xf>
    <xf numFmtId="20" fontId="6" fillId="2" borderId="158" xfId="0" applyNumberFormat="1" applyFont="1" applyFill="1" applyBorder="1" applyAlignment="1">
      <alignment horizontal="center" vertical="center"/>
    </xf>
    <xf numFmtId="20" fontId="6" fillId="2" borderId="159" xfId="0" applyNumberFormat="1" applyFont="1" applyFill="1" applyBorder="1" applyAlignment="1">
      <alignment horizontal="center" vertical="center"/>
    </xf>
    <xf numFmtId="20" fontId="6" fillId="2" borderId="160" xfId="0" applyNumberFormat="1" applyFont="1" applyFill="1" applyBorder="1" applyAlignment="1">
      <alignment horizontal="center" vertical="center"/>
    </xf>
    <xf numFmtId="0" fontId="6" fillId="2" borderId="116" xfId="0" applyFont="1" applyFill="1" applyBorder="1" applyAlignment="1">
      <alignment vertical="center"/>
    </xf>
    <xf numFmtId="0" fontId="6" fillId="2" borderId="117" xfId="0" applyFont="1" applyFill="1" applyBorder="1" applyAlignment="1">
      <alignment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117" xfId="0" applyFont="1" applyFill="1" applyBorder="1" applyAlignment="1">
      <alignment horizontal="center" vertical="center"/>
    </xf>
    <xf numFmtId="0" fontId="6" fillId="2" borderId="127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14" fontId="16" fillId="2" borderId="22" xfId="2" applyNumberFormat="1" applyFont="1" applyFill="1" applyBorder="1" applyAlignment="1">
      <alignment horizontal="center" vertical="center"/>
    </xf>
    <xf numFmtId="14" fontId="16" fillId="2" borderId="23" xfId="2" applyNumberFormat="1" applyFont="1" applyFill="1" applyBorder="1" applyAlignment="1">
      <alignment horizontal="center" vertical="center"/>
    </xf>
    <xf numFmtId="14" fontId="16" fillId="2" borderId="32" xfId="2" applyNumberFormat="1" applyFont="1" applyFill="1" applyBorder="1" applyAlignment="1">
      <alignment horizontal="center" vertical="center"/>
    </xf>
    <xf numFmtId="0" fontId="45" fillId="2" borderId="22" xfId="2" applyFont="1" applyFill="1" applyBorder="1" applyAlignment="1">
      <alignment horizontal="center" vertical="center"/>
    </xf>
    <xf numFmtId="0" fontId="45" fillId="2" borderId="23" xfId="2" applyFont="1" applyFill="1" applyBorder="1" applyAlignment="1">
      <alignment horizontal="center" vertical="center"/>
    </xf>
    <xf numFmtId="0" fontId="45" fillId="2" borderId="32" xfId="2" applyFont="1" applyFill="1" applyBorder="1" applyAlignment="1">
      <alignment horizontal="center" vertical="center"/>
    </xf>
    <xf numFmtId="14" fontId="45" fillId="2" borderId="21" xfId="2" applyNumberFormat="1" applyFont="1" applyFill="1" applyBorder="1" applyAlignment="1">
      <alignment horizontal="center" vertical="center"/>
    </xf>
    <xf numFmtId="0" fontId="45" fillId="0" borderId="22" xfId="2" applyFont="1" applyBorder="1" applyAlignment="1">
      <alignment horizontal="center" vertical="center"/>
    </xf>
    <xf numFmtId="0" fontId="45" fillId="0" borderId="23" xfId="2" applyFont="1" applyBorder="1" applyAlignment="1">
      <alignment horizontal="center" vertical="center"/>
    </xf>
    <xf numFmtId="0" fontId="45" fillId="0" borderId="32" xfId="2" applyFont="1" applyBorder="1" applyAlignment="1">
      <alignment horizontal="center" vertical="center"/>
    </xf>
    <xf numFmtId="0" fontId="6" fillId="0" borderId="21" xfId="2" applyFont="1" applyBorder="1" applyAlignment="1">
      <alignment horizontal="center" vertical="center"/>
    </xf>
    <xf numFmtId="0" fontId="14" fillId="0" borderId="2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0" fontId="16" fillId="0" borderId="22" xfId="2" applyFont="1" applyBorder="1" applyAlignment="1">
      <alignment horizontal="center" vertical="center"/>
    </xf>
    <xf numFmtId="0" fontId="16" fillId="0" borderId="23" xfId="2" applyFont="1" applyBorder="1" applyAlignment="1">
      <alignment horizontal="center" vertical="center"/>
    </xf>
    <xf numFmtId="0" fontId="16" fillId="0" borderId="32" xfId="2" applyFont="1" applyBorder="1" applyAlignment="1">
      <alignment horizontal="center" vertical="center"/>
    </xf>
    <xf numFmtId="14" fontId="45" fillId="0" borderId="22" xfId="2" applyNumberFormat="1" applyFont="1" applyBorder="1" applyAlignment="1">
      <alignment horizontal="center" vertical="center"/>
    </xf>
    <xf numFmtId="14" fontId="45" fillId="0" borderId="23" xfId="2" applyNumberFormat="1" applyFont="1" applyBorder="1" applyAlignment="1">
      <alignment horizontal="center" vertical="center"/>
    </xf>
    <xf numFmtId="14" fontId="45" fillId="0" borderId="32" xfId="2" applyNumberFormat="1" applyFont="1" applyBorder="1" applyAlignment="1">
      <alignment horizontal="center" vertical="center"/>
    </xf>
    <xf numFmtId="14" fontId="45" fillId="2" borderId="22" xfId="2" applyNumberFormat="1" applyFont="1" applyFill="1" applyBorder="1" applyAlignment="1">
      <alignment horizontal="center" vertical="center"/>
    </xf>
    <xf numFmtId="14" fontId="45" fillId="2" borderId="23" xfId="2" applyNumberFormat="1" applyFont="1" applyFill="1" applyBorder="1" applyAlignment="1">
      <alignment horizontal="center" vertical="center"/>
    </xf>
    <xf numFmtId="14" fontId="45" fillId="2" borderId="32" xfId="2" applyNumberFormat="1" applyFont="1" applyFill="1" applyBorder="1" applyAlignment="1">
      <alignment horizontal="center" vertical="center"/>
    </xf>
    <xf numFmtId="14" fontId="16" fillId="0" borderId="22" xfId="2" applyNumberFormat="1" applyFont="1" applyBorder="1" applyAlignment="1">
      <alignment horizontal="center" vertical="center"/>
    </xf>
    <xf numFmtId="14" fontId="16" fillId="0" borderId="23" xfId="2" applyNumberFormat="1" applyFont="1" applyBorder="1" applyAlignment="1">
      <alignment horizontal="center" vertical="center"/>
    </xf>
    <xf numFmtId="14" fontId="16" fillId="0" borderId="32" xfId="2" applyNumberFormat="1" applyFont="1" applyBorder="1" applyAlignment="1">
      <alignment horizontal="center" vertical="center"/>
    </xf>
    <xf numFmtId="0" fontId="4" fillId="2" borderId="19" xfId="2" applyFont="1" applyFill="1" applyBorder="1" applyAlignment="1">
      <alignment horizontal="center" vertical="center"/>
    </xf>
    <xf numFmtId="0" fontId="4" fillId="2" borderId="17" xfId="2" applyFont="1" applyFill="1" applyBorder="1" applyAlignment="1">
      <alignment horizontal="center" vertical="center"/>
    </xf>
    <xf numFmtId="0" fontId="4" fillId="2" borderId="18" xfId="2" applyFont="1" applyFill="1" applyBorder="1" applyAlignment="1">
      <alignment horizontal="center" vertical="center"/>
    </xf>
    <xf numFmtId="0" fontId="45" fillId="19" borderId="21" xfId="2" applyFont="1" applyFill="1" applyBorder="1" applyAlignment="1">
      <alignment horizontal="center" vertical="center"/>
    </xf>
    <xf numFmtId="0" fontId="45" fillId="19" borderId="22" xfId="2" applyFont="1" applyFill="1" applyBorder="1" applyAlignment="1">
      <alignment horizontal="center" vertical="center"/>
    </xf>
    <xf numFmtId="0" fontId="45" fillId="19" borderId="23" xfId="2" applyFont="1" applyFill="1" applyBorder="1" applyAlignment="1">
      <alignment horizontal="center" vertical="center"/>
    </xf>
    <xf numFmtId="0" fontId="45" fillId="19" borderId="32" xfId="2" applyFont="1" applyFill="1" applyBorder="1" applyAlignment="1">
      <alignment horizontal="center" vertical="center"/>
    </xf>
    <xf numFmtId="15" fontId="4" fillId="2" borderId="19" xfId="2" applyNumberFormat="1" applyFont="1" applyFill="1" applyBorder="1" applyAlignment="1">
      <alignment horizontal="center" vertical="center"/>
    </xf>
    <xf numFmtId="15" fontId="4" fillId="2" borderId="17" xfId="2" applyNumberFormat="1" applyFont="1" applyFill="1" applyBorder="1" applyAlignment="1">
      <alignment horizontal="center" vertical="center"/>
    </xf>
    <xf numFmtId="15" fontId="4" fillId="2" borderId="18" xfId="2" applyNumberFormat="1" applyFont="1" applyFill="1" applyBorder="1" applyAlignment="1">
      <alignment horizontal="center" vertical="center"/>
    </xf>
    <xf numFmtId="0" fontId="5" fillId="4" borderId="22" xfId="2" applyFont="1" applyFill="1" applyBorder="1" applyAlignment="1">
      <alignment horizontal="center" vertical="center"/>
    </xf>
    <xf numFmtId="0" fontId="5" fillId="4" borderId="23" xfId="2" applyFont="1" applyFill="1" applyBorder="1" applyAlignment="1">
      <alignment horizontal="center" vertical="center"/>
    </xf>
    <xf numFmtId="0" fontId="5" fillId="4" borderId="32" xfId="2" applyFont="1" applyFill="1" applyBorder="1" applyAlignment="1">
      <alignment horizontal="center" vertical="center"/>
    </xf>
    <xf numFmtId="0" fontId="4" fillId="2" borderId="198" xfId="2" applyFont="1" applyFill="1" applyBorder="1" applyAlignment="1">
      <alignment horizontal="center" vertical="center" wrapText="1"/>
    </xf>
    <xf numFmtId="0" fontId="4" fillId="2" borderId="199" xfId="2" applyFont="1" applyFill="1" applyBorder="1" applyAlignment="1">
      <alignment horizontal="center" vertical="center"/>
    </xf>
    <xf numFmtId="0" fontId="4" fillId="2" borderId="200" xfId="2" applyFont="1" applyFill="1" applyBorder="1" applyAlignment="1">
      <alignment horizontal="center" vertical="center"/>
    </xf>
    <xf numFmtId="0" fontId="4" fillId="2" borderId="53" xfId="2" applyFont="1" applyFill="1" applyBorder="1" applyAlignment="1">
      <alignment horizontal="center" vertical="center"/>
    </xf>
    <xf numFmtId="0" fontId="4" fillId="2" borderId="54" xfId="2" applyFont="1" applyFill="1" applyBorder="1" applyAlignment="1">
      <alignment horizontal="center" vertical="center"/>
    </xf>
    <xf numFmtId="0" fontId="4" fillId="2" borderId="55" xfId="2" applyFont="1" applyFill="1" applyBorder="1" applyAlignment="1">
      <alignment horizontal="center" vertical="center"/>
    </xf>
    <xf numFmtId="0" fontId="6" fillId="19" borderId="21" xfId="2" applyFont="1" applyFill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14" fillId="0" borderId="75" xfId="2" applyFont="1" applyBorder="1" applyAlignment="1">
      <alignment horizontal="center" vertical="center"/>
    </xf>
    <xf numFmtId="0" fontId="14" fillId="0" borderId="76" xfId="2" applyFont="1" applyBorder="1" applyAlignment="1">
      <alignment horizontal="center" vertical="center"/>
    </xf>
    <xf numFmtId="0" fontId="6" fillId="0" borderId="75" xfId="2" applyFont="1" applyBorder="1" applyAlignment="1">
      <alignment horizontal="center" vertical="center"/>
    </xf>
    <xf numFmtId="0" fontId="6" fillId="0" borderId="76" xfId="2" applyFont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0" fontId="6" fillId="2" borderId="4" xfId="2" applyFont="1" applyFill="1" applyBorder="1" applyAlignment="1">
      <alignment horizontal="center" vertical="center"/>
    </xf>
    <xf numFmtId="0" fontId="14" fillId="2" borderId="2" xfId="2" applyFont="1" applyFill="1" applyBorder="1" applyAlignment="1">
      <alignment horizontal="center" vertical="center"/>
    </xf>
    <xf numFmtId="0" fontId="14" fillId="2" borderId="4" xfId="2" applyFont="1" applyFill="1" applyBorder="1" applyAlignment="1">
      <alignment horizontal="center" vertical="center"/>
    </xf>
    <xf numFmtId="0" fontId="16" fillId="2" borderId="22" xfId="2" applyFont="1" applyFill="1" applyBorder="1" applyAlignment="1">
      <alignment horizontal="center" vertical="center"/>
    </xf>
    <xf numFmtId="0" fontId="16" fillId="2" borderId="23" xfId="2" applyFont="1" applyFill="1" applyBorder="1" applyAlignment="1">
      <alignment horizontal="center" vertical="center"/>
    </xf>
    <xf numFmtId="0" fontId="16" fillId="2" borderId="32" xfId="2" applyFont="1" applyFill="1" applyBorder="1" applyAlignment="1">
      <alignment horizontal="center" vertical="center"/>
    </xf>
    <xf numFmtId="0" fontId="4" fillId="2" borderId="198" xfId="2" applyFont="1" applyFill="1" applyBorder="1" applyAlignment="1">
      <alignment horizontal="center" vertical="center"/>
    </xf>
    <xf numFmtId="0" fontId="16" fillId="0" borderId="21" xfId="2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6" fillId="2" borderId="75" xfId="2" applyFont="1" applyFill="1" applyBorder="1" applyAlignment="1">
      <alignment horizontal="center" vertical="center"/>
    </xf>
    <xf numFmtId="0" fontId="6" fillId="2" borderId="76" xfId="2" applyFont="1" applyFill="1" applyBorder="1" applyAlignment="1">
      <alignment horizontal="center" vertical="center"/>
    </xf>
    <xf numFmtId="0" fontId="14" fillId="2" borderId="75" xfId="2" applyFont="1" applyFill="1" applyBorder="1" applyAlignment="1">
      <alignment horizontal="center" vertical="center"/>
    </xf>
    <xf numFmtId="0" fontId="14" fillId="2" borderId="76" xfId="2" applyFont="1" applyFill="1" applyBorder="1" applyAlignment="1">
      <alignment horizontal="center" vertical="center"/>
    </xf>
    <xf numFmtId="14" fontId="45" fillId="0" borderId="21" xfId="2" applyNumberFormat="1" applyFont="1" applyBorder="1" applyAlignment="1">
      <alignment horizontal="center" vertical="center"/>
    </xf>
    <xf numFmtId="0" fontId="14" fillId="0" borderId="22" xfId="2" applyFont="1" applyBorder="1" applyAlignment="1">
      <alignment horizontal="center" vertical="center"/>
    </xf>
    <xf numFmtId="0" fontId="14" fillId="0" borderId="32" xfId="2" applyFont="1" applyBorder="1" applyAlignment="1">
      <alignment horizontal="center" vertical="center"/>
    </xf>
    <xf numFmtId="0" fontId="14" fillId="0" borderId="203" xfId="2" applyFont="1" applyBorder="1" applyAlignment="1">
      <alignment horizontal="center" vertical="center"/>
    </xf>
    <xf numFmtId="0" fontId="14" fillId="0" borderId="204" xfId="2" applyFont="1" applyBorder="1" applyAlignment="1">
      <alignment horizontal="center" vertical="center"/>
    </xf>
    <xf numFmtId="0" fontId="6" fillId="0" borderId="206" xfId="2" applyFont="1" applyBorder="1" applyAlignment="1">
      <alignment horizontal="center" vertical="center"/>
    </xf>
    <xf numFmtId="0" fontId="6" fillId="0" borderId="209" xfId="2" applyFont="1" applyBorder="1" applyAlignment="1">
      <alignment horizontal="center" vertical="center"/>
    </xf>
    <xf numFmtId="0" fontId="14" fillId="0" borderId="202" xfId="2" applyFont="1" applyBorder="1" applyAlignment="1">
      <alignment horizontal="center" vertical="center"/>
    </xf>
    <xf numFmtId="0" fontId="6" fillId="0" borderId="203" xfId="2" applyFont="1" applyBorder="1" applyAlignment="1">
      <alignment horizontal="center" vertical="center"/>
    </xf>
    <xf numFmtId="0" fontId="6" fillId="0" borderId="204" xfId="2" applyFont="1" applyBorder="1" applyAlignment="1">
      <alignment horizontal="center" vertical="center"/>
    </xf>
    <xf numFmtId="0" fontId="6" fillId="0" borderId="202" xfId="2" applyFont="1" applyBorder="1" applyAlignment="1">
      <alignment horizontal="center" vertical="center"/>
    </xf>
    <xf numFmtId="0" fontId="16" fillId="0" borderId="205" xfId="2" applyFont="1" applyBorder="1" applyAlignment="1">
      <alignment horizontal="center" vertical="center"/>
    </xf>
    <xf numFmtId="0" fontId="14" fillId="0" borderId="212" xfId="2" applyFont="1" applyBorder="1" applyAlignment="1">
      <alignment horizontal="center" vertical="center"/>
    </xf>
    <xf numFmtId="0" fontId="14" fillId="0" borderId="213" xfId="2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6" fillId="0" borderId="212" xfId="2" applyFont="1" applyBorder="1" applyAlignment="1">
      <alignment horizontal="center" vertical="center"/>
    </xf>
    <xf numFmtId="0" fontId="6" fillId="0" borderId="210" xfId="2" applyFont="1" applyBorder="1" applyAlignment="1">
      <alignment horizontal="center" vertical="center"/>
    </xf>
    <xf numFmtId="0" fontId="6" fillId="0" borderId="214" xfId="2" applyFont="1" applyBorder="1" applyAlignment="1">
      <alignment horizontal="center" vertical="center"/>
    </xf>
    <xf numFmtId="0" fontId="16" fillId="0" borderId="206" xfId="2" applyFont="1" applyBorder="1" applyAlignment="1">
      <alignment horizontal="center" vertical="center"/>
    </xf>
    <xf numFmtId="0" fontId="16" fillId="0" borderId="207" xfId="2" applyFont="1" applyBorder="1" applyAlignment="1">
      <alignment horizontal="center" vertical="center"/>
    </xf>
    <xf numFmtId="0" fontId="16" fillId="0" borderId="208" xfId="2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45" fillId="0" borderId="21" xfId="0" applyFont="1" applyBorder="1" applyAlignment="1">
      <alignment horizontal="center" vertical="center"/>
    </xf>
    <xf numFmtId="14" fontId="45" fillId="2" borderId="2" xfId="2" applyNumberFormat="1" applyFont="1" applyFill="1" applyBorder="1" applyAlignment="1">
      <alignment horizontal="center" vertical="center"/>
    </xf>
    <xf numFmtId="14" fontId="45" fillId="2" borderId="3" xfId="2" applyNumberFormat="1" applyFont="1" applyFill="1" applyBorder="1" applyAlignment="1">
      <alignment horizontal="center" vertical="center"/>
    </xf>
    <xf numFmtId="14" fontId="45" fillId="2" borderId="4" xfId="2" applyNumberFormat="1" applyFont="1" applyFill="1" applyBorder="1" applyAlignment="1">
      <alignment horizontal="center" vertical="center"/>
    </xf>
    <xf numFmtId="14" fontId="45" fillId="2" borderId="75" xfId="2" applyNumberFormat="1" applyFont="1" applyFill="1" applyBorder="1" applyAlignment="1">
      <alignment horizontal="center" vertical="center"/>
    </xf>
    <xf numFmtId="14" fontId="45" fillId="2" borderId="74" xfId="2" applyNumberFormat="1" applyFont="1" applyFill="1" applyBorder="1" applyAlignment="1">
      <alignment horizontal="center" vertical="center"/>
    </xf>
    <xf numFmtId="14" fontId="45" fillId="2" borderId="76" xfId="2" applyNumberFormat="1" applyFont="1" applyFill="1" applyBorder="1" applyAlignment="1">
      <alignment horizontal="center" vertical="center"/>
    </xf>
    <xf numFmtId="0" fontId="6" fillId="2" borderId="113" xfId="0" applyFont="1" applyFill="1" applyBorder="1" applyAlignment="1">
      <alignment horizontal="center" vertical="center" wrapText="1"/>
    </xf>
    <xf numFmtId="0" fontId="6" fillId="2" borderId="114" xfId="0" applyFont="1" applyFill="1" applyBorder="1" applyAlignment="1">
      <alignment horizontal="center" vertical="center" wrapText="1"/>
    </xf>
    <xf numFmtId="0" fontId="6" fillId="2" borderId="125" xfId="0" applyFont="1" applyFill="1" applyBorder="1" applyAlignment="1">
      <alignment horizontal="center" vertical="center" wrapText="1"/>
    </xf>
    <xf numFmtId="0" fontId="6" fillId="2" borderId="120" xfId="0" applyFont="1" applyFill="1" applyBorder="1" applyAlignment="1">
      <alignment horizontal="center" vertical="center" wrapText="1"/>
    </xf>
    <xf numFmtId="0" fontId="6" fillId="2" borderId="112" xfId="0" applyFont="1" applyFill="1" applyBorder="1" applyAlignment="1">
      <alignment horizontal="center" vertical="center" wrapText="1"/>
    </xf>
    <xf numFmtId="0" fontId="6" fillId="2" borderId="195" xfId="0" applyFont="1" applyFill="1" applyBorder="1" applyAlignment="1">
      <alignment horizontal="center" vertical="center" wrapText="1"/>
    </xf>
    <xf numFmtId="0" fontId="18" fillId="2" borderId="173" xfId="0" applyFont="1" applyFill="1" applyBorder="1" applyAlignment="1">
      <alignment horizontal="center" vertical="center"/>
    </xf>
    <xf numFmtId="0" fontId="18" fillId="2" borderId="194" xfId="0" applyFont="1" applyFill="1" applyBorder="1" applyAlignment="1">
      <alignment horizontal="center" vertical="center"/>
    </xf>
    <xf numFmtId="0" fontId="18" fillId="2" borderId="114" xfId="0" applyFont="1" applyFill="1" applyBorder="1" applyAlignment="1">
      <alignment horizontal="center" vertical="center"/>
    </xf>
    <xf numFmtId="0" fontId="18" fillId="2" borderId="125" xfId="0" applyFont="1" applyFill="1" applyBorder="1" applyAlignment="1">
      <alignment horizontal="center" vertical="center"/>
    </xf>
    <xf numFmtId="0" fontId="44" fillId="0" borderId="117" xfId="0" applyFont="1" applyBorder="1" applyAlignment="1">
      <alignment horizontal="center" vertical="center"/>
    </xf>
    <xf numFmtId="0" fontId="44" fillId="0" borderId="127" xfId="0" applyFont="1" applyBorder="1" applyAlignment="1">
      <alignment horizontal="center" vertical="center"/>
    </xf>
    <xf numFmtId="0" fontId="18" fillId="2" borderId="109" xfId="0" applyFont="1" applyFill="1" applyBorder="1" applyAlignment="1">
      <alignment horizontal="center" vertical="center"/>
    </xf>
    <xf numFmtId="0" fontId="18" fillId="2" borderId="103" xfId="0" applyFont="1" applyFill="1" applyBorder="1" applyAlignment="1">
      <alignment horizontal="center" vertical="center"/>
    </xf>
    <xf numFmtId="0" fontId="18" fillId="2" borderId="110" xfId="0" applyFont="1" applyFill="1" applyBorder="1" applyAlignment="1">
      <alignment horizontal="center" vertical="center"/>
    </xf>
    <xf numFmtId="0" fontId="18" fillId="2" borderId="108" xfId="0" applyFont="1" applyFill="1" applyBorder="1" applyAlignment="1">
      <alignment horizontal="center" vertical="center"/>
    </xf>
    <xf numFmtId="0" fontId="44" fillId="0" borderId="108" xfId="0" applyFont="1" applyBorder="1" applyAlignment="1">
      <alignment horizontal="center" vertical="center"/>
    </xf>
    <xf numFmtId="0" fontId="44" fillId="0" borderId="174" xfId="0" applyFont="1" applyBorder="1" applyAlignment="1">
      <alignment horizontal="center" vertical="center"/>
    </xf>
    <xf numFmtId="20" fontId="16" fillId="0" borderId="22" xfId="0" applyNumberFormat="1" applyFont="1" applyBorder="1" applyAlignment="1">
      <alignment horizontal="center" vertical="center"/>
    </xf>
    <xf numFmtId="20" fontId="16" fillId="0" borderId="23" xfId="0" applyNumberFormat="1" applyFont="1" applyBorder="1" applyAlignment="1">
      <alignment horizontal="center" vertical="center"/>
    </xf>
    <xf numFmtId="20" fontId="16" fillId="0" borderId="32" xfId="0" applyNumberFormat="1" applyFont="1" applyBorder="1" applyAlignment="1">
      <alignment horizontal="center" vertical="center"/>
    </xf>
    <xf numFmtId="20" fontId="16" fillId="0" borderId="123" xfId="0" applyNumberFormat="1" applyFont="1" applyBorder="1" applyAlignment="1">
      <alignment horizontal="center" vertical="center"/>
    </xf>
    <xf numFmtId="20" fontId="16" fillId="0" borderId="109" xfId="0" applyNumberFormat="1" applyFont="1" applyBorder="1" applyAlignment="1">
      <alignment horizontal="center" vertical="center"/>
    </xf>
    <xf numFmtId="20" fontId="16" fillId="0" borderId="103" xfId="0" applyNumberFormat="1" applyFont="1" applyBorder="1" applyAlignment="1">
      <alignment horizontal="center" vertical="center"/>
    </xf>
    <xf numFmtId="20" fontId="16" fillId="0" borderId="110" xfId="0" applyNumberFormat="1" applyFont="1" applyBorder="1" applyAlignment="1">
      <alignment horizontal="center" vertical="center"/>
    </xf>
    <xf numFmtId="20" fontId="16" fillId="0" borderId="126" xfId="0" applyNumberFormat="1" applyFont="1" applyBorder="1" applyAlignment="1">
      <alignment horizontal="center" vertical="center"/>
    </xf>
    <xf numFmtId="0" fontId="6" fillId="2" borderId="124" xfId="0" applyFont="1" applyFill="1" applyBorder="1" applyAlignment="1">
      <alignment vertical="center"/>
    </xf>
    <xf numFmtId="0" fontId="6" fillId="2" borderId="23" xfId="0" applyFont="1" applyFill="1" applyBorder="1" applyAlignment="1">
      <alignment vertical="center"/>
    </xf>
    <xf numFmtId="0" fontId="6" fillId="2" borderId="32" xfId="0" applyFont="1" applyFill="1" applyBorder="1" applyAlignment="1">
      <alignment vertical="center"/>
    </xf>
    <xf numFmtId="0" fontId="16" fillId="0" borderId="123" xfId="0" applyFont="1" applyBorder="1" applyAlignment="1">
      <alignment horizontal="center" vertical="center"/>
    </xf>
    <xf numFmtId="14" fontId="16" fillId="0" borderId="22" xfId="0" applyNumberFormat="1" applyFont="1" applyBorder="1" applyAlignment="1">
      <alignment horizontal="center" vertical="center"/>
    </xf>
    <xf numFmtId="14" fontId="16" fillId="0" borderId="23" xfId="0" applyNumberFormat="1" applyFont="1" applyBorder="1" applyAlignment="1">
      <alignment horizontal="center" vertical="center"/>
    </xf>
    <xf numFmtId="14" fontId="16" fillId="0" borderId="32" xfId="0" applyNumberFormat="1" applyFont="1" applyBorder="1" applyAlignment="1">
      <alignment horizontal="center" vertical="center"/>
    </xf>
    <xf numFmtId="14" fontId="16" fillId="0" borderId="123" xfId="0" applyNumberFormat="1" applyFont="1" applyBorder="1" applyAlignment="1">
      <alignment horizontal="center" vertical="center"/>
    </xf>
    <xf numFmtId="0" fontId="6" fillId="2" borderId="124" xfId="0" applyFont="1" applyFill="1" applyBorder="1" applyAlignment="1">
      <alignment horizontal="left" vertical="center"/>
    </xf>
    <xf numFmtId="0" fontId="6" fillId="2" borderId="23" xfId="0" applyFont="1" applyFill="1" applyBorder="1" applyAlignment="1">
      <alignment horizontal="left" vertical="center"/>
    </xf>
    <xf numFmtId="0" fontId="6" fillId="2" borderId="32" xfId="0" applyFont="1" applyFill="1" applyBorder="1" applyAlignment="1">
      <alignment horizontal="left" vertical="center"/>
    </xf>
    <xf numFmtId="0" fontId="18" fillId="0" borderId="194" xfId="0" applyFont="1" applyBorder="1" applyAlignment="1">
      <alignment horizontal="center" vertical="center"/>
    </xf>
    <xf numFmtId="0" fontId="18" fillId="0" borderId="114" xfId="0" applyFont="1" applyBorder="1" applyAlignment="1">
      <alignment horizontal="center" vertical="center"/>
    </xf>
    <xf numFmtId="0" fontId="18" fillId="0" borderId="125" xfId="0" applyFont="1" applyBorder="1" applyAlignment="1">
      <alignment horizontal="center" vertical="center"/>
    </xf>
    <xf numFmtId="0" fontId="18" fillId="0" borderId="117" xfId="0" applyFont="1" applyBorder="1" applyAlignment="1">
      <alignment horizontal="center" vertical="center"/>
    </xf>
    <xf numFmtId="0" fontId="18" fillId="0" borderId="173" xfId="0" applyFont="1" applyBorder="1" applyAlignment="1">
      <alignment horizontal="center" vertical="center"/>
    </xf>
    <xf numFmtId="0" fontId="18" fillId="0" borderId="109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10" xfId="0" applyFont="1" applyBorder="1" applyAlignment="1">
      <alignment horizontal="center" vertical="center"/>
    </xf>
    <xf numFmtId="0" fontId="18" fillId="0" borderId="108" xfId="0" applyFont="1" applyBorder="1" applyAlignment="1">
      <alignment horizontal="center" vertical="center"/>
    </xf>
    <xf numFmtId="0" fontId="44" fillId="2" borderId="108" xfId="0" applyFont="1" applyFill="1" applyBorder="1" applyAlignment="1">
      <alignment horizontal="center" vertical="center"/>
    </xf>
    <xf numFmtId="0" fontId="44" fillId="2" borderId="174" xfId="0" applyFont="1" applyFill="1" applyBorder="1" applyAlignment="1">
      <alignment horizontal="center" vertical="center"/>
    </xf>
    <xf numFmtId="20" fontId="16" fillId="2" borderId="123" xfId="0" applyNumberFormat="1" applyFont="1" applyFill="1" applyBorder="1" applyAlignment="1">
      <alignment horizontal="center" vertical="center"/>
    </xf>
    <xf numFmtId="20" fontId="16" fillId="2" borderId="109" xfId="0" applyNumberFormat="1" applyFont="1" applyFill="1" applyBorder="1" applyAlignment="1">
      <alignment horizontal="center" vertical="center"/>
    </xf>
    <xf numFmtId="20" fontId="16" fillId="2" borderId="103" xfId="0" applyNumberFormat="1" applyFont="1" applyFill="1" applyBorder="1" applyAlignment="1">
      <alignment horizontal="center" vertical="center"/>
    </xf>
    <xf numFmtId="20" fontId="16" fillId="2" borderId="110" xfId="0" applyNumberFormat="1" applyFont="1" applyFill="1" applyBorder="1" applyAlignment="1">
      <alignment horizontal="center" vertical="center"/>
    </xf>
    <xf numFmtId="20" fontId="16" fillId="2" borderId="126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75" xfId="0" applyFont="1" applyFill="1" applyBorder="1" applyAlignment="1">
      <alignment horizontal="center" vertical="center"/>
    </xf>
    <xf numFmtId="0" fontId="16" fillId="2" borderId="74" xfId="0" applyFont="1" applyFill="1" applyBorder="1" applyAlignment="1">
      <alignment horizontal="center" vertical="center"/>
    </xf>
    <xf numFmtId="0" fontId="16" fillId="2" borderId="76" xfId="0" applyFont="1" applyFill="1" applyBorder="1" applyAlignment="1">
      <alignment horizontal="center" vertical="center"/>
    </xf>
    <xf numFmtId="0" fontId="16" fillId="2" borderId="123" xfId="0" applyFont="1" applyFill="1" applyBorder="1" applyAlignment="1">
      <alignment horizontal="center" vertical="center"/>
    </xf>
    <xf numFmtId="14" fontId="16" fillId="2" borderId="123" xfId="0" applyNumberFormat="1" applyFont="1" applyFill="1" applyBorder="1" applyAlignment="1">
      <alignment horizontal="center" vertical="center"/>
    </xf>
    <xf numFmtId="20" fontId="16" fillId="9" borderId="109" xfId="0" applyNumberFormat="1" applyFont="1" applyFill="1" applyBorder="1" applyAlignment="1">
      <alignment horizontal="center" vertical="center"/>
    </xf>
    <xf numFmtId="20" fontId="16" fillId="9" borderId="103" xfId="0" applyNumberFormat="1" applyFont="1" applyFill="1" applyBorder="1" applyAlignment="1">
      <alignment horizontal="center" vertical="center"/>
    </xf>
    <xf numFmtId="20" fontId="16" fillId="9" borderId="110" xfId="0" applyNumberFormat="1" applyFont="1" applyFill="1" applyBorder="1" applyAlignment="1">
      <alignment horizontal="center" vertical="center"/>
    </xf>
    <xf numFmtId="20" fontId="16" fillId="2" borderId="122" xfId="0" applyNumberFormat="1" applyFont="1" applyFill="1" applyBorder="1" applyAlignment="1">
      <alignment horizontal="center" vertical="center"/>
    </xf>
    <xf numFmtId="20" fontId="16" fillId="2" borderId="144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43" xfId="0" applyFont="1" applyFill="1" applyBorder="1" applyAlignment="1">
      <alignment horizontal="center" vertical="center" wrapText="1"/>
    </xf>
    <xf numFmtId="0" fontId="44" fillId="2" borderId="111" xfId="0" applyFont="1" applyFill="1" applyBorder="1" applyAlignment="1">
      <alignment horizontal="center" vertical="center"/>
    </xf>
    <xf numFmtId="0" fontId="44" fillId="2" borderId="101" xfId="0" applyFont="1" applyFill="1" applyBorder="1" applyAlignment="1">
      <alignment horizontal="center" vertical="center"/>
    </xf>
    <xf numFmtId="0" fontId="44" fillId="2" borderId="168" xfId="0" applyFont="1" applyFill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18" fillId="0" borderId="74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9" borderId="20" xfId="0" applyFont="1" applyFill="1" applyBorder="1" applyAlignment="1">
      <alignment horizontal="center" vertical="center"/>
    </xf>
    <xf numFmtId="0" fontId="18" fillId="2" borderId="117" xfId="0" applyFont="1" applyFill="1" applyBorder="1" applyAlignment="1">
      <alignment horizontal="center" vertical="center"/>
    </xf>
    <xf numFmtId="0" fontId="18" fillId="2" borderId="127" xfId="0" applyFont="1" applyFill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44" fillId="2" borderId="21" xfId="0" applyFont="1" applyFill="1" applyBorder="1" applyAlignment="1">
      <alignment horizontal="center" vertical="center"/>
    </xf>
    <xf numFmtId="0" fontId="18" fillId="9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123" xfId="0" applyFont="1" applyFill="1" applyBorder="1" applyAlignment="1">
      <alignment horizontal="center" vertical="center"/>
    </xf>
    <xf numFmtId="0" fontId="16" fillId="9" borderId="22" xfId="0" applyFont="1" applyFill="1" applyBorder="1" applyAlignment="1">
      <alignment horizontal="center" vertical="center"/>
    </xf>
    <xf numFmtId="0" fontId="16" fillId="9" borderId="23" xfId="0" applyFont="1" applyFill="1" applyBorder="1" applyAlignment="1">
      <alignment horizontal="center" vertical="center"/>
    </xf>
    <xf numFmtId="0" fontId="16" fillId="9" borderId="32" xfId="0" applyFont="1" applyFill="1" applyBorder="1" applyAlignment="1">
      <alignment horizontal="center" vertical="center"/>
    </xf>
    <xf numFmtId="0" fontId="45" fillId="2" borderId="22" xfId="0" applyFont="1" applyFill="1" applyBorder="1" applyAlignment="1">
      <alignment horizontal="center" vertical="center"/>
    </xf>
    <xf numFmtId="0" fontId="45" fillId="2" borderId="23" xfId="0" applyFont="1" applyFill="1" applyBorder="1" applyAlignment="1">
      <alignment horizontal="center" vertical="center"/>
    </xf>
    <xf numFmtId="0" fontId="45" fillId="2" borderId="123" xfId="0" applyFont="1" applyFill="1" applyBorder="1" applyAlignment="1">
      <alignment horizontal="center" vertical="center"/>
    </xf>
    <xf numFmtId="20" fontId="16" fillId="9" borderId="22" xfId="0" applyNumberFormat="1" applyFont="1" applyFill="1" applyBorder="1" applyAlignment="1">
      <alignment horizontal="center" vertical="center"/>
    </xf>
    <xf numFmtId="20" fontId="16" fillId="9" borderId="23" xfId="0" applyNumberFormat="1" applyFont="1" applyFill="1" applyBorder="1" applyAlignment="1">
      <alignment horizontal="center" vertical="center"/>
    </xf>
    <xf numFmtId="20" fontId="16" fillId="9" borderId="32" xfId="0" applyNumberFormat="1" applyFont="1" applyFill="1" applyBorder="1" applyAlignment="1">
      <alignment horizontal="center" vertical="center"/>
    </xf>
    <xf numFmtId="20" fontId="45" fillId="2" borderId="21" xfId="0" applyNumberFormat="1" applyFont="1" applyFill="1" applyBorder="1" applyAlignment="1">
      <alignment horizontal="center" vertical="center"/>
    </xf>
    <xf numFmtId="20" fontId="45" fillId="2" borderId="119" xfId="0" applyNumberFormat="1" applyFont="1" applyFill="1" applyBorder="1" applyAlignment="1">
      <alignment horizontal="center" vertical="center"/>
    </xf>
    <xf numFmtId="14" fontId="16" fillId="9" borderId="22" xfId="0" applyNumberFormat="1" applyFont="1" applyFill="1" applyBorder="1" applyAlignment="1">
      <alignment horizontal="center" vertical="center"/>
    </xf>
    <xf numFmtId="14" fontId="16" fillId="9" borderId="23" xfId="0" applyNumberFormat="1" applyFont="1" applyFill="1" applyBorder="1" applyAlignment="1">
      <alignment horizontal="center" vertical="center"/>
    </xf>
    <xf numFmtId="14" fontId="16" fillId="9" borderId="32" xfId="0" applyNumberFormat="1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0" fontId="44" fillId="2" borderId="173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23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23" xfId="0" applyFont="1" applyBorder="1" applyAlignment="1">
      <alignment horizontal="center" vertical="center"/>
    </xf>
    <xf numFmtId="0" fontId="45" fillId="0" borderId="123" xfId="0" applyFont="1" applyBorder="1" applyAlignment="1">
      <alignment horizontal="center" vertical="center"/>
    </xf>
    <xf numFmtId="0" fontId="5" fillId="3" borderId="19" xfId="0" applyFont="1" applyFill="1" applyBorder="1" applyAlignment="1">
      <alignment horizontal="left" vertical="center"/>
    </xf>
    <xf numFmtId="0" fontId="5" fillId="3" borderId="18" xfId="0" applyFont="1" applyFill="1" applyBorder="1" applyAlignment="1">
      <alignment horizontal="left" vertical="center"/>
    </xf>
    <xf numFmtId="0" fontId="18" fillId="2" borderId="21" xfId="0" applyFont="1" applyFill="1" applyBorder="1" applyAlignment="1">
      <alignment horizontal="center" vertical="center"/>
    </xf>
    <xf numFmtId="20" fontId="45" fillId="0" borderId="21" xfId="0" applyNumberFormat="1" applyFont="1" applyBorder="1" applyAlignment="1">
      <alignment horizontal="center" vertical="center"/>
    </xf>
    <xf numFmtId="20" fontId="45" fillId="0" borderId="119" xfId="0" applyNumberFormat="1" applyFont="1" applyBorder="1" applyAlignment="1">
      <alignment horizontal="center" vertical="center"/>
    </xf>
    <xf numFmtId="0" fontId="18" fillId="2" borderId="20" xfId="0" applyFont="1" applyFill="1" applyBorder="1" applyAlignment="1">
      <alignment horizontal="center" vertical="center"/>
    </xf>
    <xf numFmtId="0" fontId="5" fillId="4" borderId="192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18" fillId="2" borderId="75" xfId="0" applyFont="1" applyFill="1" applyBorder="1" applyAlignment="1">
      <alignment horizontal="center" vertical="center"/>
    </xf>
    <xf numFmtId="0" fontId="18" fillId="2" borderId="74" xfId="0" applyFont="1" applyFill="1" applyBorder="1" applyAlignment="1">
      <alignment horizontal="center" vertical="center"/>
    </xf>
    <xf numFmtId="0" fontId="18" fillId="2" borderId="76" xfId="0" applyFont="1" applyFill="1" applyBorder="1" applyAlignment="1">
      <alignment horizontal="center" vertical="center"/>
    </xf>
    <xf numFmtId="20" fontId="16" fillId="0" borderId="122" xfId="0" applyNumberFormat="1" applyFont="1" applyBorder="1" applyAlignment="1">
      <alignment horizontal="center" vertical="center"/>
    </xf>
    <xf numFmtId="20" fontId="16" fillId="0" borderId="144" xfId="0" applyNumberFormat="1" applyFont="1" applyBorder="1" applyAlignment="1">
      <alignment horizontal="center" vertical="center"/>
    </xf>
    <xf numFmtId="0" fontId="44" fillId="0" borderId="109" xfId="0" applyFont="1" applyBorder="1" applyAlignment="1">
      <alignment horizontal="center" vertical="center"/>
    </xf>
    <xf numFmtId="0" fontId="44" fillId="0" borderId="103" xfId="0" applyFont="1" applyBorder="1" applyAlignment="1">
      <alignment horizontal="center" vertical="center"/>
    </xf>
    <xf numFmtId="0" fontId="44" fillId="0" borderId="110" xfId="0" applyFont="1" applyBorder="1" applyAlignment="1">
      <alignment horizontal="center" vertical="center"/>
    </xf>
    <xf numFmtId="0" fontId="44" fillId="0" borderId="111" xfId="0" applyFont="1" applyBorder="1" applyAlignment="1">
      <alignment horizontal="center" vertical="center"/>
    </xf>
    <xf numFmtId="0" fontId="44" fillId="0" borderId="101" xfId="0" applyFont="1" applyBorder="1" applyAlignment="1">
      <alignment horizontal="center" vertical="center"/>
    </xf>
    <xf numFmtId="0" fontId="44" fillId="0" borderId="168" xfId="0" applyFont="1" applyBorder="1" applyAlignment="1">
      <alignment horizontal="center" vertical="center"/>
    </xf>
    <xf numFmtId="0" fontId="18" fillId="0" borderId="111" xfId="0" applyFont="1" applyBorder="1" applyAlignment="1">
      <alignment horizontal="center" vertical="center"/>
    </xf>
    <xf numFmtId="0" fontId="18" fillId="0" borderId="101" xfId="0" applyFont="1" applyBorder="1" applyAlignment="1">
      <alignment horizontal="center" vertical="center"/>
    </xf>
    <xf numFmtId="0" fontId="18" fillId="0" borderId="168" xfId="0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0" fontId="44" fillId="0" borderId="32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211" xfId="0" applyFont="1" applyBorder="1" applyAlignment="1">
      <alignment horizontal="center" vertical="center"/>
    </xf>
    <xf numFmtId="0" fontId="45" fillId="2" borderId="22" xfId="0" applyFont="1" applyFill="1" applyBorder="1" applyAlignment="1">
      <alignment vertical="center"/>
    </xf>
    <xf numFmtId="0" fontId="45" fillId="2" borderId="23" xfId="0" applyFont="1" applyFill="1" applyBorder="1" applyAlignment="1">
      <alignment vertical="center"/>
    </xf>
    <xf numFmtId="0" fontId="45" fillId="2" borderId="123" xfId="0" applyFont="1" applyFill="1" applyBorder="1" applyAlignment="1">
      <alignment vertical="center"/>
    </xf>
    <xf numFmtId="0" fontId="45" fillId="2" borderId="111" xfId="0" applyFont="1" applyFill="1" applyBorder="1" applyAlignment="1">
      <alignment vertical="center"/>
    </xf>
    <xf numFmtId="0" fontId="45" fillId="2" borderId="101" xfId="0" applyFont="1" applyFill="1" applyBorder="1" applyAlignment="1">
      <alignment vertical="center"/>
    </xf>
    <xf numFmtId="0" fontId="45" fillId="2" borderId="102" xfId="0" applyFont="1" applyFill="1" applyBorder="1" applyAlignment="1">
      <alignment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23" xfId="0" applyNumberFormat="1" applyFont="1" applyFill="1" applyBorder="1" applyAlignment="1">
      <alignment horizontal="center" vertical="center"/>
    </xf>
    <xf numFmtId="49" fontId="3" fillId="2" borderId="123" xfId="0" applyNumberFormat="1" applyFont="1" applyFill="1" applyBorder="1" applyAlignment="1">
      <alignment horizontal="center" vertical="center"/>
    </xf>
    <xf numFmtId="0" fontId="6" fillId="2" borderId="123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23" xfId="0" applyFont="1" applyFill="1" applyBorder="1" applyAlignment="1">
      <alignment horizontal="center" vertical="center"/>
    </xf>
    <xf numFmtId="0" fontId="14" fillId="2" borderId="123" xfId="0" applyFont="1" applyFill="1" applyBorder="1" applyAlignment="1">
      <alignment horizontal="center" vertical="center"/>
    </xf>
    <xf numFmtId="0" fontId="44" fillId="2" borderId="102" xfId="0" applyFont="1" applyFill="1" applyBorder="1" applyAlignment="1">
      <alignment horizontal="center" vertical="center"/>
    </xf>
    <xf numFmtId="0" fontId="16" fillId="0" borderId="109" xfId="0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0" fontId="16" fillId="0" borderId="126" xfId="0" applyFont="1" applyBorder="1" applyAlignment="1">
      <alignment horizontal="center" vertical="center"/>
    </xf>
    <xf numFmtId="14" fontId="61" fillId="2" borderId="19" xfId="0" applyNumberFormat="1" applyFont="1" applyFill="1" applyBorder="1" applyAlignment="1">
      <alignment horizontal="center" vertical="center"/>
    </xf>
    <xf numFmtId="14" fontId="61" fillId="2" borderId="17" xfId="0" applyNumberFormat="1" applyFont="1" applyFill="1" applyBorder="1" applyAlignment="1">
      <alignment horizontal="center" vertical="center"/>
    </xf>
    <xf numFmtId="14" fontId="61" fillId="2" borderId="18" xfId="0" applyNumberFormat="1" applyFont="1" applyFill="1" applyBorder="1" applyAlignment="1">
      <alignment horizontal="center" vertical="center"/>
    </xf>
    <xf numFmtId="0" fontId="5" fillId="4" borderId="170" xfId="0" applyFont="1" applyFill="1" applyBorder="1" applyAlignment="1">
      <alignment horizontal="center" vertical="center"/>
    </xf>
    <xf numFmtId="0" fontId="5" fillId="4" borderId="171" xfId="0" applyFont="1" applyFill="1" applyBorder="1" applyAlignment="1">
      <alignment horizontal="center" vertical="center"/>
    </xf>
    <xf numFmtId="0" fontId="5" fillId="4" borderId="172" xfId="0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175" xfId="0" applyFont="1" applyFill="1" applyBorder="1" applyAlignment="1">
      <alignment horizontal="center" vertical="center"/>
    </xf>
    <xf numFmtId="20" fontId="45" fillId="2" borderId="109" xfId="0" applyNumberFormat="1" applyFont="1" applyFill="1" applyBorder="1" applyAlignment="1">
      <alignment horizontal="center" vertical="center"/>
    </xf>
    <xf numFmtId="20" fontId="45" fillId="2" borderId="103" xfId="0" applyNumberFormat="1" applyFont="1" applyFill="1" applyBorder="1" applyAlignment="1">
      <alignment horizontal="center" vertical="center"/>
    </xf>
    <xf numFmtId="20" fontId="45" fillId="2" borderId="126" xfId="0" applyNumberFormat="1" applyFont="1" applyFill="1" applyBorder="1" applyAlignment="1">
      <alignment horizontal="center" vertical="center"/>
    </xf>
    <xf numFmtId="14" fontId="45" fillId="2" borderId="22" xfId="0" applyNumberFormat="1" applyFont="1" applyFill="1" applyBorder="1" applyAlignment="1">
      <alignment horizontal="center" vertical="center"/>
    </xf>
    <xf numFmtId="14" fontId="45" fillId="2" borderId="23" xfId="0" applyNumberFormat="1" applyFont="1" applyFill="1" applyBorder="1" applyAlignment="1">
      <alignment horizontal="center" vertical="center"/>
    </xf>
    <xf numFmtId="14" fontId="45" fillId="2" borderId="123" xfId="0" applyNumberFormat="1" applyFont="1" applyFill="1" applyBorder="1" applyAlignment="1">
      <alignment horizontal="center" vertical="center"/>
    </xf>
    <xf numFmtId="0" fontId="57" fillId="2" borderId="109" xfId="0" applyFont="1" applyFill="1" applyBorder="1" applyAlignment="1">
      <alignment horizontal="center" vertical="center"/>
    </xf>
    <xf numFmtId="0" fontId="57" fillId="2" borderId="103" xfId="0" applyFont="1" applyFill="1" applyBorder="1" applyAlignment="1">
      <alignment horizontal="center" vertical="center"/>
    </xf>
    <xf numFmtId="0" fontId="57" fillId="2" borderId="126" xfId="0" applyFont="1" applyFill="1" applyBorder="1" applyAlignment="1">
      <alignment horizontal="center" vertical="center"/>
    </xf>
    <xf numFmtId="0" fontId="6" fillId="2" borderId="116" xfId="0" applyFont="1" applyFill="1" applyBorder="1" applyAlignment="1">
      <alignment horizontal="left" vertical="center"/>
    </xf>
    <xf numFmtId="0" fontId="6" fillId="2" borderId="117" xfId="0" applyFont="1" applyFill="1" applyBorder="1" applyAlignment="1">
      <alignment horizontal="left" vertical="center"/>
    </xf>
    <xf numFmtId="0" fontId="6" fillId="2" borderId="111" xfId="0" applyFont="1" applyFill="1" applyBorder="1" applyAlignment="1">
      <alignment horizontal="left" vertical="center"/>
    </xf>
    <xf numFmtId="0" fontId="45" fillId="2" borderId="111" xfId="0" applyFont="1" applyFill="1" applyBorder="1" applyAlignment="1">
      <alignment horizontal="center" vertical="center"/>
    </xf>
    <xf numFmtId="0" fontId="45" fillId="2" borderId="101" xfId="0" applyFont="1" applyFill="1" applyBorder="1" applyAlignment="1">
      <alignment horizontal="center" vertical="center"/>
    </xf>
    <xf numFmtId="0" fontId="45" fillId="2" borderId="168" xfId="0" applyFont="1" applyFill="1" applyBorder="1" applyAlignment="1">
      <alignment horizontal="center" vertical="center"/>
    </xf>
    <xf numFmtId="0" fontId="45" fillId="2" borderId="125" xfId="0" applyFont="1" applyFill="1" applyBorder="1" applyAlignment="1">
      <alignment horizontal="center" vertical="center"/>
    </xf>
    <xf numFmtId="0" fontId="45" fillId="2" borderId="173" xfId="0" applyFont="1" applyFill="1" applyBorder="1" applyAlignment="1">
      <alignment horizontal="center" vertical="center"/>
    </xf>
    <xf numFmtId="0" fontId="6" fillId="2" borderId="118" xfId="0" applyFont="1" applyFill="1" applyBorder="1" applyAlignment="1">
      <alignment horizontal="left" vertical="center"/>
    </xf>
    <xf numFmtId="0" fontId="6" fillId="2" borderId="21" xfId="0" applyFont="1" applyFill="1" applyBorder="1" applyAlignment="1">
      <alignment horizontal="left" vertical="center"/>
    </xf>
    <xf numFmtId="0" fontId="6" fillId="2" borderId="22" xfId="0" applyFont="1" applyFill="1" applyBorder="1" applyAlignment="1">
      <alignment horizontal="left" vertical="center"/>
    </xf>
    <xf numFmtId="14" fontId="16" fillId="0" borderId="21" xfId="0" applyNumberFormat="1" applyFont="1" applyBorder="1" applyAlignment="1">
      <alignment horizontal="center" vertical="center"/>
    </xf>
    <xf numFmtId="0" fontId="45" fillId="2" borderId="75" xfId="0" applyFont="1" applyFill="1" applyBorder="1" applyAlignment="1">
      <alignment horizontal="center" vertical="center"/>
    </xf>
    <xf numFmtId="0" fontId="45" fillId="2" borderId="74" xfId="0" applyFont="1" applyFill="1" applyBorder="1" applyAlignment="1">
      <alignment horizontal="center" vertical="center"/>
    </xf>
    <xf numFmtId="0" fontId="14" fillId="2" borderId="32" xfId="0" applyFont="1" applyFill="1" applyBorder="1" applyAlignment="1">
      <alignment horizontal="center" vertical="center"/>
    </xf>
    <xf numFmtId="0" fontId="6" fillId="2" borderId="121" xfId="0" applyFont="1" applyFill="1" applyBorder="1" applyAlignment="1">
      <alignment horizontal="left" vertical="center"/>
    </xf>
    <xf numFmtId="0" fontId="6" fillId="2" borderId="108" xfId="0" applyFont="1" applyFill="1" applyBorder="1" applyAlignment="1">
      <alignment horizontal="left" vertical="center"/>
    </xf>
    <xf numFmtId="0" fontId="6" fillId="2" borderId="109" xfId="0" applyFont="1" applyFill="1" applyBorder="1" applyAlignment="1">
      <alignment horizontal="left" vertical="center"/>
    </xf>
    <xf numFmtId="0" fontId="6" fillId="21" borderId="109" xfId="0" applyFont="1" applyFill="1" applyBorder="1" applyAlignment="1">
      <alignment horizontal="center" vertical="center"/>
    </xf>
    <xf numFmtId="0" fontId="6" fillId="21" borderId="103" xfId="0" applyFont="1" applyFill="1" applyBorder="1" applyAlignment="1">
      <alignment horizontal="center" vertical="center"/>
    </xf>
    <xf numFmtId="0" fontId="6" fillId="21" borderId="110" xfId="0" applyFont="1" applyFill="1" applyBorder="1" applyAlignment="1">
      <alignment horizontal="center" vertical="center"/>
    </xf>
    <xf numFmtId="0" fontId="6" fillId="22" borderId="109" xfId="0" applyFont="1" applyFill="1" applyBorder="1" applyAlignment="1">
      <alignment horizontal="center" vertical="center"/>
    </xf>
    <xf numFmtId="0" fontId="6" fillId="22" borderId="103" xfId="0" applyFont="1" applyFill="1" applyBorder="1" applyAlignment="1">
      <alignment horizontal="center" vertical="center"/>
    </xf>
    <xf numFmtId="0" fontId="6" fillId="22" borderId="110" xfId="0" applyFont="1" applyFill="1" applyBorder="1" applyAlignment="1">
      <alignment horizontal="center" vertical="center"/>
    </xf>
    <xf numFmtId="0" fontId="6" fillId="20" borderId="108" xfId="0" applyFont="1" applyFill="1" applyBorder="1" applyAlignment="1">
      <alignment horizontal="center" vertical="center"/>
    </xf>
    <xf numFmtId="0" fontId="6" fillId="23" borderId="108" xfId="0" applyFont="1" applyFill="1" applyBorder="1" applyAlignment="1">
      <alignment horizontal="center" vertical="center"/>
    </xf>
    <xf numFmtId="0" fontId="14" fillId="2" borderId="76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75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103" xfId="0" applyFont="1" applyFill="1" applyBorder="1" applyAlignment="1">
      <alignment horizontal="center" vertical="center"/>
    </xf>
    <xf numFmtId="0" fontId="14" fillId="2" borderId="110" xfId="0" applyFont="1" applyFill="1" applyBorder="1" applyAlignment="1">
      <alignment horizontal="center" vertical="center"/>
    </xf>
    <xf numFmtId="0" fontId="14" fillId="2" borderId="109" xfId="0" applyFont="1" applyFill="1" applyBorder="1" applyAlignment="1">
      <alignment horizontal="center" vertical="center"/>
    </xf>
    <xf numFmtId="0" fontId="6" fillId="2" borderId="109" xfId="0" applyFont="1" applyFill="1" applyBorder="1" applyAlignment="1">
      <alignment horizontal="center" vertical="center"/>
    </xf>
    <xf numFmtId="0" fontId="6" fillId="2" borderId="103" xfId="0" applyFont="1" applyFill="1" applyBorder="1" applyAlignment="1">
      <alignment horizontal="center" vertical="center"/>
    </xf>
    <xf numFmtId="0" fontId="6" fillId="2" borderId="110" xfId="0" applyFont="1" applyFill="1" applyBorder="1" applyAlignment="1">
      <alignment horizontal="center" vertical="center"/>
    </xf>
    <xf numFmtId="49" fontId="3" fillId="2" borderId="11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3" fillId="2" borderId="43" xfId="0" applyNumberFormat="1" applyFont="1" applyFill="1" applyBorder="1" applyAlignment="1">
      <alignment horizontal="center" vertical="center"/>
    </xf>
    <xf numFmtId="49" fontId="3" fillId="2" borderId="74" xfId="0" applyNumberFormat="1" applyFont="1" applyFill="1" applyBorder="1" applyAlignment="1">
      <alignment horizontal="center" vertical="center"/>
    </xf>
    <xf numFmtId="49" fontId="3" fillId="2" borderId="76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69" xfId="0" applyFont="1" applyFill="1" applyBorder="1" applyAlignment="1">
      <alignment horizontal="center" vertical="center"/>
    </xf>
    <xf numFmtId="0" fontId="14" fillId="2" borderId="74" xfId="0" applyFont="1" applyFill="1" applyBorder="1" applyAlignment="1">
      <alignment horizontal="center" vertical="center"/>
    </xf>
    <xf numFmtId="0" fontId="65" fillId="2" borderId="21" xfId="0" applyFont="1" applyFill="1" applyBorder="1" applyAlignment="1">
      <alignment horizontal="center" vertical="center"/>
    </xf>
    <xf numFmtId="20" fontId="16" fillId="2" borderId="20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2" borderId="43" xfId="0" applyFont="1" applyFill="1" applyBorder="1" applyAlignment="1">
      <alignment horizontal="left" vertical="center"/>
    </xf>
    <xf numFmtId="0" fontId="6" fillId="2" borderId="120" xfId="0" applyFont="1" applyFill="1" applyBorder="1" applyAlignment="1">
      <alignment horizontal="left" vertical="center"/>
    </xf>
    <xf numFmtId="0" fontId="6" fillId="2" borderId="112" xfId="0" applyFont="1" applyFill="1" applyBorder="1" applyAlignment="1">
      <alignment horizontal="left" vertical="center"/>
    </xf>
    <xf numFmtId="0" fontId="6" fillId="2" borderId="195" xfId="0" applyFont="1" applyFill="1" applyBorder="1" applyAlignment="1">
      <alignment horizontal="left" vertical="center"/>
    </xf>
    <xf numFmtId="0" fontId="18" fillId="2" borderId="32" xfId="0" applyFont="1" applyFill="1" applyBorder="1" applyAlignment="1">
      <alignment horizontal="center" vertical="center"/>
    </xf>
    <xf numFmtId="0" fontId="18" fillId="2" borderId="195" xfId="0" applyFont="1" applyFill="1" applyBorder="1" applyAlignment="1">
      <alignment horizontal="center" vertical="center"/>
    </xf>
    <xf numFmtId="0" fontId="18" fillId="2" borderId="196" xfId="0" applyFont="1" applyFill="1" applyBorder="1" applyAlignment="1">
      <alignment horizontal="center" vertical="center"/>
    </xf>
    <xf numFmtId="0" fontId="18" fillId="2" borderId="197" xfId="0" applyFont="1" applyFill="1" applyBorder="1" applyAlignment="1">
      <alignment horizontal="center" vertical="center"/>
    </xf>
    <xf numFmtId="0" fontId="14" fillId="2" borderId="108" xfId="0" applyFont="1" applyFill="1" applyBorder="1" applyAlignment="1">
      <alignment horizontal="center" vertical="center"/>
    </xf>
    <xf numFmtId="0" fontId="45" fillId="2" borderId="32" xfId="0" applyFont="1" applyFill="1" applyBorder="1" applyAlignment="1">
      <alignment horizontal="center" vertical="center"/>
    </xf>
    <xf numFmtId="0" fontId="45" fillId="2" borderId="102" xfId="0" applyFont="1" applyFill="1" applyBorder="1" applyAlignment="1">
      <alignment horizontal="center" vertical="center"/>
    </xf>
    <xf numFmtId="20" fontId="16" fillId="2" borderId="108" xfId="0" applyNumberFormat="1" applyFont="1" applyFill="1" applyBorder="1" applyAlignment="1">
      <alignment horizontal="center" vertical="center"/>
    </xf>
    <xf numFmtId="0" fontId="6" fillId="2" borderId="126" xfId="0" applyFont="1" applyFill="1" applyBorder="1" applyAlignment="1">
      <alignment horizontal="center" vertical="center"/>
    </xf>
    <xf numFmtId="0" fontId="6" fillId="2" borderId="113" xfId="0" applyFont="1" applyFill="1" applyBorder="1" applyAlignment="1">
      <alignment horizontal="left" vertical="center"/>
    </xf>
    <xf numFmtId="0" fontId="6" fillId="2" borderId="114" xfId="0" applyFont="1" applyFill="1" applyBorder="1" applyAlignment="1">
      <alignment horizontal="left" vertical="center"/>
    </xf>
    <xf numFmtId="0" fontId="6" fillId="2" borderId="125" xfId="0" applyFont="1" applyFill="1" applyBorder="1" applyAlignment="1">
      <alignment horizontal="left" vertical="center"/>
    </xf>
    <xf numFmtId="0" fontId="15" fillId="3" borderId="19" xfId="0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3" fillId="4" borderId="2" xfId="0" applyFont="1" applyFill="1" applyBorder="1" applyAlignment="1" applyProtection="1">
      <alignment horizontal="left"/>
      <protection locked="0"/>
    </xf>
    <xf numFmtId="0" fontId="13" fillId="4" borderId="3" xfId="0" applyFont="1" applyFill="1" applyBorder="1" applyAlignment="1" applyProtection="1">
      <alignment horizontal="left"/>
      <protection locked="0"/>
    </xf>
    <xf numFmtId="0" fontId="13" fillId="4" borderId="4" xfId="0" applyFont="1" applyFill="1" applyBorder="1" applyAlignment="1" applyProtection="1">
      <alignment horizontal="left"/>
      <protection locked="0"/>
    </xf>
    <xf numFmtId="0" fontId="13" fillId="4" borderId="2" xfId="0" applyFont="1" applyFill="1" applyBorder="1" applyAlignment="1">
      <alignment horizontal="left"/>
    </xf>
    <xf numFmtId="0" fontId="13" fillId="4" borderId="3" xfId="0" applyFont="1" applyFill="1" applyBorder="1" applyAlignment="1">
      <alignment horizontal="left"/>
    </xf>
    <xf numFmtId="0" fontId="13" fillId="4" borderId="4" xfId="0" applyFont="1" applyFill="1" applyBorder="1" applyAlignment="1">
      <alignment horizontal="left"/>
    </xf>
    <xf numFmtId="0" fontId="11" fillId="2" borderId="19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  <protection locked="0"/>
    </xf>
    <xf numFmtId="0" fontId="11" fillId="2" borderId="18" xfId="0" applyFont="1" applyFill="1" applyBorder="1" applyAlignment="1" applyProtection="1">
      <alignment horizontal="center" vertical="center"/>
      <protection locked="0"/>
    </xf>
    <xf numFmtId="0" fontId="16" fillId="5" borderId="34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7" fillId="5" borderId="36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 vertical="center"/>
    </xf>
    <xf numFmtId="20" fontId="14" fillId="2" borderId="37" xfId="0" applyNumberFormat="1" applyFont="1" applyFill="1" applyBorder="1" applyAlignment="1">
      <alignment horizontal="center" vertical="center"/>
    </xf>
    <xf numFmtId="0" fontId="14" fillId="2" borderId="31" xfId="0" applyFont="1" applyFill="1" applyBorder="1" applyAlignment="1">
      <alignment horizontal="center" vertical="center"/>
    </xf>
    <xf numFmtId="20" fontId="14" fillId="2" borderId="13" xfId="0" applyNumberFormat="1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8" fillId="2" borderId="31" xfId="0" applyFont="1" applyFill="1" applyBorder="1" applyAlignment="1">
      <alignment horizontal="center" vertical="center"/>
    </xf>
    <xf numFmtId="0" fontId="18" fillId="2" borderId="38" xfId="0" applyFont="1" applyFill="1" applyBorder="1" applyAlignment="1">
      <alignment horizontal="center" vertical="center"/>
    </xf>
    <xf numFmtId="20" fontId="14" fillId="2" borderId="37" xfId="0" applyNumberFormat="1" applyFont="1" applyFill="1" applyBorder="1" applyAlignment="1" applyProtection="1">
      <alignment horizontal="center" vertical="center"/>
      <protection locked="0"/>
    </xf>
    <xf numFmtId="20" fontId="14" fillId="2" borderId="31" xfId="0" applyNumberFormat="1" applyFont="1" applyFill="1" applyBorder="1" applyAlignment="1" applyProtection="1">
      <alignment horizontal="center" vertical="center"/>
      <protection locked="0"/>
    </xf>
    <xf numFmtId="0" fontId="18" fillId="2" borderId="31" xfId="0" applyFont="1" applyFill="1" applyBorder="1" applyAlignment="1" applyProtection="1">
      <alignment horizontal="center" vertical="center"/>
      <protection locked="0"/>
    </xf>
    <xf numFmtId="0" fontId="18" fillId="2" borderId="38" xfId="0" applyFont="1" applyFill="1" applyBorder="1" applyAlignment="1" applyProtection="1">
      <alignment horizontal="center" vertical="center"/>
      <protection locked="0"/>
    </xf>
    <xf numFmtId="20" fontId="14" fillId="2" borderId="39" xfId="0" applyNumberFormat="1" applyFont="1" applyFill="1" applyBorder="1" applyAlignment="1">
      <alignment horizontal="center" vertical="center"/>
    </xf>
    <xf numFmtId="0" fontId="14" fillId="2" borderId="35" xfId="0" applyFont="1" applyFill="1" applyBorder="1" applyAlignment="1">
      <alignment horizontal="center" vertical="center"/>
    </xf>
    <xf numFmtId="20" fontId="14" fillId="2" borderId="14" xfId="0" applyNumberFormat="1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18" fillId="2" borderId="35" xfId="0" applyFont="1" applyFill="1" applyBorder="1" applyAlignment="1">
      <alignment horizontal="center" vertical="center"/>
    </xf>
    <xf numFmtId="0" fontId="18" fillId="2" borderId="40" xfId="0" applyFont="1" applyFill="1" applyBorder="1" applyAlignment="1">
      <alignment horizontal="center" vertical="center"/>
    </xf>
    <xf numFmtId="20" fontId="14" fillId="2" borderId="39" xfId="0" applyNumberFormat="1" applyFont="1" applyFill="1" applyBorder="1" applyAlignment="1" applyProtection="1">
      <alignment horizontal="center" vertical="center"/>
      <protection locked="0"/>
    </xf>
    <xf numFmtId="20" fontId="14" fillId="2" borderId="35" xfId="0" applyNumberFormat="1" applyFont="1" applyFill="1" applyBorder="1" applyAlignment="1" applyProtection="1">
      <alignment horizontal="center" vertical="center"/>
      <protection locked="0"/>
    </xf>
    <xf numFmtId="0" fontId="18" fillId="2" borderId="35" xfId="0" applyFont="1" applyFill="1" applyBorder="1" applyAlignment="1" applyProtection="1">
      <alignment horizontal="center" vertical="center"/>
      <protection locked="0"/>
    </xf>
    <xf numFmtId="0" fontId="18" fillId="2" borderId="40" xfId="0" applyFont="1" applyFill="1" applyBorder="1" applyAlignment="1" applyProtection="1">
      <alignment horizontal="center" vertical="center"/>
      <protection locked="0"/>
    </xf>
    <xf numFmtId="20" fontId="14" fillId="2" borderId="29" xfId="0" applyNumberFormat="1" applyFont="1" applyFill="1" applyBorder="1" applyAlignment="1">
      <alignment horizontal="center" vertical="center"/>
    </xf>
    <xf numFmtId="20" fontId="14" fillId="2" borderId="16" xfId="0" applyNumberFormat="1" applyFont="1" applyFill="1" applyBorder="1" applyAlignment="1">
      <alignment horizontal="center" vertical="center"/>
    </xf>
    <xf numFmtId="0" fontId="16" fillId="5" borderId="41" xfId="0" applyFont="1" applyFill="1" applyBorder="1" applyAlignment="1">
      <alignment horizontal="center" vertical="center"/>
    </xf>
    <xf numFmtId="0" fontId="16" fillId="5" borderId="42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20" fontId="14" fillId="2" borderId="31" xfId="0" applyNumberFormat="1" applyFont="1" applyFill="1" applyBorder="1" applyAlignment="1">
      <alignment horizontal="center" vertical="center"/>
    </xf>
    <xf numFmtId="20" fontId="14" fillId="2" borderId="35" xfId="0" applyNumberFormat="1" applyFont="1" applyFill="1" applyBorder="1" applyAlignment="1">
      <alignment horizontal="center" vertical="center"/>
    </xf>
    <xf numFmtId="0" fontId="17" fillId="5" borderId="42" xfId="0" applyFont="1" applyFill="1" applyBorder="1" applyAlignment="1">
      <alignment horizontal="center" vertical="center"/>
    </xf>
    <xf numFmtId="0" fontId="17" fillId="5" borderId="43" xfId="0" applyFont="1" applyFill="1" applyBorder="1" applyAlignment="1">
      <alignment horizontal="center" vertical="center"/>
    </xf>
    <xf numFmtId="20" fontId="9" fillId="11" borderId="26" xfId="0" applyNumberFormat="1" applyFont="1" applyFill="1" applyBorder="1" applyAlignment="1">
      <alignment horizontal="center" vertical="center" shrinkToFit="1"/>
    </xf>
    <xf numFmtId="20" fontId="9" fillId="11" borderId="11" xfId="0" applyNumberFormat="1" applyFont="1" applyFill="1" applyBorder="1" applyAlignment="1">
      <alignment horizontal="center" vertical="center" shrinkToFit="1"/>
    </xf>
    <xf numFmtId="20" fontId="9" fillId="11" borderId="12" xfId="0" applyNumberFormat="1" applyFont="1" applyFill="1" applyBorder="1" applyAlignment="1">
      <alignment horizontal="center" vertical="center" shrinkToFit="1"/>
    </xf>
    <xf numFmtId="20" fontId="9" fillId="11" borderId="13" xfId="0" applyNumberFormat="1" applyFont="1" applyFill="1" applyBorder="1" applyAlignment="1">
      <alignment horizontal="center" vertical="center" shrinkToFit="1"/>
    </xf>
    <xf numFmtId="20" fontId="9" fillId="11" borderId="60" xfId="0" applyNumberFormat="1" applyFont="1" applyFill="1" applyBorder="1" applyAlignment="1">
      <alignment horizontal="center" vertical="center" shrinkToFit="1"/>
    </xf>
    <xf numFmtId="20" fontId="17" fillId="11" borderId="57" xfId="3" applyNumberFormat="1" applyFont="1" applyFill="1" applyBorder="1" applyAlignment="1">
      <alignment horizontal="center" vertical="center" shrinkToFit="1"/>
    </xf>
    <xf numFmtId="20" fontId="17" fillId="11" borderId="58" xfId="3" applyNumberFormat="1" applyFont="1" applyFill="1" applyBorder="1" applyAlignment="1">
      <alignment horizontal="center" vertical="center" shrinkToFit="1"/>
    </xf>
    <xf numFmtId="0" fontId="12" fillId="11" borderId="59" xfId="0" applyFont="1" applyFill="1" applyBorder="1" applyAlignment="1">
      <alignment horizontal="center" vertical="center" shrinkToFit="1"/>
    </xf>
    <xf numFmtId="0" fontId="12" fillId="11" borderId="11" xfId="0" applyFont="1" applyFill="1" applyBorder="1" applyAlignment="1">
      <alignment horizontal="center" vertical="center" shrinkToFit="1"/>
    </xf>
    <xf numFmtId="49" fontId="12" fillId="11" borderId="13" xfId="0" applyNumberFormat="1" applyFont="1" applyFill="1" applyBorder="1" applyAlignment="1">
      <alignment horizontal="center" vertical="center" shrinkToFit="1"/>
    </xf>
    <xf numFmtId="49" fontId="12" fillId="11" borderId="11" xfId="0" quotePrefix="1" applyNumberFormat="1" applyFont="1" applyFill="1" applyBorder="1" applyAlignment="1">
      <alignment horizontal="center" vertical="center" shrinkToFit="1"/>
    </xf>
    <xf numFmtId="49" fontId="12" fillId="11" borderId="27" xfId="0" quotePrefix="1" applyNumberFormat="1" applyFont="1" applyFill="1" applyBorder="1" applyAlignment="1">
      <alignment horizontal="center" vertical="center" shrinkToFit="1"/>
    </xf>
    <xf numFmtId="0" fontId="12" fillId="11" borderId="107" xfId="0" applyFont="1" applyFill="1" applyBorder="1" applyAlignment="1">
      <alignment horizontal="center" vertical="center" shrinkToFit="1"/>
    </xf>
    <xf numFmtId="49" fontId="58" fillId="10" borderId="13" xfId="0" quotePrefix="1" applyNumberFormat="1" applyFont="1" applyFill="1" applyBorder="1" applyAlignment="1">
      <alignment horizontal="center" vertical="center" shrinkToFit="1"/>
    </xf>
    <xf numFmtId="49" fontId="58" fillId="10" borderId="11" xfId="0" applyNumberFormat="1" applyFont="1" applyFill="1" applyBorder="1" applyAlignment="1">
      <alignment horizontal="center" vertical="center" shrinkToFit="1"/>
    </xf>
    <xf numFmtId="49" fontId="58" fillId="10" borderId="27" xfId="0" applyNumberFormat="1" applyFont="1" applyFill="1" applyBorder="1" applyAlignment="1">
      <alignment horizontal="center" vertical="center" shrinkToFit="1"/>
    </xf>
    <xf numFmtId="20" fontId="47" fillId="18" borderId="26" xfId="0" applyNumberFormat="1" applyFont="1" applyFill="1" applyBorder="1" applyAlignment="1">
      <alignment horizontal="center" vertical="center" shrinkToFit="1"/>
    </xf>
    <xf numFmtId="20" fontId="47" fillId="18" borderId="11" xfId="0" applyNumberFormat="1" applyFont="1" applyFill="1" applyBorder="1" applyAlignment="1">
      <alignment horizontal="center" vertical="center" shrinkToFit="1"/>
    </xf>
    <xf numFmtId="20" fontId="47" fillId="18" borderId="12" xfId="0" applyNumberFormat="1" applyFont="1" applyFill="1" applyBorder="1" applyAlignment="1">
      <alignment horizontal="center" vertical="center" shrinkToFit="1"/>
    </xf>
    <xf numFmtId="20" fontId="47" fillId="18" borderId="13" xfId="0" applyNumberFormat="1" applyFont="1" applyFill="1" applyBorder="1" applyAlignment="1">
      <alignment horizontal="center" vertical="center" shrinkToFit="1"/>
    </xf>
    <xf numFmtId="20" fontId="47" fillId="18" borderId="60" xfId="0" applyNumberFormat="1" applyFont="1" applyFill="1" applyBorder="1" applyAlignment="1">
      <alignment horizontal="center" vertical="center" shrinkToFit="1"/>
    </xf>
    <xf numFmtId="0" fontId="47" fillId="18" borderId="59" xfId="0" applyFont="1" applyFill="1" applyBorder="1" applyAlignment="1">
      <alignment horizontal="center" vertical="center" shrinkToFit="1"/>
    </xf>
    <xf numFmtId="0" fontId="47" fillId="18" borderId="11" xfId="0" applyFont="1" applyFill="1" applyBorder="1" applyAlignment="1">
      <alignment horizontal="center" vertical="center" shrinkToFit="1"/>
    </xf>
    <xf numFmtId="0" fontId="47" fillId="18" borderId="107" xfId="0" applyFont="1" applyFill="1" applyBorder="1" applyAlignment="1">
      <alignment horizontal="center" vertical="center" shrinkToFit="1"/>
    </xf>
    <xf numFmtId="49" fontId="47" fillId="18" borderId="13" xfId="0" quotePrefix="1" applyNumberFormat="1" applyFont="1" applyFill="1" applyBorder="1" applyAlignment="1">
      <alignment horizontal="center" vertical="center" shrinkToFit="1"/>
    </xf>
    <xf numFmtId="49" fontId="47" fillId="18" borderId="11" xfId="0" applyNumberFormat="1" applyFont="1" applyFill="1" applyBorder="1" applyAlignment="1">
      <alignment horizontal="center" vertical="center" shrinkToFit="1"/>
    </xf>
    <xf numFmtId="49" fontId="47" fillId="18" borderId="27" xfId="0" applyNumberFormat="1" applyFont="1" applyFill="1" applyBorder="1" applyAlignment="1">
      <alignment horizontal="center" vertical="center" shrinkToFit="1"/>
    </xf>
    <xf numFmtId="49" fontId="5" fillId="14" borderId="74" xfId="0" applyNumberFormat="1" applyFont="1" applyFill="1" applyBorder="1" applyAlignment="1">
      <alignment horizontal="center" vertical="center" shrinkToFit="1"/>
    </xf>
    <xf numFmtId="49" fontId="5" fillId="14" borderId="76" xfId="0" applyNumberFormat="1" applyFont="1" applyFill="1" applyBorder="1" applyAlignment="1">
      <alignment horizontal="center" vertical="center" shrinkToFit="1"/>
    </xf>
    <xf numFmtId="20" fontId="63" fillId="10" borderId="26" xfId="0" applyNumberFormat="1" applyFont="1" applyFill="1" applyBorder="1" applyAlignment="1">
      <alignment horizontal="center" vertical="center" shrinkToFit="1"/>
    </xf>
    <xf numFmtId="20" fontId="63" fillId="10" borderId="11" xfId="0" applyNumberFormat="1" applyFont="1" applyFill="1" applyBorder="1" applyAlignment="1">
      <alignment horizontal="center" vertical="center" shrinkToFit="1"/>
    </xf>
    <xf numFmtId="20" fontId="63" fillId="10" borderId="12" xfId="0" applyNumberFormat="1" applyFont="1" applyFill="1" applyBorder="1" applyAlignment="1">
      <alignment horizontal="center" vertical="center" shrinkToFit="1"/>
    </xf>
    <xf numFmtId="20" fontId="63" fillId="10" borderId="13" xfId="0" applyNumberFormat="1" applyFont="1" applyFill="1" applyBorder="1" applyAlignment="1">
      <alignment horizontal="center" vertical="center" shrinkToFit="1"/>
    </xf>
    <xf numFmtId="20" fontId="63" fillId="10" borderId="60" xfId="0" applyNumberFormat="1" applyFont="1" applyFill="1" applyBorder="1" applyAlignment="1">
      <alignment horizontal="center" vertical="center" shrinkToFit="1"/>
    </xf>
    <xf numFmtId="20" fontId="64" fillId="10" borderId="57" xfId="3" applyNumberFormat="1" applyFont="1" applyFill="1" applyBorder="1" applyAlignment="1">
      <alignment horizontal="center" vertical="center" shrinkToFit="1"/>
    </xf>
    <xf numFmtId="20" fontId="64" fillId="10" borderId="58" xfId="3" applyNumberFormat="1" applyFont="1" applyFill="1" applyBorder="1" applyAlignment="1">
      <alignment horizontal="center" vertical="center" shrinkToFit="1"/>
    </xf>
    <xf numFmtId="0" fontId="56" fillId="10" borderId="59" xfId="0" applyFont="1" applyFill="1" applyBorder="1" applyAlignment="1">
      <alignment horizontal="center" vertical="center" shrinkToFit="1"/>
    </xf>
    <xf numFmtId="0" fontId="56" fillId="10" borderId="11" xfId="0" applyFont="1" applyFill="1" applyBorder="1" applyAlignment="1">
      <alignment horizontal="center" vertical="center" shrinkToFit="1"/>
    </xf>
    <xf numFmtId="0" fontId="56" fillId="10" borderId="107" xfId="0" applyFont="1" applyFill="1" applyBorder="1" applyAlignment="1">
      <alignment horizontal="center" vertical="center" shrinkToFit="1"/>
    </xf>
    <xf numFmtId="49" fontId="12" fillId="16" borderId="11" xfId="0" quotePrefix="1" applyNumberFormat="1" applyFont="1" applyFill="1" applyBorder="1" applyAlignment="1">
      <alignment horizontal="center" vertical="center" shrinkToFit="1"/>
    </xf>
    <xf numFmtId="49" fontId="12" fillId="16" borderId="27" xfId="0" quotePrefix="1" applyNumberFormat="1" applyFont="1" applyFill="1" applyBorder="1" applyAlignment="1">
      <alignment horizontal="center" vertical="center" shrinkToFit="1"/>
    </xf>
    <xf numFmtId="20" fontId="59" fillId="0" borderId="57" xfId="3" applyNumberFormat="1" applyFont="1" applyFill="1" applyBorder="1" applyAlignment="1">
      <alignment horizontal="center" vertical="center" shrinkToFit="1"/>
    </xf>
    <xf numFmtId="20" fontId="59" fillId="0" borderId="58" xfId="3" applyNumberFormat="1" applyFont="1" applyFill="1" applyBorder="1" applyAlignment="1">
      <alignment horizontal="center" vertical="center" shrinkToFit="1"/>
    </xf>
    <xf numFmtId="0" fontId="59" fillId="0" borderId="59" xfId="0" applyFont="1" applyBorder="1" applyAlignment="1">
      <alignment horizontal="center" vertical="center" shrinkToFit="1"/>
    </xf>
    <xf numFmtId="0" fontId="59" fillId="0" borderId="11" xfId="0" applyFont="1" applyBorder="1" applyAlignment="1">
      <alignment horizontal="center" vertical="center" shrinkToFit="1"/>
    </xf>
    <xf numFmtId="49" fontId="59" fillId="0" borderId="13" xfId="0" applyNumberFormat="1" applyFont="1" applyBorder="1" applyAlignment="1">
      <alignment horizontal="center" vertical="center" shrinkToFit="1"/>
    </xf>
    <xf numFmtId="49" fontId="59" fillId="0" borderId="11" xfId="0" applyNumberFormat="1" applyFont="1" applyBorder="1" applyAlignment="1">
      <alignment horizontal="center" vertical="center" shrinkToFit="1"/>
    </xf>
    <xf numFmtId="49" fontId="59" fillId="0" borderId="27" xfId="0" applyNumberFormat="1" applyFont="1" applyBorder="1" applyAlignment="1">
      <alignment horizontal="center" vertical="center" shrinkToFit="1"/>
    </xf>
    <xf numFmtId="20" fontId="59" fillId="0" borderId="13" xfId="0" applyNumberFormat="1" applyFont="1" applyBorder="1" applyAlignment="1">
      <alignment horizontal="center" vertical="center" shrinkToFit="1"/>
    </xf>
    <xf numFmtId="20" fontId="59" fillId="0" borderId="11" xfId="0" applyNumberFormat="1" applyFont="1" applyBorder="1" applyAlignment="1">
      <alignment horizontal="center" vertical="center" shrinkToFit="1"/>
    </xf>
    <xf numFmtId="20" fontId="59" fillId="0" borderId="60" xfId="0" applyNumberFormat="1" applyFont="1" applyBorder="1" applyAlignment="1">
      <alignment horizontal="center" vertical="center" shrinkToFit="1"/>
    </xf>
    <xf numFmtId="49" fontId="59" fillId="0" borderId="13" xfId="0" quotePrefix="1" applyNumberFormat="1" applyFont="1" applyBorder="1" applyAlignment="1">
      <alignment horizontal="center" vertical="center" shrinkToFit="1"/>
    </xf>
    <xf numFmtId="49" fontId="59" fillId="0" borderId="11" xfId="0" quotePrefix="1" applyNumberFormat="1" applyFont="1" applyBorder="1" applyAlignment="1">
      <alignment horizontal="center" vertical="center" shrinkToFit="1"/>
    </xf>
    <xf numFmtId="49" fontId="59" fillId="0" borderId="27" xfId="0" quotePrefix="1" applyNumberFormat="1" applyFont="1" applyBorder="1" applyAlignment="1">
      <alignment horizontal="center" vertical="center" shrinkToFit="1"/>
    </xf>
    <xf numFmtId="49" fontId="5" fillId="14" borderId="23" xfId="0" quotePrefix="1" applyNumberFormat="1" applyFont="1" applyFill="1" applyBorder="1" applyAlignment="1">
      <alignment horizontal="center" vertical="center" shrinkToFit="1"/>
    </xf>
    <xf numFmtId="49" fontId="5" fillId="14" borderId="32" xfId="0" quotePrefix="1" applyNumberFormat="1" applyFont="1" applyFill="1" applyBorder="1" applyAlignment="1">
      <alignment horizontal="center" vertical="center" shrinkToFit="1"/>
    </xf>
    <xf numFmtId="49" fontId="11" fillId="0" borderId="11" xfId="0" quotePrefix="1" applyNumberFormat="1" applyFont="1" applyBorder="1" applyAlignment="1">
      <alignment horizontal="center" vertical="center" shrinkToFit="1"/>
    </xf>
    <xf numFmtId="49" fontId="11" fillId="0" borderId="27" xfId="0" quotePrefix="1" applyNumberFormat="1" applyFont="1" applyBorder="1" applyAlignment="1">
      <alignment horizontal="center" vertical="center" shrinkToFit="1"/>
    </xf>
    <xf numFmtId="49" fontId="43" fillId="0" borderId="11" xfId="0" quotePrefix="1" applyNumberFormat="1" applyFont="1" applyBorder="1" applyAlignment="1">
      <alignment horizontal="center" vertical="center" shrinkToFit="1"/>
    </xf>
    <xf numFmtId="49" fontId="43" fillId="0" borderId="27" xfId="0" quotePrefix="1" applyNumberFormat="1" applyFont="1" applyBorder="1" applyAlignment="1">
      <alignment horizontal="center" vertical="center" shrinkToFit="1"/>
    </xf>
    <xf numFmtId="20" fontId="25" fillId="0" borderId="26" xfId="0" applyNumberFormat="1" applyFont="1" applyBorder="1" applyAlignment="1">
      <alignment horizontal="center" vertical="center" shrinkToFit="1"/>
    </xf>
    <xf numFmtId="20" fontId="60" fillId="0" borderId="11" xfId="0" applyNumberFormat="1" applyFont="1" applyBorder="1" applyAlignment="1">
      <alignment horizontal="center" vertical="center" shrinkToFit="1"/>
    </xf>
    <xf numFmtId="20" fontId="60" fillId="0" borderId="12" xfId="0" applyNumberFormat="1" applyFont="1" applyBorder="1" applyAlignment="1">
      <alignment horizontal="center" vertical="center" shrinkToFit="1"/>
    </xf>
    <xf numFmtId="20" fontId="60" fillId="0" borderId="13" xfId="0" applyNumberFormat="1" applyFont="1" applyBorder="1" applyAlignment="1">
      <alignment horizontal="center" vertical="center" shrinkToFit="1"/>
    </xf>
    <xf numFmtId="20" fontId="60" fillId="0" borderId="60" xfId="0" applyNumberFormat="1" applyFont="1" applyBorder="1" applyAlignment="1">
      <alignment horizontal="center" vertical="center" shrinkToFit="1"/>
    </xf>
    <xf numFmtId="20" fontId="60" fillId="0" borderId="57" xfId="3" applyNumberFormat="1" applyFont="1" applyFill="1" applyBorder="1" applyAlignment="1">
      <alignment horizontal="center" vertical="center" shrinkToFit="1"/>
    </xf>
    <xf numFmtId="20" fontId="60" fillId="0" borderId="58" xfId="3" applyNumberFormat="1" applyFont="1" applyFill="1" applyBorder="1" applyAlignment="1">
      <alignment horizontal="center" vertical="center" shrinkToFit="1"/>
    </xf>
    <xf numFmtId="0" fontId="60" fillId="0" borderId="59" xfId="0" applyFont="1" applyBorder="1" applyAlignment="1">
      <alignment horizontal="center" vertical="center" shrinkToFit="1"/>
    </xf>
    <xf numFmtId="0" fontId="60" fillId="0" borderId="11" xfId="0" applyFont="1" applyBorder="1" applyAlignment="1">
      <alignment horizontal="center" vertical="center" shrinkToFit="1"/>
    </xf>
    <xf numFmtId="49" fontId="12" fillId="15" borderId="11" xfId="0" quotePrefix="1" applyNumberFormat="1" applyFont="1" applyFill="1" applyBorder="1" applyAlignment="1">
      <alignment horizontal="center" vertical="center" shrinkToFit="1"/>
    </xf>
    <xf numFmtId="49" fontId="12" fillId="15" borderId="27" xfId="0" quotePrefix="1" applyNumberFormat="1" applyFont="1" applyFill="1" applyBorder="1" applyAlignment="1">
      <alignment horizontal="center" vertical="center" shrinkToFit="1"/>
    </xf>
    <xf numFmtId="20" fontId="55" fillId="9" borderId="26" xfId="0" applyNumberFormat="1" applyFont="1" applyFill="1" applyBorder="1" applyAlignment="1">
      <alignment horizontal="center" vertical="center" shrinkToFit="1"/>
    </xf>
    <xf numFmtId="20" fontId="55" fillId="9" borderId="11" xfId="0" applyNumberFormat="1" applyFont="1" applyFill="1" applyBorder="1" applyAlignment="1">
      <alignment horizontal="center" vertical="center" shrinkToFit="1"/>
    </xf>
    <xf numFmtId="20" fontId="55" fillId="9" borderId="12" xfId="0" applyNumberFormat="1" applyFont="1" applyFill="1" applyBorder="1" applyAlignment="1">
      <alignment horizontal="center" vertical="center" shrinkToFit="1"/>
    </xf>
    <xf numFmtId="20" fontId="55" fillId="9" borderId="13" xfId="0" applyNumberFormat="1" applyFont="1" applyFill="1" applyBorder="1" applyAlignment="1">
      <alignment horizontal="center" vertical="center" shrinkToFit="1"/>
    </xf>
    <xf numFmtId="20" fontId="55" fillId="9" borderId="60" xfId="0" applyNumberFormat="1" applyFont="1" applyFill="1" applyBorder="1" applyAlignment="1">
      <alignment horizontal="center" vertical="center" shrinkToFit="1"/>
    </xf>
    <xf numFmtId="20" fontId="54" fillId="9" borderId="57" xfId="3" applyNumberFormat="1" applyFont="1" applyFill="1" applyBorder="1" applyAlignment="1">
      <alignment horizontal="center" vertical="center" shrinkToFit="1"/>
    </xf>
    <xf numFmtId="20" fontId="54" fillId="9" borderId="58" xfId="3" applyNumberFormat="1" applyFont="1" applyFill="1" applyBorder="1" applyAlignment="1">
      <alignment horizontal="center" vertical="center" shrinkToFit="1"/>
    </xf>
    <xf numFmtId="49" fontId="56" fillId="9" borderId="13" xfId="0" applyNumberFormat="1" applyFont="1" applyFill="1" applyBorder="1" applyAlignment="1">
      <alignment horizontal="center" vertical="center" shrinkToFit="1"/>
    </xf>
    <xf numFmtId="49" fontId="56" fillId="9" borderId="11" xfId="0" quotePrefix="1" applyNumberFormat="1" applyFont="1" applyFill="1" applyBorder="1" applyAlignment="1">
      <alignment horizontal="center" vertical="center" shrinkToFit="1"/>
    </xf>
    <xf numFmtId="49" fontId="56" fillId="9" borderId="27" xfId="0" quotePrefix="1" applyNumberFormat="1" applyFont="1" applyFill="1" applyBorder="1" applyAlignment="1">
      <alignment horizontal="center" vertical="center" shrinkToFit="1"/>
    </xf>
    <xf numFmtId="20" fontId="9" fillId="0" borderId="89" xfId="0" applyNumberFormat="1" applyFont="1" applyBorder="1" applyAlignment="1">
      <alignment horizontal="center" vertical="center" shrinkToFit="1"/>
    </xf>
    <xf numFmtId="20" fontId="9" fillId="0" borderId="70" xfId="0" applyNumberFormat="1" applyFont="1" applyBorder="1" applyAlignment="1">
      <alignment horizontal="center" vertical="center" shrinkToFit="1"/>
    </xf>
    <xf numFmtId="20" fontId="9" fillId="0" borderId="87" xfId="0" applyNumberFormat="1" applyFont="1" applyBorder="1" applyAlignment="1">
      <alignment horizontal="center" vertical="center" shrinkToFit="1"/>
    </xf>
    <xf numFmtId="20" fontId="17" fillId="0" borderId="137" xfId="3" applyNumberFormat="1" applyFont="1" applyFill="1" applyBorder="1" applyAlignment="1">
      <alignment horizontal="center" vertical="center" shrinkToFit="1"/>
    </xf>
    <xf numFmtId="0" fontId="12" fillId="0" borderId="8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49" fontId="12" fillId="16" borderId="187" xfId="0" applyNumberFormat="1" applyFont="1" applyFill="1" applyBorder="1" applyAlignment="1">
      <alignment horizontal="center" vertical="center" shrinkToFit="1"/>
    </xf>
    <xf numFmtId="49" fontId="12" fillId="16" borderId="188" xfId="0" applyNumberFormat="1" applyFont="1" applyFill="1" applyBorder="1" applyAlignment="1">
      <alignment horizontal="center" vertical="center" shrinkToFit="1"/>
    </xf>
    <xf numFmtId="49" fontId="12" fillId="16" borderId="189" xfId="0" applyNumberFormat="1" applyFont="1" applyFill="1" applyBorder="1" applyAlignment="1">
      <alignment horizontal="center" vertical="center" shrinkToFit="1"/>
    </xf>
    <xf numFmtId="0" fontId="11" fillId="0" borderId="89" xfId="0" applyFont="1" applyBorder="1" applyAlignment="1">
      <alignment horizontal="center" vertical="center" shrinkToFit="1"/>
    </xf>
    <xf numFmtId="0" fontId="11" fillId="0" borderId="70" xfId="0" applyFont="1" applyBorder="1" applyAlignment="1">
      <alignment horizontal="center" vertical="center" shrinkToFit="1"/>
    </xf>
    <xf numFmtId="49" fontId="12" fillId="16" borderId="186" xfId="0" applyNumberFormat="1" applyFont="1" applyFill="1" applyBorder="1" applyAlignment="1">
      <alignment horizontal="center" vertical="center" shrinkToFit="1"/>
    </xf>
    <xf numFmtId="49" fontId="11" fillId="0" borderId="186" xfId="0" applyNumberFormat="1" applyFont="1" applyBorder="1" applyAlignment="1">
      <alignment horizontal="center" vertical="center" shrinkToFit="1"/>
    </xf>
    <xf numFmtId="20" fontId="9" fillId="16" borderId="89" xfId="0" applyNumberFormat="1" applyFont="1" applyFill="1" applyBorder="1" applyAlignment="1">
      <alignment horizontal="center" vertical="center" shrinkToFit="1"/>
    </xf>
    <xf numFmtId="20" fontId="9" fillId="16" borderId="70" xfId="0" applyNumberFormat="1" applyFont="1" applyFill="1" applyBorder="1" applyAlignment="1">
      <alignment horizontal="center" vertical="center" shrinkToFit="1"/>
    </xf>
    <xf numFmtId="20" fontId="19" fillId="16" borderId="70" xfId="0" applyNumberFormat="1" applyFont="1" applyFill="1" applyBorder="1" applyAlignment="1">
      <alignment horizontal="center" vertical="center" shrinkToFit="1"/>
    </xf>
    <xf numFmtId="20" fontId="19" fillId="16" borderId="87" xfId="0" applyNumberFormat="1" applyFont="1" applyFill="1" applyBorder="1" applyAlignment="1">
      <alignment horizontal="center" vertical="center" shrinkToFit="1"/>
    </xf>
    <xf numFmtId="20" fontId="17" fillId="16" borderId="137" xfId="3" applyNumberFormat="1" applyFont="1" applyFill="1" applyBorder="1" applyAlignment="1">
      <alignment horizontal="center" vertical="center" shrinkToFit="1"/>
    </xf>
    <xf numFmtId="0" fontId="12" fillId="16" borderId="89" xfId="0" applyFont="1" applyFill="1" applyBorder="1" applyAlignment="1">
      <alignment horizontal="center" vertical="center" shrinkToFit="1"/>
    </xf>
    <xf numFmtId="0" fontId="12" fillId="16" borderId="70" xfId="0" applyFont="1" applyFill="1" applyBorder="1" applyAlignment="1">
      <alignment horizontal="center" vertical="center" shrinkToFit="1"/>
    </xf>
    <xf numFmtId="49" fontId="12" fillId="16" borderId="70" xfId="0" applyNumberFormat="1" applyFont="1" applyFill="1" applyBorder="1" applyAlignment="1">
      <alignment horizontal="center" vertical="center" shrinkToFit="1"/>
    </xf>
    <xf numFmtId="49" fontId="12" fillId="16" borderId="133" xfId="0" applyNumberFormat="1" applyFont="1" applyFill="1" applyBorder="1" applyAlignment="1">
      <alignment horizontal="center" vertical="center" shrinkToFit="1"/>
    </xf>
    <xf numFmtId="49" fontId="11" fillId="9" borderId="70" xfId="0" applyNumberFormat="1" applyFont="1" applyFill="1" applyBorder="1" applyAlignment="1">
      <alignment horizontal="center" vertical="center" shrinkToFit="1"/>
    </xf>
    <xf numFmtId="49" fontId="11" fillId="9" borderId="133" xfId="0" applyNumberFormat="1" applyFont="1" applyFill="1" applyBorder="1" applyAlignment="1">
      <alignment horizontal="center" vertical="center" shrinkToFit="1"/>
    </xf>
    <xf numFmtId="0" fontId="4" fillId="14" borderId="20" xfId="0" applyFont="1" applyFill="1" applyBorder="1" applyAlignment="1">
      <alignment horizontal="center" vertical="center" shrinkToFit="1"/>
    </xf>
    <xf numFmtId="14" fontId="5" fillId="14" borderId="20" xfId="0" applyNumberFormat="1" applyFont="1" applyFill="1" applyBorder="1" applyAlignment="1">
      <alignment horizontal="center" vertical="center" shrinkToFit="1"/>
    </xf>
    <xf numFmtId="49" fontId="5" fillId="14" borderId="20" xfId="0" applyNumberFormat="1" applyFont="1" applyFill="1" applyBorder="1" applyAlignment="1">
      <alignment horizontal="center" vertical="center" shrinkToFit="1"/>
    </xf>
    <xf numFmtId="49" fontId="4" fillId="5" borderId="131" xfId="0" applyNumberFormat="1" applyFont="1" applyFill="1" applyBorder="1" applyAlignment="1">
      <alignment horizontal="center" vertical="center" shrinkToFit="1"/>
    </xf>
    <xf numFmtId="49" fontId="4" fillId="5" borderId="3" xfId="0" applyNumberFormat="1" applyFont="1" applyFill="1" applyBorder="1" applyAlignment="1">
      <alignment horizontal="center" vertical="center" shrinkToFit="1"/>
    </xf>
    <xf numFmtId="49" fontId="4" fillId="5" borderId="4" xfId="0" applyNumberFormat="1" applyFont="1" applyFill="1" applyBorder="1" applyAlignment="1">
      <alignment horizontal="center" vertical="center" shrinkToFit="1"/>
    </xf>
    <xf numFmtId="49" fontId="12" fillId="0" borderId="70" xfId="0" quotePrefix="1" applyNumberFormat="1" applyFont="1" applyBorder="1" applyAlignment="1">
      <alignment horizontal="center" vertical="center" shrinkToFit="1"/>
    </xf>
    <xf numFmtId="49" fontId="12" fillId="0" borderId="133" xfId="0" quotePrefix="1" applyNumberFormat="1" applyFont="1" applyBorder="1" applyAlignment="1">
      <alignment horizontal="center" vertical="center" shrinkToFit="1"/>
    </xf>
    <xf numFmtId="49" fontId="12" fillId="0" borderId="70" xfId="0" applyNumberFormat="1" applyFont="1" applyBorder="1" applyAlignment="1">
      <alignment horizontal="center" vertical="center" shrinkToFit="1"/>
    </xf>
    <xf numFmtId="49" fontId="12" fillId="0" borderId="133" xfId="0" applyNumberFormat="1" applyFont="1" applyBorder="1" applyAlignment="1">
      <alignment horizontal="center" vertical="center" shrinkToFit="1"/>
    </xf>
    <xf numFmtId="20" fontId="17" fillId="16" borderId="89" xfId="0" applyNumberFormat="1" applyFont="1" applyFill="1" applyBorder="1" applyAlignment="1">
      <alignment horizontal="center" vertical="center" shrinkToFit="1"/>
    </xf>
    <xf numFmtId="20" fontId="17" fillId="16" borderId="70" xfId="0" applyNumberFormat="1" applyFont="1" applyFill="1" applyBorder="1" applyAlignment="1">
      <alignment horizontal="center" vertical="center" shrinkToFit="1"/>
    </xf>
    <xf numFmtId="20" fontId="9" fillId="16" borderId="87" xfId="0" applyNumberFormat="1" applyFont="1" applyFill="1" applyBorder="1" applyAlignment="1">
      <alignment horizontal="center" vertical="center" shrinkToFit="1"/>
    </xf>
    <xf numFmtId="20" fontId="9" fillId="0" borderId="190" xfId="0" applyNumberFormat="1" applyFont="1" applyBorder="1" applyAlignment="1">
      <alignment horizontal="center" vertical="center" shrinkToFit="1"/>
    </xf>
    <xf numFmtId="20" fontId="9" fillId="0" borderId="82" xfId="0" applyNumberFormat="1" applyFont="1" applyBorder="1" applyAlignment="1">
      <alignment horizontal="center" vertical="center" shrinkToFit="1"/>
    </xf>
    <xf numFmtId="20" fontId="9" fillId="0" borderId="83" xfId="0" applyNumberFormat="1" applyFont="1" applyBorder="1" applyAlignment="1">
      <alignment horizontal="center" vertical="center" shrinkToFit="1"/>
    </xf>
    <xf numFmtId="20" fontId="9" fillId="0" borderId="191" xfId="0" applyNumberFormat="1" applyFont="1" applyBorder="1" applyAlignment="1">
      <alignment horizontal="center" vertical="center" shrinkToFit="1"/>
    </xf>
    <xf numFmtId="20" fontId="9" fillId="0" borderId="85" xfId="0" applyNumberFormat="1" applyFont="1" applyBorder="1" applyAlignment="1">
      <alignment horizontal="center" vertical="center" shrinkToFit="1"/>
    </xf>
    <xf numFmtId="20" fontId="9" fillId="0" borderId="86" xfId="0" applyNumberFormat="1" applyFont="1" applyBorder="1" applyAlignment="1">
      <alignment horizontal="center" vertical="center" shrinkToFit="1"/>
    </xf>
    <xf numFmtId="20" fontId="54" fillId="18" borderId="89" xfId="0" applyNumberFormat="1" applyFont="1" applyFill="1" applyBorder="1" applyAlignment="1">
      <alignment horizontal="center" vertical="center" shrinkToFit="1"/>
    </xf>
    <xf numFmtId="20" fontId="54" fillId="18" borderId="70" xfId="0" applyNumberFormat="1" applyFont="1" applyFill="1" applyBorder="1" applyAlignment="1">
      <alignment horizontal="center" vertical="center" shrinkToFit="1"/>
    </xf>
    <xf numFmtId="20" fontId="55" fillId="18" borderId="70" xfId="0" applyNumberFormat="1" applyFont="1" applyFill="1" applyBorder="1" applyAlignment="1">
      <alignment horizontal="center" vertical="center" shrinkToFit="1"/>
    </xf>
    <xf numFmtId="20" fontId="55" fillId="18" borderId="87" xfId="0" applyNumberFormat="1" applyFont="1" applyFill="1" applyBorder="1" applyAlignment="1">
      <alignment horizontal="center" vertical="center" shrinkToFit="1"/>
    </xf>
    <xf numFmtId="20" fontId="54" fillId="18" borderId="137" xfId="3" applyNumberFormat="1" applyFont="1" applyFill="1" applyBorder="1" applyAlignment="1">
      <alignment horizontal="center" vertical="center" shrinkToFit="1"/>
    </xf>
    <xf numFmtId="0" fontId="56" fillId="18" borderId="89" xfId="0" applyFont="1" applyFill="1" applyBorder="1" applyAlignment="1">
      <alignment horizontal="center" vertical="center" shrinkToFit="1"/>
    </xf>
    <xf numFmtId="0" fontId="56" fillId="18" borderId="70" xfId="0" applyFont="1" applyFill="1" applyBorder="1" applyAlignment="1">
      <alignment horizontal="center" vertical="center" shrinkToFit="1"/>
    </xf>
    <xf numFmtId="49" fontId="56" fillId="18" borderId="70" xfId="0" applyNumberFormat="1" applyFont="1" applyFill="1" applyBorder="1" applyAlignment="1">
      <alignment horizontal="center" vertical="center" shrinkToFit="1"/>
    </xf>
    <xf numFmtId="49" fontId="56" fillId="18" borderId="133" xfId="0" applyNumberFormat="1" applyFont="1" applyFill="1" applyBorder="1" applyAlignment="1">
      <alignment horizontal="center" vertical="center" shrinkToFit="1"/>
    </xf>
    <xf numFmtId="20" fontId="17" fillId="10" borderId="137" xfId="3" applyNumberFormat="1" applyFont="1" applyFill="1" applyBorder="1" applyAlignment="1">
      <alignment horizontal="center" vertical="center" shrinkToFit="1"/>
    </xf>
    <xf numFmtId="20" fontId="43" fillId="0" borderId="89" xfId="0" applyNumberFormat="1" applyFont="1" applyBorder="1" applyAlignment="1">
      <alignment horizontal="center" vertical="center" shrinkToFit="1"/>
    </xf>
    <xf numFmtId="20" fontId="43" fillId="0" borderId="70" xfId="0" applyNumberFormat="1" applyFont="1" applyBorder="1" applyAlignment="1">
      <alignment horizontal="center" vertical="center" shrinkToFit="1"/>
    </xf>
    <xf numFmtId="20" fontId="43" fillId="0" borderId="87" xfId="0" applyNumberFormat="1" applyFont="1" applyBorder="1" applyAlignment="1">
      <alignment horizontal="center" vertical="center" shrinkToFit="1"/>
    </xf>
    <xf numFmtId="20" fontId="43" fillId="0" borderId="137" xfId="3" applyNumberFormat="1" applyFont="1" applyFill="1" applyBorder="1" applyAlignment="1">
      <alignment horizontal="center" vertical="center" shrinkToFit="1"/>
    </xf>
    <xf numFmtId="0" fontId="25" fillId="0" borderId="89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49" fontId="25" fillId="0" borderId="187" xfId="0" applyNumberFormat="1" applyFont="1" applyBorder="1" applyAlignment="1">
      <alignment horizontal="center" vertical="center" shrinkToFit="1"/>
    </xf>
    <xf numFmtId="49" fontId="25" fillId="0" borderId="188" xfId="0" applyNumberFormat="1" applyFont="1" applyBorder="1" applyAlignment="1">
      <alignment horizontal="center" vertical="center" shrinkToFit="1"/>
    </xf>
    <xf numFmtId="49" fontId="25" fillId="0" borderId="189" xfId="0" applyNumberFormat="1" applyFont="1" applyBorder="1" applyAlignment="1">
      <alignment horizontal="center" vertical="center" shrinkToFit="1"/>
    </xf>
    <xf numFmtId="20" fontId="9" fillId="10" borderId="89" xfId="0" applyNumberFormat="1" applyFont="1" applyFill="1" applyBorder="1" applyAlignment="1">
      <alignment horizontal="center" vertical="center" shrinkToFit="1"/>
    </xf>
    <xf numFmtId="20" fontId="9" fillId="10" borderId="70" xfId="0" applyNumberFormat="1" applyFont="1" applyFill="1" applyBorder="1" applyAlignment="1">
      <alignment horizontal="center" vertical="center" shrinkToFit="1"/>
    </xf>
    <xf numFmtId="20" fontId="9" fillId="10" borderId="87" xfId="0" applyNumberFormat="1" applyFont="1" applyFill="1" applyBorder="1" applyAlignment="1">
      <alignment horizontal="center" vertical="center" shrinkToFit="1"/>
    </xf>
    <xf numFmtId="0" fontId="11" fillId="10" borderId="89" xfId="0" applyFont="1" applyFill="1" applyBorder="1" applyAlignment="1">
      <alignment horizontal="center" vertical="center" shrinkToFit="1"/>
    </xf>
    <xf numFmtId="0" fontId="11" fillId="10" borderId="70" xfId="0" applyFont="1" applyFill="1" applyBorder="1" applyAlignment="1">
      <alignment horizontal="center" vertical="center" shrinkToFit="1"/>
    </xf>
    <xf numFmtId="49" fontId="11" fillId="10" borderId="183" xfId="0" applyNumberFormat="1" applyFont="1" applyFill="1" applyBorder="1" applyAlignment="1">
      <alignment horizontal="center" vertical="center" shrinkToFit="1"/>
    </xf>
    <xf numFmtId="49" fontId="11" fillId="10" borderId="184" xfId="0" applyNumberFormat="1" applyFont="1" applyFill="1" applyBorder="1" applyAlignment="1">
      <alignment horizontal="center" vertical="center" shrinkToFit="1"/>
    </xf>
    <xf numFmtId="49" fontId="11" fillId="10" borderId="185" xfId="0" applyNumberFormat="1" applyFont="1" applyFill="1" applyBorder="1" applyAlignment="1">
      <alignment horizontal="center" vertical="center" shrinkToFit="1"/>
    </xf>
    <xf numFmtId="49" fontId="12" fillId="0" borderId="87" xfId="0" applyNumberFormat="1" applyFont="1" applyBorder="1" applyAlignment="1">
      <alignment horizontal="center" vertical="center" shrinkToFit="1"/>
    </xf>
    <xf numFmtId="49" fontId="12" fillId="0" borderId="88" xfId="0" applyNumberFormat="1" applyFont="1" applyBorder="1" applyAlignment="1">
      <alignment horizontal="center" vertical="center" shrinkToFit="1"/>
    </xf>
    <xf numFmtId="49" fontId="12" fillId="0" borderId="178" xfId="0" applyNumberFormat="1" applyFont="1" applyBorder="1" applyAlignment="1">
      <alignment horizontal="center" vertical="center" shrinkToFit="1"/>
    </xf>
    <xf numFmtId="0" fontId="7" fillId="5" borderId="3" xfId="0" applyFont="1" applyFill="1" applyBorder="1" applyAlignment="1">
      <alignment horizontal="center" vertical="center" shrinkToFit="1"/>
    </xf>
    <xf numFmtId="0" fontId="7" fillId="5" borderId="130" xfId="0" applyFont="1" applyFill="1" applyBorder="1" applyAlignment="1">
      <alignment horizontal="center" vertical="center" shrinkToFit="1"/>
    </xf>
    <xf numFmtId="0" fontId="4" fillId="5" borderId="131" xfId="0" applyFont="1" applyFill="1" applyBorder="1" applyAlignment="1">
      <alignment horizontal="center" vertical="center" shrinkToFit="1"/>
    </xf>
    <xf numFmtId="0" fontId="4" fillId="5" borderId="3" xfId="0" applyFont="1" applyFill="1" applyBorder="1" applyAlignment="1">
      <alignment horizontal="center" vertical="center" shrinkToFit="1"/>
    </xf>
    <xf numFmtId="49" fontId="12" fillId="16" borderId="87" xfId="0" applyNumberFormat="1" applyFont="1" applyFill="1" applyBorder="1" applyAlignment="1">
      <alignment horizontal="center" vertical="center" shrinkToFit="1"/>
    </xf>
    <xf numFmtId="49" fontId="12" fillId="16" borderId="88" xfId="0" applyNumberFormat="1" applyFont="1" applyFill="1" applyBorder="1" applyAlignment="1">
      <alignment horizontal="center" vertical="center" shrinkToFit="1"/>
    </xf>
    <xf numFmtId="49" fontId="12" fillId="16" borderId="178" xfId="0" applyNumberFormat="1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shrinkToFit="1"/>
    </xf>
    <xf numFmtId="20" fontId="9" fillId="9" borderId="89" xfId="0" applyNumberFormat="1" applyFont="1" applyFill="1" applyBorder="1" applyAlignment="1">
      <alignment horizontal="center" vertical="center" shrinkToFit="1"/>
    </xf>
    <xf numFmtId="20" fontId="9" fillId="9" borderId="70" xfId="0" applyNumberFormat="1" applyFont="1" applyFill="1" applyBorder="1" applyAlignment="1">
      <alignment horizontal="center" vertical="center" shrinkToFit="1"/>
    </xf>
    <xf numFmtId="20" fontId="9" fillId="9" borderId="87" xfId="0" applyNumberFormat="1" applyFont="1" applyFill="1" applyBorder="1" applyAlignment="1">
      <alignment horizontal="center" vertical="center" shrinkToFit="1"/>
    </xf>
    <xf numFmtId="20" fontId="17" fillId="9" borderId="137" xfId="3" applyNumberFormat="1" applyFont="1" applyFill="1" applyBorder="1" applyAlignment="1">
      <alignment horizontal="center" vertical="center" shrinkToFit="1"/>
    </xf>
    <xf numFmtId="0" fontId="11" fillId="9" borderId="89" xfId="0" applyFont="1" applyFill="1" applyBorder="1" applyAlignment="1">
      <alignment horizontal="center" vertical="center" shrinkToFit="1"/>
    </xf>
    <xf numFmtId="0" fontId="11" fillId="9" borderId="70" xfId="0" applyFont="1" applyFill="1" applyBorder="1" applyAlignment="1">
      <alignment horizontal="center" vertical="center" shrinkToFit="1"/>
    </xf>
    <xf numFmtId="49" fontId="5" fillId="14" borderId="134" xfId="0" applyNumberFormat="1" applyFont="1" applyFill="1" applyBorder="1" applyAlignment="1">
      <alignment horizontal="center" vertical="center" shrinkToFit="1"/>
    </xf>
    <xf numFmtId="49" fontId="12" fillId="0" borderId="87" xfId="0" quotePrefix="1" applyNumberFormat="1" applyFont="1" applyBorder="1" applyAlignment="1">
      <alignment horizontal="center" vertical="center" shrinkToFit="1"/>
    </xf>
    <xf numFmtId="49" fontId="12" fillId="0" borderId="88" xfId="0" quotePrefix="1" applyNumberFormat="1" applyFont="1" applyBorder="1" applyAlignment="1">
      <alignment horizontal="center" vertical="center" shrinkToFit="1"/>
    </xf>
    <xf numFmtId="49" fontId="12" fillId="0" borderId="178" xfId="0" quotePrefix="1" applyNumberFormat="1" applyFont="1" applyBorder="1" applyAlignment="1">
      <alignment horizontal="center" vertical="center" shrinkToFit="1"/>
    </xf>
    <xf numFmtId="49" fontId="4" fillId="5" borderId="179" xfId="0" applyNumberFormat="1" applyFont="1" applyFill="1" applyBorder="1" applyAlignment="1">
      <alignment horizontal="center" vertical="center" shrinkToFit="1"/>
    </xf>
    <xf numFmtId="49" fontId="4" fillId="5" borderId="180" xfId="0" applyNumberFormat="1" applyFont="1" applyFill="1" applyBorder="1" applyAlignment="1">
      <alignment horizontal="center" vertical="center" shrinkToFit="1"/>
    </xf>
    <xf numFmtId="49" fontId="4" fillId="5" borderId="181" xfId="0" applyNumberFormat="1" applyFont="1" applyFill="1" applyBorder="1" applyAlignment="1">
      <alignment horizontal="center" vertical="center" shrinkToFit="1"/>
    </xf>
    <xf numFmtId="49" fontId="5" fillId="14" borderId="182" xfId="0" applyNumberFormat="1" applyFont="1" applyFill="1" applyBorder="1" applyAlignment="1">
      <alignment horizontal="center" vertical="center" shrinkToFit="1"/>
    </xf>
    <xf numFmtId="49" fontId="5" fillId="14" borderId="176" xfId="0" applyNumberFormat="1" applyFont="1" applyFill="1" applyBorder="1" applyAlignment="1">
      <alignment horizontal="center" vertical="center" shrinkToFit="1"/>
    </xf>
    <xf numFmtId="49" fontId="5" fillId="14" borderId="177" xfId="0" applyNumberFormat="1" applyFont="1" applyFill="1" applyBorder="1" applyAlignment="1">
      <alignment horizontal="center" vertical="center" shrinkToFit="1"/>
    </xf>
    <xf numFmtId="49" fontId="25" fillId="0" borderId="87" xfId="0" applyNumberFormat="1" applyFont="1" applyBorder="1" applyAlignment="1">
      <alignment horizontal="center" vertical="center" shrinkToFit="1"/>
    </xf>
    <xf numFmtId="49" fontId="25" fillId="0" borderId="88" xfId="0" applyNumberFormat="1" applyFont="1" applyBorder="1" applyAlignment="1">
      <alignment horizontal="center" vertical="center" shrinkToFit="1"/>
    </xf>
    <xf numFmtId="49" fontId="25" fillId="0" borderId="178" xfId="0" applyNumberFormat="1" applyFont="1" applyBorder="1" applyAlignment="1">
      <alignment horizontal="center" vertical="center" shrinkToFit="1"/>
    </xf>
    <xf numFmtId="0" fontId="4" fillId="14" borderId="76" xfId="0" applyFont="1" applyFill="1" applyBorder="1" applyAlignment="1">
      <alignment horizontal="center" vertical="center" shrinkToFit="1"/>
    </xf>
    <xf numFmtId="20" fontId="9" fillId="0" borderId="135" xfId="0" applyNumberFormat="1" applyFont="1" applyBorder="1" applyAlignment="1">
      <alignment horizontal="center" vertical="center" shrinkToFit="1"/>
    </xf>
    <xf numFmtId="20" fontId="9" fillId="0" borderId="138" xfId="0" applyNumberFormat="1" applyFont="1" applyBorder="1" applyAlignment="1">
      <alignment horizontal="center" vertical="center" shrinkToFit="1"/>
    </xf>
    <xf numFmtId="20" fontId="17" fillId="0" borderId="139" xfId="3" applyNumberFormat="1" applyFont="1" applyFill="1" applyBorder="1" applyAlignment="1">
      <alignment horizontal="center" vertical="center" shrinkToFit="1"/>
    </xf>
    <xf numFmtId="0" fontId="12" fillId="0" borderId="136" xfId="0" applyFont="1" applyBorder="1" applyAlignment="1">
      <alignment horizontal="center" vertical="center" shrinkToFit="1"/>
    </xf>
    <xf numFmtId="0" fontId="12" fillId="0" borderId="135" xfId="0" applyFont="1" applyBorder="1" applyAlignment="1">
      <alignment horizontal="center" vertical="center" shrinkToFit="1"/>
    </xf>
    <xf numFmtId="49" fontId="12" fillId="0" borderId="138" xfId="0" quotePrefix="1" applyNumberFormat="1" applyFont="1" applyBorder="1" applyAlignment="1">
      <alignment horizontal="center" vertical="center" shrinkToFit="1"/>
    </xf>
    <xf numFmtId="49" fontId="12" fillId="0" borderId="176" xfId="0" quotePrefix="1" applyNumberFormat="1" applyFont="1" applyBorder="1" applyAlignment="1">
      <alignment horizontal="center" vertical="center" shrinkToFit="1"/>
    </xf>
    <xf numFmtId="49" fontId="12" fillId="0" borderId="177" xfId="0" quotePrefix="1" applyNumberFormat="1" applyFont="1" applyBorder="1" applyAlignment="1">
      <alignment horizontal="center" vertical="center" shrinkToFit="1"/>
    </xf>
    <xf numFmtId="20" fontId="9" fillId="0" borderId="136" xfId="0" applyNumberFormat="1" applyFont="1" applyBorder="1" applyAlignment="1">
      <alignment horizontal="center" vertical="center" shrinkToFit="1"/>
    </xf>
    <xf numFmtId="49" fontId="47" fillId="15" borderId="11" xfId="0" applyNumberFormat="1" applyFont="1" applyFill="1" applyBorder="1" applyAlignment="1">
      <alignment horizontal="center" vertical="center" shrinkToFit="1"/>
    </xf>
    <xf numFmtId="49" fontId="47" fillId="15" borderId="27" xfId="0" applyNumberFormat="1" applyFont="1" applyFill="1" applyBorder="1" applyAlignment="1">
      <alignment horizontal="center" vertical="center" shrinkToFit="1"/>
    </xf>
    <xf numFmtId="0" fontId="31" fillId="13" borderId="129" xfId="0" applyFont="1" applyFill="1" applyBorder="1" applyAlignment="1">
      <alignment horizontal="center" vertical="center" textRotation="90"/>
    </xf>
    <xf numFmtId="0" fontId="31" fillId="13" borderId="100" xfId="0" applyFont="1" applyFill="1" applyBorder="1" applyAlignment="1">
      <alignment horizontal="center" vertical="center" textRotation="90"/>
    </xf>
    <xf numFmtId="0" fontId="31" fillId="13" borderId="128" xfId="0" applyFont="1" applyFill="1" applyBorder="1" applyAlignment="1">
      <alignment horizontal="center" vertical="center" textRotation="90"/>
    </xf>
    <xf numFmtId="0" fontId="31" fillId="13" borderId="0" xfId="0" applyFont="1" applyFill="1" applyAlignment="1">
      <alignment horizontal="center" vertical="center" textRotation="90"/>
    </xf>
    <xf numFmtId="0" fontId="29" fillId="0" borderId="77" xfId="1" applyFont="1" applyBorder="1" applyAlignment="1">
      <alignment wrapText="1"/>
    </xf>
    <xf numFmtId="0" fontId="27" fillId="13" borderId="0" xfId="0" applyFont="1" applyFill="1" applyAlignment="1">
      <alignment horizontal="center"/>
    </xf>
    <xf numFmtId="0" fontId="30" fillId="0" borderId="87" xfId="5" applyBorder="1" applyAlignment="1">
      <alignment horizontal="left"/>
    </xf>
    <xf numFmtId="0" fontId="30" fillId="0" borderId="88" xfId="5" applyBorder="1" applyAlignment="1">
      <alignment horizontal="left"/>
    </xf>
    <xf numFmtId="0" fontId="30" fillId="0" borderId="89" xfId="5" applyBorder="1" applyAlignment="1">
      <alignment horizontal="left"/>
    </xf>
    <xf numFmtId="0" fontId="22" fillId="0" borderId="87" xfId="5" applyFont="1" applyBorder="1" applyAlignment="1">
      <alignment horizontal="center"/>
    </xf>
    <xf numFmtId="0" fontId="22" fillId="0" borderId="88" xfId="5" applyFont="1" applyBorder="1" applyAlignment="1">
      <alignment horizontal="center"/>
    </xf>
    <xf numFmtId="0" fontId="22" fillId="0" borderId="89" xfId="5" applyFont="1" applyBorder="1" applyAlignment="1">
      <alignment horizontal="center"/>
    </xf>
    <xf numFmtId="0" fontId="0" fillId="0" borderId="87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0" fillId="0" borderId="81" xfId="0" quotePrefix="1" applyBorder="1" applyAlignment="1">
      <alignment horizontal="left"/>
    </xf>
    <xf numFmtId="0" fontId="0" fillId="0" borderId="82" xfId="0" quotePrefix="1" applyBorder="1" applyAlignment="1">
      <alignment horizontal="left"/>
    </xf>
    <xf numFmtId="0" fontId="0" fillId="0" borderId="83" xfId="0" quotePrefix="1" applyBorder="1" applyAlignment="1">
      <alignment horizontal="left"/>
    </xf>
    <xf numFmtId="0" fontId="0" fillId="0" borderId="84" xfId="0" quotePrefix="1" applyBorder="1" applyAlignment="1">
      <alignment horizontal="left"/>
    </xf>
    <xf numFmtId="0" fontId="0" fillId="0" borderId="85" xfId="0" quotePrefix="1" applyBorder="1" applyAlignment="1">
      <alignment horizontal="left"/>
    </xf>
    <xf numFmtId="0" fontId="4" fillId="13" borderId="0" xfId="0" applyFont="1" applyFill="1" applyAlignment="1">
      <alignment horizontal="center"/>
    </xf>
    <xf numFmtId="0" fontId="35" fillId="0" borderId="0" xfId="6" applyFont="1" applyAlignment="1" applyProtection="1">
      <alignment horizontal="center" vertical="center"/>
      <protection locked="0"/>
    </xf>
    <xf numFmtId="0" fontId="35" fillId="0" borderId="93" xfId="6" applyFont="1" applyBorder="1" applyAlignment="1" applyProtection="1">
      <alignment horizontal="center" vertical="center"/>
      <protection locked="0"/>
    </xf>
    <xf numFmtId="0" fontId="0" fillId="0" borderId="81" xfId="0" quotePrefix="1" applyBorder="1" applyAlignment="1">
      <alignment horizontal="left" vertical="center"/>
    </xf>
    <xf numFmtId="0" fontId="0" fillId="0" borderId="82" xfId="0" quotePrefix="1" applyBorder="1" applyAlignment="1">
      <alignment horizontal="left" vertical="center"/>
    </xf>
    <xf numFmtId="0" fontId="0" fillId="0" borderId="81" xfId="0" quotePrefix="1" applyBorder="1" applyAlignment="1">
      <alignment horizontal="left" vertical="center" wrapText="1"/>
    </xf>
    <xf numFmtId="0" fontId="0" fillId="0" borderId="82" xfId="0" quotePrefix="1" applyBorder="1" applyAlignment="1">
      <alignment horizontal="left" vertical="center" wrapText="1"/>
    </xf>
    <xf numFmtId="0" fontId="0" fillId="0" borderId="83" xfId="0" quotePrefix="1" applyBorder="1" applyAlignment="1">
      <alignment horizontal="left" vertical="center" wrapText="1"/>
    </xf>
    <xf numFmtId="0" fontId="0" fillId="0" borderId="84" xfId="0" quotePrefix="1" applyBorder="1" applyAlignment="1">
      <alignment horizontal="left" vertical="center" wrapText="1"/>
    </xf>
    <xf numFmtId="0" fontId="0" fillId="0" borderId="85" xfId="0" quotePrefix="1" applyBorder="1" applyAlignment="1">
      <alignment horizontal="left" vertical="center" wrapText="1"/>
    </xf>
    <xf numFmtId="0" fontId="0" fillId="0" borderId="86" xfId="0" quotePrefix="1" applyBorder="1" applyAlignment="1">
      <alignment horizontal="left" vertical="center" wrapText="1"/>
    </xf>
    <xf numFmtId="0" fontId="34" fillId="9" borderId="0" xfId="6" applyFill="1" applyAlignment="1">
      <alignment horizontal="center" vertical="center" wrapText="1"/>
    </xf>
  </cellXfs>
  <cellStyles count="9">
    <cellStyle name="Berekening" xfId="3" builtinId="22"/>
    <cellStyle name="Currency 2" xfId="8" xr:uid="{ACB2DFA4-6EF5-D441-8966-658DCF82DB27}"/>
    <cellStyle name="Hyperlink" xfId="5" builtinId="8"/>
    <cellStyle name="Invoer" xfId="4" builtinId="20"/>
    <cellStyle name="Kop 1" xfId="1" builtinId="16"/>
    <cellStyle name="Normal 2" xfId="6" xr:uid="{332F4DE5-07C1-4C60-8178-D73198EF7ED5}"/>
    <cellStyle name="Standaard" xfId="0" builtinId="0"/>
    <cellStyle name="Standaard 2" xfId="2" xr:uid="{64A25561-EA8C-458B-9D45-F802A5FB4918}"/>
    <cellStyle name="Valuta" xfId="7" builtinId="4"/>
  </cellStyles>
  <dxfs count="3541"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 val="0"/>
        <i val="0"/>
      </font>
      <fill>
        <patternFill>
          <bgColor theme="7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 patternType="solid"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7C8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7C80"/>
      <color rgb="FFFBE4FF"/>
      <color rgb="FFB4C6E7"/>
      <color rgb="FFFE5900"/>
      <color rgb="FFFFC9C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4202</xdr:colOff>
      <xdr:row>1</xdr:row>
      <xdr:rowOff>566429</xdr:rowOff>
    </xdr:from>
    <xdr:to>
      <xdr:col>23</xdr:col>
      <xdr:colOff>232802</xdr:colOff>
      <xdr:row>1</xdr:row>
      <xdr:rowOff>602429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8502" y="642629"/>
          <a:ext cx="8543925" cy="36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</xdr:row>
      <xdr:rowOff>40821</xdr:rowOff>
    </xdr:from>
    <xdr:to>
      <xdr:col>20</xdr:col>
      <xdr:colOff>0</xdr:colOff>
      <xdr:row>1</xdr:row>
      <xdr:rowOff>545646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4429" y="117021"/>
          <a:ext cx="7603671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NL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TRANSPORT</a:t>
          </a:r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 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4202</xdr:colOff>
      <xdr:row>1</xdr:row>
      <xdr:rowOff>566429</xdr:rowOff>
    </xdr:from>
    <xdr:to>
      <xdr:col>23</xdr:col>
      <xdr:colOff>232802</xdr:colOff>
      <xdr:row>1</xdr:row>
      <xdr:rowOff>602429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8502" y="642629"/>
          <a:ext cx="8534400" cy="36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</xdr:row>
      <xdr:rowOff>40821</xdr:rowOff>
    </xdr:from>
    <xdr:to>
      <xdr:col>20</xdr:col>
      <xdr:colOff>0</xdr:colOff>
      <xdr:row>1</xdr:row>
      <xdr:rowOff>545646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4429" y="117021"/>
          <a:ext cx="7594146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NL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TRANSPORT</a:t>
          </a:r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 </a:t>
          </a:r>
          <a:r>
            <a:rPr lang="en-NL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FROM </a:t>
          </a:r>
          <a:endParaRPr lang="en-GB" sz="24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4202</xdr:colOff>
      <xdr:row>1</xdr:row>
      <xdr:rowOff>566428</xdr:rowOff>
    </xdr:from>
    <xdr:to>
      <xdr:col>34</xdr:col>
      <xdr:colOff>0</xdr:colOff>
      <xdr:row>1</xdr:row>
      <xdr:rowOff>612147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8502" y="642628"/>
          <a:ext cx="10520923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4202</xdr:colOff>
      <xdr:row>1</xdr:row>
      <xdr:rowOff>566428</xdr:rowOff>
    </xdr:from>
    <xdr:to>
      <xdr:col>34</xdr:col>
      <xdr:colOff>0</xdr:colOff>
      <xdr:row>1</xdr:row>
      <xdr:rowOff>612147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18502" y="642628"/>
          <a:ext cx="10520923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39</xdr:col>
      <xdr:colOff>24590</xdr:colOff>
      <xdr:row>1</xdr:row>
      <xdr:rowOff>215417</xdr:rowOff>
    </xdr:from>
    <xdr:to>
      <xdr:col>39</xdr:col>
      <xdr:colOff>24590</xdr:colOff>
      <xdr:row>1</xdr:row>
      <xdr:rowOff>478507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/>
      </xdr:nvCxnSpPr>
      <xdr:spPr>
        <a:xfrm>
          <a:off x="14959790" y="469417"/>
          <a:ext cx="0" cy="263090"/>
        </a:xfrm>
        <a:prstGeom prst="line">
          <a:avLst/>
        </a:prstGeom>
        <a:ln w="95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24590</xdr:colOff>
      <xdr:row>1</xdr:row>
      <xdr:rowOff>215417</xdr:rowOff>
    </xdr:from>
    <xdr:to>
      <xdr:col>39</xdr:col>
      <xdr:colOff>24590</xdr:colOff>
      <xdr:row>1</xdr:row>
      <xdr:rowOff>478507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>
          <a:off x="14959790" y="469417"/>
          <a:ext cx="0" cy="263090"/>
        </a:xfrm>
        <a:prstGeom prst="line">
          <a:avLst/>
        </a:prstGeom>
        <a:ln w="95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24590</xdr:colOff>
      <xdr:row>1</xdr:row>
      <xdr:rowOff>215417</xdr:rowOff>
    </xdr:from>
    <xdr:to>
      <xdr:col>39</xdr:col>
      <xdr:colOff>24590</xdr:colOff>
      <xdr:row>1</xdr:row>
      <xdr:rowOff>478507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>
          <a:off x="14959790" y="469417"/>
          <a:ext cx="0" cy="263090"/>
        </a:xfrm>
        <a:prstGeom prst="line">
          <a:avLst/>
        </a:prstGeom>
        <a:ln w="95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251584</xdr:colOff>
      <xdr:row>0</xdr:row>
      <xdr:rowOff>203200</xdr:rowOff>
    </xdr:from>
    <xdr:to>
      <xdr:col>33</xdr:col>
      <xdr:colOff>141450</xdr:colOff>
      <xdr:row>1</xdr:row>
      <xdr:rowOff>616857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93DE821E-25DE-EF43-9060-563871FF2143}"/>
            </a:ext>
          </a:extLst>
        </xdr:cNvPr>
        <xdr:cNvGrpSpPr>
          <a:grpSpLocks noChangeAspect="1"/>
        </xdr:cNvGrpSpPr>
      </xdr:nvGrpSpPr>
      <xdr:grpSpPr>
        <a:xfrm>
          <a:off x="7976359" y="203200"/>
          <a:ext cx="1728191" cy="670832"/>
          <a:chOff x="13708048" y="-14212"/>
          <a:chExt cx="2883409" cy="1416199"/>
        </a:xfrm>
      </xdr:grpSpPr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62901AA-0AC3-6BEB-7D94-29F9A5C2AF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16110" y="-14212"/>
            <a:ext cx="1175347" cy="1416199"/>
          </a:xfrm>
          <a:prstGeom prst="rect">
            <a:avLst/>
          </a:prstGeom>
        </xdr:spPr>
      </xdr:pic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DB3B82A5-709B-F95B-21EE-EFC67D2AE28B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03092703-146E-29FA-4CE1-D3836FE0CA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398083"/>
            <a:ext cx="1384786" cy="5405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4202</xdr:colOff>
      <xdr:row>1</xdr:row>
      <xdr:rowOff>566428</xdr:rowOff>
    </xdr:from>
    <xdr:to>
      <xdr:col>34</xdr:col>
      <xdr:colOff>0</xdr:colOff>
      <xdr:row>1</xdr:row>
      <xdr:rowOff>612147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B20DC007-B9C0-7E4A-ACD4-1D5F132DE63B}"/>
            </a:ext>
          </a:extLst>
        </xdr:cNvPr>
        <xdr:cNvSpPr/>
      </xdr:nvSpPr>
      <xdr:spPr>
        <a:xfrm>
          <a:off x="131202" y="820428"/>
          <a:ext cx="10943198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4202</xdr:colOff>
      <xdr:row>1</xdr:row>
      <xdr:rowOff>566428</xdr:rowOff>
    </xdr:from>
    <xdr:to>
      <xdr:col>34</xdr:col>
      <xdr:colOff>0</xdr:colOff>
      <xdr:row>1</xdr:row>
      <xdr:rowOff>612147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DAAFA030-1B97-EA42-BCEE-58448D368DC8}"/>
            </a:ext>
          </a:extLst>
        </xdr:cNvPr>
        <xdr:cNvSpPr/>
      </xdr:nvSpPr>
      <xdr:spPr>
        <a:xfrm>
          <a:off x="131202" y="820428"/>
          <a:ext cx="10943198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76399</xdr:colOff>
      <xdr:row>1</xdr:row>
      <xdr:rowOff>43367</xdr:rowOff>
    </xdr:from>
    <xdr:to>
      <xdr:col>26</xdr:col>
      <xdr:colOff>145263</xdr:colOff>
      <xdr:row>1</xdr:row>
      <xdr:rowOff>548192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ABB6834B-04E0-884B-84CF-634C24C10484}"/>
            </a:ext>
          </a:extLst>
        </xdr:cNvPr>
        <xdr:cNvSpPr txBox="1"/>
      </xdr:nvSpPr>
      <xdr:spPr>
        <a:xfrm>
          <a:off x="76399" y="300582"/>
          <a:ext cx="10172598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itchFamily="34" charset="0"/>
            </a:rPr>
            <a:t>TEAM HOTEL PLANNING </a:t>
          </a:r>
        </a:p>
      </xdr:txBody>
    </xdr:sp>
    <xdr:clientData/>
  </xdr:twoCellAnchor>
  <xdr:twoCellAnchor>
    <xdr:from>
      <xdr:col>1</xdr:col>
      <xdr:colOff>4202</xdr:colOff>
      <xdr:row>1</xdr:row>
      <xdr:rowOff>566428</xdr:rowOff>
    </xdr:from>
    <xdr:to>
      <xdr:col>34</xdr:col>
      <xdr:colOff>0</xdr:colOff>
      <xdr:row>1</xdr:row>
      <xdr:rowOff>612147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3F2918A2-6F14-7F46-B6C2-7BCC70951A9A}"/>
            </a:ext>
          </a:extLst>
        </xdr:cNvPr>
        <xdr:cNvSpPr/>
      </xdr:nvSpPr>
      <xdr:spPr>
        <a:xfrm>
          <a:off x="131202" y="820428"/>
          <a:ext cx="10943198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4202</xdr:colOff>
      <xdr:row>32</xdr:row>
      <xdr:rowOff>566428</xdr:rowOff>
    </xdr:from>
    <xdr:to>
      <xdr:col>34</xdr:col>
      <xdr:colOff>0</xdr:colOff>
      <xdr:row>32</xdr:row>
      <xdr:rowOff>612147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8F5CA39-20A4-48AD-97B7-9564CF4EF3A8}"/>
            </a:ext>
          </a:extLst>
        </xdr:cNvPr>
        <xdr:cNvSpPr/>
      </xdr:nvSpPr>
      <xdr:spPr>
        <a:xfrm>
          <a:off x="118502" y="817888"/>
          <a:ext cx="9795118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12095</xdr:colOff>
      <xdr:row>32</xdr:row>
      <xdr:rowOff>51405</xdr:rowOff>
    </xdr:from>
    <xdr:to>
      <xdr:col>26</xdr:col>
      <xdr:colOff>209567</xdr:colOff>
      <xdr:row>32</xdr:row>
      <xdr:rowOff>556230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65E4AAC-51B4-433E-9C82-4F88E101FAE7}"/>
            </a:ext>
          </a:extLst>
        </xdr:cNvPr>
        <xdr:cNvSpPr txBox="1"/>
      </xdr:nvSpPr>
      <xdr:spPr>
        <a:xfrm>
          <a:off x="126395" y="302865"/>
          <a:ext cx="9112872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itchFamily="34" charset="0"/>
            </a:rPr>
            <a:t>TEAM HOTEL PLANNING </a:t>
          </a:r>
        </a:p>
      </xdr:txBody>
    </xdr:sp>
    <xdr:clientData/>
  </xdr:twoCellAnchor>
  <xdr:twoCellAnchor>
    <xdr:from>
      <xdr:col>1</xdr:col>
      <xdr:colOff>4202</xdr:colOff>
      <xdr:row>32</xdr:row>
      <xdr:rowOff>566428</xdr:rowOff>
    </xdr:from>
    <xdr:to>
      <xdr:col>34</xdr:col>
      <xdr:colOff>0</xdr:colOff>
      <xdr:row>32</xdr:row>
      <xdr:rowOff>612147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74866C7-4EA3-468A-B079-D332547A890F}"/>
            </a:ext>
          </a:extLst>
        </xdr:cNvPr>
        <xdr:cNvSpPr/>
      </xdr:nvSpPr>
      <xdr:spPr>
        <a:xfrm>
          <a:off x="118502" y="817888"/>
          <a:ext cx="9795118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197696</xdr:colOff>
      <xdr:row>32</xdr:row>
      <xdr:rowOff>15240</xdr:rowOff>
    </xdr:from>
    <xdr:to>
      <xdr:col>33</xdr:col>
      <xdr:colOff>58439</xdr:colOff>
      <xdr:row>33</xdr:row>
      <xdr:rowOff>17618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8CFB44F7-9F75-48CB-AE54-7338536DE0F9}"/>
            </a:ext>
          </a:extLst>
        </xdr:cNvPr>
        <xdr:cNvGrpSpPr>
          <a:grpSpLocks noChangeAspect="1"/>
        </xdr:cNvGrpSpPr>
      </xdr:nvGrpSpPr>
      <xdr:grpSpPr>
        <a:xfrm>
          <a:off x="7922471" y="6978015"/>
          <a:ext cx="1708593" cy="707228"/>
          <a:chOff x="13708048" y="121337"/>
          <a:chExt cx="2952239" cy="1246763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7039856D-709B-D620-2173-F4E07EFECF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0188" y="121337"/>
            <a:ext cx="1260099" cy="1246763"/>
          </a:xfrm>
          <a:prstGeom prst="rect">
            <a:avLst/>
          </a:prstGeom>
        </xdr:spPr>
      </xdr:pic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53236E8-BC7C-FEA6-A85A-BCF4498B32C6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3A6EF0DF-502A-EF98-B714-DD85FF0146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197696</xdr:colOff>
      <xdr:row>32</xdr:row>
      <xdr:rowOff>15240</xdr:rowOff>
    </xdr:from>
    <xdr:to>
      <xdr:col>33</xdr:col>
      <xdr:colOff>58439</xdr:colOff>
      <xdr:row>33</xdr:row>
      <xdr:rowOff>17618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DE2170E3-E832-447D-8EB4-3C809E0D66D3}"/>
            </a:ext>
          </a:extLst>
        </xdr:cNvPr>
        <xdr:cNvGrpSpPr>
          <a:grpSpLocks noChangeAspect="1"/>
        </xdr:cNvGrpSpPr>
      </xdr:nvGrpSpPr>
      <xdr:grpSpPr>
        <a:xfrm>
          <a:off x="7922471" y="6978015"/>
          <a:ext cx="1708593" cy="707228"/>
          <a:chOff x="13708048" y="121337"/>
          <a:chExt cx="2952239" cy="1246763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15759894-BB0C-D316-63D4-F80344604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0188" y="121337"/>
            <a:ext cx="1260099" cy="1246763"/>
          </a:xfrm>
          <a:prstGeom prst="rect">
            <a:avLst/>
          </a:prstGeom>
        </xdr:spPr>
      </xdr:pic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CCA53A4B-84B1-950E-3500-C3A7C3846BAB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D0296D9F-BF8C-6CCB-2A13-5BAC37A32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197696</xdr:colOff>
      <xdr:row>32</xdr:row>
      <xdr:rowOff>15240</xdr:rowOff>
    </xdr:from>
    <xdr:to>
      <xdr:col>33</xdr:col>
      <xdr:colOff>58439</xdr:colOff>
      <xdr:row>33</xdr:row>
      <xdr:rowOff>17618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BFFAB728-E85F-4D99-8CA2-59F0B9E202A7}"/>
            </a:ext>
          </a:extLst>
        </xdr:cNvPr>
        <xdr:cNvGrpSpPr>
          <a:grpSpLocks noChangeAspect="1"/>
        </xdr:cNvGrpSpPr>
      </xdr:nvGrpSpPr>
      <xdr:grpSpPr>
        <a:xfrm>
          <a:off x="7922471" y="6978015"/>
          <a:ext cx="1708593" cy="707228"/>
          <a:chOff x="13708048" y="121337"/>
          <a:chExt cx="2952239" cy="1246763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CFADA8C-28E9-B737-1811-86AB5631E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0188" y="121337"/>
            <a:ext cx="1260099" cy="1246763"/>
          </a:xfrm>
          <a:prstGeom prst="rect">
            <a:avLst/>
          </a:prstGeom>
        </xdr:spPr>
      </xdr:pic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1A9E45E9-291D-4474-2ECD-54808534CB04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113BB269-677B-C6D5-5F2C-7674F0E956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197696</xdr:colOff>
      <xdr:row>32</xdr:row>
      <xdr:rowOff>15240</xdr:rowOff>
    </xdr:from>
    <xdr:to>
      <xdr:col>33</xdr:col>
      <xdr:colOff>58439</xdr:colOff>
      <xdr:row>33</xdr:row>
      <xdr:rowOff>17618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BE0BF7C-3FFC-4232-A68D-638B3FA15386}"/>
            </a:ext>
          </a:extLst>
        </xdr:cNvPr>
        <xdr:cNvGrpSpPr>
          <a:grpSpLocks noChangeAspect="1"/>
        </xdr:cNvGrpSpPr>
      </xdr:nvGrpSpPr>
      <xdr:grpSpPr>
        <a:xfrm>
          <a:off x="7922471" y="6978015"/>
          <a:ext cx="1708593" cy="707228"/>
          <a:chOff x="13708048" y="121337"/>
          <a:chExt cx="2952239" cy="1246763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F7C7E247-C520-C1B0-9FBA-DE49596607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0188" y="121337"/>
            <a:ext cx="1260099" cy="1246763"/>
          </a:xfrm>
          <a:prstGeom prst="rect">
            <a:avLst/>
          </a:prstGeom>
        </xdr:spPr>
      </xdr:pic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3E751CD9-4F6F-C8EB-A315-92F5A808C5C3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9CD095F8-08A2-D22F-86F3-175B06F66A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4202</xdr:colOff>
      <xdr:row>59</xdr:row>
      <xdr:rowOff>566428</xdr:rowOff>
    </xdr:from>
    <xdr:to>
      <xdr:col>34</xdr:col>
      <xdr:colOff>0</xdr:colOff>
      <xdr:row>59</xdr:row>
      <xdr:rowOff>612147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C7B7A858-C0F5-4D98-B7B2-2DFDB936BD58}"/>
            </a:ext>
          </a:extLst>
        </xdr:cNvPr>
        <xdr:cNvSpPr/>
      </xdr:nvSpPr>
      <xdr:spPr>
        <a:xfrm>
          <a:off x="120407" y="12851773"/>
          <a:ext cx="9737968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4202</xdr:colOff>
      <xdr:row>59</xdr:row>
      <xdr:rowOff>566428</xdr:rowOff>
    </xdr:from>
    <xdr:to>
      <xdr:col>34</xdr:col>
      <xdr:colOff>0</xdr:colOff>
      <xdr:row>59</xdr:row>
      <xdr:rowOff>612147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8C61288F-EDE6-4766-B982-0E36B2011ED6}"/>
            </a:ext>
          </a:extLst>
        </xdr:cNvPr>
        <xdr:cNvSpPr/>
      </xdr:nvSpPr>
      <xdr:spPr>
        <a:xfrm>
          <a:off x="120407" y="12851773"/>
          <a:ext cx="9737968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39</xdr:col>
      <xdr:colOff>24590</xdr:colOff>
      <xdr:row>59</xdr:row>
      <xdr:rowOff>215417</xdr:rowOff>
    </xdr:from>
    <xdr:to>
      <xdr:col>39</xdr:col>
      <xdr:colOff>24590</xdr:colOff>
      <xdr:row>59</xdr:row>
      <xdr:rowOff>478507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7FA9EBF3-9496-44C7-86C6-B8AA34CEA7B3}"/>
            </a:ext>
          </a:extLst>
        </xdr:cNvPr>
        <xdr:cNvCxnSpPr/>
      </xdr:nvCxnSpPr>
      <xdr:spPr>
        <a:xfrm>
          <a:off x="13336730" y="12498857"/>
          <a:ext cx="0" cy="263090"/>
        </a:xfrm>
        <a:prstGeom prst="line">
          <a:avLst/>
        </a:prstGeom>
        <a:ln w="95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24590</xdr:colOff>
      <xdr:row>59</xdr:row>
      <xdr:rowOff>215417</xdr:rowOff>
    </xdr:from>
    <xdr:to>
      <xdr:col>39</xdr:col>
      <xdr:colOff>24590</xdr:colOff>
      <xdr:row>59</xdr:row>
      <xdr:rowOff>478507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E64F5993-3FCF-4EF0-BB76-5AC2E246D1B2}"/>
            </a:ext>
          </a:extLst>
        </xdr:cNvPr>
        <xdr:cNvCxnSpPr/>
      </xdr:nvCxnSpPr>
      <xdr:spPr>
        <a:xfrm>
          <a:off x="13336730" y="12498857"/>
          <a:ext cx="0" cy="263090"/>
        </a:xfrm>
        <a:prstGeom prst="line">
          <a:avLst/>
        </a:prstGeom>
        <a:ln w="95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24590</xdr:colOff>
      <xdr:row>59</xdr:row>
      <xdr:rowOff>215417</xdr:rowOff>
    </xdr:from>
    <xdr:to>
      <xdr:col>39</xdr:col>
      <xdr:colOff>24590</xdr:colOff>
      <xdr:row>59</xdr:row>
      <xdr:rowOff>478507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4DF3E985-206F-4FE7-97B2-EE9C43739C79}"/>
            </a:ext>
          </a:extLst>
        </xdr:cNvPr>
        <xdr:cNvCxnSpPr/>
      </xdr:nvCxnSpPr>
      <xdr:spPr>
        <a:xfrm>
          <a:off x="13336730" y="12498857"/>
          <a:ext cx="0" cy="263090"/>
        </a:xfrm>
        <a:prstGeom prst="line">
          <a:avLst/>
        </a:prstGeom>
        <a:ln w="952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4202</xdr:colOff>
      <xdr:row>59</xdr:row>
      <xdr:rowOff>566428</xdr:rowOff>
    </xdr:from>
    <xdr:to>
      <xdr:col>34</xdr:col>
      <xdr:colOff>0</xdr:colOff>
      <xdr:row>59</xdr:row>
      <xdr:rowOff>612147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F5465144-5857-4EB5-8CCB-21EB5AA0E6AC}"/>
            </a:ext>
          </a:extLst>
        </xdr:cNvPr>
        <xdr:cNvSpPr/>
      </xdr:nvSpPr>
      <xdr:spPr>
        <a:xfrm>
          <a:off x="120407" y="12851773"/>
          <a:ext cx="9737968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4202</xdr:colOff>
      <xdr:row>59</xdr:row>
      <xdr:rowOff>566428</xdr:rowOff>
    </xdr:from>
    <xdr:to>
      <xdr:col>34</xdr:col>
      <xdr:colOff>0</xdr:colOff>
      <xdr:row>59</xdr:row>
      <xdr:rowOff>612147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DC2DBDA2-3DB6-4E6F-BF91-8DDEA04F8CE8}"/>
            </a:ext>
          </a:extLst>
        </xdr:cNvPr>
        <xdr:cNvSpPr/>
      </xdr:nvSpPr>
      <xdr:spPr>
        <a:xfrm>
          <a:off x="120407" y="12851773"/>
          <a:ext cx="9737968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76399</xdr:colOff>
      <xdr:row>59</xdr:row>
      <xdr:rowOff>43367</xdr:rowOff>
    </xdr:from>
    <xdr:to>
      <xdr:col>26</xdr:col>
      <xdr:colOff>145263</xdr:colOff>
      <xdr:row>59</xdr:row>
      <xdr:rowOff>548192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C8EA5955-BD3B-4767-944A-BB060CFE0FF9}"/>
            </a:ext>
          </a:extLst>
        </xdr:cNvPr>
        <xdr:cNvSpPr txBox="1"/>
      </xdr:nvSpPr>
      <xdr:spPr>
        <a:xfrm>
          <a:off x="76399" y="12332522"/>
          <a:ext cx="9039509" cy="5067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itchFamily="34" charset="0"/>
            </a:rPr>
            <a:t>TEAM HOTEL PLANNING </a:t>
          </a:r>
        </a:p>
      </xdr:txBody>
    </xdr:sp>
    <xdr:clientData/>
  </xdr:twoCellAnchor>
  <xdr:twoCellAnchor>
    <xdr:from>
      <xdr:col>1</xdr:col>
      <xdr:colOff>4202</xdr:colOff>
      <xdr:row>59</xdr:row>
      <xdr:rowOff>566428</xdr:rowOff>
    </xdr:from>
    <xdr:to>
      <xdr:col>34</xdr:col>
      <xdr:colOff>0</xdr:colOff>
      <xdr:row>59</xdr:row>
      <xdr:rowOff>612147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EB653743-2FE5-472C-A222-0AC86A0484BA}"/>
            </a:ext>
          </a:extLst>
        </xdr:cNvPr>
        <xdr:cNvSpPr/>
      </xdr:nvSpPr>
      <xdr:spPr>
        <a:xfrm>
          <a:off x="120407" y="12851773"/>
          <a:ext cx="9737968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4202</xdr:colOff>
      <xdr:row>72</xdr:row>
      <xdr:rowOff>566428</xdr:rowOff>
    </xdr:from>
    <xdr:to>
      <xdr:col>34</xdr:col>
      <xdr:colOff>0</xdr:colOff>
      <xdr:row>72</xdr:row>
      <xdr:rowOff>612147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D204D5B-40F3-48D2-B47F-986C4B1F1D62}"/>
            </a:ext>
          </a:extLst>
        </xdr:cNvPr>
        <xdr:cNvSpPr/>
      </xdr:nvSpPr>
      <xdr:spPr>
        <a:xfrm>
          <a:off x="120407" y="6736723"/>
          <a:ext cx="9737968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25430</xdr:colOff>
      <xdr:row>72</xdr:row>
      <xdr:rowOff>55215</xdr:rowOff>
    </xdr:from>
    <xdr:to>
      <xdr:col>26</xdr:col>
      <xdr:colOff>100982</xdr:colOff>
      <xdr:row>72</xdr:row>
      <xdr:rowOff>552420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F0AE8263-B31C-4DF0-9898-4D452000A648}"/>
            </a:ext>
          </a:extLst>
        </xdr:cNvPr>
        <xdr:cNvSpPr txBox="1"/>
      </xdr:nvSpPr>
      <xdr:spPr>
        <a:xfrm>
          <a:off x="25430" y="15371415"/>
          <a:ext cx="9048102" cy="497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itchFamily="34" charset="0"/>
            </a:rPr>
            <a:t>HOTEL PLANNING </a:t>
          </a:r>
        </a:p>
      </xdr:txBody>
    </xdr:sp>
    <xdr:clientData/>
  </xdr:twoCellAnchor>
  <xdr:twoCellAnchor>
    <xdr:from>
      <xdr:col>1</xdr:col>
      <xdr:colOff>4202</xdr:colOff>
      <xdr:row>72</xdr:row>
      <xdr:rowOff>566428</xdr:rowOff>
    </xdr:from>
    <xdr:to>
      <xdr:col>34</xdr:col>
      <xdr:colOff>0</xdr:colOff>
      <xdr:row>72</xdr:row>
      <xdr:rowOff>612147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77B36B7E-7C2B-427B-98BA-1BF19D32DB74}"/>
            </a:ext>
          </a:extLst>
        </xdr:cNvPr>
        <xdr:cNvSpPr/>
      </xdr:nvSpPr>
      <xdr:spPr>
        <a:xfrm>
          <a:off x="120407" y="6736723"/>
          <a:ext cx="9737968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16718</xdr:colOff>
      <xdr:row>72</xdr:row>
      <xdr:rowOff>205766</xdr:rowOff>
    </xdr:from>
    <xdr:to>
      <xdr:col>33</xdr:col>
      <xdr:colOff>86683</xdr:colOff>
      <xdr:row>72</xdr:row>
      <xdr:rowOff>478859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2A87F11-8E87-6408-AA5B-B1B70B144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9268" y="15521966"/>
          <a:ext cx="822440" cy="273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4201</xdr:colOff>
      <xdr:row>1</xdr:row>
      <xdr:rowOff>520710</xdr:rowOff>
    </xdr:from>
    <xdr:to>
      <xdr:col>23</xdr:col>
      <xdr:colOff>424294</xdr:colOff>
      <xdr:row>1</xdr:row>
      <xdr:rowOff>566429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flipV="1">
          <a:off x="116769" y="598642"/>
          <a:ext cx="12023275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</xdr:row>
      <xdr:rowOff>40821</xdr:rowOff>
    </xdr:from>
    <xdr:to>
      <xdr:col>16</xdr:col>
      <xdr:colOff>0</xdr:colOff>
      <xdr:row>1</xdr:row>
      <xdr:rowOff>545646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4429" y="117021"/>
          <a:ext cx="8318046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FLIGHTS TO</a:t>
          </a:r>
        </a:p>
      </xdr:txBody>
    </xdr:sp>
    <xdr:clientData/>
  </xdr:twoCellAnchor>
  <xdr:twoCellAnchor editAs="oneCell">
    <xdr:from>
      <xdr:col>19</xdr:col>
      <xdr:colOff>83345</xdr:colOff>
      <xdr:row>1</xdr:row>
      <xdr:rowOff>83548</xdr:rowOff>
    </xdr:from>
    <xdr:to>
      <xdr:col>24</xdr:col>
      <xdr:colOff>15330</xdr:colOff>
      <xdr:row>1</xdr:row>
      <xdr:rowOff>438173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4A4E22B-64C4-20BB-4C4A-5A54B8CF3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4345" y="154986"/>
          <a:ext cx="1959858" cy="354625"/>
        </a:xfrm>
        <a:prstGeom prst="rect">
          <a:avLst/>
        </a:prstGeom>
      </xdr:spPr>
    </xdr:pic>
    <xdr:clientData/>
  </xdr:twoCellAnchor>
  <xdr:twoCellAnchor>
    <xdr:from>
      <xdr:col>1</xdr:col>
      <xdr:colOff>4201</xdr:colOff>
      <xdr:row>40</xdr:row>
      <xdr:rowOff>520710</xdr:rowOff>
    </xdr:from>
    <xdr:to>
      <xdr:col>23</xdr:col>
      <xdr:colOff>424294</xdr:colOff>
      <xdr:row>40</xdr:row>
      <xdr:rowOff>566429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8B96DD8-55A7-4CF3-BF81-5308F12B3AF2}"/>
            </a:ext>
          </a:extLst>
        </xdr:cNvPr>
        <xdr:cNvSpPr/>
      </xdr:nvSpPr>
      <xdr:spPr>
        <a:xfrm flipV="1">
          <a:off x="122523" y="590983"/>
          <a:ext cx="10031876" cy="47624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40</xdr:row>
      <xdr:rowOff>40821</xdr:rowOff>
    </xdr:from>
    <xdr:to>
      <xdr:col>16</xdr:col>
      <xdr:colOff>0</xdr:colOff>
      <xdr:row>40</xdr:row>
      <xdr:rowOff>545646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FEB7693-4606-4C1A-96A3-16F510DDA17D}"/>
            </a:ext>
          </a:extLst>
        </xdr:cNvPr>
        <xdr:cNvSpPr txBox="1"/>
      </xdr:nvSpPr>
      <xdr:spPr>
        <a:xfrm>
          <a:off x="58239" y="114904"/>
          <a:ext cx="6799761" cy="5086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FLIGHTS TO</a:t>
          </a:r>
        </a:p>
      </xdr:txBody>
    </xdr:sp>
    <xdr:clientData/>
  </xdr:twoCellAnchor>
  <xdr:twoCellAnchor>
    <xdr:from>
      <xdr:col>19</xdr:col>
      <xdr:colOff>210817</xdr:colOff>
      <xdr:row>39</xdr:row>
      <xdr:rowOff>130809</xdr:rowOff>
    </xdr:from>
    <xdr:to>
      <xdr:col>23</xdr:col>
      <xdr:colOff>403012</xdr:colOff>
      <xdr:row>40</xdr:row>
      <xdr:rowOff>631968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0120443-9667-4514-962E-2B7BA5065FF1}"/>
            </a:ext>
          </a:extLst>
        </xdr:cNvPr>
        <xdr:cNvGrpSpPr>
          <a:grpSpLocks noChangeAspect="1"/>
        </xdr:cNvGrpSpPr>
      </xdr:nvGrpSpPr>
      <xdr:grpSpPr>
        <a:xfrm>
          <a:off x="8126092" y="8931909"/>
          <a:ext cx="1792395" cy="710709"/>
          <a:chOff x="13708048" y="96204"/>
          <a:chExt cx="2934444" cy="1278014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93E115E6-1721-20AA-E6B8-AFEE7B3B25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392578" y="96204"/>
            <a:ext cx="1249914" cy="1278014"/>
          </a:xfrm>
          <a:prstGeom prst="rect">
            <a:avLst/>
          </a:prstGeom>
        </xdr:spPr>
      </xdr:pic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6FA22AC8-62B1-7318-9204-0BC96B781CB1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191EC224-9253-37A6-E8BF-E9559AD491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4201</xdr:colOff>
      <xdr:row>69</xdr:row>
      <xdr:rowOff>520710</xdr:rowOff>
    </xdr:from>
    <xdr:to>
      <xdr:col>23</xdr:col>
      <xdr:colOff>424294</xdr:colOff>
      <xdr:row>69</xdr:row>
      <xdr:rowOff>566429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BF788D4-941C-4D65-9D83-DBEAFC4B1CC1}"/>
            </a:ext>
          </a:extLst>
        </xdr:cNvPr>
        <xdr:cNvSpPr/>
      </xdr:nvSpPr>
      <xdr:spPr>
        <a:xfrm flipV="1">
          <a:off x="118501" y="596910"/>
          <a:ext cx="10028913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69</xdr:row>
      <xdr:rowOff>40821</xdr:rowOff>
    </xdr:from>
    <xdr:to>
      <xdr:col>16</xdr:col>
      <xdr:colOff>0</xdr:colOff>
      <xdr:row>69</xdr:row>
      <xdr:rowOff>545646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0AD4EB9-CD21-47BD-B6EA-43219DED2360}"/>
            </a:ext>
          </a:extLst>
        </xdr:cNvPr>
        <xdr:cNvSpPr txBox="1"/>
      </xdr:nvSpPr>
      <xdr:spPr>
        <a:xfrm>
          <a:off x="54429" y="117021"/>
          <a:ext cx="6803571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FLIGHTS TO / LONDON</a:t>
          </a:r>
        </a:p>
      </xdr:txBody>
    </xdr:sp>
    <xdr:clientData/>
  </xdr:twoCellAnchor>
  <xdr:twoCellAnchor>
    <xdr:from>
      <xdr:col>1</xdr:col>
      <xdr:colOff>4201</xdr:colOff>
      <xdr:row>108</xdr:row>
      <xdr:rowOff>520710</xdr:rowOff>
    </xdr:from>
    <xdr:to>
      <xdr:col>23</xdr:col>
      <xdr:colOff>424294</xdr:colOff>
      <xdr:row>108</xdr:row>
      <xdr:rowOff>566429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0159AAA-DFB0-4623-B855-A6D865BC3CAD}"/>
            </a:ext>
          </a:extLst>
        </xdr:cNvPr>
        <xdr:cNvSpPr/>
      </xdr:nvSpPr>
      <xdr:spPr>
        <a:xfrm flipV="1">
          <a:off x="123730" y="15850357"/>
          <a:ext cx="10161442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108</xdr:row>
      <xdr:rowOff>40821</xdr:rowOff>
    </xdr:from>
    <xdr:to>
      <xdr:col>16</xdr:col>
      <xdr:colOff>0</xdr:colOff>
      <xdr:row>108</xdr:row>
      <xdr:rowOff>545646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95BA284-18C8-4C82-8E5F-CD6E12C5BDCE}"/>
            </a:ext>
          </a:extLst>
        </xdr:cNvPr>
        <xdr:cNvSpPr txBox="1"/>
      </xdr:nvSpPr>
      <xdr:spPr>
        <a:xfrm>
          <a:off x="54429" y="15370468"/>
          <a:ext cx="6893218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FLIGHTS TO / MELBOURNE</a:t>
          </a:r>
        </a:p>
      </xdr:txBody>
    </xdr:sp>
    <xdr:clientData/>
  </xdr:twoCellAnchor>
  <xdr:twoCellAnchor>
    <xdr:from>
      <xdr:col>1</xdr:col>
      <xdr:colOff>4201</xdr:colOff>
      <xdr:row>147</xdr:row>
      <xdr:rowOff>520710</xdr:rowOff>
    </xdr:from>
    <xdr:to>
      <xdr:col>23</xdr:col>
      <xdr:colOff>424294</xdr:colOff>
      <xdr:row>147</xdr:row>
      <xdr:rowOff>566429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AB766C88-F39F-4F3E-84FF-6E2881323E3A}"/>
            </a:ext>
          </a:extLst>
        </xdr:cNvPr>
        <xdr:cNvSpPr/>
      </xdr:nvSpPr>
      <xdr:spPr>
        <a:xfrm flipV="1">
          <a:off x="117690" y="15955263"/>
          <a:ext cx="9921747" cy="45719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147</xdr:row>
      <xdr:rowOff>40821</xdr:rowOff>
    </xdr:from>
    <xdr:to>
      <xdr:col>16</xdr:col>
      <xdr:colOff>0</xdr:colOff>
      <xdr:row>147</xdr:row>
      <xdr:rowOff>545646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3B5EB96D-D682-490E-B28B-9AA5D2282FCA}"/>
            </a:ext>
          </a:extLst>
        </xdr:cNvPr>
        <xdr:cNvSpPr txBox="1"/>
      </xdr:nvSpPr>
      <xdr:spPr>
        <a:xfrm>
          <a:off x="54429" y="15475374"/>
          <a:ext cx="673872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FLIGHTS FROM / LONDON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4202</xdr:colOff>
      <xdr:row>1</xdr:row>
      <xdr:rowOff>566429</xdr:rowOff>
    </xdr:from>
    <xdr:to>
      <xdr:col>23</xdr:col>
      <xdr:colOff>232802</xdr:colOff>
      <xdr:row>1</xdr:row>
      <xdr:rowOff>602429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8502" y="642629"/>
          <a:ext cx="9658350" cy="36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</xdr:row>
      <xdr:rowOff>40821</xdr:rowOff>
    </xdr:from>
    <xdr:to>
      <xdr:col>20</xdr:col>
      <xdr:colOff>0</xdr:colOff>
      <xdr:row>1</xdr:row>
      <xdr:rowOff>545646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54429" y="117021"/>
          <a:ext cx="8146596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FLIGHTS </a:t>
          </a:r>
          <a:r>
            <a:rPr lang="en-NL" sz="2400" b="1" i="0">
              <a:effectLst/>
              <a:latin typeface="Montserrat" panose="02000505000000020004" pitchFamily="2" charset="0"/>
              <a:cs typeface="Arial" panose="020B0604020202020204" pitchFamily="34" charset="0"/>
            </a:rPr>
            <a:t>FROM</a:t>
          </a:r>
          <a:endParaRPr lang="en-GB" sz="24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4202</xdr:colOff>
      <xdr:row>1</xdr:row>
      <xdr:rowOff>566429</xdr:rowOff>
    </xdr:from>
    <xdr:to>
      <xdr:col>23</xdr:col>
      <xdr:colOff>232802</xdr:colOff>
      <xdr:row>1</xdr:row>
      <xdr:rowOff>602429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31202" y="642629"/>
          <a:ext cx="11430000" cy="36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</xdr:row>
      <xdr:rowOff>40821</xdr:rowOff>
    </xdr:from>
    <xdr:to>
      <xdr:col>16</xdr:col>
      <xdr:colOff>0</xdr:colOff>
      <xdr:row>1</xdr:row>
      <xdr:rowOff>545646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54429" y="117021"/>
          <a:ext cx="7895771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endParaRPr lang="en-GB" sz="24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  <a:p>
          <a:endParaRPr lang="en-GB" sz="24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  <a:p>
          <a:endParaRPr lang="en-GB" sz="24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322372</xdr:colOff>
      <xdr:row>0</xdr:row>
      <xdr:rowOff>0</xdr:rowOff>
    </xdr:from>
    <xdr:to>
      <xdr:col>23</xdr:col>
      <xdr:colOff>391021</xdr:colOff>
      <xdr:row>2</xdr:row>
      <xdr:rowOff>19382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384EADA-6F8B-9C4E-8E7B-91A081E29923}"/>
            </a:ext>
          </a:extLst>
        </xdr:cNvPr>
        <xdr:cNvGrpSpPr>
          <a:grpSpLocks noChangeAspect="1"/>
        </xdr:cNvGrpSpPr>
      </xdr:nvGrpSpPr>
      <xdr:grpSpPr>
        <a:xfrm>
          <a:off x="9085372" y="0"/>
          <a:ext cx="1830774" cy="800432"/>
          <a:chOff x="13708048" y="-14212"/>
          <a:chExt cx="2883409" cy="141619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B2142B86-3B66-2DF2-EF53-346F01CB1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16110" y="-14212"/>
            <a:ext cx="1175347" cy="1416199"/>
          </a:xfrm>
          <a:prstGeom prst="rect">
            <a:avLst/>
          </a:prstGeom>
        </xdr:spPr>
      </xdr:pic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9078B634-4CE0-B98C-314A-E3B2C0393636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C94C891C-23BB-1407-A5E7-F129A95150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398083"/>
            <a:ext cx="1384786" cy="540563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375634</xdr:colOff>
      <xdr:row>27</xdr:row>
      <xdr:rowOff>187817</xdr:rowOff>
    </xdr:from>
    <xdr:to>
      <xdr:col>24</xdr:col>
      <xdr:colOff>3368</xdr:colOff>
      <xdr:row>28</xdr:row>
      <xdr:rowOff>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FF3F9AD-A982-4E7A-8BBE-A1EFC653AC32}"/>
            </a:ext>
          </a:extLst>
        </xdr:cNvPr>
        <xdr:cNvGrpSpPr>
          <a:grpSpLocks noChangeAspect="1"/>
        </xdr:cNvGrpSpPr>
      </xdr:nvGrpSpPr>
      <xdr:grpSpPr>
        <a:xfrm>
          <a:off x="9138634" y="6379067"/>
          <a:ext cx="1808959" cy="21733"/>
          <a:chOff x="13708048" y="96204"/>
          <a:chExt cx="2934444" cy="1278014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1BAADB20-57A5-EFB1-9685-A651349DD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392578" y="96204"/>
            <a:ext cx="1249914" cy="1278014"/>
          </a:xfrm>
          <a:prstGeom prst="rect">
            <a:avLst/>
          </a:prstGeom>
        </xdr:spPr>
      </xdr:pic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624EC80A-0144-56CD-926E-584F1DAF24CB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73D8A6E2-67F4-7B6C-7D9B-6664DE6D9D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390181</xdr:colOff>
      <xdr:row>0</xdr:row>
      <xdr:rowOff>22952</xdr:rowOff>
    </xdr:from>
    <xdr:to>
      <xdr:col>24</xdr:col>
      <xdr:colOff>395586</xdr:colOff>
      <xdr:row>1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6D036DD-2506-2645-AAB8-1289BB4D7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119518" y="22952"/>
          <a:ext cx="846972" cy="719157"/>
        </a:xfrm>
        <a:prstGeom prst="rect">
          <a:avLst/>
        </a:prstGeom>
      </xdr:spPr>
    </xdr:pic>
    <xdr:clientData/>
  </xdr:twoCellAnchor>
  <xdr:twoCellAnchor>
    <xdr:from>
      <xdr:col>1</xdr:col>
      <xdr:colOff>4202</xdr:colOff>
      <xdr:row>3</xdr:row>
      <xdr:rowOff>566429</xdr:rowOff>
    </xdr:from>
    <xdr:to>
      <xdr:col>24</xdr:col>
      <xdr:colOff>232802</xdr:colOff>
      <xdr:row>3</xdr:row>
      <xdr:rowOff>602429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ADA1962-BB77-4D94-AD6D-35229B0B0FF2}"/>
            </a:ext>
          </a:extLst>
        </xdr:cNvPr>
        <xdr:cNvSpPr/>
      </xdr:nvSpPr>
      <xdr:spPr>
        <a:xfrm>
          <a:off x="120866" y="644855"/>
          <a:ext cx="8502727" cy="36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3</xdr:row>
      <xdr:rowOff>40821</xdr:rowOff>
    </xdr:from>
    <xdr:to>
      <xdr:col>21</xdr:col>
      <xdr:colOff>0</xdr:colOff>
      <xdr:row>3</xdr:row>
      <xdr:rowOff>545646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2694A34-2FC1-4050-9E05-2CE10CB544A0}"/>
            </a:ext>
          </a:extLst>
        </xdr:cNvPr>
        <xdr:cNvSpPr txBox="1"/>
      </xdr:nvSpPr>
      <xdr:spPr>
        <a:xfrm>
          <a:off x="58239" y="121152"/>
          <a:ext cx="7228960" cy="5086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TEAM</a:t>
          </a:r>
          <a:r>
            <a:rPr lang="en-GB" sz="24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RENTAL CAR PLAN</a:t>
          </a:r>
          <a:endParaRPr lang="en-GB" sz="6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126548</xdr:colOff>
      <xdr:row>3</xdr:row>
      <xdr:rowOff>255513</xdr:rowOff>
    </xdr:from>
    <xdr:to>
      <xdr:col>22</xdr:col>
      <xdr:colOff>231975</xdr:colOff>
      <xdr:row>3</xdr:row>
      <xdr:rowOff>507973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EEE3AEFB-D2DF-41F6-AED9-F4545CEEE05C}"/>
            </a:ext>
          </a:extLst>
        </xdr:cNvPr>
        <xdr:cNvGrpSpPr>
          <a:grpSpLocks noChangeAspect="1"/>
        </xdr:cNvGrpSpPr>
      </xdr:nvGrpSpPr>
      <xdr:grpSpPr>
        <a:xfrm>
          <a:off x="6794048" y="750813"/>
          <a:ext cx="962677" cy="252460"/>
          <a:chOff x="13708048" y="470646"/>
          <a:chExt cx="1554364" cy="468001"/>
        </a:xfrm>
      </xdr:grpSpPr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1BB28B52-C3BE-D4FF-2A20-6FC8C93D8CEF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ECA758AF-BD22-6F9C-BD1E-5DDE080E2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4202</xdr:colOff>
      <xdr:row>100</xdr:row>
      <xdr:rowOff>566429</xdr:rowOff>
    </xdr:from>
    <xdr:to>
      <xdr:col>24</xdr:col>
      <xdr:colOff>232802</xdr:colOff>
      <xdr:row>100</xdr:row>
      <xdr:rowOff>602429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57ACBD2-A927-4662-8707-641F296B2F46}"/>
            </a:ext>
          </a:extLst>
        </xdr:cNvPr>
        <xdr:cNvSpPr/>
      </xdr:nvSpPr>
      <xdr:spPr>
        <a:xfrm>
          <a:off x="121244" y="637793"/>
          <a:ext cx="8476622" cy="36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54429</xdr:colOff>
      <xdr:row>100</xdr:row>
      <xdr:rowOff>40821</xdr:rowOff>
    </xdr:from>
    <xdr:to>
      <xdr:col>21</xdr:col>
      <xdr:colOff>0</xdr:colOff>
      <xdr:row>100</xdr:row>
      <xdr:rowOff>545646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CC83863-9DAD-4F82-A64D-56032C6076DA}"/>
            </a:ext>
          </a:extLst>
        </xdr:cNvPr>
        <xdr:cNvSpPr txBox="1"/>
      </xdr:nvSpPr>
      <xdr:spPr>
        <a:xfrm>
          <a:off x="58239" y="114090"/>
          <a:ext cx="7205882" cy="5086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4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TEAM</a:t>
          </a:r>
          <a:r>
            <a:rPr lang="en-GB" sz="24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TAXI PLAN</a:t>
          </a:r>
          <a:endParaRPr lang="en-GB" sz="6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247399</xdr:colOff>
      <xdr:row>100</xdr:row>
      <xdr:rowOff>46719</xdr:rowOff>
    </xdr:from>
    <xdr:to>
      <xdr:col>22</xdr:col>
      <xdr:colOff>270239</xdr:colOff>
      <xdr:row>100</xdr:row>
      <xdr:rowOff>342850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4BB66CCD-4E48-44B5-9CC5-B057EE4AD8A0}"/>
            </a:ext>
          </a:extLst>
        </xdr:cNvPr>
        <xdr:cNvGrpSpPr>
          <a:grpSpLocks noChangeAspect="1"/>
        </xdr:cNvGrpSpPr>
      </xdr:nvGrpSpPr>
      <xdr:grpSpPr>
        <a:xfrm>
          <a:off x="6914899" y="6895194"/>
          <a:ext cx="880090" cy="296131"/>
          <a:chOff x="13708048" y="470646"/>
          <a:chExt cx="1554364" cy="468001"/>
        </a:xfrm>
      </xdr:grpSpPr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CAAB0232-92B1-E78D-3E2B-6C9C147425EA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34BE5DC3-E443-DD32-3321-F7EEA0F8C6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10500</xdr:colOff>
      <xdr:row>99</xdr:row>
      <xdr:rowOff>48638</xdr:rowOff>
    </xdr:from>
    <xdr:to>
      <xdr:col>25</xdr:col>
      <xdr:colOff>8285</xdr:colOff>
      <xdr:row>101</xdr:row>
      <xdr:rowOff>38377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BA3B4F2-C833-48CE-AFA6-119411F3C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007313" y="11237896"/>
          <a:ext cx="730477" cy="701497"/>
        </a:xfrm>
        <a:prstGeom prst="rect">
          <a:avLst/>
        </a:prstGeom>
      </xdr:spPr>
    </xdr:pic>
    <xdr:clientData/>
  </xdr:twoCellAnchor>
  <xdr:twoCellAnchor>
    <xdr:from>
      <xdr:col>23</xdr:col>
      <xdr:colOff>9133</xdr:colOff>
      <xdr:row>3</xdr:row>
      <xdr:rowOff>22697</xdr:rowOff>
    </xdr:from>
    <xdr:to>
      <xdr:col>24</xdr:col>
      <xdr:colOff>407834</xdr:colOff>
      <xdr:row>4</xdr:row>
      <xdr:rowOff>47608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7FA871A9-3AA1-4418-BBE4-871F118E2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05383" y="5876242"/>
          <a:ext cx="771042" cy="72629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4202</xdr:colOff>
      <xdr:row>1</xdr:row>
      <xdr:rowOff>211387</xdr:rowOff>
    </xdr:from>
    <xdr:to>
      <xdr:col>9</xdr:col>
      <xdr:colOff>17231</xdr:colOff>
      <xdr:row>1</xdr:row>
      <xdr:rowOff>229387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85177" y="401887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91273</xdr:colOff>
      <xdr:row>0</xdr:row>
      <xdr:rowOff>120998</xdr:rowOff>
    </xdr:from>
    <xdr:to>
      <xdr:col>7</xdr:col>
      <xdr:colOff>87923</xdr:colOff>
      <xdr:row>1</xdr:row>
      <xdr:rowOff>216248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91273" y="120998"/>
          <a:ext cx="16635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4202</xdr:colOff>
      <xdr:row>1</xdr:row>
      <xdr:rowOff>211387</xdr:rowOff>
    </xdr:from>
    <xdr:to>
      <xdr:col>18</xdr:col>
      <xdr:colOff>17231</xdr:colOff>
      <xdr:row>1</xdr:row>
      <xdr:rowOff>229387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480702" y="401887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237812</xdr:colOff>
      <xdr:row>0</xdr:row>
      <xdr:rowOff>120998</xdr:rowOff>
    </xdr:from>
    <xdr:to>
      <xdr:col>16</xdr:col>
      <xdr:colOff>234462</xdr:colOff>
      <xdr:row>1</xdr:row>
      <xdr:rowOff>216248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2399987" y="120998"/>
          <a:ext cx="17968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4202</xdr:colOff>
      <xdr:row>1</xdr:row>
      <xdr:rowOff>211387</xdr:rowOff>
    </xdr:from>
    <xdr:to>
      <xdr:col>27</xdr:col>
      <xdr:colOff>17231</xdr:colOff>
      <xdr:row>1</xdr:row>
      <xdr:rowOff>229387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4776227" y="401887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223157</xdr:colOff>
      <xdr:row>0</xdr:row>
      <xdr:rowOff>120998</xdr:rowOff>
    </xdr:from>
    <xdr:to>
      <xdr:col>25</xdr:col>
      <xdr:colOff>219807</xdr:colOff>
      <xdr:row>1</xdr:row>
      <xdr:rowOff>216248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4680857" y="120998"/>
          <a:ext cx="17968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28</xdr:col>
      <xdr:colOff>4202</xdr:colOff>
      <xdr:row>1</xdr:row>
      <xdr:rowOff>211387</xdr:rowOff>
    </xdr:from>
    <xdr:to>
      <xdr:col>36</xdr:col>
      <xdr:colOff>17231</xdr:colOff>
      <xdr:row>1</xdr:row>
      <xdr:rowOff>229387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7071752" y="401887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223157</xdr:colOff>
      <xdr:row>0</xdr:row>
      <xdr:rowOff>120998</xdr:rowOff>
    </xdr:from>
    <xdr:to>
      <xdr:col>34</xdr:col>
      <xdr:colOff>219807</xdr:colOff>
      <xdr:row>1</xdr:row>
      <xdr:rowOff>216248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6976382" y="120998"/>
          <a:ext cx="17968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4202</xdr:colOff>
      <xdr:row>21</xdr:row>
      <xdr:rowOff>211387</xdr:rowOff>
    </xdr:from>
    <xdr:to>
      <xdr:col>9</xdr:col>
      <xdr:colOff>17231</xdr:colOff>
      <xdr:row>21</xdr:row>
      <xdr:rowOff>229387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77" y="3897562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91273</xdr:colOff>
      <xdr:row>20</xdr:row>
      <xdr:rowOff>120998</xdr:rowOff>
    </xdr:from>
    <xdr:to>
      <xdr:col>7</xdr:col>
      <xdr:colOff>87923</xdr:colOff>
      <xdr:row>21</xdr:row>
      <xdr:rowOff>216248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91273" y="3616673"/>
          <a:ext cx="16635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4202</xdr:colOff>
      <xdr:row>21</xdr:row>
      <xdr:rowOff>211387</xdr:rowOff>
    </xdr:from>
    <xdr:to>
      <xdr:col>18</xdr:col>
      <xdr:colOff>17231</xdr:colOff>
      <xdr:row>21</xdr:row>
      <xdr:rowOff>229387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2480702" y="3897562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223157</xdr:colOff>
      <xdr:row>20</xdr:row>
      <xdr:rowOff>120998</xdr:rowOff>
    </xdr:from>
    <xdr:to>
      <xdr:col>16</xdr:col>
      <xdr:colOff>219807</xdr:colOff>
      <xdr:row>21</xdr:row>
      <xdr:rowOff>216248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 txBox="1"/>
      </xdr:nvSpPr>
      <xdr:spPr>
        <a:xfrm>
          <a:off x="2385332" y="3616673"/>
          <a:ext cx="17968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4202</xdr:colOff>
      <xdr:row>21</xdr:row>
      <xdr:rowOff>211387</xdr:rowOff>
    </xdr:from>
    <xdr:to>
      <xdr:col>27</xdr:col>
      <xdr:colOff>17231</xdr:colOff>
      <xdr:row>21</xdr:row>
      <xdr:rowOff>229387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>
        <a:xfrm>
          <a:off x="4776227" y="3897562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223157</xdr:colOff>
      <xdr:row>20</xdr:row>
      <xdr:rowOff>120998</xdr:rowOff>
    </xdr:from>
    <xdr:to>
      <xdr:col>25</xdr:col>
      <xdr:colOff>219807</xdr:colOff>
      <xdr:row>21</xdr:row>
      <xdr:rowOff>216248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 txBox="1"/>
      </xdr:nvSpPr>
      <xdr:spPr>
        <a:xfrm>
          <a:off x="4680857" y="3616673"/>
          <a:ext cx="17968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28</xdr:col>
      <xdr:colOff>4202</xdr:colOff>
      <xdr:row>21</xdr:row>
      <xdr:rowOff>211387</xdr:rowOff>
    </xdr:from>
    <xdr:to>
      <xdr:col>36</xdr:col>
      <xdr:colOff>17231</xdr:colOff>
      <xdr:row>21</xdr:row>
      <xdr:rowOff>229387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/>
      </xdr:nvSpPr>
      <xdr:spPr>
        <a:xfrm>
          <a:off x="7071752" y="3897562"/>
          <a:ext cx="1994229" cy="18000"/>
        </a:xfrm>
        <a:prstGeom prst="rect">
          <a:avLst/>
        </a:prstGeom>
        <a:gradFill flip="none" rotWithShape="1">
          <a:gsLst>
            <a:gs pos="35000">
              <a:srgbClr val="A3A3A3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223157</xdr:colOff>
      <xdr:row>20</xdr:row>
      <xdr:rowOff>120998</xdr:rowOff>
    </xdr:from>
    <xdr:to>
      <xdr:col>34</xdr:col>
      <xdr:colOff>219807</xdr:colOff>
      <xdr:row>21</xdr:row>
      <xdr:rowOff>216248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 txBox="1"/>
      </xdr:nvSpPr>
      <xdr:spPr>
        <a:xfrm>
          <a:off x="6976382" y="3616673"/>
          <a:ext cx="17968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11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EVENT</a:t>
          </a:r>
          <a:r>
            <a:rPr lang="en-GB" sz="1100" b="1" i="0" baseline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 SCHEDULE</a:t>
          </a:r>
          <a:endParaRPr lang="en-GB" sz="4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127983</xdr:colOff>
      <xdr:row>1</xdr:row>
      <xdr:rowOff>33130</xdr:rowOff>
    </xdr:from>
    <xdr:to>
      <xdr:col>8</xdr:col>
      <xdr:colOff>240609</xdr:colOff>
      <xdr:row>1</xdr:row>
      <xdr:rowOff>130330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GrpSpPr>
          <a:grpSpLocks noChangeAspect="1"/>
        </xdr:cNvGrpSpPr>
      </xdr:nvGrpSpPr>
      <xdr:grpSpPr>
        <a:xfrm>
          <a:off x="1547208" y="242680"/>
          <a:ext cx="607926" cy="97200"/>
          <a:chOff x="13708048" y="459441"/>
          <a:chExt cx="3009596" cy="479206"/>
        </a:xfrm>
      </xdr:grpSpPr>
      <xdr:pic>
        <xdr:nvPicPr>
          <xdr:cNvPr id="51" name="Picture 50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132521</xdr:colOff>
      <xdr:row>1</xdr:row>
      <xdr:rowOff>33130</xdr:rowOff>
    </xdr:from>
    <xdr:to>
      <xdr:col>17</xdr:col>
      <xdr:colOff>245147</xdr:colOff>
      <xdr:row>1</xdr:row>
      <xdr:rowOff>130330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GrpSpPr>
          <a:grpSpLocks noChangeAspect="1"/>
        </xdr:cNvGrpSpPr>
      </xdr:nvGrpSpPr>
      <xdr:grpSpPr>
        <a:xfrm>
          <a:off x="3847271" y="242680"/>
          <a:ext cx="607926" cy="97200"/>
          <a:chOff x="13708048" y="459441"/>
          <a:chExt cx="3009596" cy="479206"/>
        </a:xfrm>
      </xdr:grpSpPr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107674</xdr:colOff>
      <xdr:row>1</xdr:row>
      <xdr:rowOff>33131</xdr:rowOff>
    </xdr:from>
    <xdr:to>
      <xdr:col>26</xdr:col>
      <xdr:colOff>220299</xdr:colOff>
      <xdr:row>1</xdr:row>
      <xdr:rowOff>130331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GrpSpPr>
          <a:grpSpLocks noChangeAspect="1"/>
        </xdr:cNvGrpSpPr>
      </xdr:nvGrpSpPr>
      <xdr:grpSpPr>
        <a:xfrm>
          <a:off x="6117949" y="242681"/>
          <a:ext cx="607925" cy="97200"/>
          <a:chOff x="13708048" y="459441"/>
          <a:chExt cx="3009596" cy="479206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60" name="Straight Connector 59"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61" name="Picture 60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99395</xdr:colOff>
      <xdr:row>1</xdr:row>
      <xdr:rowOff>33131</xdr:rowOff>
    </xdr:from>
    <xdr:to>
      <xdr:col>35</xdr:col>
      <xdr:colOff>212020</xdr:colOff>
      <xdr:row>1</xdr:row>
      <xdr:rowOff>130331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GrpSpPr>
          <a:grpSpLocks noChangeAspect="1"/>
        </xdr:cNvGrpSpPr>
      </xdr:nvGrpSpPr>
      <xdr:grpSpPr>
        <a:xfrm>
          <a:off x="8405195" y="242681"/>
          <a:ext cx="607925" cy="97200"/>
          <a:chOff x="13708048" y="459441"/>
          <a:chExt cx="3009596" cy="479206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65" name="Picture 64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115957</xdr:colOff>
      <xdr:row>21</xdr:row>
      <xdr:rowOff>33130</xdr:rowOff>
    </xdr:from>
    <xdr:to>
      <xdr:col>8</xdr:col>
      <xdr:colOff>228583</xdr:colOff>
      <xdr:row>21</xdr:row>
      <xdr:rowOff>130330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GrpSpPr>
          <a:grpSpLocks noChangeAspect="1"/>
        </xdr:cNvGrpSpPr>
      </xdr:nvGrpSpPr>
      <xdr:grpSpPr>
        <a:xfrm>
          <a:off x="1535182" y="4043155"/>
          <a:ext cx="607926" cy="97200"/>
          <a:chOff x="13708048" y="459441"/>
          <a:chExt cx="3009596" cy="479206"/>
        </a:xfrm>
      </xdr:grpSpPr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68" name="Straight Connector 67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107679</xdr:colOff>
      <xdr:row>21</xdr:row>
      <xdr:rowOff>33131</xdr:rowOff>
    </xdr:from>
    <xdr:to>
      <xdr:col>17</xdr:col>
      <xdr:colOff>220305</xdr:colOff>
      <xdr:row>21</xdr:row>
      <xdr:rowOff>130331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GrpSpPr>
          <a:grpSpLocks noChangeAspect="1"/>
        </xdr:cNvGrpSpPr>
      </xdr:nvGrpSpPr>
      <xdr:grpSpPr>
        <a:xfrm>
          <a:off x="3822429" y="4043156"/>
          <a:ext cx="607926" cy="97200"/>
          <a:chOff x="13708048" y="459441"/>
          <a:chExt cx="3009596" cy="479206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73" name="Picture 72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107674</xdr:colOff>
      <xdr:row>21</xdr:row>
      <xdr:rowOff>33131</xdr:rowOff>
    </xdr:from>
    <xdr:to>
      <xdr:col>26</xdr:col>
      <xdr:colOff>220299</xdr:colOff>
      <xdr:row>21</xdr:row>
      <xdr:rowOff>130331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GrpSpPr>
          <a:grpSpLocks noChangeAspect="1"/>
        </xdr:cNvGrpSpPr>
      </xdr:nvGrpSpPr>
      <xdr:grpSpPr>
        <a:xfrm>
          <a:off x="6117949" y="4043156"/>
          <a:ext cx="607925" cy="97200"/>
          <a:chOff x="13708048" y="459441"/>
          <a:chExt cx="3009596" cy="479206"/>
        </a:xfrm>
      </xdr:grpSpPr>
      <xdr:pic>
        <xdr:nvPicPr>
          <xdr:cNvPr id="75" name="Picture 74">
            <a:extLst>
              <a:ext uri="{FF2B5EF4-FFF2-40B4-BE49-F238E27FC236}">
                <a16:creationId xmlns:a16="http://schemas.microsoft.com/office/drawing/2014/main" id="{00000000-0008-0000-0A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0000000-0008-0000-0A00-00004C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115960</xdr:colOff>
      <xdr:row>21</xdr:row>
      <xdr:rowOff>33130</xdr:rowOff>
    </xdr:from>
    <xdr:to>
      <xdr:col>35</xdr:col>
      <xdr:colOff>228585</xdr:colOff>
      <xdr:row>21</xdr:row>
      <xdr:rowOff>130330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GrpSpPr>
          <a:grpSpLocks noChangeAspect="1"/>
        </xdr:cNvGrpSpPr>
      </xdr:nvGrpSpPr>
      <xdr:grpSpPr>
        <a:xfrm>
          <a:off x="8421760" y="4043155"/>
          <a:ext cx="607925" cy="97200"/>
          <a:chOff x="13708048" y="459441"/>
          <a:chExt cx="3009596" cy="479206"/>
        </a:xfrm>
      </xdr:grpSpPr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00000000-0008-0000-0A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94695" y="459441"/>
            <a:ext cx="1322949" cy="468000"/>
          </a:xfrm>
          <a:prstGeom prst="rect">
            <a:avLst/>
          </a:prstGeom>
        </xdr:spPr>
      </xdr:pic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00000000-0008-0000-0A00-000050000000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A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44631</xdr:colOff>
      <xdr:row>1</xdr:row>
      <xdr:rowOff>597675</xdr:rowOff>
    </xdr:from>
    <xdr:to>
      <xdr:col>27</xdr:col>
      <xdr:colOff>30060</xdr:colOff>
      <xdr:row>1</xdr:row>
      <xdr:rowOff>633675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8330A52-6303-49E2-8D7E-D6678391C540}"/>
            </a:ext>
          </a:extLst>
        </xdr:cNvPr>
        <xdr:cNvSpPr/>
      </xdr:nvSpPr>
      <xdr:spPr>
        <a:xfrm>
          <a:off x="44631" y="673875"/>
          <a:ext cx="9418989" cy="36000"/>
        </a:xfrm>
        <a:prstGeom prst="rect">
          <a:avLst/>
        </a:prstGeom>
        <a:gradFill>
          <a:gsLst>
            <a:gs pos="22000">
              <a:srgbClr val="A3A3A3"/>
            </a:gs>
            <a:gs pos="100000">
              <a:schemeClr val="bg1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7655</xdr:colOff>
      <xdr:row>1</xdr:row>
      <xdr:rowOff>81643</xdr:rowOff>
    </xdr:from>
    <xdr:to>
      <xdr:col>19</xdr:col>
      <xdr:colOff>198635</xdr:colOff>
      <xdr:row>1</xdr:row>
      <xdr:rowOff>586468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C93A9D-A0CD-456A-8EE7-B8C95BA177F1}"/>
            </a:ext>
          </a:extLst>
        </xdr:cNvPr>
        <xdr:cNvSpPr txBox="1"/>
      </xdr:nvSpPr>
      <xdr:spPr>
        <a:xfrm>
          <a:off x="7655" y="157843"/>
          <a:ext cx="713280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0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INTERNAL TEAM SCHEDULE</a:t>
          </a:r>
          <a:endParaRPr lang="en-GB" sz="2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103929</xdr:colOff>
      <xdr:row>0</xdr:row>
      <xdr:rowOff>17357</xdr:rowOff>
    </xdr:from>
    <xdr:to>
      <xdr:col>26</xdr:col>
      <xdr:colOff>730810</xdr:colOff>
      <xdr:row>2</xdr:row>
      <xdr:rowOff>28871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9BB274-8E79-450C-B38A-ECA3ABAB1597}"/>
            </a:ext>
          </a:extLst>
        </xdr:cNvPr>
        <xdr:cNvGrpSpPr>
          <a:grpSpLocks noChangeAspect="1"/>
        </xdr:cNvGrpSpPr>
      </xdr:nvGrpSpPr>
      <xdr:grpSpPr>
        <a:xfrm>
          <a:off x="7371504" y="17357"/>
          <a:ext cx="1846081" cy="802089"/>
          <a:chOff x="13708048" y="-14212"/>
          <a:chExt cx="2883409" cy="141619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DDC39E1D-4EC1-B300-67FA-51216453DE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16110" y="-14212"/>
            <a:ext cx="1175347" cy="1416199"/>
          </a:xfrm>
          <a:prstGeom prst="rect">
            <a:avLst/>
          </a:prstGeom>
        </xdr:spPr>
      </xdr:pic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457FA110-9098-3D7C-AA8E-F40E8EC6D34F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6F510D9D-B7AD-6BFC-FF1E-5D352598E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398083"/>
            <a:ext cx="1384786" cy="540563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44631</xdr:colOff>
      <xdr:row>1</xdr:row>
      <xdr:rowOff>597675</xdr:rowOff>
    </xdr:from>
    <xdr:to>
      <xdr:col>27</xdr:col>
      <xdr:colOff>30060</xdr:colOff>
      <xdr:row>1</xdr:row>
      <xdr:rowOff>633675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B7FE1F1-4CED-40E3-B9E0-66F0051678D3}"/>
            </a:ext>
          </a:extLst>
        </xdr:cNvPr>
        <xdr:cNvSpPr/>
      </xdr:nvSpPr>
      <xdr:spPr>
        <a:xfrm>
          <a:off x="44631" y="673875"/>
          <a:ext cx="9418989" cy="36000"/>
        </a:xfrm>
        <a:prstGeom prst="rect">
          <a:avLst/>
        </a:prstGeom>
        <a:gradFill>
          <a:gsLst>
            <a:gs pos="22000">
              <a:srgbClr val="A3A3A3"/>
            </a:gs>
            <a:gs pos="100000">
              <a:schemeClr val="bg1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7655</xdr:colOff>
      <xdr:row>1</xdr:row>
      <xdr:rowOff>81643</xdr:rowOff>
    </xdr:from>
    <xdr:to>
      <xdr:col>19</xdr:col>
      <xdr:colOff>198635</xdr:colOff>
      <xdr:row>1</xdr:row>
      <xdr:rowOff>586468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8868780-277A-4353-8002-01FFAE6C7103}"/>
            </a:ext>
          </a:extLst>
        </xdr:cNvPr>
        <xdr:cNvSpPr txBox="1"/>
      </xdr:nvSpPr>
      <xdr:spPr>
        <a:xfrm>
          <a:off x="7655" y="157843"/>
          <a:ext cx="713280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0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INTERNAL TEAM SCHEDULE</a:t>
          </a:r>
          <a:endParaRPr lang="en-GB" sz="2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98214</xdr:colOff>
      <xdr:row>0</xdr:row>
      <xdr:rowOff>17357</xdr:rowOff>
    </xdr:from>
    <xdr:to>
      <xdr:col>26</xdr:col>
      <xdr:colOff>625496</xdr:colOff>
      <xdr:row>1</xdr:row>
      <xdr:rowOff>668071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6976D8E-4AF4-4D3B-BE2E-ED89FEE17FE8}"/>
            </a:ext>
          </a:extLst>
        </xdr:cNvPr>
        <xdr:cNvGrpSpPr>
          <a:grpSpLocks noChangeAspect="1"/>
        </xdr:cNvGrpSpPr>
      </xdr:nvGrpSpPr>
      <xdr:grpSpPr>
        <a:xfrm>
          <a:off x="7365789" y="17357"/>
          <a:ext cx="1765532" cy="726914"/>
          <a:chOff x="13708048" y="121337"/>
          <a:chExt cx="2952239" cy="1246763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3BE08311-E684-F153-39F1-67E8828A97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0188" y="121337"/>
            <a:ext cx="1260099" cy="1246763"/>
          </a:xfrm>
          <a:prstGeom prst="rect">
            <a:avLst/>
          </a:prstGeom>
        </xdr:spPr>
      </xdr:pic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CAAFC3A6-4768-F694-5C12-C44A64302602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754F0EA6-D9DF-3A01-6F60-A7A108CB5B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44631</xdr:colOff>
      <xdr:row>1</xdr:row>
      <xdr:rowOff>597675</xdr:rowOff>
    </xdr:from>
    <xdr:to>
      <xdr:col>27</xdr:col>
      <xdr:colOff>30060</xdr:colOff>
      <xdr:row>1</xdr:row>
      <xdr:rowOff>633675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CF8A3FE-1BF7-4E8A-9796-5281C1DF4ECD}"/>
            </a:ext>
          </a:extLst>
        </xdr:cNvPr>
        <xdr:cNvSpPr/>
      </xdr:nvSpPr>
      <xdr:spPr>
        <a:xfrm>
          <a:off x="44631" y="673875"/>
          <a:ext cx="9418989" cy="36000"/>
        </a:xfrm>
        <a:prstGeom prst="rect">
          <a:avLst/>
        </a:prstGeom>
        <a:gradFill>
          <a:gsLst>
            <a:gs pos="22000">
              <a:srgbClr val="A3A3A3"/>
            </a:gs>
            <a:gs pos="100000">
              <a:schemeClr val="bg1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7655</xdr:colOff>
      <xdr:row>1</xdr:row>
      <xdr:rowOff>81643</xdr:rowOff>
    </xdr:from>
    <xdr:to>
      <xdr:col>19</xdr:col>
      <xdr:colOff>198635</xdr:colOff>
      <xdr:row>1</xdr:row>
      <xdr:rowOff>586468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DED5E10-BC39-4419-B659-37F3CA6D4511}"/>
            </a:ext>
          </a:extLst>
        </xdr:cNvPr>
        <xdr:cNvSpPr txBox="1"/>
      </xdr:nvSpPr>
      <xdr:spPr>
        <a:xfrm>
          <a:off x="7655" y="157843"/>
          <a:ext cx="713280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0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INTERNAL TEAM SCHEDULE</a:t>
          </a:r>
          <a:endParaRPr lang="en-GB" sz="2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94404</xdr:colOff>
      <xdr:row>0</xdr:row>
      <xdr:rowOff>21167</xdr:rowOff>
    </xdr:from>
    <xdr:to>
      <xdr:col>26</xdr:col>
      <xdr:colOff>629306</xdr:colOff>
      <xdr:row>1</xdr:row>
      <xdr:rowOff>664261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858FB07-7FBE-42BA-BA9A-941A43194F47}"/>
            </a:ext>
          </a:extLst>
        </xdr:cNvPr>
        <xdr:cNvGrpSpPr>
          <a:grpSpLocks noChangeAspect="1"/>
        </xdr:cNvGrpSpPr>
      </xdr:nvGrpSpPr>
      <xdr:grpSpPr>
        <a:xfrm>
          <a:off x="7361979" y="21167"/>
          <a:ext cx="1773152" cy="719294"/>
          <a:chOff x="13708048" y="121337"/>
          <a:chExt cx="2952239" cy="1246763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5E3207D3-BB10-6D78-1882-E1B8B5286B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0188" y="121337"/>
            <a:ext cx="1260099" cy="1246763"/>
          </a:xfrm>
          <a:prstGeom prst="rect">
            <a:avLst/>
          </a:prstGeom>
        </xdr:spPr>
      </xdr:pic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4614366F-05AD-7BC9-6B1F-A87DF04DAA99}"/>
              </a:ext>
            </a:extLst>
          </xdr:cNvPr>
          <xdr:cNvCxnSpPr/>
        </xdr:nvCxnSpPr>
        <xdr:spPr>
          <a:xfrm>
            <a:off x="15262412" y="470647"/>
            <a:ext cx="0" cy="4680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41D5ACB4-1B60-145F-6306-828E909CF7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08048" y="470646"/>
            <a:ext cx="1384787" cy="468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44631</xdr:colOff>
      <xdr:row>1</xdr:row>
      <xdr:rowOff>597675</xdr:rowOff>
    </xdr:from>
    <xdr:to>
      <xdr:col>27</xdr:col>
      <xdr:colOff>30060</xdr:colOff>
      <xdr:row>1</xdr:row>
      <xdr:rowOff>633675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4631" y="673875"/>
          <a:ext cx="8786529" cy="36000"/>
        </a:xfrm>
        <a:prstGeom prst="rect">
          <a:avLst/>
        </a:prstGeom>
        <a:gradFill>
          <a:gsLst>
            <a:gs pos="22000">
              <a:srgbClr val="A3A3A3"/>
            </a:gs>
            <a:gs pos="100000">
              <a:schemeClr val="bg1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7655</xdr:colOff>
      <xdr:row>1</xdr:row>
      <xdr:rowOff>81643</xdr:rowOff>
    </xdr:from>
    <xdr:to>
      <xdr:col>19</xdr:col>
      <xdr:colOff>198635</xdr:colOff>
      <xdr:row>1</xdr:row>
      <xdr:rowOff>586468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655" y="157843"/>
          <a:ext cx="654415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GB" sz="2000" b="1" i="0">
              <a:solidFill>
                <a:schemeClr val="dk1"/>
              </a:solidFill>
              <a:effectLst/>
              <a:latin typeface="Montserrat" panose="02000505000000020004" pitchFamily="2" charset="0"/>
              <a:ea typeface="+mn-ea"/>
              <a:cs typeface="Arial" panose="020B0604020202020204" pitchFamily="34" charset="0"/>
            </a:rPr>
            <a:t>INTERNAL TEAM SCHEDULE</a:t>
          </a:r>
          <a:endParaRPr lang="en-GB" sz="2000" b="1" i="0">
            <a:effectLst/>
            <a:latin typeface="Montserrat" panose="02000505000000020004" pitchFamily="2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21</xdr:col>
      <xdr:colOff>245533</xdr:colOff>
      <xdr:row>1</xdr:row>
      <xdr:rowOff>135466</xdr:rowOff>
    </xdr:from>
    <xdr:to>
      <xdr:col>27</xdr:col>
      <xdr:colOff>21985</xdr:colOff>
      <xdr:row>1</xdr:row>
      <xdr:rowOff>474851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60FE952-C9AD-FC46-AD88-592F71C41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6733" y="211666"/>
          <a:ext cx="1982442" cy="35272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2</xdr:row>
          <xdr:rowOff>22860</xdr:rowOff>
        </xdr:from>
        <xdr:to>
          <xdr:col>12</xdr:col>
          <xdr:colOff>594360</xdr:colOff>
          <xdr:row>3</xdr:row>
          <xdr:rowOff>114300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ICS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2</xdr:row>
          <xdr:rowOff>22860</xdr:rowOff>
        </xdr:from>
        <xdr:to>
          <xdr:col>17</xdr:col>
          <xdr:colOff>0</xdr:colOff>
          <xdr:row>3</xdr:row>
          <xdr:rowOff>114300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OneTiming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2</xdr:row>
          <xdr:rowOff>22860</xdr:rowOff>
        </xdr:from>
        <xdr:to>
          <xdr:col>12</xdr:col>
          <xdr:colOff>594360</xdr:colOff>
          <xdr:row>3</xdr:row>
          <xdr:rowOff>114300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ICS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2</xdr:row>
          <xdr:rowOff>22860</xdr:rowOff>
        </xdr:from>
        <xdr:to>
          <xdr:col>17</xdr:col>
          <xdr:colOff>0</xdr:colOff>
          <xdr:row>3</xdr:row>
          <xdr:rowOff>114300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OneTiming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649941</xdr:colOff>
      <xdr:row>1</xdr:row>
      <xdr:rowOff>0</xdr:rowOff>
    </xdr:from>
    <xdr:to>
      <xdr:col>0</xdr:col>
      <xdr:colOff>1154206</xdr:colOff>
      <xdr:row>1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>
        <a:xfrm>
          <a:off x="649941" y="571500"/>
          <a:ext cx="504265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649941</xdr:colOff>
      <xdr:row>1</xdr:row>
      <xdr:rowOff>0</xdr:rowOff>
    </xdr:from>
    <xdr:to>
      <xdr:col>0</xdr:col>
      <xdr:colOff>1154206</xdr:colOff>
      <xdr:row>1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CxnSpPr/>
      </xdr:nvCxnSpPr>
      <xdr:spPr>
        <a:xfrm>
          <a:off x="649941" y="571500"/>
          <a:ext cx="504265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FIA%20F3/2025/Events/R02%20BAH/FIAF3_R02_BAH.xlsm" TargetMode="External"/><Relationship Id="rId2" Type="http://schemas.openxmlformats.org/officeDocument/2006/relationships/externalLinkPath" Target="https://vanamersfoortracingbv.sharepoint.com/sites/VARCompanyTravel/Shared%20Documents/03_FIA%20F2%20&amp;%20F3/FIA%20F3/2025/Events/R02%20BAH/FIAF3_R02_BAH.xlsm" TargetMode="External"/><Relationship Id="rId1" Type="http://schemas.openxmlformats.org/officeDocument/2006/relationships/externalLinkPath" Target="/sites/VARCompanyTravel/Shared%20Documents/03_FIA%20F2%20&amp;%20F3/FIA%20F3/2025/Events/R02%20BAH/FIAF3_R02_BAH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FIA%20F3/2025/Events/CT02%20BAH/FIAF3_CT02_BAH.xlsm" TargetMode="External"/><Relationship Id="rId2" Type="http://schemas.openxmlformats.org/officeDocument/2006/relationships/externalLinkPath" Target="https://vanamersfoortracingbv.sharepoint.com/sites/VARCompanyTravel/Shared%20Documents/03_FIA%20F2%20&amp;%20F3/FIA%20F3/2025/Events/CT02%20BAH/FIAF3_CT02_BAH.xlsm" TargetMode="External"/><Relationship Id="rId1" Type="http://schemas.openxmlformats.org/officeDocument/2006/relationships/externalLinkPath" Target="/sites/VARCompanyTravel/Shared%20Documents/03_FIA%20F2%20&amp;%20F3/FIA%20F3/2025/Events/CT02%20BAH/FIAF3_CT02_BAH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2025/Events/R06)%20BCN/SCHEDULE%20F2%20BCN.xlsm" TargetMode="External"/><Relationship Id="rId2" Type="http://schemas.openxmlformats.org/officeDocument/2006/relationships/externalLinkPath" Target="https://vanamersfoortracingbv.sharepoint.com/sites/VARCompanyTravel/Shared%20Documents/03_FIA%20F2%20&amp;%20F3/FIA%20F2/2025/Events/R06)%20BCN/SCHEDULE%20F2%20BCN.xlsm" TargetMode="External"/><Relationship Id="rId1" Type="http://schemas.openxmlformats.org/officeDocument/2006/relationships/externalLinkPath" Target="/sites/VARCompanyTravel/Shared%20Documents/03_FIA%20F2%20&amp;%20F3/FIA%20F2/2025/Events/R06)%20BCN/SCHEDULE%20F2%20BCN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FIA%20F3/2025/Events/R01%20MEL/FIAF3_R01_MEL.xlsm" TargetMode="External"/><Relationship Id="rId2" Type="http://schemas.openxmlformats.org/officeDocument/2006/relationships/externalLinkPath" Target="https://vanamersfoortracingbv.sharepoint.com/sites/VARCompanyTravel/Shared%20Documents/03_FIA%20F2%20&amp;%20F3/FIA%20F3/2025/Events/R01%20MEL/FIAF3_R01_MEL.xlsm" TargetMode="External"/><Relationship Id="rId1" Type="http://schemas.openxmlformats.org/officeDocument/2006/relationships/externalLinkPath" Target="/sites/VARCompanyTravel/Shared%20Documents/03_FIA%20F2%20&amp;%20F3/FIA%20F3/2025/Events/R01%20MEL/FIAF3_R01_M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aster"/>
      <sheetName val="Event Info"/>
      <sheetName val="Car Allocation"/>
      <sheetName val="VAR Vans TO"/>
      <sheetName val="VAR Vans FROM"/>
      <sheetName val="Flights TO"/>
      <sheetName val="Flights FROM"/>
      <sheetName val="Rental Car Plan"/>
      <sheetName val="Hotel Plan"/>
      <sheetName val="Master Schedule"/>
      <sheetName val="Mini Timetables"/>
      <sheetName val="Test schedule"/>
      <sheetName val="Personel"/>
      <sheetName val="Date Calculators"/>
      <sheetName val="Reference Data"/>
      <sheetName val="Version History"/>
      <sheetName val="ICS4Master"/>
      <sheetName val="ICS4Test"/>
      <sheetName val="VAR_Master"/>
      <sheetName val="VAR_Test"/>
      <sheetName val="OT4Test"/>
      <sheetName val="OT4Mast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aster"/>
      <sheetName val="Event Info"/>
      <sheetName val="Car Allocation"/>
      <sheetName val="VAR Vans TO"/>
      <sheetName val="VAR Vans FROM"/>
      <sheetName val="Flights TO"/>
      <sheetName val="Flights FROM"/>
      <sheetName val="Rental Car Plan"/>
      <sheetName val="Hotel Plan"/>
      <sheetName val="Master Schedule"/>
      <sheetName val="Mini Timetables"/>
      <sheetName val="Test schedule"/>
      <sheetName val="Personel"/>
      <sheetName val="Date Calculators"/>
      <sheetName val="Reference Data"/>
      <sheetName val="Version History"/>
      <sheetName val="ICS4Master"/>
      <sheetName val="ICS4Test"/>
      <sheetName val="VAR_Master"/>
      <sheetName val="VAR_Test"/>
      <sheetName val="OT4Test"/>
      <sheetName val="OT4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aster"/>
      <sheetName val="Event Info"/>
      <sheetName val="Car Allocation"/>
      <sheetName val="VAR Vans TO"/>
      <sheetName val="VAR Vans FROM"/>
      <sheetName val="Flights TO"/>
      <sheetName val="Flights FROM"/>
      <sheetName val="Rental Car Plan"/>
      <sheetName val="Hotel Plan"/>
      <sheetName val="Master Schedule"/>
      <sheetName val="Mini Timetables"/>
      <sheetName val="Test schedule"/>
      <sheetName val="Personel"/>
      <sheetName val="Date Calculators"/>
      <sheetName val="Reference Data"/>
      <sheetName val="Version History"/>
      <sheetName val="ICS4Master"/>
      <sheetName val="ICS4Test"/>
      <sheetName val="VAR_Master"/>
      <sheetName val="VAR_Test"/>
      <sheetName val="OT4Test"/>
      <sheetName val="OT4Mast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aster"/>
      <sheetName val="Event Info"/>
      <sheetName val="Car Allocation"/>
      <sheetName val="VAR Vans TO"/>
      <sheetName val="VAR Vans FROM"/>
      <sheetName val="Flights TO"/>
      <sheetName val="Flights FROM"/>
      <sheetName val="Rental Car Plan"/>
      <sheetName val="Hotel Plan"/>
      <sheetName val="Master Schedule"/>
      <sheetName val="Mini Timetables"/>
      <sheetName val="Test schedule"/>
      <sheetName val="Personel"/>
      <sheetName val="Date Calculators"/>
      <sheetName val="Reference Data"/>
      <sheetName val="Version History"/>
      <sheetName val="ICS4Master"/>
      <sheetName val="ICS4Test"/>
      <sheetName val="VAR_Master"/>
      <sheetName val="VAR_Test"/>
      <sheetName val="OT4Test"/>
      <sheetName val="OT4Master"/>
    </sheetNames>
    <sheetDataSet>
      <sheetData sheetId="0"/>
      <sheetData sheetId="1">
        <row r="1">
          <cell r="B1" t="str">
            <v>Race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B1" t="str">
            <v>Santiago Ramos</v>
          </cell>
        </row>
      </sheetData>
      <sheetData sheetId="13">
        <row r="2">
          <cell r="G2" t="str">
            <v>14-16/3/2025</v>
          </cell>
        </row>
      </sheetData>
      <sheetData sheetId="14">
        <row r="2">
          <cell r="A2" t="str">
            <v>Abu Dhabi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www.bing.com/ck/a?!&amp;&amp;p=13d16d800eab58dcJmltdHM9MTcyMDY1NjAwMCZpZ3VpZD0wMTE0ZDRiZi0zY2RhLTZjYjYtMDI5Ny1jMDM0M2Q5ZDZkZjgmaW5zaWQ9NTUzMw&amp;ptn=3&amp;ver=2&amp;hsh=3&amp;fclid=0114d4bf-3cda-6cb6-0297-c0343d9d6df8&amp;u=a1L21hcHM_Jm1lcGk9MTAxfn5Vbmtub3dufkFkZHJlc3NfTGluayZ0eT0xOCZxPSVDMyVCNCUyMENoJUMzJTk0bWklQzMlQThyZSZzcz15cGlkLllONzk5N3gxNTUxNTQ0NTE3MTM0NzczMDE1NSZwcG9pcz01MC4zOTQyNzE4NTA1ODU5NF81LjkyOTcxODk3MTI1MjQ0MV8lQzMlQjQlMjBDaCVDMyU5NG1pJUMzJUE4cmVfWU43OTk3eDE1NTE1NDQ1MTcxMzQ3NzMwMTU1fiZjcD01MC4zOTQyNzJ-NS45Mjk3MTkmdj0yJnNWPTEmRk9STT1NUFNSUEw&amp;ntb=1" TargetMode="External"/><Relationship Id="rId1" Type="http://schemas.openxmlformats.org/officeDocument/2006/relationships/hyperlink" Target="https://www.bing.com/ck/a?!&amp;&amp;p=704274c559abc4bdJmltdHM9MTY3MzQ4MTYwMCZpZ3VpZD0wZjdkMzIzZC04ZDU1LTYwZDItMmE5MS0yMGJkODk1NTZlMTYmaW5zaWQ9NTgzMw&amp;ptn=3&amp;hsh=3&amp;fclid=0f7d323d-8d55-60d2-2a91-20bd89556e16&amp;psq=RAMADA+BY+WYNDHAM+MANAMA+CITY+CENTRE&amp;u=a1dGVsOis5NzMxNzEwNDAwMA&amp;ntb=1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unicode-org.github.io/cldr-staging/charts/37/supplemental/zone_tzid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unicode-org.github.io/cldr-staging/charts/37/supplemental/zone_tzid.html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EF88F-043D-493D-99D3-9EFC40458E13}">
  <sheetPr codeName="Tabelle1"/>
  <dimension ref="A1:B3"/>
  <sheetViews>
    <sheetView workbookViewId="0">
      <selection activeCell="C7" sqref="C7"/>
    </sheetView>
  </sheetViews>
  <sheetFormatPr defaultColWidth="9.140625" defaultRowHeight="14.45"/>
  <cols>
    <col min="1" max="1" width="11" bestFit="1" customWidth="1"/>
    <col min="2" max="2" width="10.7109375" bestFit="1" customWidth="1"/>
  </cols>
  <sheetData>
    <row r="1" spans="1:2">
      <c r="A1" t="s">
        <v>0</v>
      </c>
      <c r="B1" s="62" t="str">
        <f>'Event Info'!E3</f>
        <v>2026-3-6</v>
      </c>
    </row>
    <row r="2" spans="1:2">
      <c r="A2" t="s">
        <v>1</v>
      </c>
      <c r="B2" s="63">
        <v>32</v>
      </c>
    </row>
    <row r="3" spans="1:2">
      <c r="A3" t="s">
        <v>2</v>
      </c>
      <c r="B3" s="63">
        <f>'Event Info'!B5</f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993D-AE73-4FA1-B208-BF56B1BB5663}">
  <sheetPr codeName="Sheet1">
    <tabColor rgb="FFFFFF00"/>
  </sheetPr>
  <dimension ref="A1:H8"/>
  <sheetViews>
    <sheetView showGridLines="0" zoomScale="120" zoomScaleNormal="120" workbookViewId="0">
      <selection activeCell="F11" sqref="F11"/>
    </sheetView>
  </sheetViews>
  <sheetFormatPr defaultColWidth="8.7109375" defaultRowHeight="14.45"/>
  <cols>
    <col min="1" max="1" width="16.7109375" bestFit="1" customWidth="1"/>
    <col min="2" max="2" width="6" bestFit="1" customWidth="1"/>
    <col min="5" max="5" width="16.7109375" hidden="1" customWidth="1"/>
    <col min="7" max="7" width="9.28515625" bestFit="1" customWidth="1"/>
    <col min="11" max="11" width="13.42578125" bestFit="1" customWidth="1"/>
    <col min="12" max="12" width="10.7109375" bestFit="1" customWidth="1"/>
  </cols>
  <sheetData>
    <row r="1" spans="1:8" ht="16.899999999999999">
      <c r="A1" s="43" t="s">
        <v>3</v>
      </c>
      <c r="B1" s="476" t="s">
        <v>4</v>
      </c>
      <c r="C1" s="476"/>
      <c r="D1" s="476"/>
    </row>
    <row r="2" spans="1:8" ht="16.899999999999999">
      <c r="A2" s="43" t="s">
        <v>5</v>
      </c>
      <c r="B2" s="476" t="s">
        <v>6</v>
      </c>
      <c r="C2" s="476"/>
      <c r="D2" s="476"/>
      <c r="H2" s="45"/>
    </row>
    <row r="3" spans="1:8" ht="16.899999999999999">
      <c r="A3" s="43" t="s">
        <v>7</v>
      </c>
      <c r="B3" s="44">
        <v>6</v>
      </c>
      <c r="C3" s="44">
        <v>3</v>
      </c>
      <c r="D3" s="44">
        <v>2026</v>
      </c>
      <c r="E3" t="str">
        <f>_xlfn.CONCAT(D3,"-",C3,"-",B3)</f>
        <v>2026-3-6</v>
      </c>
      <c r="H3" s="45"/>
    </row>
    <row r="4" spans="1:8" ht="16.899999999999999">
      <c r="A4" s="43" t="s">
        <v>8</v>
      </c>
      <c r="B4" s="44">
        <v>8</v>
      </c>
      <c r="C4" s="44">
        <v>3</v>
      </c>
      <c r="D4" s="44">
        <v>2026</v>
      </c>
      <c r="H4" s="45"/>
    </row>
    <row r="5" spans="1:8" ht="16.899999999999999">
      <c r="A5" s="43" t="s">
        <v>9</v>
      </c>
      <c r="B5" s="477">
        <v>11</v>
      </c>
      <c r="C5" s="478"/>
      <c r="D5" s="479"/>
      <c r="H5" s="45"/>
    </row>
    <row r="6" spans="1:8">
      <c r="E6" s="125"/>
      <c r="H6" s="45"/>
    </row>
    <row r="7" spans="1:8">
      <c r="H7" s="45"/>
    </row>
    <row r="8" spans="1:8">
      <c r="H8" s="45"/>
    </row>
  </sheetData>
  <mergeCells count="3">
    <mergeCell ref="B1:D1"/>
    <mergeCell ref="B2:D2"/>
    <mergeCell ref="B5:D5"/>
  </mergeCells>
  <phoneticPr fontId="20" type="noConversion"/>
  <dataValidations count="2">
    <dataValidation type="list" allowBlank="1" showInputMessage="1" showErrorMessage="1" sqref="B2:D2" xr:uid="{5E12E152-16EE-4696-A98E-D1A52698E555}">
      <formula1>OFFSET(Track,0,0,ROWS(Track)-COUNTIF(Track,""))</formula1>
    </dataValidation>
    <dataValidation type="list" allowBlank="1" showInputMessage="1" showErrorMessage="1" sqref="B1:D1" xr:uid="{47204B80-22A3-4389-B093-16FAC5E7EE98}">
      <formula1>OFFSET(Event,0,0,ROWS(Event)-COUNTIF(Event,""))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C450E-132E-418B-966A-281CC8230FB1}">
  <sheetPr codeName="Sheet3">
    <tabColor theme="0"/>
    <pageSetUpPr fitToPage="1"/>
  </sheetPr>
  <dimension ref="A1:AS99"/>
  <sheetViews>
    <sheetView showGridLines="0" zoomScale="115" zoomScaleNormal="100" workbookViewId="0">
      <selection activeCell="G89" sqref="G89"/>
    </sheetView>
  </sheetViews>
  <sheetFormatPr defaultColWidth="4.7109375" defaultRowHeight="16.899999999999999"/>
  <cols>
    <col min="1" max="1" width="1.7109375" style="3" customWidth="1"/>
    <col min="2" max="3" width="3.7109375" style="3" customWidth="1"/>
    <col min="4" max="4" width="6.42578125" style="3" customWidth="1"/>
    <col min="5" max="7" width="5.7109375" style="3" customWidth="1"/>
    <col min="8" max="8" width="7.7109375" style="3" customWidth="1"/>
    <col min="9" max="24" width="5.7109375" style="3" customWidth="1"/>
    <col min="25" max="25" width="1.7109375" style="3" customWidth="1"/>
    <col min="26" max="26" width="20.140625" style="3" customWidth="1"/>
    <col min="27" max="28" width="3.7109375" style="3" customWidth="1"/>
    <col min="29" max="29" width="4.42578125" style="3" customWidth="1"/>
    <col min="30" max="32" width="4.7109375" style="3"/>
    <col min="33" max="33" width="5" style="3" customWidth="1"/>
    <col min="34" max="16384" width="4.7109375" style="3"/>
  </cols>
  <sheetData>
    <row r="1" spans="1:25" ht="6" customHeight="1">
      <c r="A1" s="1"/>
      <c r="B1" s="56"/>
      <c r="C1" s="52"/>
      <c r="D1" s="52"/>
      <c r="E1" s="52"/>
      <c r="F1" s="52"/>
      <c r="G1" s="52"/>
      <c r="H1" s="52"/>
      <c r="I1" s="54"/>
      <c r="J1" s="52"/>
      <c r="K1" s="52"/>
      <c r="L1" s="52"/>
      <c r="M1" s="52"/>
      <c r="N1" s="52"/>
      <c r="O1" s="52"/>
      <c r="P1" s="52"/>
      <c r="Q1" s="54"/>
      <c r="R1" s="52"/>
      <c r="S1" s="52"/>
      <c r="T1" s="52"/>
      <c r="U1" s="52"/>
      <c r="V1" s="2"/>
      <c r="W1" s="52"/>
      <c r="X1" s="52"/>
      <c r="Y1" s="50"/>
    </row>
    <row r="2" spans="1:25" ht="55.5" customHeight="1">
      <c r="A2" s="1"/>
      <c r="B2" s="5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53"/>
      <c r="W2" s="1"/>
      <c r="X2" s="51"/>
      <c r="Y2" s="1"/>
    </row>
    <row r="3" spans="1:25" s="6" customFormat="1">
      <c r="A3" s="4"/>
      <c r="B3" s="547" t="s">
        <v>3</v>
      </c>
      <c r="C3" s="547"/>
      <c r="D3" s="547"/>
      <c r="E3" s="547"/>
      <c r="F3" s="543"/>
      <c r="G3" s="543"/>
      <c r="H3" s="543"/>
      <c r="I3" s="5"/>
      <c r="J3" s="547" t="s">
        <v>5</v>
      </c>
      <c r="K3" s="547"/>
      <c r="L3" s="547"/>
      <c r="M3" s="547"/>
      <c r="N3" s="543"/>
      <c r="O3" s="543"/>
      <c r="P3" s="543"/>
      <c r="Q3" s="543"/>
      <c r="R3" s="5"/>
      <c r="S3" s="547" t="s">
        <v>10</v>
      </c>
      <c r="T3" s="547"/>
      <c r="U3" s="543"/>
      <c r="V3" s="543"/>
      <c r="W3" s="543"/>
      <c r="X3" s="544"/>
      <c r="Y3" s="57"/>
    </row>
    <row r="4" spans="1:25" customFormat="1" ht="15" thickBot="1"/>
    <row r="5" spans="1:25" customFormat="1" ht="14.45" hidden="1">
      <c r="E5" s="529" t="str">
        <f>Personel!F2</f>
        <v>Rafael Villagomez</v>
      </c>
      <c r="F5" s="529"/>
      <c r="G5" s="529"/>
      <c r="H5" s="529"/>
      <c r="I5" s="529" t="str">
        <f>Personel!F2</f>
        <v>Rafael Villagomez</v>
      </c>
      <c r="J5" s="529"/>
      <c r="K5" s="529"/>
      <c r="L5" s="529"/>
      <c r="M5" s="529" t="str">
        <f>Personel!F2</f>
        <v>Rafael Villagomez</v>
      </c>
      <c r="N5" s="529"/>
      <c r="O5" s="529"/>
      <c r="P5" s="529"/>
      <c r="Q5" s="529" t="str">
        <f>Personel!F2</f>
        <v>Rafael Villagomez</v>
      </c>
      <c r="R5" s="529"/>
      <c r="S5" s="529"/>
      <c r="T5" s="529"/>
      <c r="U5" s="529" t="str">
        <f>Personel!F2</f>
        <v>Rafael Villagomez</v>
      </c>
      <c r="V5" s="529"/>
      <c r="W5" s="529"/>
      <c r="X5" s="529"/>
    </row>
    <row r="6" spans="1:25" customFormat="1" ht="14.45" hidden="1">
      <c r="E6" s="529">
        <f>Personel!F3</f>
        <v>0</v>
      </c>
      <c r="F6" s="529"/>
      <c r="G6" s="529"/>
      <c r="H6" s="529"/>
      <c r="I6" s="529">
        <f>Personel!F3</f>
        <v>0</v>
      </c>
      <c r="J6" s="529"/>
      <c r="K6" s="529"/>
      <c r="L6" s="529"/>
      <c r="M6" s="529">
        <f>Personel!F3</f>
        <v>0</v>
      </c>
      <c r="N6" s="529"/>
      <c r="O6" s="529"/>
      <c r="P6" s="529"/>
      <c r="Q6" s="529">
        <f>Personel!F3</f>
        <v>0</v>
      </c>
      <c r="R6" s="529"/>
      <c r="S6" s="529"/>
      <c r="T6" s="529"/>
      <c r="U6" s="529">
        <f>Personel!F3</f>
        <v>0</v>
      </c>
      <c r="V6" s="529"/>
      <c r="W6" s="529"/>
      <c r="X6" s="529"/>
    </row>
    <row r="7" spans="1:25" customFormat="1" ht="14.45" hidden="1">
      <c r="E7" s="529">
        <f>Personel!F4</f>
        <v>0</v>
      </c>
      <c r="F7" s="529"/>
      <c r="G7" s="529"/>
      <c r="H7" s="529"/>
      <c r="I7" s="529">
        <f>Personel!F4</f>
        <v>0</v>
      </c>
      <c r="J7" s="529"/>
      <c r="K7" s="529"/>
      <c r="L7" s="529"/>
      <c r="M7" s="529">
        <f>Personel!F4</f>
        <v>0</v>
      </c>
      <c r="N7" s="529"/>
      <c r="O7" s="529"/>
      <c r="P7" s="529"/>
      <c r="Q7" s="529">
        <f>Personel!F4</f>
        <v>0</v>
      </c>
      <c r="R7" s="529"/>
      <c r="S7" s="529"/>
      <c r="T7" s="529"/>
      <c r="U7" s="529">
        <f>Personel!F4</f>
        <v>0</v>
      </c>
      <c r="V7" s="529"/>
      <c r="W7" s="529"/>
      <c r="X7" s="529"/>
    </row>
    <row r="8" spans="1:25" customFormat="1" ht="14.45" hidden="1">
      <c r="E8" s="529">
        <f>Personel!F5</f>
        <v>0</v>
      </c>
      <c r="F8" s="529"/>
      <c r="G8" s="529"/>
      <c r="H8" s="529"/>
      <c r="I8" s="529">
        <f>Personel!F5</f>
        <v>0</v>
      </c>
      <c r="J8" s="529"/>
      <c r="K8" s="529"/>
      <c r="L8" s="529"/>
      <c r="M8" s="529">
        <f>Personel!F5</f>
        <v>0</v>
      </c>
      <c r="N8" s="529"/>
      <c r="O8" s="529"/>
      <c r="P8" s="529"/>
      <c r="Q8" s="529">
        <f>Personel!F5</f>
        <v>0</v>
      </c>
      <c r="R8" s="529"/>
      <c r="S8" s="529"/>
      <c r="T8" s="529"/>
      <c r="U8" s="529">
        <f>Personel!F5</f>
        <v>0</v>
      </c>
      <c r="V8" s="529"/>
      <c r="W8" s="529"/>
      <c r="X8" s="529"/>
    </row>
    <row r="9" spans="1:25" customFormat="1" ht="14.45" hidden="1">
      <c r="E9" s="529">
        <f>Personel!F6</f>
        <v>0</v>
      </c>
      <c r="F9" s="529"/>
      <c r="G9" s="529"/>
      <c r="H9" s="529"/>
      <c r="I9" s="529">
        <f>Personel!F6</f>
        <v>0</v>
      </c>
      <c r="J9" s="529"/>
      <c r="K9" s="529"/>
      <c r="L9" s="529"/>
      <c r="M9" s="529">
        <f>Personel!F6</f>
        <v>0</v>
      </c>
      <c r="N9" s="529"/>
      <c r="O9" s="529"/>
      <c r="P9" s="529"/>
      <c r="Q9" s="529">
        <f>Personel!F6</f>
        <v>0</v>
      </c>
      <c r="R9" s="529"/>
      <c r="S9" s="529"/>
      <c r="T9" s="529"/>
      <c r="U9" s="529">
        <f>Personel!F6</f>
        <v>0</v>
      </c>
      <c r="V9" s="529"/>
      <c r="W9" s="529"/>
      <c r="X9" s="529"/>
    </row>
    <row r="10" spans="1:25" customFormat="1" ht="14.45" hidden="1">
      <c r="E10" s="529" t="str">
        <f>Personel!F7</f>
        <v>Peter van Leeuwen</v>
      </c>
      <c r="F10" s="529"/>
      <c r="G10" s="529"/>
      <c r="H10" s="529"/>
      <c r="I10" s="529" t="str">
        <f>Personel!F7</f>
        <v>Peter van Leeuwen</v>
      </c>
      <c r="J10" s="529"/>
      <c r="K10" s="529"/>
      <c r="L10" s="529"/>
      <c r="M10" s="529" t="str">
        <f>Personel!F7</f>
        <v>Peter van Leeuwen</v>
      </c>
      <c r="N10" s="529"/>
      <c r="O10" s="529"/>
      <c r="P10" s="529"/>
      <c r="Q10" s="529" t="str">
        <f>Personel!F7</f>
        <v>Peter van Leeuwen</v>
      </c>
      <c r="R10" s="529"/>
      <c r="S10" s="529"/>
      <c r="T10" s="529"/>
      <c r="U10" s="529" t="str">
        <f>Personel!F7</f>
        <v>Peter van Leeuwen</v>
      </c>
      <c r="V10" s="529"/>
      <c r="W10" s="529"/>
      <c r="X10" s="529"/>
    </row>
    <row r="11" spans="1:25" customFormat="1" ht="14.45" hidden="1">
      <c r="E11" s="529" t="str">
        <f>Personel!F8</f>
        <v>Felix van Delft</v>
      </c>
      <c r="F11" s="529"/>
      <c r="G11" s="529"/>
      <c r="H11" s="529"/>
      <c r="I11" s="529" t="str">
        <f>Personel!F8</f>
        <v>Felix van Delft</v>
      </c>
      <c r="J11" s="529"/>
      <c r="K11" s="529"/>
      <c r="L11" s="529"/>
      <c r="M11" s="529" t="str">
        <f>Personel!F8</f>
        <v>Felix van Delft</v>
      </c>
      <c r="N11" s="529"/>
      <c r="O11" s="529"/>
      <c r="P11" s="529"/>
      <c r="Q11" s="529" t="str">
        <f>Personel!F8</f>
        <v>Felix van Delft</v>
      </c>
      <c r="R11" s="529"/>
      <c r="S11" s="529"/>
      <c r="T11" s="529"/>
      <c r="U11" s="529" t="str">
        <f>Personel!F8</f>
        <v>Felix van Delft</v>
      </c>
      <c r="V11" s="529"/>
      <c r="W11" s="529"/>
      <c r="X11" s="529"/>
    </row>
    <row r="12" spans="1:25" customFormat="1" ht="14.45" hidden="1">
      <c r="E12" s="529" t="str">
        <f>Personel!F9</f>
        <v>Carlo Ruffo</v>
      </c>
      <c r="F12" s="529"/>
      <c r="G12" s="529"/>
      <c r="H12" s="529"/>
      <c r="I12" s="529" t="str">
        <f>Personel!F9</f>
        <v>Carlo Ruffo</v>
      </c>
      <c r="J12" s="529"/>
      <c r="K12" s="529"/>
      <c r="L12" s="529"/>
      <c r="M12" s="529" t="str">
        <f>Personel!F9</f>
        <v>Carlo Ruffo</v>
      </c>
      <c r="N12" s="529"/>
      <c r="O12" s="529"/>
      <c r="P12" s="529"/>
      <c r="Q12" s="529" t="str">
        <f>Personel!F9</f>
        <v>Carlo Ruffo</v>
      </c>
      <c r="R12" s="529"/>
      <c r="S12" s="529"/>
      <c r="T12" s="529"/>
      <c r="U12" s="529" t="str">
        <f>Personel!F9</f>
        <v>Carlo Ruffo</v>
      </c>
      <c r="V12" s="529"/>
      <c r="W12" s="529"/>
      <c r="X12" s="529"/>
    </row>
    <row r="13" spans="1:25" customFormat="1" ht="14.45" hidden="1">
      <c r="E13" s="529" t="str">
        <f>Personel!F10</f>
        <v>Pavel Gellner</v>
      </c>
      <c r="F13" s="529"/>
      <c r="G13" s="529"/>
      <c r="H13" s="529"/>
      <c r="I13" s="529" t="str">
        <f>Personel!F10</f>
        <v>Pavel Gellner</v>
      </c>
      <c r="J13" s="529"/>
      <c r="K13" s="529"/>
      <c r="L13" s="529"/>
      <c r="M13" s="529" t="str">
        <f>Personel!F10</f>
        <v>Pavel Gellner</v>
      </c>
      <c r="N13" s="529"/>
      <c r="O13" s="529"/>
      <c r="P13" s="529"/>
      <c r="Q13" s="529" t="str">
        <f>Personel!F10</f>
        <v>Pavel Gellner</v>
      </c>
      <c r="R13" s="529"/>
      <c r="S13" s="529"/>
      <c r="T13" s="529"/>
      <c r="U13" s="529" t="str">
        <f>Personel!F10</f>
        <v>Pavel Gellner</v>
      </c>
      <c r="V13" s="529"/>
      <c r="W13" s="529"/>
      <c r="X13" s="529"/>
    </row>
    <row r="14" spans="1:25" customFormat="1" ht="14.45" hidden="1">
      <c r="E14" s="529" t="str">
        <f>Personel!F11</f>
        <v>Maarten van der Poel</v>
      </c>
      <c r="F14" s="529"/>
      <c r="G14" s="529"/>
      <c r="H14" s="529"/>
      <c r="I14" s="529" t="str">
        <f>Personel!F11</f>
        <v>Maarten van der Poel</v>
      </c>
      <c r="J14" s="529"/>
      <c r="K14" s="529"/>
      <c r="L14" s="529"/>
      <c r="M14" s="529" t="str">
        <f>Personel!F11</f>
        <v>Maarten van der Poel</v>
      </c>
      <c r="N14" s="529"/>
      <c r="O14" s="529"/>
      <c r="P14" s="529"/>
      <c r="Q14" s="529" t="str">
        <f>Personel!F11</f>
        <v>Maarten van der Poel</v>
      </c>
      <c r="R14" s="529"/>
      <c r="S14" s="529"/>
      <c r="T14" s="529"/>
      <c r="U14" s="529" t="str">
        <f>Personel!F11</f>
        <v>Maarten van der Poel</v>
      </c>
      <c r="V14" s="529"/>
      <c r="W14" s="529"/>
      <c r="X14" s="529"/>
    </row>
    <row r="15" spans="1:25" customFormat="1" ht="14.45" hidden="1">
      <c r="E15" s="529" t="str">
        <f>Personel!F12</f>
        <v>Daniel Blackledge</v>
      </c>
      <c r="F15" s="529"/>
      <c r="G15" s="529"/>
      <c r="H15" s="529"/>
      <c r="I15" s="529" t="str">
        <f>Personel!F12</f>
        <v>Daniel Blackledge</v>
      </c>
      <c r="J15" s="529"/>
      <c r="K15" s="529"/>
      <c r="L15" s="529"/>
      <c r="M15" s="529" t="str">
        <f>Personel!F12</f>
        <v>Daniel Blackledge</v>
      </c>
      <c r="N15" s="529"/>
      <c r="O15" s="529"/>
      <c r="P15" s="529"/>
      <c r="Q15" s="529" t="str">
        <f>Personel!F12</f>
        <v>Daniel Blackledge</v>
      </c>
      <c r="R15" s="529"/>
      <c r="S15" s="529"/>
      <c r="T15" s="529"/>
      <c r="U15" s="529" t="str">
        <f>Personel!F12</f>
        <v>Daniel Blackledge</v>
      </c>
      <c r="V15" s="529"/>
      <c r="W15" s="529"/>
      <c r="X15" s="529"/>
    </row>
    <row r="16" spans="1:25" customFormat="1" ht="14.45" hidden="1">
      <c r="E16" s="529" t="str">
        <f>Personel!F13</f>
        <v>Rick Janse</v>
      </c>
      <c r="F16" s="529"/>
      <c r="G16" s="529"/>
      <c r="H16" s="529"/>
      <c r="I16" s="529" t="str">
        <f>Personel!F13</f>
        <v>Rick Janse</v>
      </c>
      <c r="J16" s="529"/>
      <c r="K16" s="529"/>
      <c r="L16" s="529"/>
      <c r="M16" s="529" t="str">
        <f>Personel!F13</f>
        <v>Rick Janse</v>
      </c>
      <c r="N16" s="529"/>
      <c r="O16" s="529"/>
      <c r="P16" s="529"/>
      <c r="Q16" s="529" t="str">
        <f>Personel!F13</f>
        <v>Rick Janse</v>
      </c>
      <c r="R16" s="529"/>
      <c r="S16" s="529"/>
      <c r="T16" s="529"/>
      <c r="U16" s="529" t="str">
        <f>Personel!F13</f>
        <v>Rick Janse</v>
      </c>
      <c r="V16" s="529"/>
      <c r="W16" s="529"/>
      <c r="X16" s="529"/>
    </row>
    <row r="17" spans="5:24" customFormat="1" ht="14.45" hidden="1">
      <c r="E17" s="529" t="str">
        <f>Personel!F14</f>
        <v>Roel Van De Voorde</v>
      </c>
      <c r="F17" s="529"/>
      <c r="G17" s="529"/>
      <c r="H17" s="529"/>
      <c r="I17" s="529" t="str">
        <f>Personel!F14</f>
        <v>Roel Van De Voorde</v>
      </c>
      <c r="J17" s="529"/>
      <c r="K17" s="529"/>
      <c r="L17" s="529"/>
      <c r="M17" s="529" t="str">
        <f>Personel!F14</f>
        <v>Roel Van De Voorde</v>
      </c>
      <c r="N17" s="529"/>
      <c r="O17" s="529"/>
      <c r="P17" s="529"/>
      <c r="Q17" s="529" t="str">
        <f>Personel!F14</f>
        <v>Roel Van De Voorde</v>
      </c>
      <c r="R17" s="529"/>
      <c r="S17" s="529"/>
      <c r="T17" s="529"/>
      <c r="U17" s="529" t="str">
        <f>Personel!F14</f>
        <v>Roel Van De Voorde</v>
      </c>
      <c r="V17" s="529"/>
      <c r="W17" s="529"/>
      <c r="X17" s="529"/>
    </row>
    <row r="18" spans="5:24" customFormat="1" ht="14.45" hidden="1">
      <c r="E18" s="529" t="str">
        <f>Personel!F15</f>
        <v>Keyvan Yaghmai</v>
      </c>
      <c r="F18" s="529"/>
      <c r="G18" s="529"/>
      <c r="H18" s="529"/>
      <c r="I18" s="529" t="str">
        <f>Personel!F15</f>
        <v>Keyvan Yaghmai</v>
      </c>
      <c r="J18" s="529"/>
      <c r="K18" s="529"/>
      <c r="L18" s="529"/>
      <c r="M18" s="529" t="str">
        <f>Personel!F15</f>
        <v>Keyvan Yaghmai</v>
      </c>
      <c r="N18" s="529"/>
      <c r="O18" s="529"/>
      <c r="P18" s="529"/>
      <c r="Q18" s="529" t="str">
        <f>Personel!F15</f>
        <v>Keyvan Yaghmai</v>
      </c>
      <c r="R18" s="529"/>
      <c r="S18" s="529"/>
      <c r="T18" s="529"/>
      <c r="U18" s="529" t="str">
        <f>Personel!F15</f>
        <v>Keyvan Yaghmai</v>
      </c>
      <c r="V18" s="529"/>
      <c r="W18" s="529"/>
      <c r="X18" s="529"/>
    </row>
    <row r="19" spans="5:24" customFormat="1" ht="14.45" hidden="1">
      <c r="E19" s="529" t="str">
        <f>Personel!F16</f>
        <v>Ashley Blewett</v>
      </c>
      <c r="F19" s="529"/>
      <c r="G19" s="529"/>
      <c r="H19" s="529"/>
      <c r="I19" s="529" t="str">
        <f>Personel!F16</f>
        <v>Ashley Blewett</v>
      </c>
      <c r="J19" s="529"/>
      <c r="K19" s="529"/>
      <c r="L19" s="529"/>
      <c r="M19" s="529" t="str">
        <f>Personel!F16</f>
        <v>Ashley Blewett</v>
      </c>
      <c r="N19" s="529"/>
      <c r="O19" s="529"/>
      <c r="P19" s="529"/>
      <c r="Q19" s="529" t="str">
        <f>Personel!F16</f>
        <v>Ashley Blewett</v>
      </c>
      <c r="R19" s="529"/>
      <c r="S19" s="529"/>
      <c r="T19" s="529"/>
      <c r="U19" s="529" t="str">
        <f>Personel!F16</f>
        <v>Ashley Blewett</v>
      </c>
      <c r="V19" s="529"/>
      <c r="W19" s="529"/>
      <c r="X19" s="529"/>
    </row>
    <row r="20" spans="5:24" customFormat="1" ht="14.45" hidden="1">
      <c r="E20" s="529" t="str">
        <f>Personel!F17</f>
        <v>Mike Könst</v>
      </c>
      <c r="F20" s="529"/>
      <c r="G20" s="529"/>
      <c r="H20" s="529"/>
      <c r="I20" s="529" t="str">
        <f>Personel!F17</f>
        <v>Mike Könst</v>
      </c>
      <c r="J20" s="529"/>
      <c r="K20" s="529"/>
      <c r="L20" s="529"/>
      <c r="M20" s="529" t="str">
        <f>Personel!F17</f>
        <v>Mike Könst</v>
      </c>
      <c r="N20" s="529"/>
      <c r="O20" s="529"/>
      <c r="P20" s="529"/>
      <c r="Q20" s="529" t="str">
        <f>Personel!F17</f>
        <v>Mike Könst</v>
      </c>
      <c r="R20" s="529"/>
      <c r="S20" s="529"/>
      <c r="T20" s="529"/>
      <c r="U20" s="529" t="str">
        <f>Personel!F17</f>
        <v>Mike Könst</v>
      </c>
      <c r="V20" s="529"/>
      <c r="W20" s="529"/>
      <c r="X20" s="529"/>
    </row>
    <row r="21" spans="5:24" customFormat="1" ht="14.45" hidden="1">
      <c r="E21" s="529" t="str">
        <f>Personel!F18</f>
        <v>Fran Fernandez</v>
      </c>
      <c r="F21" s="529"/>
      <c r="G21" s="529"/>
      <c r="H21" s="529"/>
      <c r="I21" s="529" t="str">
        <f>Personel!F18</f>
        <v>Fran Fernandez</v>
      </c>
      <c r="J21" s="529"/>
      <c r="K21" s="529"/>
      <c r="L21" s="529"/>
      <c r="M21" s="529" t="str">
        <f>Personel!F18</f>
        <v>Fran Fernandez</v>
      </c>
      <c r="N21" s="529"/>
      <c r="O21" s="529"/>
      <c r="P21" s="529"/>
      <c r="Q21" s="529" t="str">
        <f>Personel!F18</f>
        <v>Fran Fernandez</v>
      </c>
      <c r="R21" s="529"/>
      <c r="S21" s="529"/>
      <c r="T21" s="529"/>
      <c r="U21" s="529" t="str">
        <f>Personel!F18</f>
        <v>Fran Fernandez</v>
      </c>
      <c r="V21" s="529"/>
      <c r="W21" s="529"/>
      <c r="X21" s="529"/>
    </row>
    <row r="22" spans="5:24" customFormat="1" ht="14.45" hidden="1">
      <c r="E22" s="529" t="str">
        <f>Personel!F19</f>
        <v>Atte Ahonen</v>
      </c>
      <c r="F22" s="529"/>
      <c r="G22" s="529"/>
      <c r="H22" s="529"/>
      <c r="I22" s="529" t="str">
        <f>Personel!F19</f>
        <v>Atte Ahonen</v>
      </c>
      <c r="J22" s="529"/>
      <c r="K22" s="529"/>
      <c r="L22" s="529"/>
      <c r="M22" s="529" t="str">
        <f>Personel!F19</f>
        <v>Atte Ahonen</v>
      </c>
      <c r="N22" s="529"/>
      <c r="O22" s="529"/>
      <c r="P22" s="529"/>
      <c r="Q22" s="529" t="str">
        <f>Personel!F19</f>
        <v>Atte Ahonen</v>
      </c>
      <c r="R22" s="529"/>
      <c r="S22" s="529"/>
      <c r="T22" s="529"/>
      <c r="U22" s="529" t="str">
        <f>Personel!F19</f>
        <v>Atte Ahonen</v>
      </c>
      <c r="V22" s="529"/>
      <c r="W22" s="529"/>
      <c r="X22" s="529"/>
    </row>
    <row r="23" spans="5:24" customFormat="1" ht="14.45" hidden="1">
      <c r="E23" s="529" t="str">
        <f>Personel!F20</f>
        <v>Paul Sicard</v>
      </c>
      <c r="F23" s="529"/>
      <c r="G23" s="529"/>
      <c r="H23" s="529"/>
      <c r="I23" s="529" t="str">
        <f>Personel!F20</f>
        <v>Paul Sicard</v>
      </c>
      <c r="J23" s="529"/>
      <c r="K23" s="529"/>
      <c r="L23" s="529"/>
      <c r="M23" s="529" t="str">
        <f>Personel!F20</f>
        <v>Paul Sicard</v>
      </c>
      <c r="N23" s="529"/>
      <c r="O23" s="529"/>
      <c r="P23" s="529"/>
      <c r="Q23" s="529" t="str">
        <f>Personel!F20</f>
        <v>Paul Sicard</v>
      </c>
      <c r="R23" s="529"/>
      <c r="S23" s="529"/>
      <c r="T23" s="529"/>
      <c r="U23" s="529" t="str">
        <f>Personel!F20</f>
        <v>Paul Sicard</v>
      </c>
      <c r="V23" s="529"/>
      <c r="W23" s="529"/>
      <c r="X23" s="529"/>
    </row>
    <row r="24" spans="5:24" customFormat="1" ht="14.45" hidden="1">
      <c r="E24" s="529" t="str">
        <f>Personel!F21</f>
        <v>Karel Bobisud</v>
      </c>
      <c r="F24" s="529"/>
      <c r="G24" s="529"/>
      <c r="H24" s="529"/>
      <c r="I24" s="529" t="str">
        <f>Personel!F21</f>
        <v>Karel Bobisud</v>
      </c>
      <c r="J24" s="529"/>
      <c r="K24" s="529"/>
      <c r="L24" s="529"/>
      <c r="M24" s="529" t="str">
        <f>Personel!F21</f>
        <v>Karel Bobisud</v>
      </c>
      <c r="N24" s="529"/>
      <c r="O24" s="529"/>
      <c r="P24" s="529"/>
      <c r="Q24" s="529" t="str">
        <f>Personel!F21</f>
        <v>Karel Bobisud</v>
      </c>
      <c r="R24" s="529"/>
      <c r="S24" s="529"/>
      <c r="T24" s="529"/>
      <c r="U24" s="529" t="str">
        <f>Personel!F21</f>
        <v>Karel Bobisud</v>
      </c>
      <c r="V24" s="529"/>
      <c r="W24" s="529"/>
      <c r="X24" s="529"/>
    </row>
    <row r="25" spans="5:24" customFormat="1" ht="14.45" hidden="1">
      <c r="E25" s="529" t="str">
        <f>Personel!F22</f>
        <v>Nick Toetenel</v>
      </c>
      <c r="F25" s="529"/>
      <c r="G25" s="529"/>
      <c r="H25" s="529"/>
      <c r="I25" s="529" t="str">
        <f>Personel!F22</f>
        <v>Nick Toetenel</v>
      </c>
      <c r="J25" s="529"/>
      <c r="K25" s="529"/>
      <c r="L25" s="529"/>
      <c r="M25" s="529" t="str">
        <f>Personel!F22</f>
        <v>Nick Toetenel</v>
      </c>
      <c r="N25" s="529"/>
      <c r="O25" s="529"/>
      <c r="P25" s="529"/>
      <c r="Q25" s="529" t="str">
        <f>Personel!F22</f>
        <v>Nick Toetenel</v>
      </c>
      <c r="R25" s="529"/>
      <c r="S25" s="529"/>
      <c r="T25" s="529"/>
      <c r="U25" s="529" t="str">
        <f>Personel!F22</f>
        <v>Nick Toetenel</v>
      </c>
      <c r="V25" s="529"/>
      <c r="W25" s="529"/>
      <c r="X25" s="529"/>
    </row>
    <row r="26" spans="5:24" customFormat="1" ht="14.45" hidden="1">
      <c r="E26" s="529" t="str">
        <f>Personel!F23</f>
        <v>Roberto Quintas Alvarez</v>
      </c>
      <c r="F26" s="529"/>
      <c r="G26" s="529"/>
      <c r="H26" s="529"/>
      <c r="I26" s="529" t="str">
        <f>Personel!F23</f>
        <v>Roberto Quintas Alvarez</v>
      </c>
      <c r="J26" s="529"/>
      <c r="K26" s="529"/>
      <c r="L26" s="529"/>
      <c r="M26" s="529" t="str">
        <f>Personel!F23</f>
        <v>Roberto Quintas Alvarez</v>
      </c>
      <c r="N26" s="529"/>
      <c r="O26" s="529"/>
      <c r="P26" s="529"/>
      <c r="Q26" s="529" t="str">
        <f>Personel!F23</f>
        <v>Roberto Quintas Alvarez</v>
      </c>
      <c r="R26" s="529"/>
      <c r="S26" s="529"/>
      <c r="T26" s="529"/>
      <c r="U26" s="529" t="str">
        <f>Personel!F23</f>
        <v>Roberto Quintas Alvarez</v>
      </c>
      <c r="V26" s="529"/>
      <c r="W26" s="529"/>
      <c r="X26" s="529"/>
    </row>
    <row r="27" spans="5:24" customFormat="1" ht="14.45" hidden="1">
      <c r="E27" s="529" t="str">
        <f>Personel!F24</f>
        <v>Ties Verrijt</v>
      </c>
      <c r="F27" s="529"/>
      <c r="G27" s="529"/>
      <c r="H27" s="529"/>
      <c r="I27" s="529" t="str">
        <f>Personel!F24</f>
        <v>Ties Verrijt</v>
      </c>
      <c r="J27" s="529"/>
      <c r="K27" s="529"/>
      <c r="L27" s="529"/>
      <c r="M27" s="529" t="str">
        <f>Personel!F24</f>
        <v>Ties Verrijt</v>
      </c>
      <c r="N27" s="529"/>
      <c r="O27" s="529"/>
      <c r="P27" s="529"/>
      <c r="Q27" s="529" t="str">
        <f>Personel!F24</f>
        <v>Ties Verrijt</v>
      </c>
      <c r="R27" s="529"/>
      <c r="S27" s="529"/>
      <c r="T27" s="529"/>
      <c r="U27" s="529" t="str">
        <f>Personel!F24</f>
        <v>Ties Verrijt</v>
      </c>
      <c r="V27" s="529"/>
      <c r="W27" s="529"/>
      <c r="X27" s="529"/>
    </row>
    <row r="28" spans="5:24" customFormat="1" ht="14.45" hidden="1">
      <c r="E28" s="529" t="str">
        <f>Personel!F25</f>
        <v>Niek van der Weijden</v>
      </c>
      <c r="F28" s="529"/>
      <c r="G28" s="529"/>
      <c r="H28" s="529"/>
      <c r="I28" s="529" t="str">
        <f>Personel!F25</f>
        <v>Niek van der Weijden</v>
      </c>
      <c r="J28" s="529"/>
      <c r="K28" s="529"/>
      <c r="L28" s="529"/>
      <c r="M28" s="529" t="str">
        <f>Personel!F25</f>
        <v>Niek van der Weijden</v>
      </c>
      <c r="N28" s="529"/>
      <c r="O28" s="529"/>
      <c r="P28" s="529"/>
      <c r="Q28" s="529" t="str">
        <f>Personel!F25</f>
        <v>Niek van der Weijden</v>
      </c>
      <c r="R28" s="529"/>
      <c r="S28" s="529"/>
      <c r="T28" s="529"/>
      <c r="U28" s="529" t="str">
        <f>Personel!F25</f>
        <v>Niek van der Weijden</v>
      </c>
      <c r="V28" s="529"/>
      <c r="W28" s="529"/>
      <c r="X28" s="529"/>
    </row>
    <row r="29" spans="5:24" customFormat="1" ht="14.45" hidden="1">
      <c r="E29" s="529" t="str">
        <f>Personel!F26</f>
        <v>Javier Davila Bello</v>
      </c>
      <c r="F29" s="529"/>
      <c r="G29" s="529"/>
      <c r="H29" s="529"/>
      <c r="I29" s="529" t="str">
        <f>Personel!F26</f>
        <v>Javier Davila Bello</v>
      </c>
      <c r="J29" s="529"/>
      <c r="K29" s="529"/>
      <c r="L29" s="529"/>
      <c r="M29" s="529" t="str">
        <f>Personel!F26</f>
        <v>Javier Davila Bello</v>
      </c>
      <c r="N29" s="529"/>
      <c r="O29" s="529"/>
      <c r="P29" s="529"/>
      <c r="Q29" s="529" t="str">
        <f>Personel!F26</f>
        <v>Javier Davila Bello</v>
      </c>
      <c r="R29" s="529"/>
      <c r="S29" s="529"/>
      <c r="T29" s="529"/>
      <c r="U29" s="529" t="str">
        <f>Personel!F26</f>
        <v>Javier Davila Bello</v>
      </c>
      <c r="V29" s="529"/>
      <c r="W29" s="529"/>
      <c r="X29" s="529"/>
    </row>
    <row r="30" spans="5:24" customFormat="1" ht="14.45" hidden="1">
      <c r="E30" s="529" t="str">
        <f>Personel!F27</f>
        <v>Patrik Larsson</v>
      </c>
      <c r="F30" s="529"/>
      <c r="G30" s="529"/>
      <c r="H30" s="529"/>
      <c r="I30" s="529" t="str">
        <f>Personel!F27</f>
        <v>Patrik Larsson</v>
      </c>
      <c r="J30" s="529"/>
      <c r="K30" s="529"/>
      <c r="L30" s="529"/>
      <c r="M30" s="529" t="str">
        <f>Personel!F27</f>
        <v>Patrik Larsson</v>
      </c>
      <c r="N30" s="529"/>
      <c r="O30" s="529"/>
      <c r="P30" s="529"/>
      <c r="Q30" s="529" t="str">
        <f>Personel!F27</f>
        <v>Patrik Larsson</v>
      </c>
      <c r="R30" s="529"/>
      <c r="S30" s="529"/>
      <c r="T30" s="529"/>
      <c r="U30" s="529" t="str">
        <f>Personel!F27</f>
        <v>Patrik Larsson</v>
      </c>
      <c r="V30" s="529"/>
      <c r="W30" s="529"/>
      <c r="X30" s="529"/>
    </row>
    <row r="31" spans="5:24" customFormat="1" ht="14.45" hidden="1">
      <c r="E31" s="529" t="str">
        <f>Personel!F28</f>
        <v>Tomas Kohler</v>
      </c>
      <c r="F31" s="529"/>
      <c r="G31" s="529"/>
      <c r="H31" s="529"/>
      <c r="I31" s="529" t="str">
        <f>Personel!F28</f>
        <v>Tomas Kohler</v>
      </c>
      <c r="J31" s="529"/>
      <c r="K31" s="529"/>
      <c r="L31" s="529"/>
      <c r="M31" s="529" t="str">
        <f>Personel!F28</f>
        <v>Tomas Kohler</v>
      </c>
      <c r="N31" s="529"/>
      <c r="O31" s="529"/>
      <c r="P31" s="529"/>
      <c r="Q31" s="529" t="str">
        <f>Personel!F28</f>
        <v>Tomas Kohler</v>
      </c>
      <c r="R31" s="529"/>
      <c r="S31" s="529"/>
      <c r="T31" s="529"/>
      <c r="U31" s="529" t="str">
        <f>Personel!F28</f>
        <v>Tomas Kohler</v>
      </c>
      <c r="V31" s="529"/>
      <c r="W31" s="529"/>
      <c r="X31" s="529"/>
    </row>
    <row r="32" spans="5:24" customFormat="1" ht="14.45" hidden="1">
      <c r="E32" s="529" t="str">
        <f>Personel!F29</f>
        <v>Oscar Torla Centelles</v>
      </c>
      <c r="F32" s="529"/>
      <c r="G32" s="529"/>
      <c r="H32" s="529"/>
      <c r="I32" s="529" t="str">
        <f>Personel!F29</f>
        <v>Oscar Torla Centelles</v>
      </c>
      <c r="J32" s="529"/>
      <c r="K32" s="529"/>
      <c r="L32" s="529"/>
      <c r="M32" s="529" t="str">
        <f>Personel!F29</f>
        <v>Oscar Torla Centelles</v>
      </c>
      <c r="N32" s="529"/>
      <c r="O32" s="529"/>
      <c r="P32" s="529"/>
      <c r="Q32" s="529" t="str">
        <f>Personel!F29</f>
        <v>Oscar Torla Centelles</v>
      </c>
      <c r="R32" s="529"/>
      <c r="S32" s="529"/>
      <c r="T32" s="529"/>
      <c r="U32" s="529" t="str">
        <f>Personel!F29</f>
        <v>Oscar Torla Centelles</v>
      </c>
      <c r="V32" s="529"/>
      <c r="W32" s="529"/>
      <c r="X32" s="529"/>
    </row>
    <row r="33" spans="5:24" customFormat="1" ht="14.45" hidden="1">
      <c r="E33" s="529" t="str">
        <f>Personel!F30</f>
        <v>Marc Giannone</v>
      </c>
      <c r="F33" s="529"/>
      <c r="G33" s="529"/>
      <c r="H33" s="529"/>
      <c r="I33" s="529" t="str">
        <f>Personel!F30</f>
        <v>Marc Giannone</v>
      </c>
      <c r="J33" s="529"/>
      <c r="K33" s="529"/>
      <c r="L33" s="529"/>
      <c r="M33" s="529" t="str">
        <f>Personel!F30</f>
        <v>Marc Giannone</v>
      </c>
      <c r="N33" s="529"/>
      <c r="O33" s="529"/>
      <c r="P33" s="529"/>
      <c r="Q33" s="529" t="str">
        <f>Personel!F30</f>
        <v>Marc Giannone</v>
      </c>
      <c r="R33" s="529"/>
      <c r="S33" s="529"/>
      <c r="T33" s="529"/>
      <c r="U33" s="529" t="str">
        <f>Personel!F30</f>
        <v>Marc Giannone</v>
      </c>
      <c r="V33" s="529"/>
      <c r="W33" s="529"/>
      <c r="X33" s="529"/>
    </row>
    <row r="34" spans="5:24" customFormat="1" ht="14.45" hidden="1">
      <c r="E34" s="529" t="str">
        <f>Personel!F31</f>
        <v>Damian Besselsen</v>
      </c>
      <c r="F34" s="529"/>
      <c r="G34" s="529"/>
      <c r="H34" s="529"/>
      <c r="I34" s="529" t="str">
        <f>Personel!F31</f>
        <v>Damian Besselsen</v>
      </c>
      <c r="J34" s="529"/>
      <c r="K34" s="529"/>
      <c r="L34" s="529"/>
      <c r="M34" s="529" t="str">
        <f>Personel!F31</f>
        <v>Damian Besselsen</v>
      </c>
      <c r="N34" s="529"/>
      <c r="O34" s="529"/>
      <c r="P34" s="529"/>
      <c r="Q34" s="529" t="str">
        <f>Personel!F31</f>
        <v>Damian Besselsen</v>
      </c>
      <c r="R34" s="529"/>
      <c r="S34" s="529"/>
      <c r="T34" s="529"/>
      <c r="U34" s="529" t="str">
        <f>Personel!F31</f>
        <v>Damian Besselsen</v>
      </c>
      <c r="V34" s="529"/>
      <c r="W34" s="529"/>
      <c r="X34" s="529"/>
    </row>
    <row r="35" spans="5:24" customFormat="1" ht="14.45" hidden="1">
      <c r="E35" s="529" t="str">
        <f>Personel!F32</f>
        <v>Jessica Rona</v>
      </c>
      <c r="F35" s="529"/>
      <c r="G35" s="529"/>
      <c r="H35" s="529"/>
      <c r="I35" s="529" t="str">
        <f>Personel!F32</f>
        <v>Jessica Rona</v>
      </c>
      <c r="J35" s="529"/>
      <c r="K35" s="529"/>
      <c r="L35" s="529"/>
      <c r="M35" s="529" t="str">
        <f>Personel!F32</f>
        <v>Jessica Rona</v>
      </c>
      <c r="N35" s="529"/>
      <c r="O35" s="529"/>
      <c r="P35" s="529"/>
      <c r="Q35" s="529" t="str">
        <f>Personel!F32</f>
        <v>Jessica Rona</v>
      </c>
      <c r="R35" s="529"/>
      <c r="S35" s="529"/>
      <c r="T35" s="529"/>
      <c r="U35" s="529" t="str">
        <f>Personel!F32</f>
        <v>Jessica Rona</v>
      </c>
      <c r="V35" s="529"/>
      <c r="W35" s="529"/>
      <c r="X35" s="529"/>
    </row>
    <row r="36" spans="5:24" customFormat="1" ht="14.45" hidden="1">
      <c r="E36" s="529" t="str">
        <f>Personel!F33</f>
        <v>Klaudija Jakaj</v>
      </c>
      <c r="F36" s="529"/>
      <c r="G36" s="529"/>
      <c r="H36" s="529"/>
      <c r="I36" s="529" t="str">
        <f>Personel!F33</f>
        <v>Klaudija Jakaj</v>
      </c>
      <c r="J36" s="529"/>
      <c r="K36" s="529"/>
      <c r="L36" s="529"/>
      <c r="M36" s="529" t="str">
        <f>Personel!F33</f>
        <v>Klaudija Jakaj</v>
      </c>
      <c r="N36" s="529"/>
      <c r="O36" s="529"/>
      <c r="P36" s="529"/>
      <c r="Q36" s="529" t="str">
        <f>Personel!F33</f>
        <v>Klaudija Jakaj</v>
      </c>
      <c r="R36" s="529"/>
      <c r="S36" s="529"/>
      <c r="T36" s="529"/>
      <c r="U36" s="529" t="str">
        <f>Personel!F33</f>
        <v>Klaudija Jakaj</v>
      </c>
      <c r="V36" s="529"/>
      <c r="W36" s="529"/>
      <c r="X36" s="529"/>
    </row>
    <row r="37" spans="5:24" customFormat="1" ht="14.45" hidden="1">
      <c r="E37" s="529" t="str">
        <f>Personel!F34</f>
        <v>Keiran Breaden Boyce</v>
      </c>
      <c r="F37" s="529"/>
      <c r="G37" s="529"/>
      <c r="H37" s="529"/>
      <c r="I37" s="529" t="str">
        <f>Personel!F34</f>
        <v>Keiran Breaden Boyce</v>
      </c>
      <c r="J37" s="529"/>
      <c r="K37" s="529"/>
      <c r="L37" s="529"/>
      <c r="M37" s="529" t="str">
        <f>Personel!F34</f>
        <v>Keiran Breaden Boyce</v>
      </c>
      <c r="N37" s="529"/>
      <c r="O37" s="529"/>
      <c r="P37" s="529"/>
      <c r="Q37" s="529" t="str">
        <f>Personel!F34</f>
        <v>Keiran Breaden Boyce</v>
      </c>
      <c r="R37" s="529"/>
      <c r="S37" s="529"/>
      <c r="T37" s="529"/>
      <c r="U37" s="529" t="str">
        <f>Personel!F34</f>
        <v>Keiran Breaden Boyce</v>
      </c>
      <c r="V37" s="529"/>
      <c r="W37" s="529"/>
      <c r="X37" s="529"/>
    </row>
    <row r="38" spans="5:24" customFormat="1" ht="14.45" hidden="1">
      <c r="E38" s="529">
        <f>Personel!F35</f>
        <v>0</v>
      </c>
      <c r="F38" s="529"/>
      <c r="G38" s="529"/>
      <c r="H38" s="529"/>
      <c r="I38" s="529">
        <f>Personel!F35</f>
        <v>0</v>
      </c>
      <c r="J38" s="529"/>
      <c r="K38" s="529"/>
      <c r="L38" s="529"/>
      <c r="M38" s="529">
        <f>Personel!F35</f>
        <v>0</v>
      </c>
      <c r="N38" s="529"/>
      <c r="O38" s="529"/>
      <c r="P38" s="529"/>
      <c r="Q38" s="529">
        <f>Personel!F35</f>
        <v>0</v>
      </c>
      <c r="R38" s="529"/>
      <c r="S38" s="529"/>
      <c r="T38" s="529"/>
      <c r="U38" s="529">
        <f>Personel!F35</f>
        <v>0</v>
      </c>
      <c r="V38" s="529"/>
      <c r="W38" s="529"/>
      <c r="X38" s="529"/>
    </row>
    <row r="39" spans="5:24" customFormat="1" ht="14.45" hidden="1">
      <c r="E39" s="529" t="str">
        <f>Personel!F36</f>
        <v>Francisco Freitas</v>
      </c>
      <c r="F39" s="529"/>
      <c r="G39" s="529"/>
      <c r="H39" s="529"/>
      <c r="I39" s="529" t="str">
        <f>Personel!F36</f>
        <v>Francisco Freitas</v>
      </c>
      <c r="J39" s="529"/>
      <c r="K39" s="529"/>
      <c r="L39" s="529"/>
      <c r="M39" s="529" t="str">
        <f>Personel!F36</f>
        <v>Francisco Freitas</v>
      </c>
      <c r="N39" s="529"/>
      <c r="O39" s="529"/>
      <c r="P39" s="529"/>
      <c r="Q39" s="529" t="str">
        <f>Personel!F36</f>
        <v>Francisco Freitas</v>
      </c>
      <c r="R39" s="529"/>
      <c r="S39" s="529"/>
      <c r="T39" s="529"/>
      <c r="U39" s="529" t="str">
        <f>Personel!F36</f>
        <v>Francisco Freitas</v>
      </c>
      <c r="V39" s="529"/>
      <c r="W39" s="529"/>
      <c r="X39" s="529"/>
    </row>
    <row r="40" spans="5:24" customFormat="1" ht="14.45" hidden="1">
      <c r="E40" s="529" t="str">
        <f>Personel!F37</f>
        <v>Brad Joyce</v>
      </c>
      <c r="F40" s="529"/>
      <c r="G40" s="529"/>
      <c r="H40" s="529"/>
      <c r="I40" s="529" t="str">
        <f>Personel!F37</f>
        <v>Brad Joyce</v>
      </c>
      <c r="J40" s="529"/>
      <c r="K40" s="529"/>
      <c r="L40" s="529"/>
      <c r="M40" s="529" t="str">
        <f>Personel!F37</f>
        <v>Brad Joyce</v>
      </c>
      <c r="N40" s="529"/>
      <c r="O40" s="529"/>
      <c r="P40" s="529"/>
      <c r="Q40" s="529" t="str">
        <f>Personel!F37</f>
        <v>Brad Joyce</v>
      </c>
      <c r="R40" s="529"/>
      <c r="S40" s="529"/>
      <c r="T40" s="529"/>
      <c r="U40" s="529" t="str">
        <f>Personel!F37</f>
        <v>Brad Joyce</v>
      </c>
      <c r="V40" s="529"/>
      <c r="W40" s="529"/>
      <c r="X40" s="529"/>
    </row>
    <row r="41" spans="5:24" customFormat="1" ht="14.45" hidden="1">
      <c r="E41" s="529" t="str">
        <f>Personel!F38</f>
        <v>Anneleen Walch</v>
      </c>
      <c r="F41" s="529"/>
      <c r="G41" s="529"/>
      <c r="H41" s="529"/>
      <c r="I41" s="529" t="str">
        <f>Personel!F38</f>
        <v>Anneleen Walch</v>
      </c>
      <c r="J41" s="529"/>
      <c r="K41" s="529"/>
      <c r="L41" s="529"/>
      <c r="M41" s="529" t="str">
        <f>Personel!F38</f>
        <v>Anneleen Walch</v>
      </c>
      <c r="N41" s="529"/>
      <c r="O41" s="529"/>
      <c r="P41" s="529"/>
      <c r="Q41" s="529" t="str">
        <f>Personel!F38</f>
        <v>Anneleen Walch</v>
      </c>
      <c r="R41" s="529"/>
      <c r="S41" s="529"/>
      <c r="T41" s="529"/>
      <c r="U41" s="529" t="str">
        <f>Personel!F38</f>
        <v>Anneleen Walch</v>
      </c>
      <c r="V41" s="529"/>
      <c r="W41" s="529"/>
      <c r="X41" s="529"/>
    </row>
    <row r="42" spans="5:24" customFormat="1" ht="14.45" hidden="1">
      <c r="E42" s="529">
        <f>Personel!F39</f>
        <v>0</v>
      </c>
      <c r="F42" s="529"/>
      <c r="G42" s="529"/>
      <c r="H42" s="529"/>
      <c r="I42" s="529">
        <f>Personel!F39</f>
        <v>0</v>
      </c>
      <c r="J42" s="529"/>
      <c r="K42" s="529"/>
      <c r="L42" s="529"/>
      <c r="M42" s="529">
        <f>Personel!F39</f>
        <v>0</v>
      </c>
      <c r="N42" s="529"/>
      <c r="O42" s="529"/>
      <c r="P42" s="529"/>
      <c r="Q42" s="529">
        <f>Personel!F39</f>
        <v>0</v>
      </c>
      <c r="R42" s="529"/>
      <c r="S42" s="529"/>
      <c r="T42" s="529"/>
      <c r="U42" s="529">
        <f>Personel!F39</f>
        <v>0</v>
      </c>
      <c r="V42" s="529"/>
      <c r="W42" s="529"/>
      <c r="X42" s="529"/>
    </row>
    <row r="43" spans="5:24" customFormat="1" ht="14.45" hidden="1">
      <c r="E43" s="529" t="str">
        <f>Personel!F40</f>
        <v>Amber Kouwen</v>
      </c>
      <c r="F43" s="529"/>
      <c r="G43" s="529"/>
      <c r="H43" s="529"/>
      <c r="I43" s="529" t="str">
        <f>Personel!F40</f>
        <v>Amber Kouwen</v>
      </c>
      <c r="J43" s="529"/>
      <c r="K43" s="529"/>
      <c r="L43" s="529"/>
      <c r="M43" s="529" t="str">
        <f>Personel!F40</f>
        <v>Amber Kouwen</v>
      </c>
      <c r="N43" s="529"/>
      <c r="O43" s="529"/>
      <c r="P43" s="529"/>
      <c r="Q43" s="529" t="str">
        <f>Personel!F40</f>
        <v>Amber Kouwen</v>
      </c>
      <c r="R43" s="529"/>
      <c r="S43" s="529"/>
      <c r="T43" s="529"/>
      <c r="U43" s="529" t="str">
        <f>Personel!F40</f>
        <v>Amber Kouwen</v>
      </c>
      <c r="V43" s="529"/>
      <c r="W43" s="529"/>
      <c r="X43" s="529"/>
    </row>
    <row r="44" spans="5:24" customFormat="1" ht="14.45" hidden="1">
      <c r="E44" s="529" t="str">
        <f>Personel!F41</f>
        <v>Robin van den Berg</v>
      </c>
      <c r="F44" s="529"/>
      <c r="G44" s="529"/>
      <c r="H44" s="529"/>
      <c r="I44" s="529" t="str">
        <f>Personel!F41</f>
        <v>Robin van den Berg</v>
      </c>
      <c r="J44" s="529"/>
      <c r="K44" s="529"/>
      <c r="L44" s="529"/>
      <c r="M44" s="529" t="str">
        <f>Personel!F41</f>
        <v>Robin van den Berg</v>
      </c>
      <c r="N44" s="529"/>
      <c r="O44" s="529"/>
      <c r="P44" s="529"/>
      <c r="Q44" s="529" t="str">
        <f>Personel!F41</f>
        <v>Robin van den Berg</v>
      </c>
      <c r="R44" s="529"/>
      <c r="S44" s="529"/>
      <c r="T44" s="529"/>
      <c r="U44" s="529" t="str">
        <f>Personel!F41</f>
        <v>Robin van den Berg</v>
      </c>
      <c r="V44" s="529"/>
      <c r="W44" s="529"/>
      <c r="X44" s="529"/>
    </row>
    <row r="45" spans="5:24" customFormat="1" ht="14.45" hidden="1">
      <c r="E45" s="529" t="str">
        <f>Personel!F42</f>
        <v>Pieter Belmans</v>
      </c>
      <c r="F45" s="529"/>
      <c r="G45" s="529"/>
      <c r="H45" s="529"/>
      <c r="I45" s="529" t="str">
        <f>Personel!F42</f>
        <v>Pieter Belmans</v>
      </c>
      <c r="J45" s="529"/>
      <c r="K45" s="529"/>
      <c r="L45" s="529"/>
      <c r="M45" s="529" t="str">
        <f>Personel!F42</f>
        <v>Pieter Belmans</v>
      </c>
      <c r="N45" s="529"/>
      <c r="O45" s="529"/>
      <c r="P45" s="529"/>
      <c r="Q45" s="529" t="str">
        <f>Personel!F42</f>
        <v>Pieter Belmans</v>
      </c>
      <c r="R45" s="529"/>
      <c r="S45" s="529"/>
      <c r="T45" s="529"/>
      <c r="U45" s="529" t="str">
        <f>Personel!F42</f>
        <v>Pieter Belmans</v>
      </c>
      <c r="V45" s="529"/>
      <c r="W45" s="529"/>
      <c r="X45" s="529"/>
    </row>
    <row r="46" spans="5:24" customFormat="1" ht="14.45" hidden="1">
      <c r="E46" s="529" t="str">
        <f>Personel!F43</f>
        <v>Tom Claessen</v>
      </c>
      <c r="F46" s="529"/>
      <c r="G46" s="529"/>
      <c r="H46" s="529"/>
      <c r="I46" s="529" t="str">
        <f>Personel!F43</f>
        <v>Tom Claessen</v>
      </c>
      <c r="J46" s="529"/>
      <c r="K46" s="529"/>
      <c r="L46" s="529"/>
      <c r="M46" s="529" t="str">
        <f>Personel!F43</f>
        <v>Tom Claessen</v>
      </c>
      <c r="N46" s="529"/>
      <c r="O46" s="529"/>
      <c r="P46" s="529"/>
      <c r="Q46" s="529" t="str">
        <f>Personel!F43</f>
        <v>Tom Claessen</v>
      </c>
      <c r="R46" s="529"/>
      <c r="S46" s="529"/>
      <c r="T46" s="529"/>
      <c r="U46" s="529" t="str">
        <f>Personel!F43</f>
        <v>Tom Claessen</v>
      </c>
      <c r="V46" s="529"/>
      <c r="W46" s="529"/>
      <c r="X46" s="529"/>
    </row>
    <row r="47" spans="5:24" customFormat="1" ht="14.45" hidden="1">
      <c r="E47" s="529">
        <f>Personel!F44</f>
        <v>0</v>
      </c>
      <c r="F47" s="529"/>
      <c r="G47" s="529"/>
      <c r="H47" s="529"/>
      <c r="I47" s="529">
        <f>Personel!F44</f>
        <v>0</v>
      </c>
      <c r="J47" s="529"/>
      <c r="K47" s="529"/>
      <c r="L47" s="529"/>
      <c r="M47" s="529">
        <f>Personel!F44</f>
        <v>0</v>
      </c>
      <c r="N47" s="529"/>
      <c r="O47" s="529"/>
      <c r="P47" s="529"/>
      <c r="Q47" s="529">
        <f>Personel!F44</f>
        <v>0</v>
      </c>
      <c r="R47" s="529"/>
      <c r="S47" s="529"/>
      <c r="T47" s="529"/>
      <c r="U47" s="529">
        <f>Personel!F44</f>
        <v>0</v>
      </c>
      <c r="V47" s="529"/>
      <c r="W47" s="529"/>
      <c r="X47" s="529"/>
    </row>
    <row r="48" spans="5:24" customFormat="1" ht="14.45" hidden="1">
      <c r="E48" s="529" t="str">
        <f>Personel!F45</f>
        <v>Jose Balbiani</v>
      </c>
      <c r="F48" s="529"/>
      <c r="G48" s="529"/>
      <c r="H48" s="529"/>
      <c r="I48" s="529" t="str">
        <f>Personel!F45</f>
        <v>Jose Balbiani</v>
      </c>
      <c r="J48" s="529"/>
      <c r="K48" s="529"/>
      <c r="L48" s="529"/>
      <c r="M48" s="529" t="str">
        <f>Personel!F45</f>
        <v>Jose Balbiani</v>
      </c>
      <c r="N48" s="529"/>
      <c r="O48" s="529"/>
      <c r="P48" s="529"/>
      <c r="Q48" s="529" t="str">
        <f>Personel!F45</f>
        <v>Jose Balbiani</v>
      </c>
      <c r="R48" s="529"/>
      <c r="S48" s="529"/>
      <c r="T48" s="529"/>
      <c r="U48" s="529" t="str">
        <f>Personel!F45</f>
        <v>Jose Balbiani</v>
      </c>
      <c r="V48" s="529"/>
      <c r="W48" s="529"/>
      <c r="X48" s="529"/>
    </row>
    <row r="49" spans="5:24" customFormat="1" ht="14.45" hidden="1">
      <c r="E49" s="529" t="str">
        <f>Personel!F46</f>
        <v>Martin Varrone</v>
      </c>
      <c r="F49" s="529"/>
      <c r="G49" s="529"/>
      <c r="H49" s="529"/>
      <c r="I49" s="529" t="str">
        <f>Personel!F46</f>
        <v>Martin Varrone</v>
      </c>
      <c r="J49" s="529"/>
      <c r="K49" s="529"/>
      <c r="L49" s="529"/>
      <c r="M49" s="529" t="str">
        <f>Personel!F46</f>
        <v>Martin Varrone</v>
      </c>
      <c r="N49" s="529"/>
      <c r="O49" s="529"/>
      <c r="P49" s="529"/>
      <c r="Q49" s="529" t="str">
        <f>Personel!F46</f>
        <v>Martin Varrone</v>
      </c>
      <c r="R49" s="529"/>
      <c r="S49" s="529"/>
      <c r="T49" s="529"/>
      <c r="U49" s="529" t="str">
        <f>Personel!F46</f>
        <v>Martin Varrone</v>
      </c>
      <c r="V49" s="529"/>
      <c r="W49" s="529"/>
      <c r="X49" s="529"/>
    </row>
    <row r="50" spans="5:24" customFormat="1" ht="14.45" hidden="1">
      <c r="E50" s="529" t="str">
        <f>Personel!F47</f>
        <v/>
      </c>
      <c r="F50" s="529"/>
      <c r="G50" s="529"/>
      <c r="H50" s="529"/>
      <c r="I50" s="529" t="str">
        <f>Personel!F47</f>
        <v/>
      </c>
      <c r="J50" s="529"/>
      <c r="K50" s="529"/>
      <c r="L50" s="529"/>
      <c r="M50" s="529" t="str">
        <f>Personel!F47</f>
        <v/>
      </c>
      <c r="N50" s="529"/>
      <c r="O50" s="529"/>
      <c r="P50" s="529"/>
      <c r="Q50" s="529" t="str">
        <f>Personel!F47</f>
        <v/>
      </c>
      <c r="R50" s="529"/>
      <c r="S50" s="529"/>
      <c r="T50" s="529"/>
      <c r="U50" s="529" t="str">
        <f>Personel!F47</f>
        <v/>
      </c>
      <c r="V50" s="529"/>
      <c r="W50" s="529"/>
      <c r="X50" s="529"/>
    </row>
    <row r="51" spans="5:24" customFormat="1" ht="14.45" hidden="1">
      <c r="E51" s="529" t="str">
        <f>Personel!F48</f>
        <v/>
      </c>
      <c r="F51" s="529"/>
      <c r="G51" s="529"/>
      <c r="H51" s="529"/>
      <c r="I51" s="529" t="str">
        <f>Personel!F48</f>
        <v/>
      </c>
      <c r="J51" s="529"/>
      <c r="K51" s="529"/>
      <c r="L51" s="529"/>
      <c r="M51" s="529" t="str">
        <f>Personel!F48</f>
        <v/>
      </c>
      <c r="N51" s="529"/>
      <c r="O51" s="529"/>
      <c r="P51" s="529"/>
      <c r="Q51" s="529" t="str">
        <f>Personel!F48</f>
        <v/>
      </c>
      <c r="R51" s="529"/>
      <c r="S51" s="529"/>
      <c r="T51" s="529"/>
      <c r="U51" s="529" t="str">
        <f>Personel!F48</f>
        <v/>
      </c>
      <c r="V51" s="529"/>
      <c r="W51" s="529"/>
      <c r="X51" s="529"/>
    </row>
    <row r="52" spans="5:24" customFormat="1" ht="14.45" hidden="1">
      <c r="E52" s="529">
        <f>Personel!F49</f>
        <v>0</v>
      </c>
      <c r="F52" s="529"/>
      <c r="G52" s="529"/>
      <c r="H52" s="529"/>
      <c r="I52" s="529">
        <f>Personel!F49</f>
        <v>0</v>
      </c>
      <c r="J52" s="529"/>
      <c r="K52" s="529"/>
      <c r="L52" s="529"/>
      <c r="M52" s="529">
        <f>Personel!F49</f>
        <v>0</v>
      </c>
      <c r="N52" s="529"/>
      <c r="O52" s="529"/>
      <c r="P52" s="529"/>
      <c r="Q52" s="529">
        <f>Personel!F49</f>
        <v>0</v>
      </c>
      <c r="R52" s="529"/>
      <c r="S52" s="529"/>
      <c r="T52" s="529"/>
      <c r="U52" s="529">
        <f>Personel!F49</f>
        <v>0</v>
      </c>
      <c r="V52" s="529"/>
      <c r="W52" s="529"/>
      <c r="X52" s="529"/>
    </row>
    <row r="53" spans="5:24" customFormat="1" ht="14.45" hidden="1">
      <c r="E53" s="529" t="str">
        <f>Personel!F50</f>
        <v>Robin van den Berg</v>
      </c>
      <c r="F53" s="529"/>
      <c r="G53" s="529"/>
      <c r="H53" s="529"/>
      <c r="I53" s="529" t="str">
        <f>Personel!F50</f>
        <v>Robin van den Berg</v>
      </c>
      <c r="J53" s="529"/>
      <c r="K53" s="529"/>
      <c r="L53" s="529"/>
      <c r="M53" s="529" t="str">
        <f>Personel!F50</f>
        <v>Robin van den Berg</v>
      </c>
      <c r="N53" s="529"/>
      <c r="O53" s="529"/>
      <c r="P53" s="529"/>
      <c r="Q53" s="529" t="str">
        <f>Personel!F50</f>
        <v>Robin van den Berg</v>
      </c>
      <c r="R53" s="529"/>
      <c r="S53" s="529"/>
      <c r="T53" s="529"/>
      <c r="U53" s="529" t="str">
        <f>Personel!F50</f>
        <v>Robin van den Berg</v>
      </c>
      <c r="V53" s="529"/>
      <c r="W53" s="529"/>
      <c r="X53" s="529"/>
    </row>
    <row r="54" spans="5:24" customFormat="1" ht="14.45" hidden="1">
      <c r="E54" s="529" t="str">
        <f>Personel!F51</f>
        <v>TBC</v>
      </c>
      <c r="F54" s="529"/>
      <c r="G54" s="529"/>
      <c r="H54" s="529"/>
      <c r="I54" s="529" t="str">
        <f>Personel!F51</f>
        <v>TBC</v>
      </c>
      <c r="J54" s="529"/>
      <c r="K54" s="529"/>
      <c r="L54" s="529"/>
      <c r="M54" s="529" t="str">
        <f>Personel!F51</f>
        <v>TBC</v>
      </c>
      <c r="N54" s="529"/>
      <c r="O54" s="529"/>
      <c r="P54" s="529"/>
      <c r="Q54" s="529" t="str">
        <f>Personel!F51</f>
        <v>TBC</v>
      </c>
      <c r="R54" s="529"/>
      <c r="S54" s="529"/>
      <c r="T54" s="529"/>
      <c r="U54" s="529" t="str">
        <f>Personel!F51</f>
        <v>TBC</v>
      </c>
      <c r="V54" s="529"/>
      <c r="W54" s="529"/>
      <c r="X54" s="529"/>
    </row>
    <row r="55" spans="5:24" customFormat="1" ht="14.45" hidden="1">
      <c r="E55" s="529">
        <f>Personel!F52</f>
        <v>0</v>
      </c>
      <c r="F55" s="529"/>
      <c r="G55" s="529"/>
      <c r="H55" s="529"/>
      <c r="I55" s="529">
        <f>Personel!F52</f>
        <v>0</v>
      </c>
      <c r="J55" s="529"/>
      <c r="K55" s="529"/>
      <c r="L55" s="529"/>
      <c r="M55" s="529">
        <f>Personel!F52</f>
        <v>0</v>
      </c>
      <c r="N55" s="529"/>
      <c r="O55" s="529"/>
      <c r="P55" s="529"/>
      <c r="Q55" s="529">
        <f>Personel!F52</f>
        <v>0</v>
      </c>
      <c r="R55" s="529"/>
      <c r="S55" s="529"/>
      <c r="T55" s="529"/>
      <c r="U55" s="529">
        <f>Personel!F52</f>
        <v>0</v>
      </c>
      <c r="V55" s="529"/>
      <c r="W55" s="529"/>
      <c r="X55" s="529"/>
    </row>
    <row r="56" spans="5:24" customFormat="1" ht="14.45" hidden="1">
      <c r="E56" s="529">
        <f>Personel!F53</f>
        <v>0</v>
      </c>
      <c r="F56" s="529"/>
      <c r="G56" s="529"/>
      <c r="H56" s="529"/>
      <c r="I56" s="529">
        <f>Personel!F53</f>
        <v>0</v>
      </c>
      <c r="J56" s="529"/>
      <c r="K56" s="529"/>
      <c r="L56" s="529"/>
      <c r="M56" s="529">
        <f>Personel!F53</f>
        <v>0</v>
      </c>
      <c r="N56" s="529"/>
      <c r="O56" s="529"/>
      <c r="P56" s="529"/>
      <c r="Q56" s="529">
        <f>Personel!F53</f>
        <v>0</v>
      </c>
      <c r="R56" s="529"/>
      <c r="S56" s="529"/>
      <c r="T56" s="529"/>
      <c r="U56" s="529">
        <f>Personel!F53</f>
        <v>0</v>
      </c>
      <c r="V56" s="529"/>
      <c r="W56" s="529"/>
      <c r="X56" s="529"/>
    </row>
    <row r="57" spans="5:24" customFormat="1" ht="14.45" hidden="1">
      <c r="E57" s="529">
        <f>Personel!F54</f>
        <v>0</v>
      </c>
      <c r="F57" s="529"/>
      <c r="G57" s="529"/>
      <c r="H57" s="529"/>
      <c r="I57" s="529">
        <f>Personel!F54</f>
        <v>0</v>
      </c>
      <c r="J57" s="529"/>
      <c r="K57" s="529"/>
      <c r="L57" s="529"/>
      <c r="M57" s="529">
        <f>Personel!F54</f>
        <v>0</v>
      </c>
      <c r="N57" s="529"/>
      <c r="O57" s="529"/>
      <c r="P57" s="529"/>
      <c r="Q57" s="529">
        <f>Personel!F54</f>
        <v>0</v>
      </c>
      <c r="R57" s="529"/>
      <c r="S57" s="529"/>
      <c r="T57" s="529"/>
      <c r="U57" s="529">
        <f>Personel!F54</f>
        <v>0</v>
      </c>
      <c r="V57" s="529"/>
      <c r="W57" s="529"/>
      <c r="X57" s="529"/>
    </row>
    <row r="58" spans="5:24" customFormat="1" ht="14.45" hidden="1">
      <c r="E58" s="529">
        <f>Personel!F55</f>
        <v>0</v>
      </c>
      <c r="F58" s="529"/>
      <c r="G58" s="529"/>
      <c r="H58" s="529"/>
      <c r="I58" s="529">
        <f>Personel!F55</f>
        <v>0</v>
      </c>
      <c r="J58" s="529"/>
      <c r="K58" s="529"/>
      <c r="L58" s="529"/>
      <c r="M58" s="529">
        <f>Personel!F55</f>
        <v>0</v>
      </c>
      <c r="N58" s="529"/>
      <c r="O58" s="529"/>
      <c r="P58" s="529"/>
      <c r="Q58" s="529">
        <f>Personel!F55</f>
        <v>0</v>
      </c>
      <c r="R58" s="529"/>
      <c r="S58" s="529"/>
      <c r="T58" s="529"/>
      <c r="U58" s="529">
        <f>Personel!F55</f>
        <v>0</v>
      </c>
      <c r="V58" s="529"/>
      <c r="W58" s="529"/>
      <c r="X58" s="529"/>
    </row>
    <row r="59" spans="5:24" customFormat="1" ht="14.45" hidden="1">
      <c r="E59" s="529" t="str">
        <f>Personel!F56</f>
        <v>Amber Kouwen</v>
      </c>
      <c r="F59" s="529"/>
      <c r="G59" s="529"/>
      <c r="H59" s="529"/>
      <c r="I59" s="529" t="str">
        <f>Personel!F56</f>
        <v>Amber Kouwen</v>
      </c>
      <c r="J59" s="529"/>
      <c r="K59" s="529"/>
      <c r="L59" s="529"/>
      <c r="M59" s="529" t="str">
        <f>Personel!F56</f>
        <v>Amber Kouwen</v>
      </c>
      <c r="N59" s="529"/>
      <c r="O59" s="529"/>
      <c r="P59" s="529"/>
      <c r="Q59" s="529" t="str">
        <f>Personel!F56</f>
        <v>Amber Kouwen</v>
      </c>
      <c r="R59" s="529"/>
      <c r="S59" s="529"/>
      <c r="T59" s="529"/>
      <c r="U59" s="529" t="str">
        <f>Personel!F56</f>
        <v>Amber Kouwen</v>
      </c>
      <c r="V59" s="529"/>
      <c r="W59" s="529"/>
      <c r="X59" s="529"/>
    </row>
    <row r="60" spans="5:24" customFormat="1" ht="14.45" hidden="1">
      <c r="E60" s="529" t="str">
        <f>Personel!F57</f>
        <v>Robin van den Berg</v>
      </c>
      <c r="F60" s="529"/>
      <c r="G60" s="529"/>
      <c r="H60" s="529"/>
      <c r="I60" s="529" t="str">
        <f>Personel!F57</f>
        <v>Robin van den Berg</v>
      </c>
      <c r="J60" s="529"/>
      <c r="K60" s="529"/>
      <c r="L60" s="529"/>
      <c r="M60" s="529" t="str">
        <f>Personel!F57</f>
        <v>Robin van den Berg</v>
      </c>
      <c r="N60" s="529"/>
      <c r="O60" s="529"/>
      <c r="P60" s="529"/>
      <c r="Q60" s="529" t="str">
        <f>Personel!F57</f>
        <v>Robin van den Berg</v>
      </c>
      <c r="R60" s="529"/>
      <c r="S60" s="529"/>
      <c r="T60" s="529"/>
      <c r="U60" s="529" t="str">
        <f>Personel!F57</f>
        <v>Robin van den Berg</v>
      </c>
      <c r="V60" s="529"/>
      <c r="W60" s="529"/>
      <c r="X60" s="529"/>
    </row>
    <row r="61" spans="5:24" customFormat="1" ht="14.45" hidden="1">
      <c r="E61" s="529" t="str">
        <f>Personel!F58</f>
        <v>Christophe Wijnen</v>
      </c>
      <c r="F61" s="529"/>
      <c r="G61" s="529"/>
      <c r="H61" s="529"/>
      <c r="I61" s="529" t="str">
        <f>Personel!F58</f>
        <v>Christophe Wijnen</v>
      </c>
      <c r="J61" s="529"/>
      <c r="K61" s="529"/>
      <c r="L61" s="529"/>
      <c r="M61" s="529" t="str">
        <f>Personel!F58</f>
        <v>Christophe Wijnen</v>
      </c>
      <c r="N61" s="529"/>
      <c r="O61" s="529"/>
      <c r="P61" s="529"/>
      <c r="Q61" s="529" t="str">
        <f>Personel!F58</f>
        <v>Christophe Wijnen</v>
      </c>
      <c r="R61" s="529"/>
      <c r="S61" s="529"/>
      <c r="T61" s="529"/>
      <c r="U61" s="529" t="str">
        <f>Personel!F58</f>
        <v>Christophe Wijnen</v>
      </c>
      <c r="V61" s="529"/>
      <c r="W61" s="529"/>
      <c r="X61" s="529"/>
    </row>
    <row r="62" spans="5:24" customFormat="1" ht="14.45" hidden="1">
      <c r="E62" s="529" t="str">
        <f>Personel!F59</f>
        <v/>
      </c>
      <c r="F62" s="529"/>
      <c r="G62" s="529"/>
      <c r="H62" s="529"/>
      <c r="I62" s="529" t="str">
        <f>Personel!F59</f>
        <v/>
      </c>
      <c r="J62" s="529"/>
      <c r="K62" s="529"/>
      <c r="L62" s="529"/>
      <c r="M62" s="529" t="str">
        <f>Personel!F59</f>
        <v/>
      </c>
      <c r="N62" s="529"/>
      <c r="O62" s="529"/>
      <c r="P62" s="529"/>
      <c r="Q62" s="529" t="str">
        <f>Personel!F59</f>
        <v/>
      </c>
      <c r="R62" s="529"/>
      <c r="S62" s="529"/>
      <c r="T62" s="529"/>
      <c r="U62" s="529" t="str">
        <f>Personel!F59</f>
        <v/>
      </c>
      <c r="V62" s="529"/>
      <c r="W62" s="529"/>
      <c r="X62" s="529"/>
    </row>
    <row r="63" spans="5:24" customFormat="1" ht="14.45" hidden="1">
      <c r="E63" s="529" t="str">
        <f>Personel!F60</f>
        <v/>
      </c>
      <c r="F63" s="529"/>
      <c r="G63" s="529"/>
      <c r="H63" s="529"/>
      <c r="I63" s="529" t="str">
        <f>Personel!F60</f>
        <v/>
      </c>
      <c r="J63" s="529"/>
      <c r="K63" s="529"/>
      <c r="L63" s="529"/>
      <c r="M63" s="529" t="str">
        <f>Personel!F60</f>
        <v/>
      </c>
      <c r="N63" s="529"/>
      <c r="O63" s="529"/>
      <c r="P63" s="529"/>
      <c r="Q63" s="529" t="str">
        <f>Personel!F60</f>
        <v/>
      </c>
      <c r="R63" s="529"/>
      <c r="S63" s="529"/>
      <c r="T63" s="529"/>
      <c r="U63" s="529" t="str">
        <f>Personel!F60</f>
        <v/>
      </c>
      <c r="V63" s="529"/>
      <c r="W63" s="529"/>
      <c r="X63" s="529"/>
    </row>
    <row r="64" spans="5:24" customFormat="1" ht="14.45" hidden="1">
      <c r="E64" s="529" t="str">
        <f>Personel!F61</f>
        <v/>
      </c>
      <c r="F64" s="529"/>
      <c r="G64" s="529"/>
      <c r="H64" s="529"/>
      <c r="I64" s="529" t="str">
        <f>Personel!F61</f>
        <v/>
      </c>
      <c r="J64" s="529"/>
      <c r="K64" s="529"/>
      <c r="L64" s="529"/>
      <c r="M64" s="529" t="str">
        <f>Personel!F61</f>
        <v/>
      </c>
      <c r="N64" s="529"/>
      <c r="O64" s="529"/>
      <c r="P64" s="529"/>
      <c r="Q64" s="529" t="str">
        <f>Personel!F61</f>
        <v/>
      </c>
      <c r="R64" s="529"/>
      <c r="S64" s="529"/>
      <c r="T64" s="529"/>
      <c r="U64" s="529" t="str">
        <f>Personel!F61</f>
        <v/>
      </c>
      <c r="V64" s="529"/>
      <c r="W64" s="529"/>
      <c r="X64" s="529"/>
    </row>
    <row r="65" spans="1:45" customFormat="1" ht="14.45" hidden="1">
      <c r="E65" s="529" t="str">
        <f>Personel!F62</f>
        <v/>
      </c>
      <c r="F65" s="529"/>
      <c r="G65" s="529"/>
      <c r="H65" s="529"/>
      <c r="I65" s="529" t="str">
        <f>Personel!F62</f>
        <v/>
      </c>
      <c r="J65" s="529"/>
      <c r="K65" s="529"/>
      <c r="L65" s="529"/>
      <c r="M65" s="529" t="str">
        <f>Personel!F62</f>
        <v/>
      </c>
      <c r="N65" s="529"/>
      <c r="O65" s="529"/>
      <c r="P65" s="529"/>
      <c r="Q65" s="529" t="str">
        <f>Personel!F62</f>
        <v/>
      </c>
      <c r="R65" s="529"/>
      <c r="S65" s="529"/>
      <c r="T65" s="529"/>
      <c r="U65" s="529" t="str">
        <f>Personel!F62</f>
        <v/>
      </c>
      <c r="V65" s="529"/>
      <c r="W65" s="529"/>
      <c r="X65" s="529"/>
    </row>
    <row r="66" spans="1:45" customFormat="1" ht="14.45" hidden="1">
      <c r="E66" s="529" t="str">
        <f>Personel!F63</f>
        <v/>
      </c>
      <c r="F66" s="529"/>
      <c r="G66" s="529"/>
      <c r="H66" s="529"/>
      <c r="I66" s="529" t="str">
        <f>Personel!F63</f>
        <v/>
      </c>
      <c r="J66" s="529"/>
      <c r="K66" s="529"/>
      <c r="L66" s="529"/>
      <c r="M66" s="529" t="str">
        <f>Personel!F63</f>
        <v/>
      </c>
      <c r="N66" s="529"/>
      <c r="O66" s="529"/>
      <c r="P66" s="529"/>
      <c r="Q66" s="529" t="str">
        <f>Personel!F63</f>
        <v/>
      </c>
      <c r="R66" s="529"/>
      <c r="S66" s="529"/>
      <c r="T66" s="529"/>
      <c r="U66" s="529" t="str">
        <f>Personel!F63</f>
        <v/>
      </c>
      <c r="V66" s="529"/>
      <c r="W66" s="529"/>
      <c r="X66" s="529"/>
    </row>
    <row r="67" spans="1:45" customFormat="1" ht="14.45" hidden="1">
      <c r="E67" s="529" t="str">
        <f>Personel!F64</f>
        <v/>
      </c>
      <c r="F67" s="529"/>
      <c r="G67" s="529"/>
      <c r="H67" s="529"/>
      <c r="I67" s="529" t="str">
        <f>Personel!F64</f>
        <v/>
      </c>
      <c r="J67" s="529"/>
      <c r="K67" s="529"/>
      <c r="L67" s="529"/>
      <c r="M67" s="529" t="str">
        <f>Personel!F64</f>
        <v/>
      </c>
      <c r="N67" s="529"/>
      <c r="O67" s="529"/>
      <c r="P67" s="529"/>
      <c r="Q67" s="529" t="str">
        <f>Personel!F64</f>
        <v/>
      </c>
      <c r="R67" s="529"/>
      <c r="S67" s="529"/>
      <c r="T67" s="529"/>
      <c r="U67" s="529" t="str">
        <f>Personel!F64</f>
        <v/>
      </c>
      <c r="V67" s="529"/>
      <c r="W67" s="529"/>
      <c r="X67" s="529"/>
    </row>
    <row r="68" spans="1:45" customFormat="1" ht="14.45" hidden="1">
      <c r="E68" s="529" t="str">
        <f>Personel!F65</f>
        <v/>
      </c>
      <c r="F68" s="529"/>
      <c r="G68" s="529"/>
      <c r="H68" s="529"/>
      <c r="I68" s="529" t="str">
        <f>Personel!F65</f>
        <v/>
      </c>
      <c r="J68" s="529"/>
      <c r="K68" s="529"/>
      <c r="L68" s="529"/>
      <c r="M68" s="529" t="str">
        <f>Personel!F65</f>
        <v/>
      </c>
      <c r="N68" s="529"/>
      <c r="O68" s="529"/>
      <c r="P68" s="529"/>
      <c r="Q68" s="529" t="str">
        <f>Personel!F65</f>
        <v/>
      </c>
      <c r="R68" s="529"/>
      <c r="S68" s="529"/>
      <c r="T68" s="529"/>
      <c r="U68" s="529" t="str">
        <f>Personel!F65</f>
        <v/>
      </c>
      <c r="V68" s="529"/>
      <c r="W68" s="529"/>
      <c r="X68" s="529"/>
    </row>
    <row r="69" spans="1:45" customFormat="1" ht="14.45" hidden="1">
      <c r="E69" s="529" t="str">
        <f>Personel!F66</f>
        <v/>
      </c>
      <c r="F69" s="529"/>
      <c r="G69" s="529"/>
      <c r="H69" s="529"/>
      <c r="I69" s="529" t="str">
        <f>Personel!F66</f>
        <v/>
      </c>
      <c r="J69" s="529"/>
      <c r="K69" s="529"/>
      <c r="L69" s="529"/>
      <c r="M69" s="529" t="str">
        <f>Personel!F66</f>
        <v/>
      </c>
      <c r="N69" s="529"/>
      <c r="O69" s="529"/>
      <c r="P69" s="529"/>
      <c r="Q69" s="529" t="str">
        <f>Personel!F66</f>
        <v/>
      </c>
      <c r="R69" s="529"/>
      <c r="S69" s="529"/>
      <c r="T69" s="529"/>
      <c r="U69" s="529" t="str">
        <f>Personel!F66</f>
        <v/>
      </c>
      <c r="V69" s="529"/>
      <c r="W69" s="529"/>
      <c r="X69" s="529"/>
    </row>
    <row r="70" spans="1:45" customFormat="1" ht="14.45" hidden="1">
      <c r="E70" s="529" t="str">
        <f>Personel!F67</f>
        <v/>
      </c>
      <c r="F70" s="529"/>
      <c r="G70" s="529"/>
      <c r="H70" s="529"/>
      <c r="I70" s="529" t="str">
        <f>Personel!F67</f>
        <v/>
      </c>
      <c r="J70" s="529"/>
      <c r="K70" s="529"/>
      <c r="L70" s="529"/>
      <c r="M70" s="529" t="str">
        <f>Personel!F67</f>
        <v/>
      </c>
      <c r="N70" s="529"/>
      <c r="O70" s="529"/>
      <c r="P70" s="529"/>
      <c r="Q70" s="529" t="str">
        <f>Personel!F67</f>
        <v/>
      </c>
      <c r="R70" s="529"/>
      <c r="S70" s="529"/>
      <c r="T70" s="529"/>
      <c r="U70" s="529" t="str">
        <f>Personel!F67</f>
        <v/>
      </c>
      <c r="V70" s="529"/>
      <c r="W70" s="529"/>
      <c r="X70" s="529"/>
    </row>
    <row r="71" spans="1:45" ht="15" customHeight="1" thickBot="1">
      <c r="A71" s="1"/>
      <c r="B71" s="548"/>
      <c r="C71" s="549"/>
      <c r="D71" s="549"/>
      <c r="E71" s="549"/>
      <c r="F71" s="549"/>
      <c r="G71" s="549"/>
      <c r="H71" s="549"/>
      <c r="I71" s="549"/>
      <c r="J71" s="549"/>
      <c r="K71" s="549"/>
      <c r="L71" s="549"/>
      <c r="M71" s="549"/>
      <c r="N71" s="549"/>
      <c r="O71" s="549"/>
      <c r="P71" s="549"/>
      <c r="Q71" s="549"/>
      <c r="R71" s="549"/>
      <c r="S71" s="549"/>
      <c r="T71" s="549"/>
      <c r="U71" s="549"/>
      <c r="V71" s="549"/>
      <c r="W71" s="549"/>
      <c r="X71" s="550"/>
      <c r="Y71" s="1"/>
    </row>
    <row r="72" spans="1:45" ht="18" customHeight="1">
      <c r="A72" s="1"/>
      <c r="B72" s="551" t="s">
        <v>11</v>
      </c>
      <c r="C72" s="552"/>
      <c r="D72" s="552"/>
      <c r="E72" s="536"/>
      <c r="F72" s="537"/>
      <c r="G72" s="537"/>
      <c r="H72" s="537"/>
      <c r="I72" s="537"/>
      <c r="J72" s="537"/>
      <c r="K72" s="537"/>
      <c r="L72" s="538"/>
      <c r="M72" s="530"/>
      <c r="N72" s="531"/>
      <c r="O72" s="531"/>
      <c r="P72" s="532"/>
      <c r="Q72" s="539"/>
      <c r="R72" s="539"/>
      <c r="S72" s="539"/>
      <c r="T72" s="539"/>
      <c r="U72" s="539"/>
      <c r="V72" s="539"/>
      <c r="W72" s="539"/>
      <c r="X72" s="553"/>
      <c r="Y72" s="1"/>
    </row>
    <row r="73" spans="1:45" ht="18" customHeight="1">
      <c r="A73" s="1"/>
      <c r="B73" s="512" t="s">
        <v>12</v>
      </c>
      <c r="C73" s="513"/>
      <c r="D73" s="513"/>
      <c r="E73" s="488"/>
      <c r="F73" s="489"/>
      <c r="G73" s="489"/>
      <c r="H73" s="489"/>
      <c r="I73" s="489"/>
      <c r="J73" s="489"/>
      <c r="K73" s="489"/>
      <c r="L73" s="490"/>
      <c r="M73" s="533"/>
      <c r="N73" s="534"/>
      <c r="O73" s="534"/>
      <c r="P73" s="535"/>
      <c r="Q73" s="508"/>
      <c r="R73" s="508"/>
      <c r="S73" s="508"/>
      <c r="T73" s="508"/>
      <c r="U73" s="508"/>
      <c r="V73" s="508"/>
      <c r="W73" s="508"/>
      <c r="X73" s="509"/>
      <c r="Y73" s="1"/>
      <c r="AA73" s="7"/>
      <c r="AB73" s="7"/>
      <c r="AC73" s="7"/>
      <c r="AD73" s="7"/>
      <c r="AE73" s="7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9"/>
    </row>
    <row r="74" spans="1:45" ht="18" customHeight="1">
      <c r="A74" s="1"/>
      <c r="B74" s="512" t="s">
        <v>10</v>
      </c>
      <c r="C74" s="513"/>
      <c r="D74" s="513"/>
      <c r="E74" s="540"/>
      <c r="F74" s="541"/>
      <c r="G74" s="541"/>
      <c r="H74" s="541"/>
      <c r="I74" s="541"/>
      <c r="J74" s="541"/>
      <c r="K74" s="541"/>
      <c r="L74" s="542"/>
      <c r="M74" s="526"/>
      <c r="N74" s="508"/>
      <c r="O74" s="508"/>
      <c r="P74" s="508"/>
      <c r="Q74" s="526"/>
      <c r="R74" s="508"/>
      <c r="S74" s="508"/>
      <c r="T74" s="508"/>
      <c r="U74" s="526"/>
      <c r="V74" s="508"/>
      <c r="W74" s="508"/>
      <c r="X74" s="509"/>
      <c r="Y74" s="1"/>
      <c r="AA74" s="3" t="s">
        <v>13</v>
      </c>
      <c r="AB74" s="7"/>
      <c r="AC74" s="7"/>
      <c r="AD74" s="9"/>
      <c r="AE74" s="9"/>
      <c r="AF74" s="9"/>
      <c r="AG74" s="10"/>
      <c r="AH74" s="10"/>
      <c r="AI74" s="10"/>
      <c r="AJ74" s="10"/>
      <c r="AK74" s="10"/>
      <c r="AL74" s="10"/>
      <c r="AM74" s="11"/>
      <c r="AN74" s="12"/>
      <c r="AO74" s="11"/>
      <c r="AP74" s="11"/>
      <c r="AQ74" s="12"/>
      <c r="AR74" s="11"/>
      <c r="AS74" s="9"/>
    </row>
    <row r="75" spans="1:45" ht="18" customHeight="1">
      <c r="A75" s="1"/>
      <c r="B75" s="512" t="s">
        <v>14</v>
      </c>
      <c r="C75" s="513"/>
      <c r="D75" s="513"/>
      <c r="E75" s="488"/>
      <c r="F75" s="489"/>
      <c r="G75" s="489"/>
      <c r="H75" s="489"/>
      <c r="I75" s="489"/>
      <c r="J75" s="489"/>
      <c r="K75" s="489"/>
      <c r="L75" s="490"/>
      <c r="M75" s="508"/>
      <c r="N75" s="508"/>
      <c r="O75" s="508"/>
      <c r="P75" s="508"/>
      <c r="Q75" s="508"/>
      <c r="R75" s="508"/>
      <c r="S75" s="508"/>
      <c r="T75" s="508"/>
      <c r="U75" s="527"/>
      <c r="V75" s="527"/>
      <c r="W75" s="527"/>
      <c r="X75" s="528"/>
      <c r="Y75" s="1"/>
    </row>
    <row r="76" spans="1:45" ht="18" customHeight="1">
      <c r="A76" s="1"/>
      <c r="B76" s="512" t="s">
        <v>15</v>
      </c>
      <c r="C76" s="513"/>
      <c r="D76" s="513"/>
      <c r="E76" s="491"/>
      <c r="F76" s="492"/>
      <c r="G76" s="492"/>
      <c r="H76" s="492"/>
      <c r="I76" s="492"/>
      <c r="J76" s="492"/>
      <c r="K76" s="492"/>
      <c r="L76" s="493"/>
      <c r="M76" s="491"/>
      <c r="N76" s="492"/>
      <c r="O76" s="492"/>
      <c r="P76" s="493"/>
      <c r="Q76" s="491"/>
      <c r="R76" s="492"/>
      <c r="S76" s="492"/>
      <c r="T76" s="493"/>
      <c r="U76" s="507"/>
      <c r="V76" s="508"/>
      <c r="W76" s="508"/>
      <c r="X76" s="509"/>
      <c r="Y76" s="1"/>
      <c r="Z76" s="3" t="s">
        <v>13</v>
      </c>
    </row>
    <row r="77" spans="1:45" ht="18" customHeight="1">
      <c r="A77" s="1"/>
      <c r="B77" s="512" t="s">
        <v>16</v>
      </c>
      <c r="C77" s="513"/>
      <c r="D77" s="513"/>
      <c r="E77" s="491"/>
      <c r="F77" s="492"/>
      <c r="G77" s="492"/>
      <c r="H77" s="492"/>
      <c r="I77" s="492"/>
      <c r="J77" s="492"/>
      <c r="K77" s="492"/>
      <c r="L77" s="493"/>
      <c r="M77" s="545"/>
      <c r="N77" s="546"/>
      <c r="O77" s="546"/>
      <c r="P77" s="546"/>
      <c r="Q77" s="507"/>
      <c r="R77" s="508"/>
      <c r="S77" s="508"/>
      <c r="T77" s="508"/>
      <c r="U77" s="507"/>
      <c r="V77" s="508"/>
      <c r="W77" s="508"/>
      <c r="X77" s="509"/>
      <c r="Y77" s="1"/>
    </row>
    <row r="78" spans="1:45" ht="18" customHeight="1" thickBot="1">
      <c r="A78" s="1"/>
      <c r="B78" s="510" t="s">
        <v>17</v>
      </c>
      <c r="C78" s="511"/>
      <c r="D78" s="511"/>
      <c r="E78" s="494"/>
      <c r="F78" s="495"/>
      <c r="G78" s="495"/>
      <c r="H78" s="495"/>
      <c r="I78" s="495"/>
      <c r="J78" s="495"/>
      <c r="K78" s="495"/>
      <c r="L78" s="496"/>
      <c r="M78" s="523"/>
      <c r="N78" s="524"/>
      <c r="O78" s="524"/>
      <c r="P78" s="525"/>
      <c r="Q78" s="499"/>
      <c r="R78" s="500"/>
      <c r="S78" s="500"/>
      <c r="T78" s="501"/>
      <c r="U78" s="497"/>
      <c r="V78" s="497"/>
      <c r="W78" s="497"/>
      <c r="X78" s="498"/>
      <c r="Y78" s="1"/>
    </row>
    <row r="79" spans="1:45" ht="17.25" customHeight="1">
      <c r="A79" s="1"/>
      <c r="B79" s="514" t="s">
        <v>18</v>
      </c>
      <c r="C79" s="515"/>
      <c r="D79" s="516"/>
      <c r="E79" s="504"/>
      <c r="F79" s="505"/>
      <c r="G79" s="505"/>
      <c r="H79" s="506"/>
      <c r="I79" s="504"/>
      <c r="J79" s="505"/>
      <c r="K79" s="505"/>
      <c r="L79" s="506"/>
      <c r="M79" s="502"/>
      <c r="N79" s="502"/>
      <c r="O79" s="502"/>
      <c r="P79" s="502"/>
      <c r="Q79" s="502"/>
      <c r="R79" s="502"/>
      <c r="S79" s="502"/>
      <c r="T79" s="502"/>
      <c r="U79" s="502"/>
      <c r="V79" s="502"/>
      <c r="W79" s="502"/>
      <c r="X79" s="503"/>
      <c r="Y79" s="1"/>
    </row>
    <row r="80" spans="1:45" ht="17.25" customHeight="1">
      <c r="A80" s="1"/>
      <c r="B80" s="517"/>
      <c r="C80" s="518"/>
      <c r="D80" s="519"/>
      <c r="E80" s="484"/>
      <c r="F80" s="485"/>
      <c r="G80" s="485"/>
      <c r="H80" s="486"/>
      <c r="I80" s="484"/>
      <c r="J80" s="485"/>
      <c r="K80" s="485"/>
      <c r="L80" s="486"/>
      <c r="M80" s="484"/>
      <c r="N80" s="485"/>
      <c r="O80" s="485"/>
      <c r="P80" s="486"/>
      <c r="Q80" s="484"/>
      <c r="R80" s="485"/>
      <c r="S80" s="485"/>
      <c r="T80" s="486"/>
      <c r="U80" s="484"/>
      <c r="V80" s="485"/>
      <c r="W80" s="485"/>
      <c r="X80" s="487"/>
      <c r="Y80" s="1"/>
    </row>
    <row r="81" spans="1:25" ht="17.25" customHeight="1">
      <c r="A81" s="1"/>
      <c r="B81" s="517"/>
      <c r="C81" s="518"/>
      <c r="D81" s="519"/>
      <c r="E81" s="484"/>
      <c r="F81" s="485"/>
      <c r="G81" s="485"/>
      <c r="H81" s="486"/>
      <c r="I81" s="484"/>
      <c r="J81" s="485"/>
      <c r="K81" s="485"/>
      <c r="L81" s="486"/>
      <c r="M81" s="484"/>
      <c r="N81" s="485"/>
      <c r="O81" s="485"/>
      <c r="P81" s="486"/>
      <c r="Q81" s="484"/>
      <c r="R81" s="485"/>
      <c r="S81" s="485"/>
      <c r="T81" s="486"/>
      <c r="U81" s="484"/>
      <c r="V81" s="485"/>
      <c r="W81" s="485"/>
      <c r="X81" s="487"/>
      <c r="Y81" s="1"/>
    </row>
    <row r="82" spans="1:25" ht="17.25" customHeight="1">
      <c r="A82" s="1"/>
      <c r="B82" s="517"/>
      <c r="C82" s="518"/>
      <c r="D82" s="519"/>
      <c r="E82" s="484"/>
      <c r="F82" s="485"/>
      <c r="G82" s="485"/>
      <c r="H82" s="486"/>
      <c r="I82" s="484"/>
      <c r="J82" s="485"/>
      <c r="K82" s="485"/>
      <c r="L82" s="486"/>
      <c r="M82" s="484"/>
      <c r="N82" s="485"/>
      <c r="O82" s="485"/>
      <c r="P82" s="486"/>
      <c r="Q82" s="484"/>
      <c r="R82" s="485"/>
      <c r="S82" s="485"/>
      <c r="T82" s="486"/>
      <c r="U82" s="484"/>
      <c r="V82" s="485"/>
      <c r="W82" s="485"/>
      <c r="X82" s="487"/>
      <c r="Y82" s="1"/>
    </row>
    <row r="83" spans="1:25" ht="17.25" customHeight="1">
      <c r="A83" s="1"/>
      <c r="B83" s="517"/>
      <c r="C83" s="518"/>
      <c r="D83" s="519"/>
      <c r="E83" s="484"/>
      <c r="F83" s="485"/>
      <c r="G83" s="485"/>
      <c r="H83" s="486"/>
      <c r="I83" s="484"/>
      <c r="J83" s="485"/>
      <c r="K83" s="485"/>
      <c r="L83" s="486"/>
      <c r="M83" s="484"/>
      <c r="N83" s="485"/>
      <c r="O83" s="485"/>
      <c r="P83" s="486"/>
      <c r="Q83" s="484"/>
      <c r="R83" s="485"/>
      <c r="S83" s="485"/>
      <c r="T83" s="486"/>
      <c r="U83" s="484"/>
      <c r="V83" s="485"/>
      <c r="W83" s="485"/>
      <c r="X83" s="487"/>
      <c r="Y83" s="1"/>
    </row>
    <row r="84" spans="1:25" ht="17.25" customHeight="1" thickBot="1">
      <c r="A84" s="1"/>
      <c r="B84" s="520"/>
      <c r="C84" s="521"/>
      <c r="D84" s="522"/>
      <c r="E84" s="480"/>
      <c r="F84" s="481"/>
      <c r="G84" s="481"/>
      <c r="H84" s="482"/>
      <c r="I84" s="480"/>
      <c r="J84" s="481"/>
      <c r="K84" s="481"/>
      <c r="L84" s="482"/>
      <c r="M84" s="480"/>
      <c r="N84" s="481"/>
      <c r="O84" s="481"/>
      <c r="P84" s="482"/>
      <c r="Q84" s="480" t="s">
        <v>13</v>
      </c>
      <c r="R84" s="481"/>
      <c r="S84" s="481"/>
      <c r="T84" s="482"/>
      <c r="U84" s="480"/>
      <c r="V84" s="481"/>
      <c r="W84" s="481"/>
      <c r="X84" s="483"/>
      <c r="Y84" s="1"/>
    </row>
    <row r="85" spans="1:25">
      <c r="B85" s="14"/>
      <c r="C85" s="14"/>
      <c r="D85" s="14"/>
      <c r="E85" s="14"/>
      <c r="F85" s="14"/>
      <c r="G85" s="14"/>
      <c r="H85" s="14"/>
      <c r="K85" s="6"/>
    </row>
    <row r="86" spans="1:25">
      <c r="B86" s="14"/>
      <c r="C86" s="14"/>
      <c r="D86" s="14"/>
      <c r="E86" s="14"/>
      <c r="F86" s="14"/>
      <c r="G86" s="14"/>
      <c r="H86" s="14"/>
    </row>
    <row r="87" spans="1:25">
      <c r="B87" s="14"/>
      <c r="C87" s="14"/>
      <c r="D87" s="14"/>
      <c r="E87" s="14"/>
      <c r="F87" s="14"/>
      <c r="G87" s="14"/>
      <c r="H87" s="14"/>
    </row>
    <row r="88" spans="1:25">
      <c r="B88" s="14"/>
      <c r="C88" s="14"/>
      <c r="D88" s="14"/>
      <c r="E88" s="14"/>
      <c r="F88" s="14"/>
      <c r="G88" s="14"/>
      <c r="H88" s="14"/>
      <c r="L88" s="3" t="s">
        <v>13</v>
      </c>
      <c r="P88" s="3" t="s">
        <v>13</v>
      </c>
    </row>
    <row r="89" spans="1:25">
      <c r="B89" s="14"/>
      <c r="C89" s="14"/>
      <c r="D89" s="14"/>
      <c r="E89" s="14"/>
      <c r="F89" s="14"/>
      <c r="G89" s="14"/>
      <c r="H89" s="14"/>
    </row>
    <row r="90" spans="1:25">
      <c r="B90" s="14"/>
      <c r="C90" s="14"/>
      <c r="D90" s="14"/>
      <c r="E90" s="14"/>
      <c r="F90" s="14"/>
      <c r="G90" s="14"/>
      <c r="H90" s="14"/>
    </row>
    <row r="91" spans="1:25">
      <c r="B91" s="14"/>
      <c r="C91" s="14"/>
      <c r="D91" s="14"/>
      <c r="E91" s="14"/>
      <c r="F91" s="14"/>
      <c r="G91" s="14"/>
      <c r="H91" s="14"/>
    </row>
    <row r="92" spans="1:25">
      <c r="B92" s="14"/>
      <c r="C92" s="14"/>
      <c r="D92" s="14"/>
      <c r="E92" s="14"/>
      <c r="F92" s="14"/>
      <c r="G92" s="14"/>
      <c r="H92" s="14"/>
    </row>
    <row r="93" spans="1:25">
      <c r="B93" s="14"/>
      <c r="C93" s="14"/>
      <c r="D93" s="14"/>
      <c r="E93" s="14"/>
      <c r="F93" s="14"/>
      <c r="G93" s="14"/>
      <c r="H93" s="14"/>
    </row>
    <row r="94" spans="1:25">
      <c r="B94" s="14"/>
      <c r="C94" s="14"/>
      <c r="D94" s="14"/>
      <c r="E94" s="14"/>
      <c r="F94" s="14"/>
      <c r="G94" s="14"/>
      <c r="H94" s="14"/>
    </row>
    <row r="95" spans="1:25">
      <c r="B95" s="14"/>
      <c r="C95" s="14"/>
      <c r="D95" s="14"/>
      <c r="E95" s="14"/>
      <c r="F95" s="14"/>
      <c r="G95" s="14"/>
      <c r="H95" s="14"/>
    </row>
    <row r="96" spans="1:25">
      <c r="B96" s="14"/>
      <c r="C96" s="14"/>
      <c r="D96" s="14"/>
      <c r="E96" s="14"/>
      <c r="F96" s="14"/>
      <c r="G96" s="14"/>
      <c r="H96" s="14"/>
    </row>
    <row r="97" spans="2:12">
      <c r="B97" s="14"/>
      <c r="C97" s="14"/>
      <c r="D97" s="14"/>
      <c r="E97" s="14"/>
      <c r="F97" s="14"/>
      <c r="G97" s="14"/>
      <c r="H97" s="14"/>
    </row>
    <row r="98" spans="2:12">
      <c r="B98" s="14"/>
      <c r="C98" s="14"/>
      <c r="D98" s="14"/>
      <c r="E98" s="14"/>
      <c r="F98" s="14"/>
      <c r="G98" s="14"/>
      <c r="H98" s="14"/>
    </row>
    <row r="99" spans="2:12">
      <c r="L99" s="3" t="s">
        <v>13</v>
      </c>
    </row>
  </sheetData>
  <protectedRanges>
    <protectedRange sqref="E78:H78 Q78:T78 E74:X74 U78:X84" name="Table"/>
    <protectedRange sqref="E72:X73" name="Table_2"/>
    <protectedRange sqref="Q84:T84 E79:T81 M82:T83 E82:L84" name="Table_3"/>
    <protectedRange sqref="E75:H75 U75:X77 M75:T75 E76:T77" name="Table_4"/>
    <protectedRange sqref="I78:P78" name="Table_2_1"/>
    <protectedRange sqref="I75:L75" name="Table_4_1"/>
    <protectedRange sqref="M84:P84" name="Table_4_2"/>
  </protectedRanges>
  <mergeCells count="403">
    <mergeCell ref="E47:H47"/>
    <mergeCell ref="E48:H48"/>
    <mergeCell ref="E42:H42"/>
    <mergeCell ref="E43:H43"/>
    <mergeCell ref="U3:X3"/>
    <mergeCell ref="M77:P77"/>
    <mergeCell ref="B3:E3"/>
    <mergeCell ref="F3:H3"/>
    <mergeCell ref="J3:M3"/>
    <mergeCell ref="N3:Q3"/>
    <mergeCell ref="S3:T3"/>
    <mergeCell ref="B71:X71"/>
    <mergeCell ref="B72:D72"/>
    <mergeCell ref="U72:X72"/>
    <mergeCell ref="E49:H49"/>
    <mergeCell ref="E50:H50"/>
    <mergeCell ref="E33:H33"/>
    <mergeCell ref="E39:H39"/>
    <mergeCell ref="E51:H51"/>
    <mergeCell ref="E52:H52"/>
    <mergeCell ref="E53:H53"/>
    <mergeCell ref="E44:H44"/>
    <mergeCell ref="B77:D77"/>
    <mergeCell ref="E65:H65"/>
    <mergeCell ref="E38:H38"/>
    <mergeCell ref="E34:H34"/>
    <mergeCell ref="E35:H35"/>
    <mergeCell ref="E36:H36"/>
    <mergeCell ref="E37:H37"/>
    <mergeCell ref="E40:H40"/>
    <mergeCell ref="E41:H41"/>
    <mergeCell ref="E45:H45"/>
    <mergeCell ref="E46:H46"/>
    <mergeCell ref="E32:H32"/>
    <mergeCell ref="E24:H24"/>
    <mergeCell ref="E29:H29"/>
    <mergeCell ref="E30:H30"/>
    <mergeCell ref="E31:H31"/>
    <mergeCell ref="I8:L8"/>
    <mergeCell ref="E13:H13"/>
    <mergeCell ref="E19:H19"/>
    <mergeCell ref="E20:H20"/>
    <mergeCell ref="E21:H21"/>
    <mergeCell ref="E22:H22"/>
    <mergeCell ref="E23:H23"/>
    <mergeCell ref="E27:H27"/>
    <mergeCell ref="E28:H28"/>
    <mergeCell ref="E15:H15"/>
    <mergeCell ref="E16:H16"/>
    <mergeCell ref="E17:H17"/>
    <mergeCell ref="E18:H18"/>
    <mergeCell ref="E5:H5"/>
    <mergeCell ref="E6:H6"/>
    <mergeCell ref="E7:H7"/>
    <mergeCell ref="E8:H8"/>
    <mergeCell ref="E9:H9"/>
    <mergeCell ref="E10:H10"/>
    <mergeCell ref="E11:H11"/>
    <mergeCell ref="E12:H12"/>
    <mergeCell ref="E14:H14"/>
    <mergeCell ref="M5:P5"/>
    <mergeCell ref="Q5:T5"/>
    <mergeCell ref="U5:X5"/>
    <mergeCell ref="I6:L6"/>
    <mergeCell ref="M6:P6"/>
    <mergeCell ref="Q6:T6"/>
    <mergeCell ref="U6:X6"/>
    <mergeCell ref="I7:L7"/>
    <mergeCell ref="M7:P7"/>
    <mergeCell ref="Q7:T7"/>
    <mergeCell ref="U7:X7"/>
    <mergeCell ref="I5:L5"/>
    <mergeCell ref="M8:P8"/>
    <mergeCell ref="Q8:T8"/>
    <mergeCell ref="U8:X8"/>
    <mergeCell ref="I12:L12"/>
    <mergeCell ref="M12:P12"/>
    <mergeCell ref="Q12:T12"/>
    <mergeCell ref="E25:H25"/>
    <mergeCell ref="E26:H26"/>
    <mergeCell ref="E64:H64"/>
    <mergeCell ref="E54:H54"/>
    <mergeCell ref="E55:H55"/>
    <mergeCell ref="E56:H56"/>
    <mergeCell ref="E57:H57"/>
    <mergeCell ref="E58:H58"/>
    <mergeCell ref="I9:L9"/>
    <mergeCell ref="M9:P9"/>
    <mergeCell ref="Q9:T9"/>
    <mergeCell ref="U9:X9"/>
    <mergeCell ref="I10:L10"/>
    <mergeCell ref="M10:P10"/>
    <mergeCell ref="Q10:T10"/>
    <mergeCell ref="U10:X10"/>
    <mergeCell ref="M13:P13"/>
    <mergeCell ref="Q13:T13"/>
    <mergeCell ref="U13:X13"/>
    <mergeCell ref="I14:L14"/>
    <mergeCell ref="M14:P14"/>
    <mergeCell ref="Q14:T14"/>
    <mergeCell ref="U14:X14"/>
    <mergeCell ref="I11:L11"/>
    <mergeCell ref="M11:P11"/>
    <mergeCell ref="Q11:T11"/>
    <mergeCell ref="U11:X11"/>
    <mergeCell ref="U12:X12"/>
    <mergeCell ref="I13:L13"/>
    <mergeCell ref="M17:P17"/>
    <mergeCell ref="Q17:T17"/>
    <mergeCell ref="U17:X17"/>
    <mergeCell ref="I18:L18"/>
    <mergeCell ref="M18:P18"/>
    <mergeCell ref="Q18:T18"/>
    <mergeCell ref="U18:X18"/>
    <mergeCell ref="I15:L15"/>
    <mergeCell ref="M15:P15"/>
    <mergeCell ref="Q15:T15"/>
    <mergeCell ref="U15:X15"/>
    <mergeCell ref="I16:L16"/>
    <mergeCell ref="M16:P16"/>
    <mergeCell ref="Q16:T16"/>
    <mergeCell ref="U16:X16"/>
    <mergeCell ref="I17:L17"/>
    <mergeCell ref="M21:P21"/>
    <mergeCell ref="Q21:T21"/>
    <mergeCell ref="U21:X21"/>
    <mergeCell ref="I22:L22"/>
    <mergeCell ref="M22:P22"/>
    <mergeCell ref="Q22:T22"/>
    <mergeCell ref="U22:X22"/>
    <mergeCell ref="I19:L19"/>
    <mergeCell ref="M19:P19"/>
    <mergeCell ref="Q19:T19"/>
    <mergeCell ref="U19:X19"/>
    <mergeCell ref="I20:L20"/>
    <mergeCell ref="M20:P20"/>
    <mergeCell ref="Q20:T20"/>
    <mergeCell ref="U20:X20"/>
    <mergeCell ref="I21:L21"/>
    <mergeCell ref="M25:P25"/>
    <mergeCell ref="Q25:T25"/>
    <mergeCell ref="U25:X25"/>
    <mergeCell ref="I26:L26"/>
    <mergeCell ref="M26:P26"/>
    <mergeCell ref="Q26:T26"/>
    <mergeCell ref="U26:X26"/>
    <mergeCell ref="I23:L23"/>
    <mergeCell ref="M23:P23"/>
    <mergeCell ref="Q23:T23"/>
    <mergeCell ref="U23:X23"/>
    <mergeCell ref="I24:L24"/>
    <mergeCell ref="M24:P24"/>
    <mergeCell ref="Q24:T24"/>
    <mergeCell ref="U24:X24"/>
    <mergeCell ref="I25:L25"/>
    <mergeCell ref="M29:P29"/>
    <mergeCell ref="Q29:T29"/>
    <mergeCell ref="U29:X29"/>
    <mergeCell ref="I30:L30"/>
    <mergeCell ref="M30:P30"/>
    <mergeCell ref="Q30:T30"/>
    <mergeCell ref="U30:X30"/>
    <mergeCell ref="I27:L27"/>
    <mergeCell ref="M27:P27"/>
    <mergeCell ref="Q27:T27"/>
    <mergeCell ref="U27:X27"/>
    <mergeCell ref="I28:L28"/>
    <mergeCell ref="M28:P28"/>
    <mergeCell ref="Q28:T28"/>
    <mergeCell ref="U28:X28"/>
    <mergeCell ref="I29:L29"/>
    <mergeCell ref="M33:P33"/>
    <mergeCell ref="Q33:T33"/>
    <mergeCell ref="U33:X33"/>
    <mergeCell ref="I34:L34"/>
    <mergeCell ref="M34:P34"/>
    <mergeCell ref="Q34:T34"/>
    <mergeCell ref="U34:X34"/>
    <mergeCell ref="I31:L31"/>
    <mergeCell ref="M31:P31"/>
    <mergeCell ref="Q31:T31"/>
    <mergeCell ref="U31:X31"/>
    <mergeCell ref="I32:L32"/>
    <mergeCell ref="M32:P32"/>
    <mergeCell ref="Q32:T32"/>
    <mergeCell ref="U32:X32"/>
    <mergeCell ref="I33:L33"/>
    <mergeCell ref="M37:P37"/>
    <mergeCell ref="Q37:T37"/>
    <mergeCell ref="U37:X37"/>
    <mergeCell ref="I38:L38"/>
    <mergeCell ref="M38:P38"/>
    <mergeCell ref="Q38:T38"/>
    <mergeCell ref="U38:X38"/>
    <mergeCell ref="I35:L35"/>
    <mergeCell ref="M35:P35"/>
    <mergeCell ref="Q35:T35"/>
    <mergeCell ref="U35:X35"/>
    <mergeCell ref="I36:L36"/>
    <mergeCell ref="M36:P36"/>
    <mergeCell ref="Q36:T36"/>
    <mergeCell ref="U36:X36"/>
    <mergeCell ref="I37:L37"/>
    <mergeCell ref="M41:P41"/>
    <mergeCell ref="Q41:T41"/>
    <mergeCell ref="U41:X41"/>
    <mergeCell ref="I42:L42"/>
    <mergeCell ref="M42:P42"/>
    <mergeCell ref="Q42:T42"/>
    <mergeCell ref="U42:X42"/>
    <mergeCell ref="I39:L39"/>
    <mergeCell ref="M39:P39"/>
    <mergeCell ref="Q39:T39"/>
    <mergeCell ref="U39:X39"/>
    <mergeCell ref="I40:L40"/>
    <mergeCell ref="M40:P40"/>
    <mergeCell ref="Q40:T40"/>
    <mergeCell ref="U40:X40"/>
    <mergeCell ref="I41:L41"/>
    <mergeCell ref="Q46:T46"/>
    <mergeCell ref="U46:X46"/>
    <mergeCell ref="I43:L43"/>
    <mergeCell ref="M43:P43"/>
    <mergeCell ref="Q43:T43"/>
    <mergeCell ref="U43:X43"/>
    <mergeCell ref="I44:L44"/>
    <mergeCell ref="M44:P44"/>
    <mergeCell ref="Q44:T44"/>
    <mergeCell ref="U44:X44"/>
    <mergeCell ref="I45:L45"/>
    <mergeCell ref="M45:P45"/>
    <mergeCell ref="Q45:T45"/>
    <mergeCell ref="U45:X45"/>
    <mergeCell ref="I46:L46"/>
    <mergeCell ref="M46:P46"/>
    <mergeCell ref="M49:P49"/>
    <mergeCell ref="Q49:T49"/>
    <mergeCell ref="U49:X49"/>
    <mergeCell ref="I50:L50"/>
    <mergeCell ref="M50:P50"/>
    <mergeCell ref="Q50:T50"/>
    <mergeCell ref="U50:X50"/>
    <mergeCell ref="I47:L47"/>
    <mergeCell ref="M47:P47"/>
    <mergeCell ref="Q47:T47"/>
    <mergeCell ref="U47:X47"/>
    <mergeCell ref="I48:L48"/>
    <mergeCell ref="M48:P48"/>
    <mergeCell ref="Q48:T48"/>
    <mergeCell ref="U48:X48"/>
    <mergeCell ref="I49:L49"/>
    <mergeCell ref="M51:P51"/>
    <mergeCell ref="Q51:T51"/>
    <mergeCell ref="U51:X51"/>
    <mergeCell ref="I52:L52"/>
    <mergeCell ref="M52:P52"/>
    <mergeCell ref="Q52:T52"/>
    <mergeCell ref="U52:X52"/>
    <mergeCell ref="I53:L53"/>
    <mergeCell ref="I55:L55"/>
    <mergeCell ref="M55:P55"/>
    <mergeCell ref="Q55:T55"/>
    <mergeCell ref="U55:X55"/>
    <mergeCell ref="I51:L51"/>
    <mergeCell ref="M56:P56"/>
    <mergeCell ref="Q56:T56"/>
    <mergeCell ref="U56:X56"/>
    <mergeCell ref="M53:P53"/>
    <mergeCell ref="Q53:T53"/>
    <mergeCell ref="U53:X53"/>
    <mergeCell ref="I54:L54"/>
    <mergeCell ref="M54:P54"/>
    <mergeCell ref="Q54:T54"/>
    <mergeCell ref="U54:X54"/>
    <mergeCell ref="I56:L56"/>
    <mergeCell ref="I64:L64"/>
    <mergeCell ref="M64:P64"/>
    <mergeCell ref="Q64:T64"/>
    <mergeCell ref="U64:X64"/>
    <mergeCell ref="E66:H66"/>
    <mergeCell ref="I57:L57"/>
    <mergeCell ref="M57:P57"/>
    <mergeCell ref="Q57:T57"/>
    <mergeCell ref="U57:X57"/>
    <mergeCell ref="I58:L58"/>
    <mergeCell ref="M58:P58"/>
    <mergeCell ref="Q58:T58"/>
    <mergeCell ref="U58:X58"/>
    <mergeCell ref="I59:L59"/>
    <mergeCell ref="M59:P59"/>
    <mergeCell ref="Q59:T59"/>
    <mergeCell ref="U59:X59"/>
    <mergeCell ref="E63:H63"/>
    <mergeCell ref="E59:H59"/>
    <mergeCell ref="E60:H60"/>
    <mergeCell ref="E61:H61"/>
    <mergeCell ref="E62:H62"/>
    <mergeCell ref="I60:L60"/>
    <mergeCell ref="M60:P60"/>
    <mergeCell ref="Q60:T60"/>
    <mergeCell ref="U60:X60"/>
    <mergeCell ref="M63:P63"/>
    <mergeCell ref="Q63:T63"/>
    <mergeCell ref="U63:X63"/>
    <mergeCell ref="I61:L61"/>
    <mergeCell ref="M61:P61"/>
    <mergeCell ref="Q61:T61"/>
    <mergeCell ref="U61:X61"/>
    <mergeCell ref="I62:L62"/>
    <mergeCell ref="M62:P62"/>
    <mergeCell ref="Q62:T62"/>
    <mergeCell ref="U62:X62"/>
    <mergeCell ref="I63:L63"/>
    <mergeCell ref="Q77:T77"/>
    <mergeCell ref="I65:L65"/>
    <mergeCell ref="M65:P65"/>
    <mergeCell ref="Q65:T65"/>
    <mergeCell ref="Q82:T82"/>
    <mergeCell ref="U82:X82"/>
    <mergeCell ref="B73:D73"/>
    <mergeCell ref="E69:H69"/>
    <mergeCell ref="M69:P69"/>
    <mergeCell ref="Q69:T69"/>
    <mergeCell ref="U69:X69"/>
    <mergeCell ref="I70:L70"/>
    <mergeCell ref="M70:P70"/>
    <mergeCell ref="Q70:T70"/>
    <mergeCell ref="U70:X70"/>
    <mergeCell ref="E70:H70"/>
    <mergeCell ref="I69:L69"/>
    <mergeCell ref="U73:X73"/>
    <mergeCell ref="E72:L72"/>
    <mergeCell ref="E73:L73"/>
    <mergeCell ref="U65:X65"/>
    <mergeCell ref="Q72:T72"/>
    <mergeCell ref="U68:X68"/>
    <mergeCell ref="E74:L74"/>
    <mergeCell ref="E67:H67"/>
    <mergeCell ref="E68:H68"/>
    <mergeCell ref="Q73:T73"/>
    <mergeCell ref="Q74:T74"/>
    <mergeCell ref="I66:L66"/>
    <mergeCell ref="M66:P66"/>
    <mergeCell ref="Q66:T66"/>
    <mergeCell ref="U66:X66"/>
    <mergeCell ref="I67:L67"/>
    <mergeCell ref="M67:P67"/>
    <mergeCell ref="Q67:T67"/>
    <mergeCell ref="U67:X67"/>
    <mergeCell ref="I68:L68"/>
    <mergeCell ref="M68:P68"/>
    <mergeCell ref="Q68:T68"/>
    <mergeCell ref="U74:X74"/>
    <mergeCell ref="M72:P72"/>
    <mergeCell ref="M73:P73"/>
    <mergeCell ref="B78:D78"/>
    <mergeCell ref="U80:X80"/>
    <mergeCell ref="E81:H81"/>
    <mergeCell ref="I81:L81"/>
    <mergeCell ref="M81:P81"/>
    <mergeCell ref="Q81:T81"/>
    <mergeCell ref="U81:X81"/>
    <mergeCell ref="B75:D75"/>
    <mergeCell ref="B74:D74"/>
    <mergeCell ref="B79:D84"/>
    <mergeCell ref="M75:P75"/>
    <mergeCell ref="M78:P78"/>
    <mergeCell ref="B76:D76"/>
    <mergeCell ref="M83:P83"/>
    <mergeCell ref="E84:H84"/>
    <mergeCell ref="I84:L84"/>
    <mergeCell ref="M84:P84"/>
    <mergeCell ref="E82:H82"/>
    <mergeCell ref="E83:H83"/>
    <mergeCell ref="I82:L82"/>
    <mergeCell ref="M74:P74"/>
    <mergeCell ref="U76:X76"/>
    <mergeCell ref="U75:X75"/>
    <mergeCell ref="Q75:T75"/>
    <mergeCell ref="Q84:T84"/>
    <mergeCell ref="U84:X84"/>
    <mergeCell ref="M82:P82"/>
    <mergeCell ref="Q83:T83"/>
    <mergeCell ref="U83:X83"/>
    <mergeCell ref="E75:L75"/>
    <mergeCell ref="E76:L76"/>
    <mergeCell ref="E77:L77"/>
    <mergeCell ref="E78:L78"/>
    <mergeCell ref="E80:H80"/>
    <mergeCell ref="I80:L80"/>
    <mergeCell ref="M80:P80"/>
    <mergeCell ref="Q80:T80"/>
    <mergeCell ref="M76:P76"/>
    <mergeCell ref="U78:X78"/>
    <mergeCell ref="Q78:T78"/>
    <mergeCell ref="U79:X79"/>
    <mergeCell ref="E79:H79"/>
    <mergeCell ref="I79:L79"/>
    <mergeCell ref="M79:P79"/>
    <mergeCell ref="Q79:T79"/>
    <mergeCell ref="I83:L83"/>
    <mergeCell ref="Q76:T76"/>
    <mergeCell ref="U77:X77"/>
  </mergeCells>
  <dataValidations count="3">
    <dataValidation type="list" allowBlank="1" showInputMessage="1" sqref="E76:E77 U76:X77 M77:T77" xr:uid="{E860EEAB-D790-494E-84F5-3B63564D030C}">
      <formula1>OFFSET(vehicle,0,0,ROWS(vehicle)-COUNTIF(vehicle,""))</formula1>
    </dataValidation>
    <dataValidation type="list" allowBlank="1" showInputMessage="1" sqref="U75:X75" xr:uid="{E603B755-ADE9-42DB-9C6C-DA760055BA61}">
      <formula1>vehicle</formula1>
    </dataValidation>
    <dataValidation allowBlank="1" showInputMessage="1" sqref="E75 M75:T75 E72:X72" xr:uid="{5974EDF0-8597-4715-8E43-55C3D2FBFDEA}"/>
  </dataValidations>
  <printOptions horizontalCentered="1" verticalCentered="1"/>
  <pageMargins left="0.39370078740157483" right="0.39370078740157483" top="0.23622047244094491" bottom="0.23622047244094491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AF01C4-5AF6-477D-96D2-FFEB283CB282}">
          <x14:formula1>
            <xm:f>'Reference Data'!$C$2:$C$12</xm:f>
          </x14:formula1>
          <xm:sqref>F3:H3</xm:sqref>
        </x14:dataValidation>
        <x14:dataValidation type="list" allowBlank="1" showInputMessage="1" showErrorMessage="1" xr:uid="{EFE4954D-23BB-40CB-86CA-B682D795D416}">
          <x14:formula1>
            <xm:f>'Reference Data'!$A$2:$A$131</xm:f>
          </x14:formula1>
          <xm:sqref>N3:Q3</xm:sqref>
        </x14:dataValidation>
        <x14:dataValidation type="list" allowBlank="1" showInputMessage="1" xr:uid="{2E512BE2-F2C6-4138-9DDF-B4EEA7545399}">
          <x14:formula1>
            <xm:f>Personel!$F$2:$F$64</xm:f>
          </x14:formula1>
          <xm:sqref>E79:X84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3135-7052-491C-9AF0-CA77D11E75FA}">
  <sheetPr codeName="Sheet4">
    <tabColor theme="0"/>
    <pageSetUpPr fitToPage="1"/>
  </sheetPr>
  <dimension ref="A1:AS87"/>
  <sheetViews>
    <sheetView showGridLines="0" zoomScale="94" zoomScaleNormal="100" workbookViewId="0">
      <selection activeCell="Q72" sqref="Q72:T72"/>
    </sheetView>
  </sheetViews>
  <sheetFormatPr defaultColWidth="4.7109375" defaultRowHeight="16.899999999999999"/>
  <cols>
    <col min="1" max="1" width="1.7109375" style="3" customWidth="1"/>
    <col min="2" max="4" width="5.42578125" style="3" customWidth="1"/>
    <col min="5" max="24" width="5.7109375" style="3" customWidth="1"/>
    <col min="25" max="25" width="1.7109375" style="3" customWidth="1"/>
    <col min="26" max="26" width="20.140625" style="3" customWidth="1"/>
    <col min="27" max="28" width="3.7109375" style="3" customWidth="1"/>
    <col min="29" max="29" width="4.42578125" style="3" customWidth="1"/>
    <col min="30" max="32" width="4.7109375" style="3"/>
    <col min="33" max="33" width="5" style="3" customWidth="1"/>
    <col min="34" max="16384" width="4.7109375" style="3"/>
  </cols>
  <sheetData>
    <row r="1" spans="1:25" ht="6" customHeight="1">
      <c r="A1" s="1"/>
      <c r="B1" s="56"/>
      <c r="C1" s="52"/>
      <c r="D1" s="52"/>
      <c r="E1" s="52"/>
      <c r="F1" s="52"/>
      <c r="G1" s="52"/>
      <c r="H1" s="52"/>
      <c r="I1" s="54"/>
      <c r="J1" s="52"/>
      <c r="K1" s="52"/>
      <c r="L1" s="52"/>
      <c r="M1" s="52"/>
      <c r="N1" s="52"/>
      <c r="O1" s="52"/>
      <c r="P1" s="52"/>
      <c r="Q1" s="54"/>
      <c r="R1" s="52"/>
      <c r="S1" s="52"/>
      <c r="T1" s="52"/>
      <c r="U1" s="52"/>
      <c r="V1" s="2"/>
      <c r="W1" s="52"/>
      <c r="X1" s="52"/>
      <c r="Y1" s="50"/>
    </row>
    <row r="2" spans="1:25" ht="55.5" customHeight="1">
      <c r="A2" s="1"/>
      <c r="B2" s="5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53"/>
      <c r="W2" s="1"/>
      <c r="X2" s="51"/>
      <c r="Y2" s="1"/>
    </row>
    <row r="3" spans="1:25" s="6" customFormat="1">
      <c r="A3" s="4"/>
      <c r="B3" s="547" t="s">
        <v>3</v>
      </c>
      <c r="C3" s="547"/>
      <c r="D3" s="547"/>
      <c r="E3" s="547"/>
      <c r="F3" s="543"/>
      <c r="G3" s="543"/>
      <c r="H3" s="543"/>
      <c r="I3" s="5"/>
      <c r="J3" s="547" t="s">
        <v>5</v>
      </c>
      <c r="K3" s="547"/>
      <c r="L3" s="547"/>
      <c r="M3" s="547"/>
      <c r="N3" s="543"/>
      <c r="O3" s="543"/>
      <c r="P3" s="543"/>
      <c r="Q3" s="543"/>
      <c r="R3" s="5"/>
      <c r="S3" s="547" t="s">
        <v>10</v>
      </c>
      <c r="T3" s="547"/>
      <c r="U3" s="543"/>
      <c r="V3" s="543"/>
      <c r="W3" s="543"/>
      <c r="X3" s="544"/>
      <c r="Y3" s="57"/>
    </row>
    <row r="4" spans="1:25" customFormat="1" ht="15" thickBot="1"/>
    <row r="5" spans="1:25" customFormat="1" ht="14.45" hidden="1">
      <c r="E5" s="529" t="str">
        <f>Personel!F2</f>
        <v>Rafael Villagomez</v>
      </c>
      <c r="F5" s="529"/>
      <c r="G5" s="529"/>
      <c r="H5" s="529"/>
      <c r="I5" s="529" t="str">
        <f>Personel!F2</f>
        <v>Rafael Villagomez</v>
      </c>
      <c r="J5" s="529"/>
      <c r="K5" s="529"/>
      <c r="L5" s="529"/>
      <c r="M5" s="529" t="str">
        <f>Personel!F2</f>
        <v>Rafael Villagomez</v>
      </c>
      <c r="N5" s="529"/>
      <c r="O5" s="529"/>
      <c r="P5" s="529"/>
      <c r="Q5" s="529" t="str">
        <f>Personel!F2</f>
        <v>Rafael Villagomez</v>
      </c>
      <c r="R5" s="529"/>
      <c r="S5" s="529"/>
      <c r="T5" s="529"/>
      <c r="U5" s="529" t="str">
        <f>Personel!F2</f>
        <v>Rafael Villagomez</v>
      </c>
      <c r="V5" s="529"/>
      <c r="W5" s="529"/>
      <c r="X5" s="529"/>
    </row>
    <row r="6" spans="1:25" customFormat="1" ht="14.45" hidden="1">
      <c r="E6" s="529">
        <f>Personel!F3</f>
        <v>0</v>
      </c>
      <c r="F6" s="529"/>
      <c r="G6" s="529"/>
      <c r="H6" s="529"/>
      <c r="I6" s="529">
        <f>Personel!F3</f>
        <v>0</v>
      </c>
      <c r="J6" s="529"/>
      <c r="K6" s="529"/>
      <c r="L6" s="529"/>
      <c r="M6" s="529">
        <f>Personel!F3</f>
        <v>0</v>
      </c>
      <c r="N6" s="529"/>
      <c r="O6" s="529"/>
      <c r="P6" s="529"/>
      <c r="Q6" s="529">
        <f>Personel!F3</f>
        <v>0</v>
      </c>
      <c r="R6" s="529"/>
      <c r="S6" s="529"/>
      <c r="T6" s="529"/>
      <c r="U6" s="529">
        <f>Personel!F3</f>
        <v>0</v>
      </c>
      <c r="V6" s="529"/>
      <c r="W6" s="529"/>
      <c r="X6" s="529"/>
    </row>
    <row r="7" spans="1:25" customFormat="1" ht="14.45" hidden="1">
      <c r="E7" s="529">
        <f>Personel!F4</f>
        <v>0</v>
      </c>
      <c r="F7" s="529"/>
      <c r="G7" s="529"/>
      <c r="H7" s="529"/>
      <c r="I7" s="529">
        <f>Personel!F4</f>
        <v>0</v>
      </c>
      <c r="J7" s="529"/>
      <c r="K7" s="529"/>
      <c r="L7" s="529"/>
      <c r="M7" s="529">
        <f>Personel!F4</f>
        <v>0</v>
      </c>
      <c r="N7" s="529"/>
      <c r="O7" s="529"/>
      <c r="P7" s="529"/>
      <c r="Q7" s="529">
        <f>Personel!F4</f>
        <v>0</v>
      </c>
      <c r="R7" s="529"/>
      <c r="S7" s="529"/>
      <c r="T7" s="529"/>
      <c r="U7" s="529">
        <f>Personel!F4</f>
        <v>0</v>
      </c>
      <c r="V7" s="529"/>
      <c r="W7" s="529"/>
      <c r="X7" s="529"/>
    </row>
    <row r="8" spans="1:25" customFormat="1" ht="14.45" hidden="1">
      <c r="E8" s="529">
        <f>Personel!F5</f>
        <v>0</v>
      </c>
      <c r="F8" s="529"/>
      <c r="G8" s="529"/>
      <c r="H8" s="529"/>
      <c r="I8" s="529">
        <f>Personel!F5</f>
        <v>0</v>
      </c>
      <c r="J8" s="529"/>
      <c r="K8" s="529"/>
      <c r="L8" s="529"/>
      <c r="M8" s="529">
        <f>Personel!F5</f>
        <v>0</v>
      </c>
      <c r="N8" s="529"/>
      <c r="O8" s="529"/>
      <c r="P8" s="529"/>
      <c r="Q8" s="529">
        <f>Personel!F5</f>
        <v>0</v>
      </c>
      <c r="R8" s="529"/>
      <c r="S8" s="529"/>
      <c r="T8" s="529"/>
      <c r="U8" s="529">
        <f>Personel!F5</f>
        <v>0</v>
      </c>
      <c r="V8" s="529"/>
      <c r="W8" s="529"/>
      <c r="X8" s="529"/>
    </row>
    <row r="9" spans="1:25" customFormat="1" ht="14.45" hidden="1">
      <c r="E9" s="529">
        <f>Personel!F6</f>
        <v>0</v>
      </c>
      <c r="F9" s="529"/>
      <c r="G9" s="529"/>
      <c r="H9" s="529"/>
      <c r="I9" s="529">
        <f>Personel!F6</f>
        <v>0</v>
      </c>
      <c r="J9" s="529"/>
      <c r="K9" s="529"/>
      <c r="L9" s="529"/>
      <c r="M9" s="529">
        <f>Personel!F6</f>
        <v>0</v>
      </c>
      <c r="N9" s="529"/>
      <c r="O9" s="529"/>
      <c r="P9" s="529"/>
      <c r="Q9" s="529">
        <f>Personel!F6</f>
        <v>0</v>
      </c>
      <c r="R9" s="529"/>
      <c r="S9" s="529"/>
      <c r="T9" s="529"/>
      <c r="U9" s="529">
        <f>Personel!F6</f>
        <v>0</v>
      </c>
      <c r="V9" s="529"/>
      <c r="W9" s="529"/>
      <c r="X9" s="529"/>
    </row>
    <row r="10" spans="1:25" customFormat="1" ht="14.45" hidden="1">
      <c r="E10" s="529" t="str">
        <f>Personel!F7</f>
        <v>Peter van Leeuwen</v>
      </c>
      <c r="F10" s="529"/>
      <c r="G10" s="529"/>
      <c r="H10" s="529"/>
      <c r="I10" s="529" t="str">
        <f>Personel!F7</f>
        <v>Peter van Leeuwen</v>
      </c>
      <c r="J10" s="529"/>
      <c r="K10" s="529"/>
      <c r="L10" s="529"/>
      <c r="M10" s="529" t="str">
        <f>Personel!F7</f>
        <v>Peter van Leeuwen</v>
      </c>
      <c r="N10" s="529"/>
      <c r="O10" s="529"/>
      <c r="P10" s="529"/>
      <c r="Q10" s="529" t="str">
        <f>Personel!F7</f>
        <v>Peter van Leeuwen</v>
      </c>
      <c r="R10" s="529"/>
      <c r="S10" s="529"/>
      <c r="T10" s="529"/>
      <c r="U10" s="529" t="str">
        <f>Personel!F7</f>
        <v>Peter van Leeuwen</v>
      </c>
      <c r="V10" s="529"/>
      <c r="W10" s="529"/>
      <c r="X10" s="529"/>
    </row>
    <row r="11" spans="1:25" customFormat="1" ht="14.45" hidden="1">
      <c r="E11" s="529" t="str">
        <f>Personel!F8</f>
        <v>Felix van Delft</v>
      </c>
      <c r="F11" s="529"/>
      <c r="G11" s="529"/>
      <c r="H11" s="529"/>
      <c r="I11" s="529" t="str">
        <f>Personel!F8</f>
        <v>Felix van Delft</v>
      </c>
      <c r="J11" s="529"/>
      <c r="K11" s="529"/>
      <c r="L11" s="529"/>
      <c r="M11" s="529" t="str">
        <f>Personel!F8</f>
        <v>Felix van Delft</v>
      </c>
      <c r="N11" s="529"/>
      <c r="O11" s="529"/>
      <c r="P11" s="529"/>
      <c r="Q11" s="529" t="str">
        <f>Personel!F8</f>
        <v>Felix van Delft</v>
      </c>
      <c r="R11" s="529"/>
      <c r="S11" s="529"/>
      <c r="T11" s="529"/>
      <c r="U11" s="529" t="str">
        <f>Personel!F8</f>
        <v>Felix van Delft</v>
      </c>
      <c r="V11" s="529"/>
      <c r="W11" s="529"/>
      <c r="X11" s="529"/>
    </row>
    <row r="12" spans="1:25" customFormat="1" ht="14.45" hidden="1">
      <c r="E12" s="529" t="str">
        <f>Personel!F9</f>
        <v>Carlo Ruffo</v>
      </c>
      <c r="F12" s="529"/>
      <c r="G12" s="529"/>
      <c r="H12" s="529"/>
      <c r="I12" s="529" t="str">
        <f>Personel!F9</f>
        <v>Carlo Ruffo</v>
      </c>
      <c r="J12" s="529"/>
      <c r="K12" s="529"/>
      <c r="L12" s="529"/>
      <c r="M12" s="529" t="str">
        <f>Personel!F9</f>
        <v>Carlo Ruffo</v>
      </c>
      <c r="N12" s="529"/>
      <c r="O12" s="529"/>
      <c r="P12" s="529"/>
      <c r="Q12" s="529" t="str">
        <f>Personel!F9</f>
        <v>Carlo Ruffo</v>
      </c>
      <c r="R12" s="529"/>
      <c r="S12" s="529"/>
      <c r="T12" s="529"/>
      <c r="U12" s="529" t="str">
        <f>Personel!F9</f>
        <v>Carlo Ruffo</v>
      </c>
      <c r="V12" s="529"/>
      <c r="W12" s="529"/>
      <c r="X12" s="529"/>
    </row>
    <row r="13" spans="1:25" customFormat="1" ht="14.45" hidden="1">
      <c r="E13" s="529" t="str">
        <f>Personel!F10</f>
        <v>Pavel Gellner</v>
      </c>
      <c r="F13" s="529"/>
      <c r="G13" s="529"/>
      <c r="H13" s="529"/>
      <c r="I13" s="529" t="str">
        <f>Personel!F10</f>
        <v>Pavel Gellner</v>
      </c>
      <c r="J13" s="529"/>
      <c r="K13" s="529"/>
      <c r="L13" s="529"/>
      <c r="M13" s="529" t="str">
        <f>Personel!F10</f>
        <v>Pavel Gellner</v>
      </c>
      <c r="N13" s="529"/>
      <c r="O13" s="529"/>
      <c r="P13" s="529"/>
      <c r="Q13" s="529" t="str">
        <f>Personel!F10</f>
        <v>Pavel Gellner</v>
      </c>
      <c r="R13" s="529"/>
      <c r="S13" s="529"/>
      <c r="T13" s="529"/>
      <c r="U13" s="529" t="str">
        <f>Personel!F10</f>
        <v>Pavel Gellner</v>
      </c>
      <c r="V13" s="529"/>
      <c r="W13" s="529"/>
      <c r="X13" s="529"/>
    </row>
    <row r="14" spans="1:25" customFormat="1" ht="14.45" hidden="1">
      <c r="E14" s="529" t="str">
        <f>Personel!F11</f>
        <v>Maarten van der Poel</v>
      </c>
      <c r="F14" s="529"/>
      <c r="G14" s="529"/>
      <c r="H14" s="529"/>
      <c r="I14" s="529" t="str">
        <f>Personel!F11</f>
        <v>Maarten van der Poel</v>
      </c>
      <c r="J14" s="529"/>
      <c r="K14" s="529"/>
      <c r="L14" s="529"/>
      <c r="M14" s="529" t="str">
        <f>Personel!F11</f>
        <v>Maarten van der Poel</v>
      </c>
      <c r="N14" s="529"/>
      <c r="O14" s="529"/>
      <c r="P14" s="529"/>
      <c r="Q14" s="529" t="str">
        <f>Personel!F11</f>
        <v>Maarten van der Poel</v>
      </c>
      <c r="R14" s="529"/>
      <c r="S14" s="529"/>
      <c r="T14" s="529"/>
      <c r="U14" s="529" t="str">
        <f>Personel!F11</f>
        <v>Maarten van der Poel</v>
      </c>
      <c r="V14" s="529"/>
      <c r="W14" s="529"/>
      <c r="X14" s="529"/>
    </row>
    <row r="15" spans="1:25" customFormat="1" ht="14.45" hidden="1">
      <c r="E15" s="529" t="str">
        <f>Personel!F12</f>
        <v>Daniel Blackledge</v>
      </c>
      <c r="F15" s="529"/>
      <c r="G15" s="529"/>
      <c r="H15" s="529"/>
      <c r="I15" s="529" t="str">
        <f>Personel!F12</f>
        <v>Daniel Blackledge</v>
      </c>
      <c r="J15" s="529"/>
      <c r="K15" s="529"/>
      <c r="L15" s="529"/>
      <c r="M15" s="529" t="str">
        <f>Personel!F12</f>
        <v>Daniel Blackledge</v>
      </c>
      <c r="N15" s="529"/>
      <c r="O15" s="529"/>
      <c r="P15" s="529"/>
      <c r="Q15" s="529" t="str">
        <f>Personel!F12</f>
        <v>Daniel Blackledge</v>
      </c>
      <c r="R15" s="529"/>
      <c r="S15" s="529"/>
      <c r="T15" s="529"/>
      <c r="U15" s="529" t="str">
        <f>Personel!F12</f>
        <v>Daniel Blackledge</v>
      </c>
      <c r="V15" s="529"/>
      <c r="W15" s="529"/>
      <c r="X15" s="529"/>
    </row>
    <row r="16" spans="1:25" customFormat="1" ht="14.45" hidden="1">
      <c r="E16" s="529" t="str">
        <f>Personel!F13</f>
        <v>Rick Janse</v>
      </c>
      <c r="F16" s="529"/>
      <c r="G16" s="529"/>
      <c r="H16" s="529"/>
      <c r="I16" s="529" t="str">
        <f>Personel!F13</f>
        <v>Rick Janse</v>
      </c>
      <c r="J16" s="529"/>
      <c r="K16" s="529"/>
      <c r="L16" s="529"/>
      <c r="M16" s="529" t="str">
        <f>Personel!F13</f>
        <v>Rick Janse</v>
      </c>
      <c r="N16" s="529"/>
      <c r="O16" s="529"/>
      <c r="P16" s="529"/>
      <c r="Q16" s="529" t="str">
        <f>Personel!F13</f>
        <v>Rick Janse</v>
      </c>
      <c r="R16" s="529"/>
      <c r="S16" s="529"/>
      <c r="T16" s="529"/>
      <c r="U16" s="529" t="str">
        <f>Personel!F13</f>
        <v>Rick Janse</v>
      </c>
      <c r="V16" s="529"/>
      <c r="W16" s="529"/>
      <c r="X16" s="529"/>
    </row>
    <row r="17" spans="5:24" customFormat="1" ht="14.45" hidden="1">
      <c r="E17" s="529" t="str">
        <f>Personel!F14</f>
        <v>Roel Van De Voorde</v>
      </c>
      <c r="F17" s="529"/>
      <c r="G17" s="529"/>
      <c r="H17" s="529"/>
      <c r="I17" s="529" t="str">
        <f>Personel!F14</f>
        <v>Roel Van De Voorde</v>
      </c>
      <c r="J17" s="529"/>
      <c r="K17" s="529"/>
      <c r="L17" s="529"/>
      <c r="M17" s="529" t="str">
        <f>Personel!F14</f>
        <v>Roel Van De Voorde</v>
      </c>
      <c r="N17" s="529"/>
      <c r="O17" s="529"/>
      <c r="P17" s="529"/>
      <c r="Q17" s="529" t="str">
        <f>Personel!F14</f>
        <v>Roel Van De Voorde</v>
      </c>
      <c r="R17" s="529"/>
      <c r="S17" s="529"/>
      <c r="T17" s="529"/>
      <c r="U17" s="529" t="str">
        <f>Personel!F14</f>
        <v>Roel Van De Voorde</v>
      </c>
      <c r="V17" s="529"/>
      <c r="W17" s="529"/>
      <c r="X17" s="529"/>
    </row>
    <row r="18" spans="5:24" customFormat="1" ht="14.45" hidden="1">
      <c r="E18" s="529" t="str">
        <f>Personel!F15</f>
        <v>Keyvan Yaghmai</v>
      </c>
      <c r="F18" s="529"/>
      <c r="G18" s="529"/>
      <c r="H18" s="529"/>
      <c r="I18" s="529" t="str">
        <f>Personel!F15</f>
        <v>Keyvan Yaghmai</v>
      </c>
      <c r="J18" s="529"/>
      <c r="K18" s="529"/>
      <c r="L18" s="529"/>
      <c r="M18" s="529" t="str">
        <f>Personel!F15</f>
        <v>Keyvan Yaghmai</v>
      </c>
      <c r="N18" s="529"/>
      <c r="O18" s="529"/>
      <c r="P18" s="529"/>
      <c r="Q18" s="529" t="str">
        <f>Personel!F15</f>
        <v>Keyvan Yaghmai</v>
      </c>
      <c r="R18" s="529"/>
      <c r="S18" s="529"/>
      <c r="T18" s="529"/>
      <c r="U18" s="529" t="str">
        <f>Personel!F15</f>
        <v>Keyvan Yaghmai</v>
      </c>
      <c r="V18" s="529"/>
      <c r="W18" s="529"/>
      <c r="X18" s="529"/>
    </row>
    <row r="19" spans="5:24" customFormat="1" ht="14.45" hidden="1">
      <c r="E19" s="529" t="str">
        <f>Personel!F16</f>
        <v>Ashley Blewett</v>
      </c>
      <c r="F19" s="529"/>
      <c r="G19" s="529"/>
      <c r="H19" s="529"/>
      <c r="I19" s="529" t="str">
        <f>Personel!F16</f>
        <v>Ashley Blewett</v>
      </c>
      <c r="J19" s="529"/>
      <c r="K19" s="529"/>
      <c r="L19" s="529"/>
      <c r="M19" s="529" t="str">
        <f>Personel!F16</f>
        <v>Ashley Blewett</v>
      </c>
      <c r="N19" s="529"/>
      <c r="O19" s="529"/>
      <c r="P19" s="529"/>
      <c r="Q19" s="529" t="str">
        <f>Personel!F16</f>
        <v>Ashley Blewett</v>
      </c>
      <c r="R19" s="529"/>
      <c r="S19" s="529"/>
      <c r="T19" s="529"/>
      <c r="U19" s="529" t="str">
        <f>Personel!F16</f>
        <v>Ashley Blewett</v>
      </c>
      <c r="V19" s="529"/>
      <c r="W19" s="529"/>
      <c r="X19" s="529"/>
    </row>
    <row r="20" spans="5:24" customFormat="1" ht="14.45" hidden="1">
      <c r="E20" s="529" t="str">
        <f>Personel!F17</f>
        <v>Mike Könst</v>
      </c>
      <c r="F20" s="529"/>
      <c r="G20" s="529"/>
      <c r="H20" s="529"/>
      <c r="I20" s="529" t="str">
        <f>Personel!F17</f>
        <v>Mike Könst</v>
      </c>
      <c r="J20" s="529"/>
      <c r="K20" s="529"/>
      <c r="L20" s="529"/>
      <c r="M20" s="529" t="str">
        <f>Personel!F17</f>
        <v>Mike Könst</v>
      </c>
      <c r="N20" s="529"/>
      <c r="O20" s="529"/>
      <c r="P20" s="529"/>
      <c r="Q20" s="529" t="str">
        <f>Personel!F17</f>
        <v>Mike Könst</v>
      </c>
      <c r="R20" s="529"/>
      <c r="S20" s="529"/>
      <c r="T20" s="529"/>
      <c r="U20" s="529" t="str">
        <f>Personel!F17</f>
        <v>Mike Könst</v>
      </c>
      <c r="V20" s="529"/>
      <c r="W20" s="529"/>
      <c r="X20" s="529"/>
    </row>
    <row r="21" spans="5:24" customFormat="1" ht="14.45" hidden="1">
      <c r="E21" s="529" t="str">
        <f>Personel!F18</f>
        <v>Fran Fernandez</v>
      </c>
      <c r="F21" s="529"/>
      <c r="G21" s="529"/>
      <c r="H21" s="529"/>
      <c r="I21" s="529" t="str">
        <f>Personel!F18</f>
        <v>Fran Fernandez</v>
      </c>
      <c r="J21" s="529"/>
      <c r="K21" s="529"/>
      <c r="L21" s="529"/>
      <c r="M21" s="529" t="str">
        <f>Personel!F18</f>
        <v>Fran Fernandez</v>
      </c>
      <c r="N21" s="529"/>
      <c r="O21" s="529"/>
      <c r="P21" s="529"/>
      <c r="Q21" s="529" t="str">
        <f>Personel!F18</f>
        <v>Fran Fernandez</v>
      </c>
      <c r="R21" s="529"/>
      <c r="S21" s="529"/>
      <c r="T21" s="529"/>
      <c r="U21" s="529" t="str">
        <f>Personel!F18</f>
        <v>Fran Fernandez</v>
      </c>
      <c r="V21" s="529"/>
      <c r="W21" s="529"/>
      <c r="X21" s="529"/>
    </row>
    <row r="22" spans="5:24" customFormat="1" ht="14.45" hidden="1">
      <c r="E22" s="529" t="str">
        <f>Personel!F19</f>
        <v>Atte Ahonen</v>
      </c>
      <c r="F22" s="529"/>
      <c r="G22" s="529"/>
      <c r="H22" s="529"/>
      <c r="I22" s="529" t="str">
        <f>Personel!F19</f>
        <v>Atte Ahonen</v>
      </c>
      <c r="J22" s="529"/>
      <c r="K22" s="529"/>
      <c r="L22" s="529"/>
      <c r="M22" s="529" t="str">
        <f>Personel!F19</f>
        <v>Atte Ahonen</v>
      </c>
      <c r="N22" s="529"/>
      <c r="O22" s="529"/>
      <c r="P22" s="529"/>
      <c r="Q22" s="529" t="str">
        <f>Personel!F19</f>
        <v>Atte Ahonen</v>
      </c>
      <c r="R22" s="529"/>
      <c r="S22" s="529"/>
      <c r="T22" s="529"/>
      <c r="U22" s="529" t="str">
        <f>Personel!F19</f>
        <v>Atte Ahonen</v>
      </c>
      <c r="V22" s="529"/>
      <c r="W22" s="529"/>
      <c r="X22" s="529"/>
    </row>
    <row r="23" spans="5:24" customFormat="1" ht="14.45" hidden="1">
      <c r="E23" s="529" t="str">
        <f>Personel!F20</f>
        <v>Paul Sicard</v>
      </c>
      <c r="F23" s="529"/>
      <c r="G23" s="529"/>
      <c r="H23" s="529"/>
      <c r="I23" s="529" t="str">
        <f>Personel!F20</f>
        <v>Paul Sicard</v>
      </c>
      <c r="J23" s="529"/>
      <c r="K23" s="529"/>
      <c r="L23" s="529"/>
      <c r="M23" s="529" t="str">
        <f>Personel!F20</f>
        <v>Paul Sicard</v>
      </c>
      <c r="N23" s="529"/>
      <c r="O23" s="529"/>
      <c r="P23" s="529"/>
      <c r="Q23" s="529" t="str">
        <f>Personel!F20</f>
        <v>Paul Sicard</v>
      </c>
      <c r="R23" s="529"/>
      <c r="S23" s="529"/>
      <c r="T23" s="529"/>
      <c r="U23" s="529" t="str">
        <f>Personel!F20</f>
        <v>Paul Sicard</v>
      </c>
      <c r="V23" s="529"/>
      <c r="W23" s="529"/>
      <c r="X23" s="529"/>
    </row>
    <row r="24" spans="5:24" customFormat="1" ht="14.45" hidden="1">
      <c r="E24" s="529" t="str">
        <f>Personel!F21</f>
        <v>Karel Bobisud</v>
      </c>
      <c r="F24" s="529"/>
      <c r="G24" s="529"/>
      <c r="H24" s="529"/>
      <c r="I24" s="529" t="str">
        <f>Personel!F21</f>
        <v>Karel Bobisud</v>
      </c>
      <c r="J24" s="529"/>
      <c r="K24" s="529"/>
      <c r="L24" s="529"/>
      <c r="M24" s="529" t="str">
        <f>Personel!F21</f>
        <v>Karel Bobisud</v>
      </c>
      <c r="N24" s="529"/>
      <c r="O24" s="529"/>
      <c r="P24" s="529"/>
      <c r="Q24" s="529" t="str">
        <f>Personel!F21</f>
        <v>Karel Bobisud</v>
      </c>
      <c r="R24" s="529"/>
      <c r="S24" s="529"/>
      <c r="T24" s="529"/>
      <c r="U24" s="529" t="str">
        <f>Personel!F21</f>
        <v>Karel Bobisud</v>
      </c>
      <c r="V24" s="529"/>
      <c r="W24" s="529"/>
      <c r="X24" s="529"/>
    </row>
    <row r="25" spans="5:24" customFormat="1" ht="14.45" hidden="1">
      <c r="E25" s="529" t="str">
        <f>Personel!F22</f>
        <v>Nick Toetenel</v>
      </c>
      <c r="F25" s="529"/>
      <c r="G25" s="529"/>
      <c r="H25" s="529"/>
      <c r="I25" s="529" t="str">
        <f>Personel!F22</f>
        <v>Nick Toetenel</v>
      </c>
      <c r="J25" s="529"/>
      <c r="K25" s="529"/>
      <c r="L25" s="529"/>
      <c r="M25" s="529" t="str">
        <f>Personel!F22</f>
        <v>Nick Toetenel</v>
      </c>
      <c r="N25" s="529"/>
      <c r="O25" s="529"/>
      <c r="P25" s="529"/>
      <c r="Q25" s="529" t="str">
        <f>Personel!F22</f>
        <v>Nick Toetenel</v>
      </c>
      <c r="R25" s="529"/>
      <c r="S25" s="529"/>
      <c r="T25" s="529"/>
      <c r="U25" s="529" t="str">
        <f>Personel!F22</f>
        <v>Nick Toetenel</v>
      </c>
      <c r="V25" s="529"/>
      <c r="W25" s="529"/>
      <c r="X25" s="529"/>
    </row>
    <row r="26" spans="5:24" customFormat="1" ht="14.45" hidden="1">
      <c r="E26" s="529" t="str">
        <f>Personel!F23</f>
        <v>Roberto Quintas Alvarez</v>
      </c>
      <c r="F26" s="529"/>
      <c r="G26" s="529"/>
      <c r="H26" s="529"/>
      <c r="I26" s="529" t="str">
        <f>Personel!F23</f>
        <v>Roberto Quintas Alvarez</v>
      </c>
      <c r="J26" s="529"/>
      <c r="K26" s="529"/>
      <c r="L26" s="529"/>
      <c r="M26" s="529" t="str">
        <f>Personel!F23</f>
        <v>Roberto Quintas Alvarez</v>
      </c>
      <c r="N26" s="529"/>
      <c r="O26" s="529"/>
      <c r="P26" s="529"/>
      <c r="Q26" s="529" t="str">
        <f>Personel!F23</f>
        <v>Roberto Quintas Alvarez</v>
      </c>
      <c r="R26" s="529"/>
      <c r="S26" s="529"/>
      <c r="T26" s="529"/>
      <c r="U26" s="529" t="str">
        <f>Personel!F23</f>
        <v>Roberto Quintas Alvarez</v>
      </c>
      <c r="V26" s="529"/>
      <c r="W26" s="529"/>
      <c r="X26" s="529"/>
    </row>
    <row r="27" spans="5:24" customFormat="1" ht="14.45" hidden="1">
      <c r="E27" s="529" t="str">
        <f>Personel!F24</f>
        <v>Ties Verrijt</v>
      </c>
      <c r="F27" s="529"/>
      <c r="G27" s="529"/>
      <c r="H27" s="529"/>
      <c r="I27" s="529" t="str">
        <f>Personel!F24</f>
        <v>Ties Verrijt</v>
      </c>
      <c r="J27" s="529"/>
      <c r="K27" s="529"/>
      <c r="L27" s="529"/>
      <c r="M27" s="529" t="str">
        <f>Personel!F24</f>
        <v>Ties Verrijt</v>
      </c>
      <c r="N27" s="529"/>
      <c r="O27" s="529"/>
      <c r="P27" s="529"/>
      <c r="Q27" s="529" t="str">
        <f>Personel!F24</f>
        <v>Ties Verrijt</v>
      </c>
      <c r="R27" s="529"/>
      <c r="S27" s="529"/>
      <c r="T27" s="529"/>
      <c r="U27" s="529" t="str">
        <f>Personel!F24</f>
        <v>Ties Verrijt</v>
      </c>
      <c r="V27" s="529"/>
      <c r="W27" s="529"/>
      <c r="X27" s="529"/>
    </row>
    <row r="28" spans="5:24" customFormat="1" ht="14.45" hidden="1">
      <c r="E28" s="529" t="str">
        <f>Personel!F25</f>
        <v>Niek van der Weijden</v>
      </c>
      <c r="F28" s="529"/>
      <c r="G28" s="529"/>
      <c r="H28" s="529"/>
      <c r="I28" s="529" t="str">
        <f>Personel!F25</f>
        <v>Niek van der Weijden</v>
      </c>
      <c r="J28" s="529"/>
      <c r="K28" s="529"/>
      <c r="L28" s="529"/>
      <c r="M28" s="529" t="str">
        <f>Personel!F25</f>
        <v>Niek van der Weijden</v>
      </c>
      <c r="N28" s="529"/>
      <c r="O28" s="529"/>
      <c r="P28" s="529"/>
      <c r="Q28" s="529" t="str">
        <f>Personel!F25</f>
        <v>Niek van der Weijden</v>
      </c>
      <c r="R28" s="529"/>
      <c r="S28" s="529"/>
      <c r="T28" s="529"/>
      <c r="U28" s="529" t="str">
        <f>Personel!F25</f>
        <v>Niek van der Weijden</v>
      </c>
      <c r="V28" s="529"/>
      <c r="W28" s="529"/>
      <c r="X28" s="529"/>
    </row>
    <row r="29" spans="5:24" customFormat="1" ht="14.45" hidden="1">
      <c r="E29" s="529" t="str">
        <f>Personel!F26</f>
        <v>Javier Davila Bello</v>
      </c>
      <c r="F29" s="529"/>
      <c r="G29" s="529"/>
      <c r="H29" s="529"/>
      <c r="I29" s="529" t="str">
        <f>Personel!F26</f>
        <v>Javier Davila Bello</v>
      </c>
      <c r="J29" s="529"/>
      <c r="K29" s="529"/>
      <c r="L29" s="529"/>
      <c r="M29" s="529" t="str">
        <f>Personel!F26</f>
        <v>Javier Davila Bello</v>
      </c>
      <c r="N29" s="529"/>
      <c r="O29" s="529"/>
      <c r="P29" s="529"/>
      <c r="Q29" s="529" t="str">
        <f>Personel!F26</f>
        <v>Javier Davila Bello</v>
      </c>
      <c r="R29" s="529"/>
      <c r="S29" s="529"/>
      <c r="T29" s="529"/>
      <c r="U29" s="529" t="str">
        <f>Personel!F26</f>
        <v>Javier Davila Bello</v>
      </c>
      <c r="V29" s="529"/>
      <c r="W29" s="529"/>
      <c r="X29" s="529"/>
    </row>
    <row r="30" spans="5:24" customFormat="1" ht="14.45" hidden="1">
      <c r="E30" s="529" t="str">
        <f>Personel!F27</f>
        <v>Patrik Larsson</v>
      </c>
      <c r="F30" s="529"/>
      <c r="G30" s="529"/>
      <c r="H30" s="529"/>
      <c r="I30" s="529" t="str">
        <f>Personel!F27</f>
        <v>Patrik Larsson</v>
      </c>
      <c r="J30" s="529"/>
      <c r="K30" s="529"/>
      <c r="L30" s="529"/>
      <c r="M30" s="529" t="str">
        <f>Personel!F27</f>
        <v>Patrik Larsson</v>
      </c>
      <c r="N30" s="529"/>
      <c r="O30" s="529"/>
      <c r="P30" s="529"/>
      <c r="Q30" s="529" t="str">
        <f>Personel!F27</f>
        <v>Patrik Larsson</v>
      </c>
      <c r="R30" s="529"/>
      <c r="S30" s="529"/>
      <c r="T30" s="529"/>
      <c r="U30" s="529" t="str">
        <f>Personel!F27</f>
        <v>Patrik Larsson</v>
      </c>
      <c r="V30" s="529"/>
      <c r="W30" s="529"/>
      <c r="X30" s="529"/>
    </row>
    <row r="31" spans="5:24" customFormat="1" ht="14.45" hidden="1">
      <c r="E31" s="529" t="str">
        <f>Personel!F28</f>
        <v>Tomas Kohler</v>
      </c>
      <c r="F31" s="529"/>
      <c r="G31" s="529"/>
      <c r="H31" s="529"/>
      <c r="I31" s="529" t="str">
        <f>Personel!F28</f>
        <v>Tomas Kohler</v>
      </c>
      <c r="J31" s="529"/>
      <c r="K31" s="529"/>
      <c r="L31" s="529"/>
      <c r="M31" s="529" t="str">
        <f>Personel!F28</f>
        <v>Tomas Kohler</v>
      </c>
      <c r="N31" s="529"/>
      <c r="O31" s="529"/>
      <c r="P31" s="529"/>
      <c r="Q31" s="529" t="str">
        <f>Personel!F28</f>
        <v>Tomas Kohler</v>
      </c>
      <c r="R31" s="529"/>
      <c r="S31" s="529"/>
      <c r="T31" s="529"/>
      <c r="U31" s="529" t="str">
        <f>Personel!F28</f>
        <v>Tomas Kohler</v>
      </c>
      <c r="V31" s="529"/>
      <c r="W31" s="529"/>
      <c r="X31" s="529"/>
    </row>
    <row r="32" spans="5:24" customFormat="1" ht="14.45" hidden="1">
      <c r="E32" s="529" t="str">
        <f>Personel!F29</f>
        <v>Oscar Torla Centelles</v>
      </c>
      <c r="F32" s="529"/>
      <c r="G32" s="529"/>
      <c r="H32" s="529"/>
      <c r="I32" s="529" t="str">
        <f>Personel!F29</f>
        <v>Oscar Torla Centelles</v>
      </c>
      <c r="J32" s="529"/>
      <c r="K32" s="529"/>
      <c r="L32" s="529"/>
      <c r="M32" s="529" t="str">
        <f>Personel!F29</f>
        <v>Oscar Torla Centelles</v>
      </c>
      <c r="N32" s="529"/>
      <c r="O32" s="529"/>
      <c r="P32" s="529"/>
      <c r="Q32" s="529" t="str">
        <f>Personel!F29</f>
        <v>Oscar Torla Centelles</v>
      </c>
      <c r="R32" s="529"/>
      <c r="S32" s="529"/>
      <c r="T32" s="529"/>
      <c r="U32" s="529" t="str">
        <f>Personel!F29</f>
        <v>Oscar Torla Centelles</v>
      </c>
      <c r="V32" s="529"/>
      <c r="W32" s="529"/>
      <c r="X32" s="529"/>
    </row>
    <row r="33" spans="5:24" customFormat="1" ht="14.45" hidden="1">
      <c r="E33" s="529" t="str">
        <f>Personel!F30</f>
        <v>Marc Giannone</v>
      </c>
      <c r="F33" s="529"/>
      <c r="G33" s="529"/>
      <c r="H33" s="529"/>
      <c r="I33" s="529" t="str">
        <f>Personel!F30</f>
        <v>Marc Giannone</v>
      </c>
      <c r="J33" s="529"/>
      <c r="K33" s="529"/>
      <c r="L33" s="529"/>
      <c r="M33" s="529" t="str">
        <f>Personel!F30</f>
        <v>Marc Giannone</v>
      </c>
      <c r="N33" s="529"/>
      <c r="O33" s="529"/>
      <c r="P33" s="529"/>
      <c r="Q33" s="529" t="str">
        <f>Personel!F30</f>
        <v>Marc Giannone</v>
      </c>
      <c r="R33" s="529"/>
      <c r="S33" s="529"/>
      <c r="T33" s="529"/>
      <c r="U33" s="529" t="str">
        <f>Personel!F30</f>
        <v>Marc Giannone</v>
      </c>
      <c r="V33" s="529"/>
      <c r="W33" s="529"/>
      <c r="X33" s="529"/>
    </row>
    <row r="34" spans="5:24" customFormat="1" ht="14.45" hidden="1">
      <c r="E34" s="529" t="str">
        <f>Personel!F31</f>
        <v>Damian Besselsen</v>
      </c>
      <c r="F34" s="529"/>
      <c r="G34" s="529"/>
      <c r="H34" s="529"/>
      <c r="I34" s="529" t="str">
        <f>Personel!F31</f>
        <v>Damian Besselsen</v>
      </c>
      <c r="J34" s="529"/>
      <c r="K34" s="529"/>
      <c r="L34" s="529"/>
      <c r="M34" s="529" t="str">
        <f>Personel!F31</f>
        <v>Damian Besselsen</v>
      </c>
      <c r="N34" s="529"/>
      <c r="O34" s="529"/>
      <c r="P34" s="529"/>
      <c r="Q34" s="529" t="str">
        <f>Personel!F31</f>
        <v>Damian Besselsen</v>
      </c>
      <c r="R34" s="529"/>
      <c r="S34" s="529"/>
      <c r="T34" s="529"/>
      <c r="U34" s="529" t="str">
        <f>Personel!F31</f>
        <v>Damian Besselsen</v>
      </c>
      <c r="V34" s="529"/>
      <c r="W34" s="529"/>
      <c r="X34" s="529"/>
    </row>
    <row r="35" spans="5:24" customFormat="1" ht="14.45" hidden="1">
      <c r="E35" s="529" t="str">
        <f>Personel!F32</f>
        <v>Jessica Rona</v>
      </c>
      <c r="F35" s="529"/>
      <c r="G35" s="529"/>
      <c r="H35" s="529"/>
      <c r="I35" s="529" t="str">
        <f>Personel!F32</f>
        <v>Jessica Rona</v>
      </c>
      <c r="J35" s="529"/>
      <c r="K35" s="529"/>
      <c r="L35" s="529"/>
      <c r="M35" s="529" t="str">
        <f>Personel!F32</f>
        <v>Jessica Rona</v>
      </c>
      <c r="N35" s="529"/>
      <c r="O35" s="529"/>
      <c r="P35" s="529"/>
      <c r="Q35" s="529" t="str">
        <f>Personel!F32</f>
        <v>Jessica Rona</v>
      </c>
      <c r="R35" s="529"/>
      <c r="S35" s="529"/>
      <c r="T35" s="529"/>
      <c r="U35" s="529" t="str">
        <f>Personel!F32</f>
        <v>Jessica Rona</v>
      </c>
      <c r="V35" s="529"/>
      <c r="W35" s="529"/>
      <c r="X35" s="529"/>
    </row>
    <row r="36" spans="5:24" customFormat="1" ht="14.45" hidden="1">
      <c r="E36" s="529" t="str">
        <f>Personel!F33</f>
        <v>Klaudija Jakaj</v>
      </c>
      <c r="F36" s="529"/>
      <c r="G36" s="529"/>
      <c r="H36" s="529"/>
      <c r="I36" s="529" t="str">
        <f>Personel!F33</f>
        <v>Klaudija Jakaj</v>
      </c>
      <c r="J36" s="529"/>
      <c r="K36" s="529"/>
      <c r="L36" s="529"/>
      <c r="M36" s="529" t="str">
        <f>Personel!F33</f>
        <v>Klaudija Jakaj</v>
      </c>
      <c r="N36" s="529"/>
      <c r="O36" s="529"/>
      <c r="P36" s="529"/>
      <c r="Q36" s="529" t="str">
        <f>Personel!F33</f>
        <v>Klaudija Jakaj</v>
      </c>
      <c r="R36" s="529"/>
      <c r="S36" s="529"/>
      <c r="T36" s="529"/>
      <c r="U36" s="529" t="str">
        <f>Personel!F33</f>
        <v>Klaudija Jakaj</v>
      </c>
      <c r="V36" s="529"/>
      <c r="W36" s="529"/>
      <c r="X36" s="529"/>
    </row>
    <row r="37" spans="5:24" customFormat="1" ht="14.45" hidden="1">
      <c r="E37" s="529" t="str">
        <f>Personel!F34</f>
        <v>Keiran Breaden Boyce</v>
      </c>
      <c r="F37" s="529"/>
      <c r="G37" s="529"/>
      <c r="H37" s="529"/>
      <c r="I37" s="529" t="str">
        <f>Personel!F34</f>
        <v>Keiran Breaden Boyce</v>
      </c>
      <c r="J37" s="529"/>
      <c r="K37" s="529"/>
      <c r="L37" s="529"/>
      <c r="M37" s="529" t="str">
        <f>Personel!F34</f>
        <v>Keiran Breaden Boyce</v>
      </c>
      <c r="N37" s="529"/>
      <c r="O37" s="529"/>
      <c r="P37" s="529"/>
      <c r="Q37" s="529" t="str">
        <f>Personel!F34</f>
        <v>Keiran Breaden Boyce</v>
      </c>
      <c r="R37" s="529"/>
      <c r="S37" s="529"/>
      <c r="T37" s="529"/>
      <c r="U37" s="529" t="str">
        <f>Personel!F34</f>
        <v>Keiran Breaden Boyce</v>
      </c>
      <c r="V37" s="529"/>
      <c r="W37" s="529"/>
      <c r="X37" s="529"/>
    </row>
    <row r="38" spans="5:24" customFormat="1" ht="14.45" hidden="1">
      <c r="E38" s="529">
        <f>Personel!F35</f>
        <v>0</v>
      </c>
      <c r="F38" s="529"/>
      <c r="G38" s="529"/>
      <c r="H38" s="529"/>
      <c r="I38" s="529">
        <f>Personel!F35</f>
        <v>0</v>
      </c>
      <c r="J38" s="529"/>
      <c r="K38" s="529"/>
      <c r="L38" s="529"/>
      <c r="M38" s="529">
        <f>Personel!F35</f>
        <v>0</v>
      </c>
      <c r="N38" s="529"/>
      <c r="O38" s="529"/>
      <c r="P38" s="529"/>
      <c r="Q38" s="529">
        <f>Personel!F35</f>
        <v>0</v>
      </c>
      <c r="R38" s="529"/>
      <c r="S38" s="529"/>
      <c r="T38" s="529"/>
      <c r="U38" s="529">
        <f>Personel!F35</f>
        <v>0</v>
      </c>
      <c r="V38" s="529"/>
      <c r="W38" s="529"/>
      <c r="X38" s="529"/>
    </row>
    <row r="39" spans="5:24" customFormat="1" ht="14.45" hidden="1">
      <c r="E39" s="529" t="str">
        <f>Personel!F36</f>
        <v>Francisco Freitas</v>
      </c>
      <c r="F39" s="529"/>
      <c r="G39" s="529"/>
      <c r="H39" s="529"/>
      <c r="I39" s="529" t="str">
        <f>Personel!F36</f>
        <v>Francisco Freitas</v>
      </c>
      <c r="J39" s="529"/>
      <c r="K39" s="529"/>
      <c r="L39" s="529"/>
      <c r="M39" s="529" t="str">
        <f>Personel!F36</f>
        <v>Francisco Freitas</v>
      </c>
      <c r="N39" s="529"/>
      <c r="O39" s="529"/>
      <c r="P39" s="529"/>
      <c r="Q39" s="529" t="str">
        <f>Personel!F36</f>
        <v>Francisco Freitas</v>
      </c>
      <c r="R39" s="529"/>
      <c r="S39" s="529"/>
      <c r="T39" s="529"/>
      <c r="U39" s="529" t="str">
        <f>Personel!F36</f>
        <v>Francisco Freitas</v>
      </c>
      <c r="V39" s="529"/>
      <c r="W39" s="529"/>
      <c r="X39" s="529"/>
    </row>
    <row r="40" spans="5:24" customFormat="1" ht="14.45" hidden="1">
      <c r="E40" s="529" t="str">
        <f>Personel!F37</f>
        <v>Brad Joyce</v>
      </c>
      <c r="F40" s="529"/>
      <c r="G40" s="529"/>
      <c r="H40" s="529"/>
      <c r="I40" s="529" t="str">
        <f>Personel!F37</f>
        <v>Brad Joyce</v>
      </c>
      <c r="J40" s="529"/>
      <c r="K40" s="529"/>
      <c r="L40" s="529"/>
      <c r="M40" s="529" t="str">
        <f>Personel!F37</f>
        <v>Brad Joyce</v>
      </c>
      <c r="N40" s="529"/>
      <c r="O40" s="529"/>
      <c r="P40" s="529"/>
      <c r="Q40" s="529" t="str">
        <f>Personel!F37</f>
        <v>Brad Joyce</v>
      </c>
      <c r="R40" s="529"/>
      <c r="S40" s="529"/>
      <c r="T40" s="529"/>
      <c r="U40" s="529" t="str">
        <f>Personel!F37</f>
        <v>Brad Joyce</v>
      </c>
      <c r="V40" s="529"/>
      <c r="W40" s="529"/>
      <c r="X40" s="529"/>
    </row>
    <row r="41" spans="5:24" customFormat="1" ht="14.45" hidden="1">
      <c r="E41" s="529" t="str">
        <f>Personel!F38</f>
        <v>Anneleen Walch</v>
      </c>
      <c r="F41" s="529"/>
      <c r="G41" s="529"/>
      <c r="H41" s="529"/>
      <c r="I41" s="529" t="str">
        <f>Personel!F38</f>
        <v>Anneleen Walch</v>
      </c>
      <c r="J41" s="529"/>
      <c r="K41" s="529"/>
      <c r="L41" s="529"/>
      <c r="M41" s="529" t="str">
        <f>Personel!F38</f>
        <v>Anneleen Walch</v>
      </c>
      <c r="N41" s="529"/>
      <c r="O41" s="529"/>
      <c r="P41" s="529"/>
      <c r="Q41" s="529" t="str">
        <f>Personel!F38</f>
        <v>Anneleen Walch</v>
      </c>
      <c r="R41" s="529"/>
      <c r="S41" s="529"/>
      <c r="T41" s="529"/>
      <c r="U41" s="529" t="str">
        <f>Personel!F38</f>
        <v>Anneleen Walch</v>
      </c>
      <c r="V41" s="529"/>
      <c r="W41" s="529"/>
      <c r="X41" s="529"/>
    </row>
    <row r="42" spans="5:24" customFormat="1" ht="14.45" hidden="1">
      <c r="E42" s="529">
        <f>Personel!F39</f>
        <v>0</v>
      </c>
      <c r="F42" s="529"/>
      <c r="G42" s="529"/>
      <c r="H42" s="529"/>
      <c r="I42" s="529">
        <f>Personel!F39</f>
        <v>0</v>
      </c>
      <c r="J42" s="529"/>
      <c r="K42" s="529"/>
      <c r="L42" s="529"/>
      <c r="M42" s="529">
        <f>Personel!F39</f>
        <v>0</v>
      </c>
      <c r="N42" s="529"/>
      <c r="O42" s="529"/>
      <c r="P42" s="529"/>
      <c r="Q42" s="529">
        <f>Personel!F39</f>
        <v>0</v>
      </c>
      <c r="R42" s="529"/>
      <c r="S42" s="529"/>
      <c r="T42" s="529"/>
      <c r="U42" s="529">
        <f>Personel!F39</f>
        <v>0</v>
      </c>
      <c r="V42" s="529"/>
      <c r="W42" s="529"/>
      <c r="X42" s="529"/>
    </row>
    <row r="43" spans="5:24" customFormat="1" ht="14.45" hidden="1">
      <c r="E43" s="529" t="str">
        <f>Personel!F40</f>
        <v>Amber Kouwen</v>
      </c>
      <c r="F43" s="529"/>
      <c r="G43" s="529"/>
      <c r="H43" s="529"/>
      <c r="I43" s="529" t="str">
        <f>Personel!F40</f>
        <v>Amber Kouwen</v>
      </c>
      <c r="J43" s="529"/>
      <c r="K43" s="529"/>
      <c r="L43" s="529"/>
      <c r="M43" s="529" t="str">
        <f>Personel!F40</f>
        <v>Amber Kouwen</v>
      </c>
      <c r="N43" s="529"/>
      <c r="O43" s="529"/>
      <c r="P43" s="529"/>
      <c r="Q43" s="529" t="str">
        <f>Personel!F40</f>
        <v>Amber Kouwen</v>
      </c>
      <c r="R43" s="529"/>
      <c r="S43" s="529"/>
      <c r="T43" s="529"/>
      <c r="U43" s="529" t="str">
        <f>Personel!F40</f>
        <v>Amber Kouwen</v>
      </c>
      <c r="V43" s="529"/>
      <c r="W43" s="529"/>
      <c r="X43" s="529"/>
    </row>
    <row r="44" spans="5:24" customFormat="1" ht="14.45" hidden="1">
      <c r="E44" s="529" t="str">
        <f>Personel!F41</f>
        <v>Robin van den Berg</v>
      </c>
      <c r="F44" s="529"/>
      <c r="G44" s="529"/>
      <c r="H44" s="529"/>
      <c r="I44" s="529" t="str">
        <f>Personel!F41</f>
        <v>Robin van den Berg</v>
      </c>
      <c r="J44" s="529"/>
      <c r="K44" s="529"/>
      <c r="L44" s="529"/>
      <c r="M44" s="529" t="str">
        <f>Personel!F41</f>
        <v>Robin van den Berg</v>
      </c>
      <c r="N44" s="529"/>
      <c r="O44" s="529"/>
      <c r="P44" s="529"/>
      <c r="Q44" s="529" t="str">
        <f>Personel!F41</f>
        <v>Robin van den Berg</v>
      </c>
      <c r="R44" s="529"/>
      <c r="S44" s="529"/>
      <c r="T44" s="529"/>
      <c r="U44" s="529" t="str">
        <f>Personel!F41</f>
        <v>Robin van den Berg</v>
      </c>
      <c r="V44" s="529"/>
      <c r="W44" s="529"/>
      <c r="X44" s="529"/>
    </row>
    <row r="45" spans="5:24" customFormat="1" ht="14.45" hidden="1">
      <c r="E45" s="529" t="str">
        <f>Personel!F42</f>
        <v>Pieter Belmans</v>
      </c>
      <c r="F45" s="529"/>
      <c r="G45" s="529"/>
      <c r="H45" s="529"/>
      <c r="I45" s="529" t="str">
        <f>Personel!F42</f>
        <v>Pieter Belmans</v>
      </c>
      <c r="J45" s="529"/>
      <c r="K45" s="529"/>
      <c r="L45" s="529"/>
      <c r="M45" s="529" t="str">
        <f>Personel!F42</f>
        <v>Pieter Belmans</v>
      </c>
      <c r="N45" s="529"/>
      <c r="O45" s="529"/>
      <c r="P45" s="529"/>
      <c r="Q45" s="529" t="str">
        <f>Personel!F42</f>
        <v>Pieter Belmans</v>
      </c>
      <c r="R45" s="529"/>
      <c r="S45" s="529"/>
      <c r="T45" s="529"/>
      <c r="U45" s="529" t="str">
        <f>Personel!F42</f>
        <v>Pieter Belmans</v>
      </c>
      <c r="V45" s="529"/>
      <c r="W45" s="529"/>
      <c r="X45" s="529"/>
    </row>
    <row r="46" spans="5:24" customFormat="1" ht="14.45" hidden="1">
      <c r="E46" s="529" t="str">
        <f>Personel!F43</f>
        <v>Tom Claessen</v>
      </c>
      <c r="F46" s="529"/>
      <c r="G46" s="529"/>
      <c r="H46" s="529"/>
      <c r="I46" s="529" t="str">
        <f>Personel!F43</f>
        <v>Tom Claessen</v>
      </c>
      <c r="J46" s="529"/>
      <c r="K46" s="529"/>
      <c r="L46" s="529"/>
      <c r="M46" s="529" t="str">
        <f>Personel!F43</f>
        <v>Tom Claessen</v>
      </c>
      <c r="N46" s="529"/>
      <c r="O46" s="529"/>
      <c r="P46" s="529"/>
      <c r="Q46" s="529" t="str">
        <f>Personel!F43</f>
        <v>Tom Claessen</v>
      </c>
      <c r="R46" s="529"/>
      <c r="S46" s="529"/>
      <c r="T46" s="529"/>
      <c r="U46" s="529" t="str">
        <f>Personel!F43</f>
        <v>Tom Claessen</v>
      </c>
      <c r="V46" s="529"/>
      <c r="W46" s="529"/>
      <c r="X46" s="529"/>
    </row>
    <row r="47" spans="5:24" customFormat="1" ht="14.45" hidden="1">
      <c r="E47" s="529">
        <f>Personel!F44</f>
        <v>0</v>
      </c>
      <c r="F47" s="529"/>
      <c r="G47" s="529"/>
      <c r="H47" s="529"/>
      <c r="I47" s="529">
        <f>Personel!F44</f>
        <v>0</v>
      </c>
      <c r="J47" s="529"/>
      <c r="K47" s="529"/>
      <c r="L47" s="529"/>
      <c r="M47" s="529">
        <f>Personel!F44</f>
        <v>0</v>
      </c>
      <c r="N47" s="529"/>
      <c r="O47" s="529"/>
      <c r="P47" s="529"/>
      <c r="Q47" s="529">
        <f>Personel!F44</f>
        <v>0</v>
      </c>
      <c r="R47" s="529"/>
      <c r="S47" s="529"/>
      <c r="T47" s="529"/>
      <c r="U47" s="529">
        <f>Personel!F44</f>
        <v>0</v>
      </c>
      <c r="V47" s="529"/>
      <c r="W47" s="529"/>
      <c r="X47" s="529"/>
    </row>
    <row r="48" spans="5:24" customFormat="1" ht="14.45" hidden="1">
      <c r="E48" s="529" t="str">
        <f>Personel!F45</f>
        <v>Jose Balbiani</v>
      </c>
      <c r="F48" s="529"/>
      <c r="G48" s="529"/>
      <c r="H48" s="529"/>
      <c r="I48" s="529" t="str">
        <f>Personel!F45</f>
        <v>Jose Balbiani</v>
      </c>
      <c r="J48" s="529"/>
      <c r="K48" s="529"/>
      <c r="L48" s="529"/>
      <c r="M48" s="529" t="str">
        <f>Personel!F45</f>
        <v>Jose Balbiani</v>
      </c>
      <c r="N48" s="529"/>
      <c r="O48" s="529"/>
      <c r="P48" s="529"/>
      <c r="Q48" s="529" t="str">
        <f>Personel!F45</f>
        <v>Jose Balbiani</v>
      </c>
      <c r="R48" s="529"/>
      <c r="S48" s="529"/>
      <c r="T48" s="529"/>
      <c r="U48" s="529" t="str">
        <f>Personel!F45</f>
        <v>Jose Balbiani</v>
      </c>
      <c r="V48" s="529"/>
      <c r="W48" s="529"/>
      <c r="X48" s="529"/>
    </row>
    <row r="49" spans="5:24" customFormat="1" ht="14.45" hidden="1">
      <c r="E49" s="529" t="str">
        <f>Personel!F46</f>
        <v>Martin Varrone</v>
      </c>
      <c r="F49" s="529"/>
      <c r="G49" s="529"/>
      <c r="H49" s="529"/>
      <c r="I49" s="529" t="str">
        <f>Personel!F46</f>
        <v>Martin Varrone</v>
      </c>
      <c r="J49" s="529"/>
      <c r="K49" s="529"/>
      <c r="L49" s="529"/>
      <c r="M49" s="529" t="str">
        <f>Personel!F46</f>
        <v>Martin Varrone</v>
      </c>
      <c r="N49" s="529"/>
      <c r="O49" s="529"/>
      <c r="P49" s="529"/>
      <c r="Q49" s="529" t="str">
        <f>Personel!F46</f>
        <v>Martin Varrone</v>
      </c>
      <c r="R49" s="529"/>
      <c r="S49" s="529"/>
      <c r="T49" s="529"/>
      <c r="U49" s="529" t="str">
        <f>Personel!F46</f>
        <v>Martin Varrone</v>
      </c>
      <c r="V49" s="529"/>
      <c r="W49" s="529"/>
      <c r="X49" s="529"/>
    </row>
    <row r="50" spans="5:24" customFormat="1" ht="14.45" hidden="1">
      <c r="E50" s="529" t="str">
        <f>Personel!F47</f>
        <v/>
      </c>
      <c r="F50" s="529"/>
      <c r="G50" s="529"/>
      <c r="H50" s="529"/>
      <c r="I50" s="529" t="str">
        <f>Personel!F47</f>
        <v/>
      </c>
      <c r="J50" s="529"/>
      <c r="K50" s="529"/>
      <c r="L50" s="529"/>
      <c r="M50" s="529" t="str">
        <f>Personel!F47</f>
        <v/>
      </c>
      <c r="N50" s="529"/>
      <c r="O50" s="529"/>
      <c r="P50" s="529"/>
      <c r="Q50" s="529" t="str">
        <f>Personel!F47</f>
        <v/>
      </c>
      <c r="R50" s="529"/>
      <c r="S50" s="529"/>
      <c r="T50" s="529"/>
      <c r="U50" s="529" t="str">
        <f>Personel!F47</f>
        <v/>
      </c>
      <c r="V50" s="529"/>
      <c r="W50" s="529"/>
      <c r="X50" s="529"/>
    </row>
    <row r="51" spans="5:24" customFormat="1" ht="14.45" hidden="1">
      <c r="E51" s="529" t="str">
        <f>Personel!F48</f>
        <v/>
      </c>
      <c r="F51" s="529"/>
      <c r="G51" s="529"/>
      <c r="H51" s="529"/>
      <c r="I51" s="529" t="str">
        <f>Personel!F48</f>
        <v/>
      </c>
      <c r="J51" s="529"/>
      <c r="K51" s="529"/>
      <c r="L51" s="529"/>
      <c r="M51" s="529" t="str">
        <f>Personel!F48</f>
        <v/>
      </c>
      <c r="N51" s="529"/>
      <c r="O51" s="529"/>
      <c r="P51" s="529"/>
      <c r="Q51" s="529" t="str">
        <f>Personel!F48</f>
        <v/>
      </c>
      <c r="R51" s="529"/>
      <c r="S51" s="529"/>
      <c r="T51" s="529"/>
      <c r="U51" s="529" t="str">
        <f>Personel!F48</f>
        <v/>
      </c>
      <c r="V51" s="529"/>
      <c r="W51" s="529"/>
      <c r="X51" s="529"/>
    </row>
    <row r="52" spans="5:24" customFormat="1" ht="14.45" hidden="1">
      <c r="E52" s="529">
        <f>Personel!F49</f>
        <v>0</v>
      </c>
      <c r="F52" s="529"/>
      <c r="G52" s="529"/>
      <c r="H52" s="529"/>
      <c r="I52" s="529">
        <f>Personel!F49</f>
        <v>0</v>
      </c>
      <c r="J52" s="529"/>
      <c r="K52" s="529"/>
      <c r="L52" s="529"/>
      <c r="M52" s="529">
        <f>Personel!F49</f>
        <v>0</v>
      </c>
      <c r="N52" s="529"/>
      <c r="O52" s="529"/>
      <c r="P52" s="529"/>
      <c r="Q52" s="529">
        <f>Personel!F49</f>
        <v>0</v>
      </c>
      <c r="R52" s="529"/>
      <c r="S52" s="529"/>
      <c r="T52" s="529"/>
      <c r="U52" s="529">
        <f>Personel!F49</f>
        <v>0</v>
      </c>
      <c r="V52" s="529"/>
      <c r="W52" s="529"/>
      <c r="X52" s="529"/>
    </row>
    <row r="53" spans="5:24" customFormat="1" ht="14.45" hidden="1">
      <c r="E53" s="529" t="str">
        <f>Personel!F50</f>
        <v>Robin van den Berg</v>
      </c>
      <c r="F53" s="529"/>
      <c r="G53" s="529"/>
      <c r="H53" s="529"/>
      <c r="I53" s="529" t="str">
        <f>Personel!F50</f>
        <v>Robin van den Berg</v>
      </c>
      <c r="J53" s="529"/>
      <c r="K53" s="529"/>
      <c r="L53" s="529"/>
      <c r="M53" s="529" t="str">
        <f>Personel!F50</f>
        <v>Robin van den Berg</v>
      </c>
      <c r="N53" s="529"/>
      <c r="O53" s="529"/>
      <c r="P53" s="529"/>
      <c r="Q53" s="529" t="str">
        <f>Personel!F50</f>
        <v>Robin van den Berg</v>
      </c>
      <c r="R53" s="529"/>
      <c r="S53" s="529"/>
      <c r="T53" s="529"/>
      <c r="U53" s="529" t="str">
        <f>Personel!F50</f>
        <v>Robin van den Berg</v>
      </c>
      <c r="V53" s="529"/>
      <c r="W53" s="529"/>
      <c r="X53" s="529"/>
    </row>
    <row r="54" spans="5:24" customFormat="1" ht="14.45" hidden="1">
      <c r="E54" s="529" t="str">
        <f>Personel!F51</f>
        <v>TBC</v>
      </c>
      <c r="F54" s="529"/>
      <c r="G54" s="529"/>
      <c r="H54" s="529"/>
      <c r="I54" s="529" t="str">
        <f>Personel!F51</f>
        <v>TBC</v>
      </c>
      <c r="J54" s="529"/>
      <c r="K54" s="529"/>
      <c r="L54" s="529"/>
      <c r="M54" s="529" t="str">
        <f>Personel!F51</f>
        <v>TBC</v>
      </c>
      <c r="N54" s="529"/>
      <c r="O54" s="529"/>
      <c r="P54" s="529"/>
      <c r="Q54" s="529" t="str">
        <f>Personel!F51</f>
        <v>TBC</v>
      </c>
      <c r="R54" s="529"/>
      <c r="S54" s="529"/>
      <c r="T54" s="529"/>
      <c r="U54" s="529" t="str">
        <f>Personel!F51</f>
        <v>TBC</v>
      </c>
      <c r="V54" s="529"/>
      <c r="W54" s="529"/>
      <c r="X54" s="529"/>
    </row>
    <row r="55" spans="5:24" customFormat="1" ht="14.45" hidden="1">
      <c r="E55" s="529">
        <f>Personel!F52</f>
        <v>0</v>
      </c>
      <c r="F55" s="529"/>
      <c r="G55" s="529"/>
      <c r="H55" s="529"/>
      <c r="I55" s="529">
        <f>Personel!F52</f>
        <v>0</v>
      </c>
      <c r="J55" s="529"/>
      <c r="K55" s="529"/>
      <c r="L55" s="529"/>
      <c r="M55" s="529">
        <f>Personel!F52</f>
        <v>0</v>
      </c>
      <c r="N55" s="529"/>
      <c r="O55" s="529"/>
      <c r="P55" s="529"/>
      <c r="Q55" s="529">
        <f>Personel!F52</f>
        <v>0</v>
      </c>
      <c r="R55" s="529"/>
      <c r="S55" s="529"/>
      <c r="T55" s="529"/>
      <c r="U55" s="529">
        <f>Personel!F52</f>
        <v>0</v>
      </c>
      <c r="V55" s="529"/>
      <c r="W55" s="529"/>
      <c r="X55" s="529"/>
    </row>
    <row r="56" spans="5:24" customFormat="1" ht="14.45" hidden="1">
      <c r="E56" s="529">
        <f>Personel!F53</f>
        <v>0</v>
      </c>
      <c r="F56" s="529"/>
      <c r="G56" s="529"/>
      <c r="H56" s="529"/>
      <c r="I56" s="529">
        <f>Personel!F53</f>
        <v>0</v>
      </c>
      <c r="J56" s="529"/>
      <c r="K56" s="529"/>
      <c r="L56" s="529"/>
      <c r="M56" s="529">
        <f>Personel!F53</f>
        <v>0</v>
      </c>
      <c r="N56" s="529"/>
      <c r="O56" s="529"/>
      <c r="P56" s="529"/>
      <c r="Q56" s="529">
        <f>Personel!F53</f>
        <v>0</v>
      </c>
      <c r="R56" s="529"/>
      <c r="S56" s="529"/>
      <c r="T56" s="529"/>
      <c r="U56" s="529">
        <f>Personel!F53</f>
        <v>0</v>
      </c>
      <c r="V56" s="529"/>
      <c r="W56" s="529"/>
      <c r="X56" s="529"/>
    </row>
    <row r="57" spans="5:24" customFormat="1" ht="14.45" hidden="1">
      <c r="E57" s="529">
        <f>Personel!F54</f>
        <v>0</v>
      </c>
      <c r="F57" s="529"/>
      <c r="G57" s="529"/>
      <c r="H57" s="529"/>
      <c r="I57" s="529">
        <f>Personel!F54</f>
        <v>0</v>
      </c>
      <c r="J57" s="529"/>
      <c r="K57" s="529"/>
      <c r="L57" s="529"/>
      <c r="M57" s="529">
        <f>Personel!F54</f>
        <v>0</v>
      </c>
      <c r="N57" s="529"/>
      <c r="O57" s="529"/>
      <c r="P57" s="529"/>
      <c r="Q57" s="529">
        <f>Personel!F54</f>
        <v>0</v>
      </c>
      <c r="R57" s="529"/>
      <c r="S57" s="529"/>
      <c r="T57" s="529"/>
      <c r="U57" s="529">
        <f>Personel!F54</f>
        <v>0</v>
      </c>
      <c r="V57" s="529"/>
      <c r="W57" s="529"/>
      <c r="X57" s="529"/>
    </row>
    <row r="58" spans="5:24" customFormat="1" ht="14.45" hidden="1">
      <c r="E58" s="529">
        <f>Personel!F55</f>
        <v>0</v>
      </c>
      <c r="F58" s="529"/>
      <c r="G58" s="529"/>
      <c r="H58" s="529"/>
      <c r="I58" s="529">
        <f>Personel!F55</f>
        <v>0</v>
      </c>
      <c r="J58" s="529"/>
      <c r="K58" s="529"/>
      <c r="L58" s="529"/>
      <c r="M58" s="529">
        <f>Personel!F55</f>
        <v>0</v>
      </c>
      <c r="N58" s="529"/>
      <c r="O58" s="529"/>
      <c r="P58" s="529"/>
      <c r="Q58" s="529">
        <f>Personel!F55</f>
        <v>0</v>
      </c>
      <c r="R58" s="529"/>
      <c r="S58" s="529"/>
      <c r="T58" s="529"/>
      <c r="U58" s="529">
        <f>Personel!F55</f>
        <v>0</v>
      </c>
      <c r="V58" s="529"/>
      <c r="W58" s="529"/>
      <c r="X58" s="529"/>
    </row>
    <row r="59" spans="5:24" customFormat="1" ht="14.45" hidden="1">
      <c r="E59" s="529" t="str">
        <f>Personel!F56</f>
        <v>Amber Kouwen</v>
      </c>
      <c r="F59" s="529"/>
      <c r="G59" s="529"/>
      <c r="H59" s="529"/>
      <c r="I59" s="529" t="str">
        <f>Personel!F56</f>
        <v>Amber Kouwen</v>
      </c>
      <c r="J59" s="529"/>
      <c r="K59" s="529"/>
      <c r="L59" s="529"/>
      <c r="M59" s="529" t="str">
        <f>Personel!F56</f>
        <v>Amber Kouwen</v>
      </c>
      <c r="N59" s="529"/>
      <c r="O59" s="529"/>
      <c r="P59" s="529"/>
      <c r="Q59" s="529" t="str">
        <f>Personel!F56</f>
        <v>Amber Kouwen</v>
      </c>
      <c r="R59" s="529"/>
      <c r="S59" s="529"/>
      <c r="T59" s="529"/>
      <c r="U59" s="529" t="str">
        <f>Personel!F56</f>
        <v>Amber Kouwen</v>
      </c>
      <c r="V59" s="529"/>
      <c r="W59" s="529"/>
      <c r="X59" s="529"/>
    </row>
    <row r="60" spans="5:24" customFormat="1" ht="14.45" hidden="1">
      <c r="E60" s="529" t="str">
        <f>Personel!F57</f>
        <v>Robin van den Berg</v>
      </c>
      <c r="F60" s="529"/>
      <c r="G60" s="529"/>
      <c r="H60" s="529"/>
      <c r="I60" s="529" t="str">
        <f>Personel!F57</f>
        <v>Robin van den Berg</v>
      </c>
      <c r="J60" s="529"/>
      <c r="K60" s="529"/>
      <c r="L60" s="529"/>
      <c r="M60" s="529" t="str">
        <f>Personel!F57</f>
        <v>Robin van den Berg</v>
      </c>
      <c r="N60" s="529"/>
      <c r="O60" s="529"/>
      <c r="P60" s="529"/>
      <c r="Q60" s="529" t="str">
        <f>Personel!F57</f>
        <v>Robin van den Berg</v>
      </c>
      <c r="R60" s="529"/>
      <c r="S60" s="529"/>
      <c r="T60" s="529"/>
      <c r="U60" s="529" t="str">
        <f>Personel!F57</f>
        <v>Robin van den Berg</v>
      </c>
      <c r="V60" s="529"/>
      <c r="W60" s="529"/>
      <c r="X60" s="529"/>
    </row>
    <row r="61" spans="5:24" customFormat="1" ht="14.45" hidden="1">
      <c r="E61" s="529" t="str">
        <f>Personel!F58</f>
        <v>Christophe Wijnen</v>
      </c>
      <c r="F61" s="529"/>
      <c r="G61" s="529"/>
      <c r="H61" s="529"/>
      <c r="I61" s="529" t="str">
        <f>Personel!F58</f>
        <v>Christophe Wijnen</v>
      </c>
      <c r="J61" s="529"/>
      <c r="K61" s="529"/>
      <c r="L61" s="529"/>
      <c r="M61" s="529" t="str">
        <f>Personel!F58</f>
        <v>Christophe Wijnen</v>
      </c>
      <c r="N61" s="529"/>
      <c r="O61" s="529"/>
      <c r="P61" s="529"/>
      <c r="Q61" s="529" t="str">
        <f>Personel!F58</f>
        <v>Christophe Wijnen</v>
      </c>
      <c r="R61" s="529"/>
      <c r="S61" s="529"/>
      <c r="T61" s="529"/>
      <c r="U61" s="529" t="str">
        <f>Personel!F58</f>
        <v>Christophe Wijnen</v>
      </c>
      <c r="V61" s="529"/>
      <c r="W61" s="529"/>
      <c r="X61" s="529"/>
    </row>
    <row r="62" spans="5:24" customFormat="1" ht="14.45" hidden="1">
      <c r="E62" s="529" t="str">
        <f>Personel!F59</f>
        <v/>
      </c>
      <c r="F62" s="529"/>
      <c r="G62" s="529"/>
      <c r="H62" s="529"/>
      <c r="I62" s="529" t="str">
        <f>Personel!F59</f>
        <v/>
      </c>
      <c r="J62" s="529"/>
      <c r="K62" s="529"/>
      <c r="L62" s="529"/>
      <c r="M62" s="529" t="str">
        <f>Personel!F59</f>
        <v/>
      </c>
      <c r="N62" s="529"/>
      <c r="O62" s="529"/>
      <c r="P62" s="529"/>
      <c r="Q62" s="529" t="str">
        <f>Personel!F59</f>
        <v/>
      </c>
      <c r="R62" s="529"/>
      <c r="S62" s="529"/>
      <c r="T62" s="529"/>
      <c r="U62" s="529" t="str">
        <f>Personel!F59</f>
        <v/>
      </c>
      <c r="V62" s="529"/>
      <c r="W62" s="529"/>
      <c r="X62" s="529"/>
    </row>
    <row r="63" spans="5:24" customFormat="1" ht="14.45" hidden="1">
      <c r="E63" s="529" t="str">
        <f>Personel!F60</f>
        <v/>
      </c>
      <c r="F63" s="529"/>
      <c r="G63" s="529"/>
      <c r="H63" s="529"/>
      <c r="I63" s="529" t="str">
        <f>Personel!F60</f>
        <v/>
      </c>
      <c r="J63" s="529"/>
      <c r="K63" s="529"/>
      <c r="L63" s="529"/>
      <c r="M63" s="529" t="str">
        <f>Personel!F60</f>
        <v/>
      </c>
      <c r="N63" s="529"/>
      <c r="O63" s="529"/>
      <c r="P63" s="529"/>
      <c r="Q63" s="529" t="str">
        <f>Personel!F60</f>
        <v/>
      </c>
      <c r="R63" s="529"/>
      <c r="S63" s="529"/>
      <c r="T63" s="529"/>
      <c r="U63" s="529" t="str">
        <f>Personel!F60</f>
        <v/>
      </c>
      <c r="V63" s="529"/>
      <c r="W63" s="529"/>
      <c r="X63" s="529"/>
    </row>
    <row r="64" spans="5:24" customFormat="1" ht="14.45" hidden="1">
      <c r="E64" s="529" t="str">
        <f>Personel!F61</f>
        <v/>
      </c>
      <c r="F64" s="529"/>
      <c r="G64" s="529"/>
      <c r="H64" s="529"/>
      <c r="I64" s="529" t="str">
        <f>Personel!F61</f>
        <v/>
      </c>
      <c r="J64" s="529"/>
      <c r="K64" s="529"/>
      <c r="L64" s="529"/>
      <c r="M64" s="529" t="str">
        <f>Personel!F61</f>
        <v/>
      </c>
      <c r="N64" s="529"/>
      <c r="O64" s="529"/>
      <c r="P64" s="529"/>
      <c r="Q64" s="529" t="str">
        <f>Personel!F61</f>
        <v/>
      </c>
      <c r="R64" s="529"/>
      <c r="S64" s="529"/>
      <c r="T64" s="529"/>
      <c r="U64" s="529" t="str">
        <f>Personel!F61</f>
        <v/>
      </c>
      <c r="V64" s="529"/>
      <c r="W64" s="529"/>
      <c r="X64" s="529"/>
    </row>
    <row r="65" spans="1:45" customFormat="1" ht="14.45" hidden="1">
      <c r="E65" s="529" t="str">
        <f>Personel!F62</f>
        <v/>
      </c>
      <c r="F65" s="529"/>
      <c r="G65" s="529"/>
      <c r="H65" s="529"/>
      <c r="I65" s="529" t="str">
        <f>Personel!F62</f>
        <v/>
      </c>
      <c r="J65" s="529"/>
      <c r="K65" s="529"/>
      <c r="L65" s="529"/>
      <c r="M65" s="529" t="str">
        <f>Personel!F62</f>
        <v/>
      </c>
      <c r="N65" s="529"/>
      <c r="O65" s="529"/>
      <c r="P65" s="529"/>
      <c r="Q65" s="529" t="str">
        <f>Personel!F62</f>
        <v/>
      </c>
      <c r="R65" s="529"/>
      <c r="S65" s="529"/>
      <c r="T65" s="529"/>
      <c r="U65" s="529" t="str">
        <f>Personel!F62</f>
        <v/>
      </c>
      <c r="V65" s="529"/>
      <c r="W65" s="529"/>
      <c r="X65" s="529"/>
    </row>
    <row r="66" spans="1:45" customFormat="1" ht="14.45" hidden="1">
      <c r="E66" s="529" t="str">
        <f>Personel!F63</f>
        <v/>
      </c>
      <c r="F66" s="529"/>
      <c r="G66" s="529"/>
      <c r="H66" s="529"/>
      <c r="I66" s="529" t="str">
        <f>Personel!F63</f>
        <v/>
      </c>
      <c r="J66" s="529"/>
      <c r="K66" s="529"/>
      <c r="L66" s="529"/>
      <c r="M66" s="529" t="str">
        <f>Personel!F63</f>
        <v/>
      </c>
      <c r="N66" s="529"/>
      <c r="O66" s="529"/>
      <c r="P66" s="529"/>
      <c r="Q66" s="529" t="str">
        <f>Personel!F63</f>
        <v/>
      </c>
      <c r="R66" s="529"/>
      <c r="S66" s="529"/>
      <c r="T66" s="529"/>
      <c r="U66" s="529" t="str">
        <f>Personel!F63</f>
        <v/>
      </c>
      <c r="V66" s="529"/>
      <c r="W66" s="529"/>
      <c r="X66" s="529"/>
    </row>
    <row r="67" spans="1:45" customFormat="1" ht="14.45" hidden="1">
      <c r="E67" s="529" t="str">
        <f>Personel!F64</f>
        <v/>
      </c>
      <c r="F67" s="529"/>
      <c r="G67" s="529"/>
      <c r="H67" s="529"/>
      <c r="I67" s="529" t="str">
        <f>Personel!F64</f>
        <v/>
      </c>
      <c r="J67" s="529"/>
      <c r="K67" s="529"/>
      <c r="L67" s="529"/>
      <c r="M67" s="529" t="str">
        <f>Personel!F64</f>
        <v/>
      </c>
      <c r="N67" s="529"/>
      <c r="O67" s="529"/>
      <c r="P67" s="529"/>
      <c r="Q67" s="529" t="str">
        <f>Personel!F64</f>
        <v/>
      </c>
      <c r="R67" s="529"/>
      <c r="S67" s="529"/>
      <c r="T67" s="529"/>
      <c r="U67" s="529" t="str">
        <f>Personel!F64</f>
        <v/>
      </c>
      <c r="V67" s="529"/>
      <c r="W67" s="529"/>
      <c r="X67" s="529"/>
    </row>
    <row r="68" spans="1:45" customFormat="1" ht="14.45" hidden="1">
      <c r="E68" s="529" t="str">
        <f>Personel!F65</f>
        <v/>
      </c>
      <c r="F68" s="529"/>
      <c r="G68" s="529"/>
      <c r="H68" s="529"/>
      <c r="I68" s="529" t="str">
        <f>Personel!F65</f>
        <v/>
      </c>
      <c r="J68" s="529"/>
      <c r="K68" s="529"/>
      <c r="L68" s="529"/>
      <c r="M68" s="529" t="str">
        <f>Personel!F65</f>
        <v/>
      </c>
      <c r="N68" s="529"/>
      <c r="O68" s="529"/>
      <c r="P68" s="529"/>
      <c r="Q68" s="529" t="str">
        <f>Personel!F65</f>
        <v/>
      </c>
      <c r="R68" s="529"/>
      <c r="S68" s="529"/>
      <c r="T68" s="529"/>
      <c r="U68" s="529" t="str">
        <f>Personel!F65</f>
        <v/>
      </c>
      <c r="V68" s="529"/>
      <c r="W68" s="529"/>
      <c r="X68" s="529"/>
    </row>
    <row r="69" spans="1:45" customFormat="1" ht="14.45" hidden="1">
      <c r="E69" s="529" t="str">
        <f>Personel!F66</f>
        <v/>
      </c>
      <c r="F69" s="529"/>
      <c r="G69" s="529"/>
      <c r="H69" s="529"/>
      <c r="I69" s="529" t="str">
        <f>Personel!F66</f>
        <v/>
      </c>
      <c r="J69" s="529"/>
      <c r="K69" s="529"/>
      <c r="L69" s="529"/>
      <c r="M69" s="529" t="str">
        <f>Personel!F66</f>
        <v/>
      </c>
      <c r="N69" s="529"/>
      <c r="O69" s="529"/>
      <c r="P69" s="529"/>
      <c r="Q69" s="529" t="str">
        <f>Personel!F66</f>
        <v/>
      </c>
      <c r="R69" s="529"/>
      <c r="S69" s="529"/>
      <c r="T69" s="529"/>
      <c r="U69" s="529" t="str">
        <f>Personel!F66</f>
        <v/>
      </c>
      <c r="V69" s="529"/>
      <c r="W69" s="529"/>
      <c r="X69" s="529"/>
    </row>
    <row r="70" spans="1:45" customFormat="1" ht="14.45" hidden="1">
      <c r="E70" s="529" t="str">
        <f>Personel!F67</f>
        <v/>
      </c>
      <c r="F70" s="529"/>
      <c r="G70" s="529"/>
      <c r="H70" s="529"/>
      <c r="I70" s="529" t="str">
        <f>Personel!F67</f>
        <v/>
      </c>
      <c r="J70" s="529"/>
      <c r="K70" s="529"/>
      <c r="L70" s="529"/>
      <c r="M70" s="529" t="str">
        <f>Personel!F67</f>
        <v/>
      </c>
      <c r="N70" s="529"/>
      <c r="O70" s="529"/>
      <c r="P70" s="529"/>
      <c r="Q70" s="529" t="str">
        <f>Personel!F67</f>
        <v/>
      </c>
      <c r="R70" s="529"/>
      <c r="S70" s="529"/>
      <c r="T70" s="529"/>
      <c r="U70" s="529" t="str">
        <f>Personel!F67</f>
        <v/>
      </c>
      <c r="V70" s="529"/>
      <c r="W70" s="529"/>
      <c r="X70" s="529"/>
    </row>
    <row r="71" spans="1:45" ht="17.25" customHeight="1" thickBot="1">
      <c r="A71" s="1"/>
      <c r="B71" s="548"/>
      <c r="C71" s="549"/>
      <c r="D71" s="549"/>
      <c r="E71" s="549"/>
      <c r="F71" s="549"/>
      <c r="G71" s="549"/>
      <c r="H71" s="549"/>
      <c r="I71" s="549"/>
      <c r="J71" s="549"/>
      <c r="K71" s="549"/>
      <c r="L71" s="549"/>
      <c r="M71" s="549"/>
      <c r="N71" s="549"/>
      <c r="O71" s="549"/>
      <c r="P71" s="549"/>
      <c r="Q71" s="549"/>
      <c r="R71" s="549"/>
      <c r="S71" s="549"/>
      <c r="T71" s="549"/>
      <c r="U71" s="549"/>
      <c r="V71" s="549"/>
      <c r="W71" s="549"/>
      <c r="X71" s="550"/>
      <c r="Y71" s="1"/>
    </row>
    <row r="72" spans="1:45" ht="17.25" customHeight="1">
      <c r="A72" s="1"/>
      <c r="B72" s="585" t="s">
        <v>11</v>
      </c>
      <c r="C72" s="586"/>
      <c r="D72" s="586"/>
      <c r="E72" s="488"/>
      <c r="F72" s="489"/>
      <c r="G72" s="489"/>
      <c r="H72" s="489"/>
      <c r="I72" s="489"/>
      <c r="J72" s="489"/>
      <c r="K72" s="489"/>
      <c r="L72" s="490"/>
      <c r="M72" s="508"/>
      <c r="N72" s="508"/>
      <c r="O72" s="508"/>
      <c r="P72" s="508"/>
      <c r="Q72" s="577"/>
      <c r="R72" s="577"/>
      <c r="S72" s="577"/>
      <c r="T72" s="577"/>
      <c r="U72" s="588"/>
      <c r="V72" s="588"/>
      <c r="W72" s="588"/>
      <c r="X72" s="589"/>
      <c r="Y72" s="1"/>
    </row>
    <row r="73" spans="1:45" ht="17.25" customHeight="1">
      <c r="A73" s="1"/>
      <c r="B73" s="576" t="s">
        <v>12</v>
      </c>
      <c r="C73" s="513"/>
      <c r="D73" s="513"/>
      <c r="E73" s="587"/>
      <c r="F73" s="590"/>
      <c r="G73" s="590"/>
      <c r="H73" s="590"/>
      <c r="I73" s="590"/>
      <c r="J73" s="590"/>
      <c r="K73" s="590"/>
      <c r="L73" s="591"/>
      <c r="M73" s="527"/>
      <c r="N73" s="527"/>
      <c r="O73" s="527"/>
      <c r="P73" s="587"/>
      <c r="Q73" s="577"/>
      <c r="R73" s="577"/>
      <c r="S73" s="577"/>
      <c r="T73" s="577"/>
      <c r="U73" s="527"/>
      <c r="V73" s="527"/>
      <c r="W73" s="527"/>
      <c r="X73" s="581"/>
      <c r="Y73" s="1"/>
      <c r="AA73" s="7"/>
      <c r="AB73" s="7"/>
      <c r="AC73" s="7" t="s">
        <v>13</v>
      </c>
      <c r="AD73" s="7"/>
      <c r="AE73" s="7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9"/>
    </row>
    <row r="74" spans="1:45" ht="17.25" customHeight="1">
      <c r="A74" s="1"/>
      <c r="B74" s="576" t="s">
        <v>10</v>
      </c>
      <c r="C74" s="513"/>
      <c r="D74" s="513"/>
      <c r="E74" s="540"/>
      <c r="F74" s="541"/>
      <c r="G74" s="541"/>
      <c r="H74" s="541"/>
      <c r="I74" s="541"/>
      <c r="J74" s="541"/>
      <c r="K74" s="541"/>
      <c r="L74" s="542"/>
      <c r="M74" s="526"/>
      <c r="N74" s="508"/>
      <c r="O74" s="508"/>
      <c r="P74" s="488"/>
      <c r="Q74" s="526"/>
      <c r="R74" s="508"/>
      <c r="S74" s="508"/>
      <c r="T74" s="488"/>
      <c r="U74" s="526"/>
      <c r="V74" s="508"/>
      <c r="W74" s="508"/>
      <c r="X74" s="580"/>
      <c r="Y74" s="1"/>
      <c r="AB74" s="7"/>
      <c r="AC74" s="7"/>
      <c r="AD74" s="9"/>
      <c r="AE74" s="9"/>
      <c r="AF74" s="9"/>
      <c r="AG74" s="10"/>
      <c r="AH74" s="10"/>
      <c r="AI74" s="10"/>
      <c r="AJ74" s="10"/>
      <c r="AK74" s="10"/>
      <c r="AL74" s="10"/>
      <c r="AM74" s="11"/>
      <c r="AN74" s="12"/>
      <c r="AO74" s="11"/>
      <c r="AP74" s="11"/>
      <c r="AQ74" s="12"/>
      <c r="AR74" s="11"/>
      <c r="AS74" s="9"/>
    </row>
    <row r="75" spans="1:45" ht="17.25" customHeight="1">
      <c r="A75" s="1"/>
      <c r="B75" s="576" t="s">
        <v>14</v>
      </c>
      <c r="C75" s="513"/>
      <c r="D75" s="513"/>
      <c r="E75" s="488"/>
      <c r="F75" s="489"/>
      <c r="G75" s="489"/>
      <c r="H75" s="489"/>
      <c r="I75" s="489"/>
      <c r="J75" s="489"/>
      <c r="K75" s="489"/>
      <c r="L75" s="490"/>
      <c r="M75" s="508"/>
      <c r="N75" s="508"/>
      <c r="O75" s="508"/>
      <c r="P75" s="508"/>
      <c r="Q75" s="508"/>
      <c r="R75" s="508"/>
      <c r="S75" s="508"/>
      <c r="T75" s="508"/>
      <c r="U75" s="527"/>
      <c r="V75" s="527"/>
      <c r="W75" s="527"/>
      <c r="X75" s="581"/>
      <c r="Y75" s="1"/>
    </row>
    <row r="76" spans="1:45" ht="17.25" customHeight="1" thickBot="1">
      <c r="A76" s="1"/>
      <c r="B76" s="571" t="s">
        <v>17</v>
      </c>
      <c r="C76" s="572"/>
      <c r="D76" s="572"/>
      <c r="E76" s="582"/>
      <c r="F76" s="583"/>
      <c r="G76" s="583"/>
      <c r="H76" s="583"/>
      <c r="I76" s="583"/>
      <c r="J76" s="583"/>
      <c r="K76" s="583"/>
      <c r="L76" s="584"/>
      <c r="M76" s="573"/>
      <c r="N76" s="573"/>
      <c r="O76" s="573"/>
      <c r="P76" s="573"/>
      <c r="Q76" s="574"/>
      <c r="R76" s="574"/>
      <c r="S76" s="574"/>
      <c r="T76" s="575"/>
      <c r="U76" s="578"/>
      <c r="V76" s="574"/>
      <c r="W76" s="574"/>
      <c r="X76" s="579"/>
      <c r="Y76" s="1"/>
      <c r="AD76" s="3" t="s">
        <v>13</v>
      </c>
    </row>
    <row r="77" spans="1:45" ht="17.25" customHeight="1">
      <c r="A77" s="1"/>
      <c r="B77" s="562" t="s">
        <v>13</v>
      </c>
      <c r="C77" s="563"/>
      <c r="D77" s="564"/>
      <c r="E77" s="504"/>
      <c r="F77" s="505"/>
      <c r="G77" s="505"/>
      <c r="H77" s="506"/>
      <c r="I77" s="504"/>
      <c r="J77" s="505"/>
      <c r="K77" s="505"/>
      <c r="L77" s="506"/>
      <c r="M77" s="502"/>
      <c r="N77" s="502"/>
      <c r="O77" s="502"/>
      <c r="P77" s="502"/>
      <c r="Q77" s="554"/>
      <c r="R77" s="554"/>
      <c r="S77" s="554"/>
      <c r="T77" s="554"/>
      <c r="U77" s="554"/>
      <c r="V77" s="554"/>
      <c r="W77" s="554"/>
      <c r="X77" s="555"/>
      <c r="Y77" s="1"/>
      <c r="AE77" s="3" t="s">
        <v>13</v>
      </c>
    </row>
    <row r="78" spans="1:45" ht="17.25" customHeight="1">
      <c r="A78" s="1"/>
      <c r="B78" s="565"/>
      <c r="C78" s="518"/>
      <c r="D78" s="519"/>
      <c r="E78" s="484"/>
      <c r="F78" s="485"/>
      <c r="G78" s="485"/>
      <c r="H78" s="486"/>
      <c r="I78" s="484"/>
      <c r="J78" s="485"/>
      <c r="K78" s="485"/>
      <c r="L78" s="486"/>
      <c r="M78" s="484"/>
      <c r="N78" s="485"/>
      <c r="O78" s="485"/>
      <c r="P78" s="486"/>
      <c r="Q78" s="484"/>
      <c r="R78" s="485"/>
      <c r="S78" s="485"/>
      <c r="T78" s="486"/>
      <c r="U78" s="484"/>
      <c r="V78" s="485"/>
      <c r="W78" s="485"/>
      <c r="X78" s="556"/>
      <c r="Y78" s="1"/>
    </row>
    <row r="79" spans="1:45" ht="17.25" customHeight="1">
      <c r="A79" s="1"/>
      <c r="B79" s="565"/>
      <c r="C79" s="518"/>
      <c r="D79" s="519"/>
      <c r="E79" s="484"/>
      <c r="F79" s="485"/>
      <c r="G79" s="485"/>
      <c r="H79" s="486"/>
      <c r="I79" s="484"/>
      <c r="J79" s="485"/>
      <c r="K79" s="485"/>
      <c r="L79" s="486"/>
      <c r="M79" s="484"/>
      <c r="N79" s="485"/>
      <c r="O79" s="485"/>
      <c r="P79" s="486"/>
      <c r="Q79" s="484"/>
      <c r="R79" s="485"/>
      <c r="S79" s="485"/>
      <c r="T79" s="486"/>
      <c r="U79" s="484"/>
      <c r="V79" s="485"/>
      <c r="W79" s="485"/>
      <c r="X79" s="556"/>
      <c r="Y79" s="1"/>
    </row>
    <row r="80" spans="1:45" ht="17.25" customHeight="1">
      <c r="A80" s="1"/>
      <c r="B80" s="565"/>
      <c r="C80" s="518"/>
      <c r="D80" s="519"/>
      <c r="E80" s="484"/>
      <c r="F80" s="485"/>
      <c r="G80" s="485"/>
      <c r="H80" s="486"/>
      <c r="I80" s="484"/>
      <c r="J80" s="485"/>
      <c r="K80" s="485"/>
      <c r="L80" s="486"/>
      <c r="M80" s="484"/>
      <c r="N80" s="485"/>
      <c r="O80" s="485"/>
      <c r="P80" s="486"/>
      <c r="Q80" s="484"/>
      <c r="R80" s="485"/>
      <c r="S80" s="485"/>
      <c r="T80" s="486"/>
      <c r="U80" s="484"/>
      <c r="V80" s="485"/>
      <c r="W80" s="485"/>
      <c r="X80" s="556"/>
      <c r="Y80" s="1"/>
    </row>
    <row r="81" spans="1:25" ht="17.25" customHeight="1">
      <c r="A81" s="1"/>
      <c r="B81" s="565"/>
      <c r="C81" s="518"/>
      <c r="D81" s="519"/>
      <c r="E81" s="484"/>
      <c r="F81" s="485"/>
      <c r="G81" s="485"/>
      <c r="H81" s="486"/>
      <c r="I81" s="484"/>
      <c r="J81" s="485"/>
      <c r="K81" s="485"/>
      <c r="L81" s="486"/>
      <c r="M81" s="484"/>
      <c r="N81" s="485"/>
      <c r="O81" s="485"/>
      <c r="P81" s="486"/>
      <c r="Q81" s="484"/>
      <c r="R81" s="485"/>
      <c r="S81" s="485"/>
      <c r="T81" s="486"/>
      <c r="U81" s="484"/>
      <c r="V81" s="485"/>
      <c r="W81" s="485"/>
      <c r="X81" s="556"/>
      <c r="Y81" s="1"/>
    </row>
    <row r="82" spans="1:25" ht="17.25" customHeight="1" thickBot="1">
      <c r="A82" s="1"/>
      <c r="B82" s="566"/>
      <c r="C82" s="567"/>
      <c r="D82" s="567"/>
      <c r="E82" s="568"/>
      <c r="F82" s="569"/>
      <c r="G82" s="569"/>
      <c r="H82" s="569"/>
      <c r="I82" s="480"/>
      <c r="J82" s="481"/>
      <c r="K82" s="481"/>
      <c r="L82" s="482"/>
      <c r="M82" s="569"/>
      <c r="N82" s="560"/>
      <c r="O82" s="560"/>
      <c r="P82" s="570"/>
      <c r="Q82" s="559"/>
      <c r="R82" s="560"/>
      <c r="S82" s="560"/>
      <c r="T82" s="570"/>
      <c r="U82" s="559"/>
      <c r="V82" s="560"/>
      <c r="W82" s="560"/>
      <c r="X82" s="561"/>
      <c r="Y82" s="1"/>
    </row>
    <row r="83" spans="1:25">
      <c r="E83" s="557"/>
      <c r="F83" s="557"/>
      <c r="G83" s="557"/>
      <c r="H83" s="557"/>
      <c r="I83" s="557"/>
      <c r="J83" s="557"/>
      <c r="K83" s="557"/>
      <c r="L83" s="557"/>
      <c r="M83" s="197"/>
    </row>
    <row r="84" spans="1:25">
      <c r="E84" s="558"/>
      <c r="F84" s="558"/>
      <c r="G84" s="558"/>
      <c r="H84" s="558"/>
      <c r="I84" s="558"/>
      <c r="J84" s="558"/>
      <c r="K84" s="558"/>
      <c r="L84" s="558"/>
    </row>
    <row r="86" spans="1:25">
      <c r="N86" s="3" t="s">
        <v>13</v>
      </c>
      <c r="O86" s="3" t="s">
        <v>13</v>
      </c>
    </row>
    <row r="87" spans="1:25">
      <c r="N87" s="3" t="s">
        <v>13</v>
      </c>
    </row>
  </sheetData>
  <protectedRanges>
    <protectedRange sqref="E74:X74" name="Table_2"/>
    <protectedRange sqref="E76:H76 U75:X75 Q76:X76 U72:X73 E73:T73" name="Table_1_2"/>
    <protectedRange sqref="I76:P76" name="Table_2_1_1_1"/>
    <protectedRange sqref="E75:T75" name="Table_4_1_1_1"/>
    <protectedRange sqref="E72:T72" name="Table_2_1"/>
    <protectedRange sqref="U77:X82" name="Table"/>
    <protectedRange sqref="Q82:T82 M80:T81 Q77:T79" name="Table_3"/>
    <protectedRange sqref="M82:P82" name="Table_4_2_1"/>
    <protectedRange sqref="E77:L84" name="Table_3_1"/>
    <protectedRange sqref="M77:P79" name="Table_3_2"/>
  </protectedRanges>
  <mergeCells count="397">
    <mergeCell ref="Q8:T8"/>
    <mergeCell ref="U8:X8"/>
    <mergeCell ref="E9:H9"/>
    <mergeCell ref="I9:L9"/>
    <mergeCell ref="M9:P9"/>
    <mergeCell ref="Q9:T9"/>
    <mergeCell ref="U9:X9"/>
    <mergeCell ref="E8:H8"/>
    <mergeCell ref="I8:L8"/>
    <mergeCell ref="M8:P8"/>
    <mergeCell ref="E6:H6"/>
    <mergeCell ref="I6:L6"/>
    <mergeCell ref="M6:P6"/>
    <mergeCell ref="Q6:T6"/>
    <mergeCell ref="U6:X6"/>
    <mergeCell ref="E7:H7"/>
    <mergeCell ref="I7:L7"/>
    <mergeCell ref="M7:P7"/>
    <mergeCell ref="Q7:T7"/>
    <mergeCell ref="U7:X7"/>
    <mergeCell ref="B3:E3"/>
    <mergeCell ref="F3:H3"/>
    <mergeCell ref="J3:M3"/>
    <mergeCell ref="N3:Q3"/>
    <mergeCell ref="S3:T3"/>
    <mergeCell ref="U3:X3"/>
    <mergeCell ref="E5:H5"/>
    <mergeCell ref="I5:L5"/>
    <mergeCell ref="M5:P5"/>
    <mergeCell ref="Q5:T5"/>
    <mergeCell ref="U5:X5"/>
    <mergeCell ref="E10:H10"/>
    <mergeCell ref="I10:L10"/>
    <mergeCell ref="M10:P10"/>
    <mergeCell ref="Q13:T13"/>
    <mergeCell ref="U13:X13"/>
    <mergeCell ref="E14:H14"/>
    <mergeCell ref="I14:L14"/>
    <mergeCell ref="M14:P14"/>
    <mergeCell ref="Q14:T14"/>
    <mergeCell ref="U14:X14"/>
    <mergeCell ref="Q10:T10"/>
    <mergeCell ref="U10:X10"/>
    <mergeCell ref="E11:H11"/>
    <mergeCell ref="I11:L11"/>
    <mergeCell ref="M11:P11"/>
    <mergeCell ref="Q11:T11"/>
    <mergeCell ref="U11:X11"/>
    <mergeCell ref="E12:H12"/>
    <mergeCell ref="I12:L12"/>
    <mergeCell ref="M12:P12"/>
    <mergeCell ref="Q12:T12"/>
    <mergeCell ref="U12:X12"/>
    <mergeCell ref="E15:H15"/>
    <mergeCell ref="I15:L15"/>
    <mergeCell ref="M15:P15"/>
    <mergeCell ref="Q15:T15"/>
    <mergeCell ref="U15:X15"/>
    <mergeCell ref="E13:H13"/>
    <mergeCell ref="I13:L13"/>
    <mergeCell ref="M13:P13"/>
    <mergeCell ref="Q16:T16"/>
    <mergeCell ref="U16:X16"/>
    <mergeCell ref="E16:H16"/>
    <mergeCell ref="I16:L16"/>
    <mergeCell ref="M16:P16"/>
    <mergeCell ref="E17:H17"/>
    <mergeCell ref="I17:L17"/>
    <mergeCell ref="M17:P17"/>
    <mergeCell ref="Q17:T17"/>
    <mergeCell ref="U17:X17"/>
    <mergeCell ref="E18:H18"/>
    <mergeCell ref="I18:L18"/>
    <mergeCell ref="M18:P18"/>
    <mergeCell ref="Q18:T18"/>
    <mergeCell ref="U18:X18"/>
    <mergeCell ref="Q19:T19"/>
    <mergeCell ref="U19:X19"/>
    <mergeCell ref="E20:H20"/>
    <mergeCell ref="I20:L20"/>
    <mergeCell ref="M20:P20"/>
    <mergeCell ref="Q20:T20"/>
    <mergeCell ref="U20:X20"/>
    <mergeCell ref="E21:H21"/>
    <mergeCell ref="I21:L21"/>
    <mergeCell ref="M21:P21"/>
    <mergeCell ref="Q21:T21"/>
    <mergeCell ref="U21:X21"/>
    <mergeCell ref="E19:H19"/>
    <mergeCell ref="I19:L19"/>
    <mergeCell ref="M19:P19"/>
    <mergeCell ref="Q22:T22"/>
    <mergeCell ref="U22:X22"/>
    <mergeCell ref="E23:H23"/>
    <mergeCell ref="I23:L23"/>
    <mergeCell ref="M23:P23"/>
    <mergeCell ref="Q23:T23"/>
    <mergeCell ref="U23:X23"/>
    <mergeCell ref="E24:H24"/>
    <mergeCell ref="I24:L24"/>
    <mergeCell ref="M24:P24"/>
    <mergeCell ref="Q24:T24"/>
    <mergeCell ref="U24:X24"/>
    <mergeCell ref="E22:H22"/>
    <mergeCell ref="I22:L22"/>
    <mergeCell ref="M22:P22"/>
    <mergeCell ref="I25:L25"/>
    <mergeCell ref="M25:P25"/>
    <mergeCell ref="Q25:T25"/>
    <mergeCell ref="U25:X25"/>
    <mergeCell ref="E26:H26"/>
    <mergeCell ref="I26:L26"/>
    <mergeCell ref="M26:P26"/>
    <mergeCell ref="Q26:T26"/>
    <mergeCell ref="U26:X26"/>
    <mergeCell ref="E25:H25"/>
    <mergeCell ref="E27:H27"/>
    <mergeCell ref="I27:L27"/>
    <mergeCell ref="M27:P27"/>
    <mergeCell ref="Q27:T27"/>
    <mergeCell ref="U27:X27"/>
    <mergeCell ref="E28:H28"/>
    <mergeCell ref="I28:L28"/>
    <mergeCell ref="M28:P28"/>
    <mergeCell ref="Q28:T28"/>
    <mergeCell ref="U28:X28"/>
    <mergeCell ref="E29:H29"/>
    <mergeCell ref="I29:L29"/>
    <mergeCell ref="M29:P29"/>
    <mergeCell ref="Q29:T29"/>
    <mergeCell ref="U29:X29"/>
    <mergeCell ref="E30:H30"/>
    <mergeCell ref="I30:L30"/>
    <mergeCell ref="M30:P30"/>
    <mergeCell ref="Q30:T30"/>
    <mergeCell ref="U30:X30"/>
    <mergeCell ref="E31:H31"/>
    <mergeCell ref="I31:L31"/>
    <mergeCell ref="M31:P31"/>
    <mergeCell ref="Q31:T31"/>
    <mergeCell ref="U31:X31"/>
    <mergeCell ref="E32:H32"/>
    <mergeCell ref="I32:L32"/>
    <mergeCell ref="M32:P32"/>
    <mergeCell ref="Q32:T32"/>
    <mergeCell ref="U32:X32"/>
    <mergeCell ref="E33:H33"/>
    <mergeCell ref="I33:L33"/>
    <mergeCell ref="M33:P33"/>
    <mergeCell ref="Q33:T33"/>
    <mergeCell ref="U33:X33"/>
    <mergeCell ref="E34:H34"/>
    <mergeCell ref="I34:L34"/>
    <mergeCell ref="M34:P34"/>
    <mergeCell ref="Q34:T34"/>
    <mergeCell ref="U34:X34"/>
    <mergeCell ref="E35:H35"/>
    <mergeCell ref="I35:L35"/>
    <mergeCell ref="M35:P35"/>
    <mergeCell ref="Q35:T35"/>
    <mergeCell ref="U35:X35"/>
    <mergeCell ref="E36:H36"/>
    <mergeCell ref="I36:L36"/>
    <mergeCell ref="M36:P36"/>
    <mergeCell ref="Q36:T36"/>
    <mergeCell ref="U36:X36"/>
    <mergeCell ref="E37:H37"/>
    <mergeCell ref="I37:L37"/>
    <mergeCell ref="M37:P37"/>
    <mergeCell ref="Q37:T37"/>
    <mergeCell ref="U37:X37"/>
    <mergeCell ref="E38:H38"/>
    <mergeCell ref="I38:L38"/>
    <mergeCell ref="M38:P38"/>
    <mergeCell ref="Q38:T38"/>
    <mergeCell ref="U38:X38"/>
    <mergeCell ref="E39:H39"/>
    <mergeCell ref="I39:L39"/>
    <mergeCell ref="M39:P39"/>
    <mergeCell ref="Q39:T39"/>
    <mergeCell ref="U39:X39"/>
    <mergeCell ref="E40:H40"/>
    <mergeCell ref="I40:L40"/>
    <mergeCell ref="M40:P40"/>
    <mergeCell ref="Q40:T40"/>
    <mergeCell ref="U40:X40"/>
    <mergeCell ref="E41:H41"/>
    <mergeCell ref="I41:L41"/>
    <mergeCell ref="M41:P41"/>
    <mergeCell ref="Q41:T41"/>
    <mergeCell ref="U41:X41"/>
    <mergeCell ref="E42:H42"/>
    <mergeCell ref="I42:L42"/>
    <mergeCell ref="M42:P42"/>
    <mergeCell ref="Q42:T42"/>
    <mergeCell ref="U42:X42"/>
    <mergeCell ref="E43:H43"/>
    <mergeCell ref="I43:L43"/>
    <mergeCell ref="M43:P43"/>
    <mergeCell ref="Q43:T43"/>
    <mergeCell ref="U43:X43"/>
    <mergeCell ref="E44:H44"/>
    <mergeCell ref="I44:L44"/>
    <mergeCell ref="M44:P44"/>
    <mergeCell ref="Q44:T44"/>
    <mergeCell ref="U44:X44"/>
    <mergeCell ref="E45:H45"/>
    <mergeCell ref="I45:L45"/>
    <mergeCell ref="M45:P45"/>
    <mergeCell ref="Q45:T45"/>
    <mergeCell ref="U45:X45"/>
    <mergeCell ref="E46:H46"/>
    <mergeCell ref="I46:L46"/>
    <mergeCell ref="M46:P46"/>
    <mergeCell ref="Q46:T46"/>
    <mergeCell ref="U46:X46"/>
    <mergeCell ref="E47:H47"/>
    <mergeCell ref="I47:L47"/>
    <mergeCell ref="M47:P47"/>
    <mergeCell ref="Q47:T47"/>
    <mergeCell ref="U47:X47"/>
    <mergeCell ref="E48:H48"/>
    <mergeCell ref="I48:L48"/>
    <mergeCell ref="M48:P48"/>
    <mergeCell ref="Q48:T48"/>
    <mergeCell ref="U48:X48"/>
    <mergeCell ref="E49:H49"/>
    <mergeCell ref="I49:L49"/>
    <mergeCell ref="M49:P49"/>
    <mergeCell ref="Q49:T49"/>
    <mergeCell ref="U49:X49"/>
    <mergeCell ref="E50:H50"/>
    <mergeCell ref="I50:L50"/>
    <mergeCell ref="M50:P50"/>
    <mergeCell ref="Q50:T50"/>
    <mergeCell ref="U50:X50"/>
    <mergeCell ref="E51:H51"/>
    <mergeCell ref="I51:L51"/>
    <mergeCell ref="M51:P51"/>
    <mergeCell ref="Q51:T51"/>
    <mergeCell ref="U51:X51"/>
    <mergeCell ref="E52:H52"/>
    <mergeCell ref="I52:L52"/>
    <mergeCell ref="M52:P52"/>
    <mergeCell ref="Q52:T52"/>
    <mergeCell ref="U52:X52"/>
    <mergeCell ref="E53:H53"/>
    <mergeCell ref="I53:L53"/>
    <mergeCell ref="M53:P53"/>
    <mergeCell ref="Q53:T53"/>
    <mergeCell ref="U53:X53"/>
    <mergeCell ref="E54:H54"/>
    <mergeCell ref="I54:L54"/>
    <mergeCell ref="M54:P54"/>
    <mergeCell ref="Q54:T54"/>
    <mergeCell ref="U54:X54"/>
    <mergeCell ref="E55:H55"/>
    <mergeCell ref="I55:L55"/>
    <mergeCell ref="M55:P55"/>
    <mergeCell ref="Q55:T55"/>
    <mergeCell ref="U55:X55"/>
    <mergeCell ref="E56:H56"/>
    <mergeCell ref="I56:L56"/>
    <mergeCell ref="M56:P56"/>
    <mergeCell ref="Q56:T56"/>
    <mergeCell ref="U56:X56"/>
    <mergeCell ref="E57:H57"/>
    <mergeCell ref="I57:L57"/>
    <mergeCell ref="M57:P57"/>
    <mergeCell ref="Q57:T57"/>
    <mergeCell ref="U57:X57"/>
    <mergeCell ref="E58:H58"/>
    <mergeCell ref="I58:L58"/>
    <mergeCell ref="M58:P58"/>
    <mergeCell ref="Q58:T58"/>
    <mergeCell ref="U58:X58"/>
    <mergeCell ref="E59:H59"/>
    <mergeCell ref="I59:L59"/>
    <mergeCell ref="M59:P59"/>
    <mergeCell ref="Q59:T59"/>
    <mergeCell ref="U59:X59"/>
    <mergeCell ref="E60:H60"/>
    <mergeCell ref="I60:L60"/>
    <mergeCell ref="M60:P60"/>
    <mergeCell ref="Q60:T60"/>
    <mergeCell ref="U60:X60"/>
    <mergeCell ref="E61:H61"/>
    <mergeCell ref="I61:L61"/>
    <mergeCell ref="M61:P61"/>
    <mergeCell ref="Q61:T61"/>
    <mergeCell ref="U61:X61"/>
    <mergeCell ref="E62:H62"/>
    <mergeCell ref="I62:L62"/>
    <mergeCell ref="M62:P62"/>
    <mergeCell ref="Q62:T62"/>
    <mergeCell ref="U62:X62"/>
    <mergeCell ref="M67:P67"/>
    <mergeCell ref="Q67:T67"/>
    <mergeCell ref="U67:X67"/>
    <mergeCell ref="E68:H68"/>
    <mergeCell ref="I68:L68"/>
    <mergeCell ref="M68:P68"/>
    <mergeCell ref="E63:H63"/>
    <mergeCell ref="I63:L63"/>
    <mergeCell ref="M63:P63"/>
    <mergeCell ref="Q63:T63"/>
    <mergeCell ref="U63:X63"/>
    <mergeCell ref="E64:H64"/>
    <mergeCell ref="I64:L64"/>
    <mergeCell ref="M64:P64"/>
    <mergeCell ref="Q64:T64"/>
    <mergeCell ref="U64:X64"/>
    <mergeCell ref="E65:H65"/>
    <mergeCell ref="I65:L65"/>
    <mergeCell ref="M65:P65"/>
    <mergeCell ref="Q65:T65"/>
    <mergeCell ref="U65:X65"/>
    <mergeCell ref="E66:H66"/>
    <mergeCell ref="I66:L66"/>
    <mergeCell ref="M66:P66"/>
    <mergeCell ref="Q66:T66"/>
    <mergeCell ref="U66:X66"/>
    <mergeCell ref="B73:D73"/>
    <mergeCell ref="U73:X73"/>
    <mergeCell ref="B71:X71"/>
    <mergeCell ref="B72:D72"/>
    <mergeCell ref="E69:H69"/>
    <mergeCell ref="I69:L69"/>
    <mergeCell ref="M69:P69"/>
    <mergeCell ref="Q69:T69"/>
    <mergeCell ref="U69:X69"/>
    <mergeCell ref="E70:H70"/>
    <mergeCell ref="I70:L70"/>
    <mergeCell ref="M70:P70"/>
    <mergeCell ref="Q70:T70"/>
    <mergeCell ref="M73:P73"/>
    <mergeCell ref="E72:L72"/>
    <mergeCell ref="U72:X72"/>
    <mergeCell ref="M72:P72"/>
    <mergeCell ref="E73:L73"/>
    <mergeCell ref="E67:H67"/>
    <mergeCell ref="I67:L67"/>
    <mergeCell ref="Q68:T68"/>
    <mergeCell ref="U68:X68"/>
    <mergeCell ref="U70:X70"/>
    <mergeCell ref="B76:D76"/>
    <mergeCell ref="M76:P76"/>
    <mergeCell ref="Q74:T74"/>
    <mergeCell ref="Q75:T75"/>
    <mergeCell ref="Q76:T76"/>
    <mergeCell ref="E74:L74"/>
    <mergeCell ref="E75:L75"/>
    <mergeCell ref="M74:P74"/>
    <mergeCell ref="M75:P75"/>
    <mergeCell ref="B74:D74"/>
    <mergeCell ref="B75:D75"/>
    <mergeCell ref="Q72:T72"/>
    <mergeCell ref="Q73:T73"/>
    <mergeCell ref="U76:X76"/>
    <mergeCell ref="U74:X74"/>
    <mergeCell ref="U75:X75"/>
    <mergeCell ref="E76:L76"/>
    <mergeCell ref="E77:H77"/>
    <mergeCell ref="Q77:T77"/>
    <mergeCell ref="I77:L77"/>
    <mergeCell ref="M77:P77"/>
    <mergeCell ref="B77:D82"/>
    <mergeCell ref="E82:H82"/>
    <mergeCell ref="I82:L82"/>
    <mergeCell ref="M82:P82"/>
    <mergeCell ref="Q82:T82"/>
    <mergeCell ref="Q80:T80"/>
    <mergeCell ref="Q81:T81"/>
    <mergeCell ref="U77:X77"/>
    <mergeCell ref="U80:X80"/>
    <mergeCell ref="E81:H81"/>
    <mergeCell ref="U81:X81"/>
    <mergeCell ref="I80:L80"/>
    <mergeCell ref="I81:L81"/>
    <mergeCell ref="E83:H83"/>
    <mergeCell ref="I83:L83"/>
    <mergeCell ref="E84:H84"/>
    <mergeCell ref="I84:L84"/>
    <mergeCell ref="E78:H78"/>
    <mergeCell ref="I78:L78"/>
    <mergeCell ref="M78:P78"/>
    <mergeCell ref="Q78:T78"/>
    <mergeCell ref="U78:X78"/>
    <mergeCell ref="E79:H79"/>
    <mergeCell ref="I79:L79"/>
    <mergeCell ref="M79:P79"/>
    <mergeCell ref="Q79:T79"/>
    <mergeCell ref="U79:X79"/>
    <mergeCell ref="U82:X82"/>
    <mergeCell ref="E80:H80"/>
    <mergeCell ref="M80:P80"/>
    <mergeCell ref="M81:P81"/>
  </mergeCells>
  <dataValidations count="2">
    <dataValidation type="list" allowBlank="1" showInputMessage="1" sqref="U75:X75" xr:uid="{824ADB5D-6F17-4380-903C-B362E7815909}">
      <formula1>OFFSET(vehicle,0,0,ROWS(vehicle)-COUNTIF(vehicle,""))</formula1>
    </dataValidation>
    <dataValidation allowBlank="1" showInputMessage="1" sqref="E75 M75 Q75" xr:uid="{3B738DDD-5220-4E9F-8692-3D4E7A8E3E60}"/>
  </dataValidations>
  <printOptions horizontalCentered="1" verticalCentered="1"/>
  <pageMargins left="0.39370078740157483" right="0.39370078740157483" top="0.23622047244094491" bottom="0.23622047244094491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AB12CAE-4A3F-45B3-9A37-0FD4B7350DCF}">
          <x14:formula1>
            <xm:f>'Reference Data'!$C$2:$C$33</xm:f>
          </x14:formula1>
          <xm:sqref>F3:H3</xm:sqref>
        </x14:dataValidation>
        <x14:dataValidation type="list" allowBlank="1" showInputMessage="1" showErrorMessage="1" xr:uid="{F31DF6F1-02A4-4AAF-B0E6-05AAA9DF8BE1}">
          <x14:formula1>
            <xm:f>'Reference Data'!$A$2:$A$127</xm:f>
          </x14:formula1>
          <xm:sqref>N3:Q3</xm:sqref>
        </x14:dataValidation>
        <x14:dataValidation type="list" allowBlank="1" showInputMessage="1" xr:uid="{816F3977-089F-4C1B-AE21-85C862AD03F0}">
          <x14:formula1>
            <xm:f>Personel!$F$2:$F$65</xm:f>
          </x14:formula1>
          <xm:sqref>E77:X82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5231-418B-4025-BA2E-6EEBE269A4B4}">
  <sheetPr codeName="Sheet8">
    <tabColor theme="0"/>
    <pageSetUpPr fitToPage="1"/>
  </sheetPr>
  <dimension ref="A1:AX82"/>
  <sheetViews>
    <sheetView showGridLines="0" zoomScale="110" zoomScaleNormal="110" workbookViewId="0">
      <selection activeCell="W32" sqref="B2:AH32"/>
    </sheetView>
  </sheetViews>
  <sheetFormatPr defaultColWidth="4.7109375" defaultRowHeight="16.899999999999999"/>
  <cols>
    <col min="1" max="1" width="1.7109375" style="34" customWidth="1"/>
    <col min="2" max="4" width="3.7109375" style="34" customWidth="1"/>
    <col min="5" max="5" width="4.7109375" style="34" customWidth="1"/>
    <col min="6" max="8" width="3.7109375" style="34" customWidth="1"/>
    <col min="9" max="9" width="15.7109375" style="34" customWidth="1"/>
    <col min="10" max="12" width="3.7109375" style="34" customWidth="1"/>
    <col min="13" max="13" width="15.42578125" style="34" customWidth="1"/>
    <col min="14" max="15" width="3.7109375" style="34" customWidth="1"/>
    <col min="16" max="16" width="7.42578125" style="34" customWidth="1"/>
    <col min="17" max="18" width="3.7109375" style="34" customWidth="1"/>
    <col min="19" max="19" width="7.7109375" style="34" customWidth="1"/>
    <col min="20" max="23" width="3.7109375" style="34" customWidth="1"/>
    <col min="24" max="24" width="9.28515625" style="34" customWidth="1"/>
    <col min="25" max="25" width="2.42578125" style="34" customWidth="1"/>
    <col min="26" max="26" width="5" style="34" customWidth="1"/>
    <col min="27" max="27" width="10.140625" style="34" customWidth="1"/>
    <col min="28" max="29" width="4.7109375" style="34" hidden="1" customWidth="1"/>
    <col min="30" max="30" width="6.7109375" style="34" hidden="1" customWidth="1"/>
    <col min="31" max="31" width="0.140625" style="34" customWidth="1"/>
    <col min="32" max="32" width="2" style="34" hidden="1" customWidth="1"/>
    <col min="33" max="33" width="0.7109375" style="34" customWidth="1"/>
    <col min="34" max="34" width="2" style="34" customWidth="1"/>
    <col min="35" max="35" width="1.7109375" style="34" customWidth="1"/>
    <col min="36" max="36" width="20.140625" style="34" customWidth="1"/>
    <col min="37" max="37" width="11.140625" style="35" bestFit="1" customWidth="1"/>
    <col min="38" max="38" width="13.140625" style="35" bestFit="1" customWidth="1"/>
    <col min="39" max="39" width="4.42578125" style="34" customWidth="1"/>
    <col min="40" max="40" width="16.7109375" style="34" customWidth="1"/>
    <col min="41" max="16384" width="4.7109375" style="34"/>
  </cols>
  <sheetData>
    <row r="1" spans="1:50" ht="20.25" customHeight="1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</row>
    <row r="2" spans="1:50" ht="55.5" customHeigh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</row>
    <row r="3" spans="1:50" s="38" customFormat="1">
      <c r="A3" s="36"/>
      <c r="B3" s="204" t="s">
        <v>3</v>
      </c>
      <c r="C3" s="204"/>
      <c r="D3" s="204"/>
      <c r="E3" s="204"/>
      <c r="F3" s="617" t="s">
        <v>4</v>
      </c>
      <c r="G3" s="618"/>
      <c r="H3" s="618"/>
      <c r="I3" s="618"/>
      <c r="J3" s="618"/>
      <c r="K3" s="618"/>
      <c r="L3" s="619"/>
      <c r="M3" s="58"/>
      <c r="N3" s="59"/>
      <c r="O3" s="205" t="s">
        <v>19</v>
      </c>
      <c r="P3" s="206"/>
      <c r="Q3" s="206"/>
      <c r="R3" s="207"/>
      <c r="S3" s="617" t="s">
        <v>20</v>
      </c>
      <c r="T3" s="618"/>
      <c r="U3" s="618"/>
      <c r="V3" s="618"/>
      <c r="W3" s="618"/>
      <c r="X3" s="618"/>
      <c r="Y3" s="618"/>
      <c r="Z3" s="618"/>
      <c r="AA3" s="618"/>
      <c r="AB3" s="618"/>
      <c r="AC3" s="618"/>
      <c r="AD3" s="618"/>
      <c r="AE3" s="618"/>
      <c r="AF3" s="618"/>
      <c r="AG3" s="618"/>
      <c r="AH3" s="619"/>
      <c r="AI3" s="69"/>
      <c r="AJ3" s="70"/>
      <c r="AK3" s="37"/>
      <c r="AL3" s="37"/>
      <c r="AM3" s="36"/>
    </row>
    <row r="4" spans="1:50" s="38" customFormat="1">
      <c r="A4" s="36"/>
      <c r="B4" s="208" t="s">
        <v>5</v>
      </c>
      <c r="C4" s="209"/>
      <c r="D4" s="209"/>
      <c r="E4" s="210"/>
      <c r="F4" s="617" t="s">
        <v>21</v>
      </c>
      <c r="G4" s="618"/>
      <c r="H4" s="618"/>
      <c r="I4" s="618"/>
      <c r="J4" s="618"/>
      <c r="K4" s="618"/>
      <c r="L4" s="619"/>
      <c r="M4" s="58"/>
      <c r="N4" s="59"/>
      <c r="O4" s="211" t="s">
        <v>22</v>
      </c>
      <c r="P4" s="212"/>
      <c r="Q4" s="212"/>
      <c r="R4" s="213"/>
      <c r="S4" s="630" t="s">
        <v>23</v>
      </c>
      <c r="T4" s="631"/>
      <c r="U4" s="631"/>
      <c r="V4" s="631"/>
      <c r="W4" s="631"/>
      <c r="X4" s="631"/>
      <c r="Y4" s="631"/>
      <c r="Z4" s="631"/>
      <c r="AA4" s="631"/>
      <c r="AB4" s="631"/>
      <c r="AC4" s="631"/>
      <c r="AD4" s="631"/>
      <c r="AE4" s="631"/>
      <c r="AF4" s="631"/>
      <c r="AG4" s="631"/>
      <c r="AH4" s="632"/>
      <c r="AI4" s="69"/>
      <c r="AJ4" s="70"/>
      <c r="AK4" s="37"/>
      <c r="AL4" s="37"/>
      <c r="AM4" s="36"/>
    </row>
    <row r="5" spans="1:50" s="38" customFormat="1">
      <c r="A5" s="36"/>
      <c r="B5" s="214" t="s">
        <v>10</v>
      </c>
      <c r="C5" s="215"/>
      <c r="D5" s="215"/>
      <c r="E5" s="216"/>
      <c r="F5" s="624" t="s">
        <v>24</v>
      </c>
      <c r="G5" s="625"/>
      <c r="H5" s="625"/>
      <c r="I5" s="625"/>
      <c r="J5" s="625"/>
      <c r="K5" s="625"/>
      <c r="L5" s="626"/>
      <c r="M5" s="60"/>
      <c r="N5" s="59"/>
      <c r="O5" s="217"/>
      <c r="P5" s="218"/>
      <c r="Q5" s="218"/>
      <c r="R5" s="219"/>
      <c r="S5" s="633"/>
      <c r="T5" s="634"/>
      <c r="U5" s="634"/>
      <c r="V5" s="634"/>
      <c r="W5" s="634"/>
      <c r="X5" s="634"/>
      <c r="Y5" s="634"/>
      <c r="Z5" s="634"/>
      <c r="AA5" s="634"/>
      <c r="AB5" s="634"/>
      <c r="AC5" s="634"/>
      <c r="AD5" s="634"/>
      <c r="AE5" s="634"/>
      <c r="AF5" s="634"/>
      <c r="AG5" s="634"/>
      <c r="AH5" s="635"/>
      <c r="AI5" s="71"/>
      <c r="AJ5" s="70"/>
      <c r="AK5" s="37"/>
      <c r="AL5" s="37"/>
      <c r="AM5" s="36"/>
    </row>
    <row r="6" spans="1:50" ht="12" customHeight="1">
      <c r="A6" s="33"/>
      <c r="B6" s="33"/>
      <c r="C6" s="33"/>
      <c r="D6" s="33"/>
      <c r="E6" s="33"/>
      <c r="F6" s="64"/>
      <c r="G6"/>
      <c r="H6"/>
      <c r="I6"/>
      <c r="J6" s="64"/>
      <c r="K6"/>
      <c r="L6"/>
      <c r="M6"/>
      <c r="N6" s="17"/>
      <c r="O6" s="64"/>
      <c r="P6"/>
      <c r="Q6"/>
      <c r="R6"/>
      <c r="S6" s="64"/>
      <c r="T6"/>
      <c r="U6"/>
      <c r="V6"/>
      <c r="W6" s="64"/>
      <c r="X6"/>
      <c r="Y6"/>
      <c r="Z6"/>
      <c r="AA6" s="64"/>
      <c r="AB6" s="64"/>
      <c r="AC6" s="64"/>
      <c r="AD6" s="64"/>
      <c r="AE6" s="64"/>
      <c r="AF6" s="64"/>
      <c r="AG6" s="64"/>
      <c r="AH6" s="64"/>
      <c r="AI6" s="33"/>
      <c r="AK6" s="34" t="s">
        <v>25</v>
      </c>
      <c r="AL6" s="220"/>
      <c r="AM6" s="33"/>
      <c r="AN6" s="221"/>
      <c r="AW6" s="34" t="s">
        <v>13</v>
      </c>
    </row>
    <row r="7" spans="1:50" ht="15" customHeight="1">
      <c r="A7" s="33"/>
      <c r="B7" s="627" t="s">
        <v>26</v>
      </c>
      <c r="C7" s="628"/>
      <c r="D7" s="628"/>
      <c r="E7" s="628"/>
      <c r="F7" s="628"/>
      <c r="G7" s="628"/>
      <c r="H7" s="628"/>
      <c r="I7" s="628"/>
      <c r="J7" s="628"/>
      <c r="K7" s="628"/>
      <c r="L7" s="628"/>
      <c r="M7" s="628"/>
      <c r="N7" s="628"/>
      <c r="O7" s="628"/>
      <c r="P7" s="628"/>
      <c r="Q7" s="628"/>
      <c r="R7" s="628"/>
      <c r="S7" s="628"/>
      <c r="T7" s="628"/>
      <c r="U7" s="628"/>
      <c r="V7" s="628"/>
      <c r="W7" s="628"/>
      <c r="X7" s="628"/>
      <c r="Y7" s="628"/>
      <c r="Z7" s="628"/>
      <c r="AA7" s="628"/>
      <c r="AB7" s="628"/>
      <c r="AC7" s="628"/>
      <c r="AD7" s="628"/>
      <c r="AE7" s="628"/>
      <c r="AF7" s="628"/>
      <c r="AG7" s="628"/>
      <c r="AH7" s="629"/>
      <c r="AI7" s="33"/>
      <c r="AK7" s="34" t="s">
        <v>27</v>
      </c>
      <c r="AL7" s="220"/>
      <c r="AN7" s="38"/>
    </row>
    <row r="8" spans="1:50">
      <c r="A8" s="33"/>
      <c r="B8" s="636" t="s">
        <v>28</v>
      </c>
      <c r="C8" s="636"/>
      <c r="D8" s="636" t="s">
        <v>29</v>
      </c>
      <c r="E8" s="636"/>
      <c r="F8" s="620" t="s">
        <v>18</v>
      </c>
      <c r="G8" s="620"/>
      <c r="H8" s="620"/>
      <c r="I8" s="620"/>
      <c r="J8" s="620"/>
      <c r="K8" s="620"/>
      <c r="L8" s="620"/>
      <c r="M8" s="620"/>
      <c r="N8" s="621" t="s">
        <v>30</v>
      </c>
      <c r="O8" s="622"/>
      <c r="P8" s="623"/>
      <c r="Q8" s="620" t="s">
        <v>31</v>
      </c>
      <c r="R8" s="620"/>
      <c r="S8" s="620"/>
      <c r="T8" s="620" t="s">
        <v>32</v>
      </c>
      <c r="U8" s="620"/>
      <c r="V8" s="620"/>
      <c r="W8" s="620" t="s">
        <v>33</v>
      </c>
      <c r="X8" s="620"/>
      <c r="Y8" s="620"/>
      <c r="Z8" s="620"/>
      <c r="AA8" s="620"/>
      <c r="AB8" s="620"/>
      <c r="AC8" s="620"/>
      <c r="AD8" s="620"/>
      <c r="AE8" s="620"/>
      <c r="AF8" s="620"/>
      <c r="AG8" s="620"/>
      <c r="AH8" s="620"/>
      <c r="AI8" s="33"/>
      <c r="AK8" s="34"/>
    </row>
    <row r="9" spans="1:50" ht="15" customHeight="1">
      <c r="B9" s="603">
        <v>1</v>
      </c>
      <c r="C9" s="604"/>
      <c r="D9" s="637" t="s">
        <v>25</v>
      </c>
      <c r="E9" s="638"/>
      <c r="F9" s="605" t="s">
        <v>34</v>
      </c>
      <c r="G9" s="606"/>
      <c r="H9" s="606"/>
      <c r="I9" s="606"/>
      <c r="J9" s="606"/>
      <c r="K9" s="606"/>
      <c r="L9" s="606"/>
      <c r="M9" s="607"/>
      <c r="N9" s="611">
        <v>46161</v>
      </c>
      <c r="O9" s="612"/>
      <c r="P9" s="613"/>
      <c r="Q9" s="592">
        <v>46167</v>
      </c>
      <c r="R9" s="593"/>
      <c r="S9" s="594"/>
      <c r="T9" s="599">
        <f>SUM(Q9-N9)</f>
        <v>6</v>
      </c>
      <c r="U9" s="600"/>
      <c r="V9" s="601"/>
      <c r="W9" s="598"/>
      <c r="X9" s="598"/>
      <c r="Y9" s="598"/>
      <c r="Z9" s="598"/>
      <c r="AA9" s="598"/>
      <c r="AB9" s="598"/>
      <c r="AC9" s="598"/>
      <c r="AD9" s="598"/>
      <c r="AE9" s="598"/>
      <c r="AF9" s="598"/>
      <c r="AG9" s="598"/>
      <c r="AH9" s="598"/>
      <c r="AK9" s="35" t="s">
        <v>13</v>
      </c>
      <c r="AL9" s="35" t="s">
        <v>13</v>
      </c>
      <c r="AN9" s="34" t="s">
        <v>13</v>
      </c>
      <c r="AO9" s="34" t="s">
        <v>13</v>
      </c>
      <c r="AQ9" s="34" t="s">
        <v>13</v>
      </c>
      <c r="AX9" s="34" t="s">
        <v>13</v>
      </c>
    </row>
    <row r="10" spans="1:50" ht="15" customHeight="1">
      <c r="B10" s="645">
        <v>2</v>
      </c>
      <c r="C10" s="646"/>
      <c r="D10" s="643" t="s">
        <v>25</v>
      </c>
      <c r="E10" s="644"/>
      <c r="F10" s="647" t="s">
        <v>35</v>
      </c>
      <c r="G10" s="648"/>
      <c r="H10" s="648"/>
      <c r="I10" s="648"/>
      <c r="J10" s="648"/>
      <c r="K10" s="648"/>
      <c r="L10" s="648"/>
      <c r="M10" s="649"/>
      <c r="N10" s="611">
        <v>46160</v>
      </c>
      <c r="O10" s="612"/>
      <c r="P10" s="613"/>
      <c r="Q10" s="592">
        <v>46167</v>
      </c>
      <c r="R10" s="593"/>
      <c r="S10" s="594"/>
      <c r="T10" s="595">
        <f>SUM(Q10-N10)</f>
        <v>7</v>
      </c>
      <c r="U10" s="596"/>
      <c r="V10" s="597"/>
      <c r="W10" s="598"/>
      <c r="X10" s="598"/>
      <c r="Y10" s="598"/>
      <c r="Z10" s="598"/>
      <c r="AA10" s="598"/>
      <c r="AB10" s="598"/>
      <c r="AC10" s="598"/>
      <c r="AD10" s="598"/>
      <c r="AE10" s="598"/>
      <c r="AF10" s="598"/>
      <c r="AG10" s="598"/>
      <c r="AH10" s="598"/>
    </row>
    <row r="11" spans="1:50" ht="15" customHeight="1">
      <c r="A11" s="33"/>
      <c r="B11" s="603">
        <v>3</v>
      </c>
      <c r="C11" s="604"/>
      <c r="D11" s="602" t="s">
        <v>36</v>
      </c>
      <c r="E11" s="602"/>
      <c r="F11" s="605" t="s">
        <v>37</v>
      </c>
      <c r="G11" s="606"/>
      <c r="H11" s="606"/>
      <c r="I11" s="606"/>
      <c r="J11" s="605" t="s">
        <v>38</v>
      </c>
      <c r="K11" s="606"/>
      <c r="L11" s="606"/>
      <c r="M11" s="607"/>
      <c r="N11" s="611">
        <v>46160</v>
      </c>
      <c r="O11" s="612"/>
      <c r="P11" s="613"/>
      <c r="Q11" s="592">
        <v>46167</v>
      </c>
      <c r="R11" s="593"/>
      <c r="S11" s="594"/>
      <c r="T11" s="599">
        <f t="shared" ref="T11:T29" si="0">SUM(Q11-N11)</f>
        <v>7</v>
      </c>
      <c r="U11" s="600"/>
      <c r="V11" s="601"/>
      <c r="W11" s="598"/>
      <c r="X11" s="598"/>
      <c r="Y11" s="598"/>
      <c r="Z11" s="598"/>
      <c r="AA11" s="598"/>
      <c r="AB11" s="598"/>
      <c r="AC11" s="598"/>
      <c r="AD11" s="598"/>
      <c r="AE11" s="598"/>
      <c r="AF11" s="598"/>
      <c r="AG11" s="598"/>
      <c r="AH11" s="598"/>
      <c r="AI11" s="33"/>
      <c r="AK11" s="35">
        <f t="shared" ref="AK11:AK24" si="1">Q11-N11</f>
        <v>7</v>
      </c>
      <c r="AL11" s="35">
        <f t="shared" ref="AL11:AL24" si="2">AK11*$AL$7</f>
        <v>0</v>
      </c>
      <c r="AM11" s="222"/>
      <c r="AN11" s="203"/>
      <c r="AR11" s="34" t="s">
        <v>13</v>
      </c>
    </row>
    <row r="12" spans="1:50" ht="15" customHeight="1">
      <c r="A12" s="33"/>
      <c r="B12" s="603">
        <v>4</v>
      </c>
      <c r="C12" s="604"/>
      <c r="D12" s="602" t="s">
        <v>25</v>
      </c>
      <c r="E12" s="602"/>
      <c r="F12" s="605" t="s">
        <v>39</v>
      </c>
      <c r="G12" s="606"/>
      <c r="H12" s="606"/>
      <c r="I12" s="606"/>
      <c r="J12" s="606"/>
      <c r="K12" s="606"/>
      <c r="L12" s="606"/>
      <c r="M12" s="607"/>
      <c r="N12" s="611">
        <v>46160</v>
      </c>
      <c r="O12" s="612"/>
      <c r="P12" s="613"/>
      <c r="Q12" s="592">
        <v>46167</v>
      </c>
      <c r="R12" s="593"/>
      <c r="S12" s="594"/>
      <c r="T12" s="599">
        <f t="shared" si="0"/>
        <v>7</v>
      </c>
      <c r="U12" s="600"/>
      <c r="V12" s="601"/>
      <c r="W12" s="598"/>
      <c r="X12" s="598"/>
      <c r="Y12" s="598"/>
      <c r="Z12" s="598"/>
      <c r="AA12" s="598"/>
      <c r="AB12" s="598"/>
      <c r="AC12" s="598"/>
      <c r="AD12" s="598"/>
      <c r="AE12" s="598"/>
      <c r="AF12" s="598"/>
      <c r="AG12" s="598"/>
      <c r="AH12" s="598"/>
      <c r="AI12" s="33"/>
      <c r="AK12" s="35">
        <f t="shared" si="1"/>
        <v>7</v>
      </c>
      <c r="AL12" s="35">
        <f t="shared" si="2"/>
        <v>0</v>
      </c>
    </row>
    <row r="13" spans="1:50" ht="15" customHeight="1">
      <c r="A13" s="33"/>
      <c r="B13" s="603">
        <v>5</v>
      </c>
      <c r="C13" s="604"/>
      <c r="D13" s="602" t="s">
        <v>25</v>
      </c>
      <c r="E13" s="602"/>
      <c r="F13" s="605" t="s">
        <v>40</v>
      </c>
      <c r="G13" s="606"/>
      <c r="H13" s="606"/>
      <c r="I13" s="606"/>
      <c r="J13" s="606"/>
      <c r="K13" s="606"/>
      <c r="L13" s="606"/>
      <c r="M13" s="607"/>
      <c r="N13" s="608">
        <v>46160</v>
      </c>
      <c r="O13" s="609"/>
      <c r="P13" s="610"/>
      <c r="Q13" s="592">
        <v>46167</v>
      </c>
      <c r="R13" s="593"/>
      <c r="S13" s="594"/>
      <c r="T13" s="599">
        <f t="shared" si="0"/>
        <v>7</v>
      </c>
      <c r="U13" s="600"/>
      <c r="V13" s="601"/>
      <c r="W13" s="598"/>
      <c r="X13" s="598"/>
      <c r="Y13" s="598"/>
      <c r="Z13" s="598"/>
      <c r="AA13" s="598"/>
      <c r="AB13" s="598"/>
      <c r="AC13" s="598"/>
      <c r="AD13" s="598"/>
      <c r="AE13" s="598"/>
      <c r="AF13" s="598"/>
      <c r="AG13" s="598"/>
      <c r="AH13" s="598"/>
      <c r="AI13" s="33"/>
      <c r="AK13" s="35">
        <f t="shared" ref="AK13" si="3">Q13-N13</f>
        <v>7</v>
      </c>
      <c r="AL13" s="35">
        <f t="shared" ref="AL13" si="4">AK13*$AL$7</f>
        <v>0</v>
      </c>
    </row>
    <row r="14" spans="1:50" ht="15" customHeight="1">
      <c r="A14" s="33"/>
      <c r="B14" s="603">
        <v>6</v>
      </c>
      <c r="C14" s="604"/>
      <c r="D14" s="602" t="s">
        <v>25</v>
      </c>
      <c r="E14" s="602"/>
      <c r="F14" s="605" t="s">
        <v>41</v>
      </c>
      <c r="G14" s="606"/>
      <c r="H14" s="606"/>
      <c r="I14" s="606"/>
      <c r="J14" s="606"/>
      <c r="K14" s="606"/>
      <c r="L14" s="606"/>
      <c r="M14" s="607"/>
      <c r="N14" s="608">
        <v>46160</v>
      </c>
      <c r="O14" s="609"/>
      <c r="P14" s="610"/>
      <c r="Q14" s="614">
        <v>46167</v>
      </c>
      <c r="R14" s="615"/>
      <c r="S14" s="616"/>
      <c r="T14" s="599">
        <f t="shared" si="0"/>
        <v>7</v>
      </c>
      <c r="U14" s="600"/>
      <c r="V14" s="601"/>
      <c r="W14" s="598"/>
      <c r="X14" s="598"/>
      <c r="Y14" s="598"/>
      <c r="Z14" s="598"/>
      <c r="AA14" s="598"/>
      <c r="AB14" s="598"/>
      <c r="AC14" s="598"/>
      <c r="AD14" s="598"/>
      <c r="AE14" s="598"/>
      <c r="AF14" s="598"/>
      <c r="AG14" s="598"/>
      <c r="AH14" s="598"/>
      <c r="AI14" s="33"/>
      <c r="AK14" s="35">
        <f t="shared" si="1"/>
        <v>7</v>
      </c>
      <c r="AL14" s="35">
        <f t="shared" si="2"/>
        <v>0</v>
      </c>
    </row>
    <row r="15" spans="1:50" ht="15" customHeight="1">
      <c r="A15" s="33"/>
      <c r="B15" s="603">
        <v>7</v>
      </c>
      <c r="C15" s="604"/>
      <c r="D15" s="637" t="s">
        <v>27</v>
      </c>
      <c r="E15" s="638"/>
      <c r="F15" s="605" t="s">
        <v>42</v>
      </c>
      <c r="G15" s="606"/>
      <c r="H15" s="606"/>
      <c r="I15" s="606"/>
      <c r="J15" s="606"/>
      <c r="K15" s="606"/>
      <c r="L15" s="606"/>
      <c r="M15" s="607"/>
      <c r="N15" s="608">
        <v>46160</v>
      </c>
      <c r="O15" s="609"/>
      <c r="P15" s="610"/>
      <c r="Q15" s="614">
        <v>46167</v>
      </c>
      <c r="R15" s="615"/>
      <c r="S15" s="616"/>
      <c r="T15" s="599">
        <f t="shared" si="0"/>
        <v>7</v>
      </c>
      <c r="U15" s="600"/>
      <c r="V15" s="601"/>
      <c r="W15" s="598"/>
      <c r="X15" s="598"/>
      <c r="Y15" s="598"/>
      <c r="Z15" s="598"/>
      <c r="AA15" s="598"/>
      <c r="AB15" s="598"/>
      <c r="AC15" s="598"/>
      <c r="AD15" s="598"/>
      <c r="AE15" s="598"/>
      <c r="AF15" s="598"/>
      <c r="AG15" s="598"/>
      <c r="AH15" s="598"/>
      <c r="AI15" s="33"/>
      <c r="AK15" s="35">
        <f t="shared" ref="AK15" si="5">Q15-N15</f>
        <v>7</v>
      </c>
      <c r="AL15" s="35">
        <f t="shared" ref="AL15" si="6">AK15*$AL$7</f>
        <v>0</v>
      </c>
    </row>
    <row r="16" spans="1:50" ht="15" customHeight="1">
      <c r="A16" s="33"/>
      <c r="B16" s="639"/>
      <c r="C16" s="640"/>
      <c r="D16" s="641"/>
      <c r="E16" s="642"/>
      <c r="F16" s="605" t="s">
        <v>43</v>
      </c>
      <c r="G16" s="606"/>
      <c r="H16" s="606"/>
      <c r="I16" s="606"/>
      <c r="J16" s="606"/>
      <c r="K16" s="606"/>
      <c r="L16" s="606"/>
      <c r="M16" s="607"/>
      <c r="N16" s="608">
        <v>46160</v>
      </c>
      <c r="O16" s="609"/>
      <c r="P16" s="610"/>
      <c r="Q16" s="614">
        <v>46167</v>
      </c>
      <c r="R16" s="615"/>
      <c r="S16" s="616"/>
      <c r="T16" s="599">
        <f t="shared" ref="T16" si="7">SUM(Q16-N16)</f>
        <v>7</v>
      </c>
      <c r="U16" s="600"/>
      <c r="V16" s="601"/>
      <c r="W16" s="598"/>
      <c r="X16" s="598"/>
      <c r="Y16" s="598"/>
      <c r="Z16" s="598"/>
      <c r="AA16" s="598"/>
      <c r="AB16" s="598"/>
      <c r="AC16" s="598"/>
      <c r="AD16" s="598"/>
      <c r="AE16" s="598"/>
      <c r="AF16" s="598"/>
      <c r="AG16" s="598"/>
      <c r="AH16" s="598"/>
      <c r="AI16" s="33"/>
    </row>
    <row r="17" spans="1:46" ht="15" customHeight="1">
      <c r="A17" s="33"/>
      <c r="B17" s="603">
        <v>8</v>
      </c>
      <c r="C17" s="604"/>
      <c r="D17" s="637" t="s">
        <v>27</v>
      </c>
      <c r="E17" s="638"/>
      <c r="F17" s="599" t="s">
        <v>44</v>
      </c>
      <c r="G17" s="600"/>
      <c r="H17" s="600"/>
      <c r="I17" s="600"/>
      <c r="J17" s="600"/>
      <c r="K17" s="600"/>
      <c r="L17" s="600"/>
      <c r="M17" s="601"/>
      <c r="N17" s="608">
        <v>46160</v>
      </c>
      <c r="O17" s="609"/>
      <c r="P17" s="610"/>
      <c r="Q17" s="614">
        <v>46167</v>
      </c>
      <c r="R17" s="615"/>
      <c r="S17" s="616"/>
      <c r="T17" s="599">
        <f t="shared" si="0"/>
        <v>7</v>
      </c>
      <c r="U17" s="600"/>
      <c r="V17" s="601"/>
      <c r="W17" s="598"/>
      <c r="X17" s="598"/>
      <c r="Y17" s="598"/>
      <c r="Z17" s="598"/>
      <c r="AA17" s="598"/>
      <c r="AB17" s="598"/>
      <c r="AC17" s="598"/>
      <c r="AD17" s="598"/>
      <c r="AE17" s="598"/>
      <c r="AF17" s="598"/>
      <c r="AG17" s="598"/>
      <c r="AH17" s="598"/>
      <c r="AI17" s="33"/>
      <c r="AK17" s="35">
        <f t="shared" ref="AK17" si="8">Q17-N17</f>
        <v>7</v>
      </c>
      <c r="AL17" s="35">
        <f t="shared" ref="AL17" si="9">AK17*$AL$7</f>
        <v>0</v>
      </c>
    </row>
    <row r="18" spans="1:46" ht="15" customHeight="1">
      <c r="A18" s="33"/>
      <c r="B18" s="639"/>
      <c r="C18" s="640"/>
      <c r="D18" s="641"/>
      <c r="E18" s="642"/>
      <c r="F18" s="599" t="s">
        <v>45</v>
      </c>
      <c r="G18" s="600"/>
      <c r="H18" s="600"/>
      <c r="I18" s="600"/>
      <c r="J18" s="600"/>
      <c r="K18" s="600"/>
      <c r="L18" s="600"/>
      <c r="M18" s="601"/>
      <c r="N18" s="608">
        <v>46160</v>
      </c>
      <c r="O18" s="609"/>
      <c r="P18" s="610"/>
      <c r="Q18" s="614">
        <v>46167</v>
      </c>
      <c r="R18" s="615"/>
      <c r="S18" s="616"/>
      <c r="T18" s="599">
        <f t="shared" si="0"/>
        <v>7</v>
      </c>
      <c r="U18" s="600"/>
      <c r="V18" s="601"/>
      <c r="W18" s="598"/>
      <c r="X18" s="598"/>
      <c r="Y18" s="598"/>
      <c r="Z18" s="598"/>
      <c r="AA18" s="598"/>
      <c r="AB18" s="598"/>
      <c r="AC18" s="598"/>
      <c r="AD18" s="598"/>
      <c r="AE18" s="598"/>
      <c r="AF18" s="598"/>
      <c r="AG18" s="598"/>
      <c r="AH18" s="598"/>
      <c r="AI18" s="33"/>
    </row>
    <row r="19" spans="1:46">
      <c r="A19" s="33"/>
      <c r="B19" s="645">
        <v>9</v>
      </c>
      <c r="C19" s="646"/>
      <c r="D19" s="643" t="s">
        <v>27</v>
      </c>
      <c r="E19" s="644"/>
      <c r="F19" s="605" t="s">
        <v>46</v>
      </c>
      <c r="G19" s="606"/>
      <c r="H19" s="606"/>
      <c r="I19" s="606"/>
      <c r="J19" s="606"/>
      <c r="K19" s="606"/>
      <c r="L19" s="606"/>
      <c r="M19" s="607"/>
      <c r="N19" s="608">
        <v>46160</v>
      </c>
      <c r="O19" s="609"/>
      <c r="P19" s="610"/>
      <c r="Q19" s="614">
        <v>46167</v>
      </c>
      <c r="R19" s="615"/>
      <c r="S19" s="616"/>
      <c r="T19" s="595">
        <f t="shared" si="0"/>
        <v>7</v>
      </c>
      <c r="U19" s="596"/>
      <c r="V19" s="597"/>
      <c r="W19" s="598"/>
      <c r="X19" s="598"/>
      <c r="Y19" s="598"/>
      <c r="Z19" s="598"/>
      <c r="AA19" s="598"/>
      <c r="AB19" s="598"/>
      <c r="AC19" s="598"/>
      <c r="AD19" s="598"/>
      <c r="AE19" s="598"/>
      <c r="AF19" s="598"/>
      <c r="AG19" s="598"/>
      <c r="AH19" s="598"/>
      <c r="AI19" s="33"/>
      <c r="AK19" s="35">
        <f t="shared" si="1"/>
        <v>7</v>
      </c>
      <c r="AL19" s="35">
        <f t="shared" si="2"/>
        <v>0</v>
      </c>
    </row>
    <row r="20" spans="1:46">
      <c r="A20" s="33"/>
      <c r="B20" s="657"/>
      <c r="C20" s="658"/>
      <c r="D20" s="655"/>
      <c r="E20" s="656"/>
      <c r="F20" s="605" t="s">
        <v>47</v>
      </c>
      <c r="G20" s="606"/>
      <c r="H20" s="606"/>
      <c r="I20" s="606"/>
      <c r="J20" s="606"/>
      <c r="K20" s="606"/>
      <c r="L20" s="606"/>
      <c r="M20" s="607"/>
      <c r="N20" s="608">
        <v>46160</v>
      </c>
      <c r="O20" s="609"/>
      <c r="P20" s="610"/>
      <c r="Q20" s="614">
        <v>46167</v>
      </c>
      <c r="R20" s="615"/>
      <c r="S20" s="616"/>
      <c r="T20" s="595">
        <f t="shared" si="0"/>
        <v>7</v>
      </c>
      <c r="U20" s="596"/>
      <c r="V20" s="597"/>
      <c r="W20" s="598"/>
      <c r="X20" s="598"/>
      <c r="Y20" s="598"/>
      <c r="Z20" s="598"/>
      <c r="AA20" s="598"/>
      <c r="AB20" s="598"/>
      <c r="AC20" s="598"/>
      <c r="AD20" s="598"/>
      <c r="AE20" s="598"/>
      <c r="AF20" s="598"/>
      <c r="AG20" s="598"/>
      <c r="AH20" s="598"/>
      <c r="AI20" s="33"/>
    </row>
    <row r="21" spans="1:46">
      <c r="A21" s="33"/>
      <c r="B21" s="603">
        <v>10</v>
      </c>
      <c r="C21" s="604"/>
      <c r="D21" s="637" t="s">
        <v>27</v>
      </c>
      <c r="E21" s="638"/>
      <c r="F21" s="651" t="s">
        <v>48</v>
      </c>
      <c r="G21" s="651"/>
      <c r="H21" s="651"/>
      <c r="I21" s="651"/>
      <c r="J21" s="651"/>
      <c r="K21" s="651"/>
      <c r="L21" s="651"/>
      <c r="M21" s="651"/>
      <c r="N21" s="608">
        <v>46160</v>
      </c>
      <c r="O21" s="609"/>
      <c r="P21" s="610"/>
      <c r="Q21" s="614">
        <v>46167</v>
      </c>
      <c r="R21" s="615"/>
      <c r="S21" s="616"/>
      <c r="T21" s="599">
        <f t="shared" si="0"/>
        <v>7</v>
      </c>
      <c r="U21" s="600"/>
      <c r="V21" s="601"/>
      <c r="W21" s="598"/>
      <c r="X21" s="598"/>
      <c r="Y21" s="598"/>
      <c r="Z21" s="598"/>
      <c r="AA21" s="598"/>
      <c r="AB21" s="598"/>
      <c r="AC21" s="598"/>
      <c r="AD21" s="598"/>
      <c r="AE21" s="598"/>
      <c r="AF21" s="598"/>
      <c r="AG21" s="598"/>
      <c r="AH21" s="598"/>
      <c r="AI21" s="33"/>
      <c r="AT21" s="34" t="s">
        <v>13</v>
      </c>
    </row>
    <row r="22" spans="1:46">
      <c r="A22" s="33"/>
      <c r="B22" s="639"/>
      <c r="C22" s="640"/>
      <c r="D22" s="641"/>
      <c r="E22" s="642"/>
      <c r="F22" s="599" t="s">
        <v>49</v>
      </c>
      <c r="G22" s="600"/>
      <c r="H22" s="600"/>
      <c r="I22" s="600"/>
      <c r="J22" s="600"/>
      <c r="K22" s="600"/>
      <c r="L22" s="600"/>
      <c r="M22" s="601"/>
      <c r="N22" s="608">
        <v>46160</v>
      </c>
      <c r="O22" s="609"/>
      <c r="P22" s="610"/>
      <c r="Q22" s="614">
        <v>46167</v>
      </c>
      <c r="R22" s="615"/>
      <c r="S22" s="616"/>
      <c r="T22" s="599">
        <f t="shared" ref="T22:T23" si="10">SUM(Q22-N22)</f>
        <v>7</v>
      </c>
      <c r="U22" s="600"/>
      <c r="V22" s="601"/>
      <c r="W22" s="598"/>
      <c r="X22" s="598"/>
      <c r="Y22" s="598"/>
      <c r="Z22" s="598"/>
      <c r="AA22" s="598"/>
      <c r="AB22" s="598"/>
      <c r="AC22" s="598"/>
      <c r="AD22" s="598"/>
      <c r="AE22" s="598"/>
      <c r="AF22" s="598"/>
      <c r="AG22" s="598"/>
      <c r="AH22" s="598"/>
      <c r="AI22" s="33"/>
      <c r="AT22" s="34" t="s">
        <v>13</v>
      </c>
    </row>
    <row r="23" spans="1:46">
      <c r="A23" s="33"/>
      <c r="B23" s="603">
        <v>11</v>
      </c>
      <c r="C23" s="604"/>
      <c r="D23" s="637" t="s">
        <v>27</v>
      </c>
      <c r="E23" s="638"/>
      <c r="F23" s="651" t="s">
        <v>50</v>
      </c>
      <c r="G23" s="651"/>
      <c r="H23" s="651"/>
      <c r="I23" s="651"/>
      <c r="J23" s="651"/>
      <c r="K23" s="651"/>
      <c r="L23" s="651"/>
      <c r="M23" s="651"/>
      <c r="N23" s="608">
        <v>46160</v>
      </c>
      <c r="O23" s="609"/>
      <c r="P23" s="610"/>
      <c r="Q23" s="614">
        <v>46167</v>
      </c>
      <c r="R23" s="615"/>
      <c r="S23" s="616"/>
      <c r="T23" s="599">
        <f t="shared" si="10"/>
        <v>7</v>
      </c>
      <c r="U23" s="600"/>
      <c r="V23" s="601"/>
      <c r="W23" s="598"/>
      <c r="X23" s="598"/>
      <c r="Y23" s="598"/>
      <c r="Z23" s="598"/>
      <c r="AA23" s="598"/>
      <c r="AB23" s="598"/>
      <c r="AC23" s="598"/>
      <c r="AD23" s="598"/>
      <c r="AE23" s="598"/>
      <c r="AF23" s="598"/>
      <c r="AG23" s="598"/>
      <c r="AH23" s="598"/>
      <c r="AI23" s="33"/>
      <c r="AK23" s="35">
        <f t="shared" si="1"/>
        <v>7</v>
      </c>
      <c r="AL23" s="35">
        <f t="shared" si="2"/>
        <v>0</v>
      </c>
      <c r="AP23" s="34" t="s">
        <v>13</v>
      </c>
    </row>
    <row r="24" spans="1:46">
      <c r="A24" s="33"/>
      <c r="B24" s="639"/>
      <c r="C24" s="640"/>
      <c r="D24" s="641"/>
      <c r="E24" s="642"/>
      <c r="F24" s="652" t="s">
        <v>51</v>
      </c>
      <c r="G24" s="653"/>
      <c r="H24" s="653"/>
      <c r="I24" s="653"/>
      <c r="J24" s="653"/>
      <c r="K24" s="653"/>
      <c r="L24" s="653"/>
      <c r="M24" s="654"/>
      <c r="N24" s="608">
        <v>46160</v>
      </c>
      <c r="O24" s="609"/>
      <c r="P24" s="610"/>
      <c r="Q24" s="614">
        <v>46167</v>
      </c>
      <c r="R24" s="615"/>
      <c r="S24" s="616"/>
      <c r="T24" s="599">
        <f t="shared" si="0"/>
        <v>7</v>
      </c>
      <c r="U24" s="600"/>
      <c r="V24" s="601"/>
      <c r="W24" s="598"/>
      <c r="X24" s="598"/>
      <c r="Y24" s="598"/>
      <c r="Z24" s="598"/>
      <c r="AA24" s="598"/>
      <c r="AB24" s="598"/>
      <c r="AC24" s="598"/>
      <c r="AD24" s="598"/>
      <c r="AE24" s="598"/>
      <c r="AF24" s="598"/>
      <c r="AG24" s="598"/>
      <c r="AH24" s="598"/>
      <c r="AI24" s="33"/>
      <c r="AJ24" s="34" t="s">
        <v>13</v>
      </c>
      <c r="AK24" s="35">
        <f t="shared" si="1"/>
        <v>7</v>
      </c>
      <c r="AL24" s="35">
        <f t="shared" si="2"/>
        <v>0</v>
      </c>
      <c r="AS24" s="34" t="s">
        <v>13</v>
      </c>
    </row>
    <row r="25" spans="1:46" ht="16.149999999999999" customHeight="1">
      <c r="A25" s="33"/>
      <c r="B25" s="603">
        <v>12</v>
      </c>
      <c r="C25" s="604"/>
      <c r="D25" s="637" t="s">
        <v>27</v>
      </c>
      <c r="E25" s="638"/>
      <c r="F25" s="652" t="s">
        <v>52</v>
      </c>
      <c r="G25" s="653"/>
      <c r="H25" s="653"/>
      <c r="I25" s="653"/>
      <c r="J25" s="653"/>
      <c r="K25" s="653"/>
      <c r="L25" s="653"/>
      <c r="M25" s="654"/>
      <c r="N25" s="608">
        <v>46162</v>
      </c>
      <c r="O25" s="609"/>
      <c r="P25" s="610"/>
      <c r="Q25" s="614">
        <v>46166</v>
      </c>
      <c r="R25" s="615"/>
      <c r="S25" s="616"/>
      <c r="T25" s="599">
        <f>SUM(Q25-N25)</f>
        <v>4</v>
      </c>
      <c r="U25" s="600"/>
      <c r="V25" s="601"/>
      <c r="W25" s="659"/>
      <c r="X25" s="659"/>
      <c r="Y25" s="659"/>
      <c r="Z25" s="659"/>
      <c r="AA25" s="659"/>
      <c r="AB25" s="659"/>
      <c r="AC25" s="659"/>
      <c r="AD25" s="659"/>
      <c r="AE25" s="659"/>
      <c r="AF25" s="659"/>
      <c r="AG25" s="659"/>
      <c r="AH25" s="659"/>
      <c r="AI25" s="33"/>
      <c r="AK25" s="35">
        <f>Q25-N25</f>
        <v>4</v>
      </c>
      <c r="AL25" s="35">
        <f t="shared" ref="AL25" si="11">AK25*$AL$7</f>
        <v>0</v>
      </c>
    </row>
    <row r="26" spans="1:46" ht="16.149999999999999" customHeight="1">
      <c r="A26" s="33"/>
      <c r="B26" s="639"/>
      <c r="C26" s="640"/>
      <c r="D26" s="641"/>
      <c r="E26" s="642"/>
      <c r="F26" s="652" t="s">
        <v>53</v>
      </c>
      <c r="G26" s="653"/>
      <c r="H26" s="653"/>
      <c r="I26" s="653"/>
      <c r="J26" s="653"/>
      <c r="K26" s="653"/>
      <c r="L26" s="653"/>
      <c r="M26" s="654"/>
      <c r="N26" s="608">
        <v>46162</v>
      </c>
      <c r="O26" s="609"/>
      <c r="P26" s="610"/>
      <c r="Q26" s="614">
        <v>46166</v>
      </c>
      <c r="R26" s="615"/>
      <c r="S26" s="616"/>
      <c r="T26" s="599">
        <f t="shared" si="0"/>
        <v>4</v>
      </c>
      <c r="U26" s="600"/>
      <c r="V26" s="601"/>
      <c r="W26" s="598"/>
      <c r="X26" s="598"/>
      <c r="Y26" s="598"/>
      <c r="Z26" s="598"/>
      <c r="AA26" s="598"/>
      <c r="AB26" s="598"/>
      <c r="AC26" s="598"/>
      <c r="AD26" s="598"/>
      <c r="AE26" s="598"/>
      <c r="AF26" s="598"/>
      <c r="AG26" s="598"/>
      <c r="AH26" s="598"/>
      <c r="AI26" s="33"/>
    </row>
    <row r="27" spans="1:46">
      <c r="A27" s="33"/>
      <c r="B27" s="603">
        <v>13</v>
      </c>
      <c r="C27" s="604"/>
      <c r="D27" s="637" t="s">
        <v>27</v>
      </c>
      <c r="E27" s="638"/>
      <c r="F27" s="652" t="s">
        <v>54</v>
      </c>
      <c r="G27" s="653"/>
      <c r="H27" s="653"/>
      <c r="I27" s="653"/>
      <c r="J27" s="653"/>
      <c r="K27" s="653"/>
      <c r="L27" s="653"/>
      <c r="M27" s="654"/>
      <c r="N27" s="608">
        <v>46162</v>
      </c>
      <c r="O27" s="609"/>
      <c r="P27" s="610"/>
      <c r="Q27" s="614">
        <v>46166</v>
      </c>
      <c r="R27" s="615"/>
      <c r="S27" s="616"/>
      <c r="T27" s="599">
        <f>SUM(Q27-N27)</f>
        <v>4</v>
      </c>
      <c r="U27" s="600"/>
      <c r="V27" s="601"/>
      <c r="W27" s="598"/>
      <c r="X27" s="598"/>
      <c r="Y27" s="598"/>
      <c r="Z27" s="598"/>
      <c r="AA27" s="598"/>
      <c r="AB27" s="598"/>
      <c r="AC27" s="598"/>
      <c r="AD27" s="598"/>
      <c r="AE27" s="598"/>
      <c r="AF27" s="598"/>
      <c r="AG27" s="598"/>
      <c r="AH27" s="598"/>
      <c r="AI27" s="33"/>
    </row>
    <row r="28" spans="1:46">
      <c r="A28" s="33"/>
      <c r="B28" s="639"/>
      <c r="C28" s="640"/>
      <c r="D28" s="641"/>
      <c r="E28" s="642"/>
      <c r="F28" s="652" t="s">
        <v>53</v>
      </c>
      <c r="G28" s="653"/>
      <c r="H28" s="653"/>
      <c r="I28" s="653"/>
      <c r="J28" s="653"/>
      <c r="K28" s="653"/>
      <c r="L28" s="653"/>
      <c r="M28" s="654"/>
      <c r="N28" s="608">
        <v>46162</v>
      </c>
      <c r="O28" s="609"/>
      <c r="P28" s="610"/>
      <c r="Q28" s="614">
        <v>46166</v>
      </c>
      <c r="R28" s="615"/>
      <c r="S28" s="616"/>
      <c r="T28" s="599">
        <f t="shared" si="0"/>
        <v>4</v>
      </c>
      <c r="U28" s="600"/>
      <c r="V28" s="601"/>
      <c r="W28" s="598"/>
      <c r="X28" s="598"/>
      <c r="Y28" s="598"/>
      <c r="Z28" s="598"/>
      <c r="AA28" s="598"/>
      <c r="AB28" s="598"/>
      <c r="AC28" s="598"/>
      <c r="AD28" s="598"/>
      <c r="AE28" s="598"/>
      <c r="AF28" s="598"/>
      <c r="AG28" s="598"/>
      <c r="AH28" s="598"/>
      <c r="AI28" s="33"/>
      <c r="AJ28" s="34" t="s">
        <v>13</v>
      </c>
    </row>
    <row r="29" spans="1:46">
      <c r="A29" s="33"/>
      <c r="B29" s="603">
        <v>14</v>
      </c>
      <c r="C29" s="604"/>
      <c r="D29" s="602" t="s">
        <v>25</v>
      </c>
      <c r="E29" s="602"/>
      <c r="F29" s="652" t="s">
        <v>55</v>
      </c>
      <c r="G29" s="653"/>
      <c r="H29" s="653"/>
      <c r="I29" s="653"/>
      <c r="J29" s="653"/>
      <c r="K29" s="653"/>
      <c r="L29" s="653"/>
      <c r="M29" s="654"/>
      <c r="N29" s="608">
        <v>46162</v>
      </c>
      <c r="O29" s="609"/>
      <c r="P29" s="610"/>
      <c r="Q29" s="614">
        <v>46166</v>
      </c>
      <c r="R29" s="615"/>
      <c r="S29" s="616"/>
      <c r="T29" s="599">
        <f t="shared" si="0"/>
        <v>4</v>
      </c>
      <c r="U29" s="600"/>
      <c r="V29" s="601"/>
      <c r="W29" s="598"/>
      <c r="X29" s="598"/>
      <c r="Y29" s="598"/>
      <c r="Z29" s="598"/>
      <c r="AA29" s="598"/>
      <c r="AB29" s="598"/>
      <c r="AC29" s="598"/>
      <c r="AD29" s="598"/>
      <c r="AE29" s="598"/>
      <c r="AF29" s="598"/>
      <c r="AG29" s="598"/>
      <c r="AH29" s="598"/>
      <c r="AI29" s="33"/>
    </row>
    <row r="30" spans="1:46">
      <c r="A30" s="33"/>
      <c r="B30" s="603">
        <v>15</v>
      </c>
      <c r="C30" s="604"/>
      <c r="D30" s="602" t="s">
        <v>25</v>
      </c>
      <c r="E30" s="602"/>
      <c r="F30" s="652" t="s">
        <v>56</v>
      </c>
      <c r="G30" s="653"/>
      <c r="H30" s="653"/>
      <c r="I30" s="653"/>
      <c r="J30" s="653"/>
      <c r="K30" s="653"/>
      <c r="L30" s="653"/>
      <c r="M30" s="654"/>
      <c r="N30" s="608">
        <v>46162</v>
      </c>
      <c r="O30" s="609"/>
      <c r="P30" s="610"/>
      <c r="Q30" s="614">
        <v>46166</v>
      </c>
      <c r="R30" s="615"/>
      <c r="S30" s="616"/>
      <c r="T30" s="599">
        <f t="shared" ref="T30:T32" si="12">SUM(Q30-N30)</f>
        <v>4</v>
      </c>
      <c r="U30" s="600"/>
      <c r="V30" s="601"/>
      <c r="W30" s="598"/>
      <c r="X30" s="598"/>
      <c r="Y30" s="598"/>
      <c r="Z30" s="598"/>
      <c r="AA30" s="598"/>
      <c r="AB30" s="598"/>
      <c r="AC30" s="598"/>
      <c r="AD30" s="598"/>
      <c r="AE30" s="598"/>
      <c r="AF30" s="598"/>
      <c r="AG30" s="598"/>
      <c r="AH30" s="598"/>
      <c r="AI30" s="33"/>
    </row>
    <row r="31" spans="1:46">
      <c r="A31" s="33"/>
      <c r="B31" s="603">
        <v>16</v>
      </c>
      <c r="C31" s="604"/>
      <c r="D31" s="602" t="s">
        <v>25</v>
      </c>
      <c r="E31" s="602"/>
      <c r="F31" s="652" t="s">
        <v>57</v>
      </c>
      <c r="G31" s="653"/>
      <c r="H31" s="653"/>
      <c r="I31" s="653"/>
      <c r="J31" s="653"/>
      <c r="K31" s="653"/>
      <c r="L31" s="653"/>
      <c r="M31" s="654"/>
      <c r="N31" s="608">
        <v>46162</v>
      </c>
      <c r="O31" s="609"/>
      <c r="P31" s="610"/>
      <c r="Q31" s="614">
        <v>46166</v>
      </c>
      <c r="R31" s="615"/>
      <c r="S31" s="616"/>
      <c r="T31" s="599">
        <f t="shared" si="12"/>
        <v>4</v>
      </c>
      <c r="U31" s="600"/>
      <c r="V31" s="601"/>
      <c r="W31" s="598"/>
      <c r="X31" s="598"/>
      <c r="Y31" s="598"/>
      <c r="Z31" s="598"/>
      <c r="AA31" s="598"/>
      <c r="AB31" s="598"/>
      <c r="AC31" s="598"/>
      <c r="AD31" s="598"/>
      <c r="AE31" s="598"/>
      <c r="AF31" s="598"/>
      <c r="AG31" s="598"/>
      <c r="AH31" s="598"/>
      <c r="AI31" s="33"/>
    </row>
    <row r="32" spans="1:46">
      <c r="A32" s="33"/>
      <c r="B32" s="660">
        <v>17</v>
      </c>
      <c r="C32" s="661"/>
      <c r="D32" s="602" t="s">
        <v>25</v>
      </c>
      <c r="E32" s="602"/>
      <c r="F32" s="652" t="s">
        <v>58</v>
      </c>
      <c r="G32" s="653"/>
      <c r="H32" s="653"/>
      <c r="I32" s="653"/>
      <c r="J32" s="653"/>
      <c r="K32" s="653"/>
      <c r="L32" s="653"/>
      <c r="M32" s="654"/>
      <c r="N32" s="608">
        <v>46162</v>
      </c>
      <c r="O32" s="609"/>
      <c r="P32" s="610"/>
      <c r="Q32" s="614">
        <v>46166</v>
      </c>
      <c r="R32" s="615"/>
      <c r="S32" s="616"/>
      <c r="T32" s="599">
        <f t="shared" si="12"/>
        <v>4</v>
      </c>
      <c r="U32" s="600"/>
      <c r="V32" s="601"/>
      <c r="W32" s="598"/>
      <c r="X32" s="598"/>
      <c r="Y32" s="598"/>
      <c r="Z32" s="598"/>
      <c r="AA32" s="598"/>
      <c r="AB32" s="598"/>
      <c r="AC32" s="598"/>
      <c r="AD32" s="598"/>
      <c r="AE32" s="598"/>
      <c r="AF32" s="598"/>
      <c r="AG32" s="598"/>
      <c r="AH32" s="598"/>
      <c r="AI32" s="33"/>
    </row>
    <row r="33" spans="1:49" ht="55.5" customHeight="1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</row>
    <row r="34" spans="1:49" s="38" customFormat="1">
      <c r="A34" s="36"/>
      <c r="B34" s="204" t="s">
        <v>3</v>
      </c>
      <c r="C34" s="204"/>
      <c r="D34" s="204"/>
      <c r="E34" s="204"/>
      <c r="F34" s="617"/>
      <c r="G34" s="618"/>
      <c r="H34" s="618"/>
      <c r="I34" s="618"/>
      <c r="J34" s="618"/>
      <c r="K34" s="618"/>
      <c r="L34" s="619"/>
      <c r="M34" s="58"/>
      <c r="N34" s="59"/>
      <c r="O34" s="205" t="s">
        <v>19</v>
      </c>
      <c r="P34" s="206"/>
      <c r="Q34" s="206"/>
      <c r="R34" s="207"/>
      <c r="S34" s="617"/>
      <c r="T34" s="618"/>
      <c r="U34" s="618"/>
      <c r="V34" s="618"/>
      <c r="W34" s="618"/>
      <c r="X34" s="618"/>
      <c r="Y34" s="618"/>
      <c r="Z34" s="618"/>
      <c r="AA34" s="618"/>
      <c r="AB34" s="618"/>
      <c r="AC34" s="618"/>
      <c r="AD34" s="618"/>
      <c r="AE34" s="618"/>
      <c r="AF34" s="618"/>
      <c r="AG34" s="618"/>
      <c r="AH34" s="619"/>
      <c r="AI34" s="69"/>
      <c r="AJ34" s="70"/>
      <c r="AK34" s="37"/>
      <c r="AL34" s="37"/>
      <c r="AM34" s="36"/>
    </row>
    <row r="35" spans="1:49" s="38" customFormat="1">
      <c r="A35" s="36"/>
      <c r="B35" s="208" t="s">
        <v>5</v>
      </c>
      <c r="C35" s="209"/>
      <c r="D35" s="209"/>
      <c r="E35" s="210"/>
      <c r="F35" s="617"/>
      <c r="G35" s="618"/>
      <c r="H35" s="618"/>
      <c r="I35" s="618"/>
      <c r="J35" s="618"/>
      <c r="K35" s="618"/>
      <c r="L35" s="619"/>
      <c r="M35" s="58"/>
      <c r="N35" s="59"/>
      <c r="O35" s="211" t="s">
        <v>22</v>
      </c>
      <c r="P35" s="212"/>
      <c r="Q35" s="212"/>
      <c r="R35" s="213"/>
      <c r="S35" s="650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2"/>
      <c r="AI35" s="69"/>
      <c r="AJ35" s="70"/>
      <c r="AK35" s="37"/>
      <c r="AL35" s="37"/>
      <c r="AM35" s="36"/>
    </row>
    <row r="36" spans="1:49" s="38" customFormat="1">
      <c r="A36" s="36"/>
      <c r="B36" s="214" t="s">
        <v>10</v>
      </c>
      <c r="C36" s="215"/>
      <c r="D36" s="215"/>
      <c r="E36" s="216"/>
      <c r="F36" s="624"/>
      <c r="G36" s="625"/>
      <c r="H36" s="625"/>
      <c r="I36" s="625"/>
      <c r="J36" s="625"/>
      <c r="K36" s="625"/>
      <c r="L36" s="626"/>
      <c r="M36" s="60"/>
      <c r="N36" s="59"/>
      <c r="O36" s="217"/>
      <c r="P36" s="218"/>
      <c r="Q36" s="218"/>
      <c r="R36" s="219"/>
      <c r="S36" s="633"/>
      <c r="T36" s="634"/>
      <c r="U36" s="634"/>
      <c r="V36" s="634"/>
      <c r="W36" s="634"/>
      <c r="X36" s="634"/>
      <c r="Y36" s="634"/>
      <c r="Z36" s="634"/>
      <c r="AA36" s="634"/>
      <c r="AB36" s="634"/>
      <c r="AC36" s="634"/>
      <c r="AD36" s="634"/>
      <c r="AE36" s="634"/>
      <c r="AF36" s="634"/>
      <c r="AG36" s="634"/>
      <c r="AH36" s="635"/>
      <c r="AI36" s="71"/>
      <c r="AJ36" s="70"/>
      <c r="AK36" s="37"/>
      <c r="AL36" s="37"/>
      <c r="AM36" s="36"/>
    </row>
    <row r="37" spans="1:49" ht="12" customHeight="1">
      <c r="A37" s="33"/>
      <c r="B37" s="33"/>
      <c r="C37" s="33"/>
      <c r="D37" s="33"/>
      <c r="E37" s="33"/>
      <c r="F37" s="64"/>
      <c r="G37"/>
      <c r="H37"/>
      <c r="I37"/>
      <c r="J37" s="64"/>
      <c r="K37"/>
      <c r="L37"/>
      <c r="M37"/>
      <c r="N37" s="17"/>
      <c r="O37" s="64"/>
      <c r="P37"/>
      <c r="Q37"/>
      <c r="R37"/>
      <c r="S37" s="64"/>
      <c r="T37"/>
      <c r="U37"/>
      <c r="V37"/>
      <c r="W37" s="64"/>
      <c r="X37"/>
      <c r="Y37"/>
      <c r="Z37"/>
      <c r="AA37" s="64"/>
      <c r="AB37" s="64"/>
      <c r="AC37" s="64"/>
      <c r="AD37" s="64"/>
      <c r="AE37" s="64"/>
      <c r="AF37" s="64"/>
      <c r="AG37" s="64"/>
      <c r="AH37" s="64"/>
      <c r="AI37" s="33"/>
      <c r="AK37" s="34" t="s">
        <v>25</v>
      </c>
      <c r="AL37" s="220"/>
      <c r="AM37" s="33"/>
      <c r="AN37" s="221"/>
      <c r="AW37" s="34" t="s">
        <v>13</v>
      </c>
    </row>
    <row r="38" spans="1:49" ht="15" customHeight="1">
      <c r="A38" s="33"/>
      <c r="B38" s="627" t="s">
        <v>59</v>
      </c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8"/>
      <c r="N38" s="628"/>
      <c r="O38" s="628"/>
      <c r="P38" s="628"/>
      <c r="Q38" s="628"/>
      <c r="R38" s="628"/>
      <c r="S38" s="628"/>
      <c r="T38" s="628"/>
      <c r="U38" s="628"/>
      <c r="V38" s="628"/>
      <c r="W38" s="628"/>
      <c r="X38" s="628"/>
      <c r="Y38" s="628"/>
      <c r="Z38" s="628"/>
      <c r="AA38" s="628"/>
      <c r="AB38" s="628"/>
      <c r="AC38" s="628"/>
      <c r="AD38" s="628"/>
      <c r="AE38" s="628"/>
      <c r="AF38" s="628"/>
      <c r="AG38" s="628"/>
      <c r="AH38" s="629"/>
      <c r="AI38" s="33"/>
      <c r="AK38" s="34" t="s">
        <v>27</v>
      </c>
      <c r="AL38" s="220"/>
      <c r="AN38" s="38"/>
    </row>
    <row r="39" spans="1:49">
      <c r="A39" s="33"/>
      <c r="B39" s="636" t="s">
        <v>28</v>
      </c>
      <c r="C39" s="636"/>
      <c r="D39" s="636" t="s">
        <v>29</v>
      </c>
      <c r="E39" s="636"/>
      <c r="F39" s="620" t="s">
        <v>18</v>
      </c>
      <c r="G39" s="620"/>
      <c r="H39" s="620"/>
      <c r="I39" s="620"/>
      <c r="J39" s="620"/>
      <c r="K39" s="620"/>
      <c r="L39" s="620"/>
      <c r="M39" s="620"/>
      <c r="N39" s="621" t="s">
        <v>30</v>
      </c>
      <c r="O39" s="622"/>
      <c r="P39" s="623"/>
      <c r="Q39" s="620" t="s">
        <v>31</v>
      </c>
      <c r="R39" s="620"/>
      <c r="S39" s="620"/>
      <c r="T39" s="620" t="s">
        <v>32</v>
      </c>
      <c r="U39" s="620"/>
      <c r="V39" s="620"/>
      <c r="W39" s="620" t="s">
        <v>33</v>
      </c>
      <c r="X39" s="620"/>
      <c r="Y39" s="620"/>
      <c r="Z39" s="620"/>
      <c r="AA39" s="620"/>
      <c r="AB39" s="620"/>
      <c r="AC39" s="620"/>
      <c r="AD39" s="620"/>
      <c r="AE39" s="620"/>
      <c r="AF39" s="620"/>
      <c r="AG39" s="620"/>
      <c r="AH39" s="620"/>
      <c r="AI39" s="33"/>
      <c r="AK39" s="34"/>
    </row>
    <row r="40" spans="1:49">
      <c r="A40" s="33"/>
      <c r="B40" s="603"/>
      <c r="C40" s="604"/>
      <c r="D40" s="681"/>
      <c r="E40" s="682"/>
      <c r="F40" s="652"/>
      <c r="G40" s="653"/>
      <c r="H40" s="653"/>
      <c r="I40" s="653"/>
      <c r="J40" s="653"/>
      <c r="K40" s="653"/>
      <c r="L40" s="653"/>
      <c r="M40" s="654"/>
      <c r="N40" s="608"/>
      <c r="O40" s="609"/>
      <c r="P40" s="610"/>
      <c r="Q40" s="614"/>
      <c r="R40" s="615"/>
      <c r="S40" s="616"/>
      <c r="T40" s="599"/>
      <c r="U40" s="600"/>
      <c r="V40" s="601"/>
      <c r="W40" s="659"/>
      <c r="X40" s="659"/>
      <c r="Y40" s="659"/>
      <c r="Z40" s="659"/>
      <c r="AA40" s="659"/>
      <c r="AB40" s="659"/>
      <c r="AC40" s="659"/>
      <c r="AD40" s="659"/>
      <c r="AE40" s="659"/>
      <c r="AF40" s="659"/>
      <c r="AG40" s="659"/>
      <c r="AH40" s="659"/>
      <c r="AI40" s="33"/>
      <c r="AK40" s="35">
        <f>Q40-N40</f>
        <v>0</v>
      </c>
      <c r="AL40" s="35">
        <f>AK40*$AL$7</f>
        <v>0</v>
      </c>
      <c r="AO40" s="246"/>
      <c r="AP40" s="247"/>
      <c r="AQ40" s="246"/>
    </row>
    <row r="41" spans="1:49">
      <c r="A41" s="33"/>
      <c r="B41" s="603"/>
      <c r="C41" s="604"/>
      <c r="D41" s="637"/>
      <c r="E41" s="638"/>
      <c r="F41" s="652"/>
      <c r="G41" s="653"/>
      <c r="H41" s="653"/>
      <c r="I41" s="653"/>
      <c r="J41" s="653"/>
      <c r="K41" s="653"/>
      <c r="L41" s="653"/>
      <c r="M41" s="654"/>
      <c r="N41" s="608"/>
      <c r="O41" s="609"/>
      <c r="P41" s="610"/>
      <c r="Q41" s="614"/>
      <c r="R41" s="615"/>
      <c r="S41" s="616"/>
      <c r="T41" s="599"/>
      <c r="U41" s="600"/>
      <c r="V41" s="601"/>
      <c r="W41" s="659"/>
      <c r="X41" s="659"/>
      <c r="Y41" s="659"/>
      <c r="Z41" s="659"/>
      <c r="AA41" s="659"/>
      <c r="AB41" s="659"/>
      <c r="AC41" s="659"/>
      <c r="AD41" s="659"/>
      <c r="AE41" s="659"/>
      <c r="AF41" s="659"/>
      <c r="AG41" s="659"/>
      <c r="AH41" s="659"/>
      <c r="AI41" s="33"/>
      <c r="AK41" s="35">
        <f>Q41-N41</f>
        <v>0</v>
      </c>
      <c r="AL41" s="35">
        <f>AK41*$AL$7</f>
        <v>0</v>
      </c>
      <c r="AO41" s="246"/>
      <c r="AP41" s="247"/>
      <c r="AQ41" s="246"/>
    </row>
    <row r="42" spans="1:49">
      <c r="A42" s="33"/>
      <c r="B42" s="662"/>
      <c r="C42" s="663"/>
      <c r="D42" s="664"/>
      <c r="E42" s="665"/>
      <c r="F42" s="606"/>
      <c r="G42" s="606"/>
      <c r="H42" s="606"/>
      <c r="I42" s="606"/>
      <c r="J42" s="606"/>
      <c r="K42" s="606"/>
      <c r="L42" s="606"/>
      <c r="M42" s="607"/>
      <c r="N42" s="608"/>
      <c r="O42" s="609"/>
      <c r="P42" s="610"/>
      <c r="Q42" s="614"/>
      <c r="R42" s="615"/>
      <c r="S42" s="616"/>
      <c r="T42" s="599"/>
      <c r="U42" s="600"/>
      <c r="V42" s="601"/>
      <c r="W42" s="659"/>
      <c r="X42" s="659"/>
      <c r="Y42" s="659"/>
      <c r="Z42" s="659"/>
      <c r="AA42" s="659"/>
      <c r="AB42" s="659"/>
      <c r="AC42" s="659"/>
      <c r="AD42" s="659"/>
      <c r="AE42" s="659"/>
      <c r="AF42" s="659"/>
      <c r="AG42" s="659"/>
      <c r="AH42" s="659"/>
      <c r="AI42" s="33"/>
      <c r="AK42" s="35">
        <f t="shared" ref="AK42:AK53" si="13">Q42-N42</f>
        <v>0</v>
      </c>
      <c r="AL42" s="35">
        <f t="shared" ref="AL42:AL53" si="14">AK42*$AL$7</f>
        <v>0</v>
      </c>
    </row>
    <row r="43" spans="1:49">
      <c r="A43" s="33"/>
      <c r="B43" s="662"/>
      <c r="C43" s="666"/>
      <c r="D43" s="667"/>
      <c r="E43" s="668"/>
      <c r="F43" s="600"/>
      <c r="G43" s="600"/>
      <c r="H43" s="600"/>
      <c r="I43" s="600"/>
      <c r="J43" s="600"/>
      <c r="K43" s="600"/>
      <c r="L43" s="600"/>
      <c r="M43" s="601"/>
      <c r="N43" s="608"/>
      <c r="O43" s="609"/>
      <c r="P43" s="610"/>
      <c r="Q43" s="614"/>
      <c r="R43" s="615"/>
      <c r="S43" s="616"/>
      <c r="T43" s="599"/>
      <c r="U43" s="600"/>
      <c r="V43" s="601"/>
      <c r="W43" s="659"/>
      <c r="X43" s="659"/>
      <c r="Y43" s="659"/>
      <c r="Z43" s="659"/>
      <c r="AA43" s="659"/>
      <c r="AB43" s="659"/>
      <c r="AC43" s="659"/>
      <c r="AD43" s="659"/>
      <c r="AE43" s="659"/>
      <c r="AF43" s="659"/>
      <c r="AG43" s="659"/>
      <c r="AH43" s="659"/>
      <c r="AI43" s="33"/>
    </row>
    <row r="44" spans="1:49">
      <c r="A44" s="33"/>
      <c r="B44" s="662"/>
      <c r="C44" s="666"/>
      <c r="D44" s="667"/>
      <c r="E44" s="668"/>
      <c r="F44" s="606"/>
      <c r="G44" s="606"/>
      <c r="H44" s="606"/>
      <c r="I44" s="606"/>
      <c r="J44" s="606"/>
      <c r="K44" s="606"/>
      <c r="L44" s="606"/>
      <c r="M44" s="607"/>
      <c r="N44" s="608"/>
      <c r="O44" s="609"/>
      <c r="P44" s="610"/>
      <c r="Q44" s="614"/>
      <c r="R44" s="615"/>
      <c r="S44" s="616"/>
      <c r="T44" s="599"/>
      <c r="U44" s="600"/>
      <c r="V44" s="601"/>
      <c r="W44" s="659"/>
      <c r="X44" s="659"/>
      <c r="Y44" s="659"/>
      <c r="Z44" s="659"/>
      <c r="AA44" s="659"/>
      <c r="AB44" s="659"/>
      <c r="AC44" s="659"/>
      <c r="AD44" s="659"/>
      <c r="AE44" s="659"/>
      <c r="AF44" s="659"/>
      <c r="AG44" s="659"/>
      <c r="AH44" s="659"/>
      <c r="AI44" s="33"/>
      <c r="AK44" s="35">
        <f t="shared" si="13"/>
        <v>0</v>
      </c>
      <c r="AL44" s="35">
        <f t="shared" si="14"/>
        <v>0</v>
      </c>
    </row>
    <row r="45" spans="1:49">
      <c r="A45" s="33"/>
      <c r="B45" s="662"/>
      <c r="C45" s="666"/>
      <c r="D45" s="667"/>
      <c r="E45" s="669"/>
      <c r="F45" s="670"/>
      <c r="G45" s="606"/>
      <c r="H45" s="606"/>
      <c r="I45" s="606"/>
      <c r="J45" s="606"/>
      <c r="K45" s="606"/>
      <c r="L45" s="606"/>
      <c r="M45" s="607"/>
      <c r="N45" s="608"/>
      <c r="O45" s="609"/>
      <c r="P45" s="610"/>
      <c r="Q45" s="614"/>
      <c r="R45" s="615"/>
      <c r="S45" s="616"/>
      <c r="T45" s="599"/>
      <c r="U45" s="600"/>
      <c r="V45" s="601"/>
      <c r="W45" s="659"/>
      <c r="X45" s="659"/>
      <c r="Y45" s="659"/>
      <c r="Z45" s="659"/>
      <c r="AA45" s="659"/>
      <c r="AB45" s="659"/>
      <c r="AC45" s="659"/>
      <c r="AD45" s="659"/>
      <c r="AE45" s="659"/>
      <c r="AF45" s="659"/>
      <c r="AG45" s="659"/>
      <c r="AH45" s="659"/>
      <c r="AI45" s="33"/>
      <c r="AK45" s="35">
        <f t="shared" si="13"/>
        <v>0</v>
      </c>
      <c r="AL45" s="35">
        <f t="shared" si="14"/>
        <v>0</v>
      </c>
    </row>
    <row r="46" spans="1:49">
      <c r="A46" s="33"/>
      <c r="B46" s="671"/>
      <c r="C46" s="672"/>
      <c r="D46" s="675"/>
      <c r="E46" s="676"/>
      <c r="F46" s="678"/>
      <c r="G46" s="679"/>
      <c r="H46" s="679"/>
      <c r="I46" s="679"/>
      <c r="J46" s="679"/>
      <c r="K46" s="679"/>
      <c r="L46" s="679"/>
      <c r="M46" s="680"/>
      <c r="N46" s="608"/>
      <c r="O46" s="609"/>
      <c r="P46" s="610"/>
      <c r="Q46" s="614"/>
      <c r="R46" s="615"/>
      <c r="S46" s="616"/>
      <c r="T46" s="599"/>
      <c r="U46" s="600"/>
      <c r="V46" s="601"/>
      <c r="W46" s="659"/>
      <c r="X46" s="659"/>
      <c r="Y46" s="659"/>
      <c r="Z46" s="659"/>
      <c r="AA46" s="659"/>
      <c r="AB46" s="659"/>
      <c r="AC46" s="659"/>
      <c r="AD46" s="659"/>
      <c r="AE46" s="659"/>
      <c r="AF46" s="659"/>
      <c r="AG46" s="659"/>
      <c r="AH46" s="659"/>
      <c r="AI46" s="33"/>
      <c r="AK46" s="35">
        <f t="shared" si="13"/>
        <v>0</v>
      </c>
      <c r="AL46" s="35">
        <f t="shared" si="14"/>
        <v>0</v>
      </c>
    </row>
    <row r="47" spans="1:49">
      <c r="A47" s="33"/>
      <c r="B47" s="673"/>
      <c r="C47" s="674"/>
      <c r="D47" s="641"/>
      <c r="E47" s="677"/>
      <c r="F47" s="678"/>
      <c r="G47" s="679"/>
      <c r="H47" s="679"/>
      <c r="I47" s="679"/>
      <c r="J47" s="679"/>
      <c r="K47" s="679"/>
      <c r="L47" s="679"/>
      <c r="M47" s="680"/>
      <c r="N47" s="608"/>
      <c r="O47" s="609"/>
      <c r="P47" s="610"/>
      <c r="Q47" s="614"/>
      <c r="R47" s="615"/>
      <c r="S47" s="616"/>
      <c r="T47" s="599"/>
      <c r="U47" s="600"/>
      <c r="V47" s="601"/>
      <c r="W47" s="659"/>
      <c r="X47" s="659"/>
      <c r="Y47" s="659"/>
      <c r="Z47" s="659"/>
      <c r="AA47" s="659"/>
      <c r="AB47" s="659"/>
      <c r="AC47" s="659"/>
      <c r="AD47" s="659"/>
      <c r="AE47" s="659"/>
      <c r="AF47" s="659"/>
      <c r="AG47" s="659"/>
      <c r="AH47" s="659"/>
      <c r="AI47" s="33"/>
    </row>
    <row r="48" spans="1:49">
      <c r="A48" s="33"/>
      <c r="B48" s="603"/>
      <c r="C48" s="604"/>
      <c r="D48" s="683"/>
      <c r="E48" s="684"/>
      <c r="F48" s="605"/>
      <c r="G48" s="606"/>
      <c r="H48" s="606"/>
      <c r="I48" s="606"/>
      <c r="J48" s="606"/>
      <c r="K48" s="606"/>
      <c r="L48" s="606"/>
      <c r="M48" s="607"/>
      <c r="N48" s="608"/>
      <c r="O48" s="609"/>
      <c r="P48" s="610"/>
      <c r="Q48" s="614"/>
      <c r="R48" s="615"/>
      <c r="S48" s="616"/>
      <c r="T48" s="599"/>
      <c r="U48" s="600"/>
      <c r="V48" s="601"/>
      <c r="W48" s="659"/>
      <c r="X48" s="659"/>
      <c r="Y48" s="659"/>
      <c r="Z48" s="659"/>
      <c r="AA48" s="659"/>
      <c r="AB48" s="659"/>
      <c r="AC48" s="659"/>
      <c r="AD48" s="659"/>
      <c r="AE48" s="659"/>
      <c r="AF48" s="659"/>
      <c r="AG48" s="659"/>
      <c r="AH48" s="659"/>
      <c r="AI48" s="33"/>
    </row>
    <row r="49" spans="1:49">
      <c r="A49" s="33"/>
      <c r="B49" s="639"/>
      <c r="C49" s="640"/>
      <c r="D49" s="641"/>
      <c r="E49" s="642"/>
      <c r="F49" s="605"/>
      <c r="G49" s="606"/>
      <c r="H49" s="606"/>
      <c r="I49" s="606"/>
      <c r="J49" s="606"/>
      <c r="K49" s="606"/>
      <c r="L49" s="606"/>
      <c r="M49" s="607"/>
      <c r="N49" s="608"/>
      <c r="O49" s="609"/>
      <c r="P49" s="610"/>
      <c r="Q49" s="614"/>
      <c r="R49" s="615"/>
      <c r="S49" s="616"/>
      <c r="T49" s="599"/>
      <c r="U49" s="600"/>
      <c r="V49" s="601"/>
      <c r="W49" s="659"/>
      <c r="X49" s="659"/>
      <c r="Y49" s="659"/>
      <c r="Z49" s="659"/>
      <c r="AA49" s="659"/>
      <c r="AB49" s="659"/>
      <c r="AC49" s="659"/>
      <c r="AD49" s="659"/>
      <c r="AE49" s="659"/>
      <c r="AF49" s="659"/>
      <c r="AG49" s="659"/>
      <c r="AH49" s="659"/>
      <c r="AI49" s="33"/>
    </row>
    <row r="50" spans="1:49">
      <c r="A50" s="33"/>
      <c r="B50" s="603"/>
      <c r="C50" s="604"/>
      <c r="D50" s="637"/>
      <c r="E50" s="638"/>
      <c r="F50" s="651"/>
      <c r="G50" s="651"/>
      <c r="H50" s="651"/>
      <c r="I50" s="651"/>
      <c r="J50" s="651"/>
      <c r="K50" s="651"/>
      <c r="L50" s="651"/>
      <c r="M50" s="651"/>
      <c r="N50" s="608"/>
      <c r="O50" s="609"/>
      <c r="P50" s="610"/>
      <c r="Q50" s="614"/>
      <c r="R50" s="615"/>
      <c r="S50" s="616"/>
      <c r="T50" s="599"/>
      <c r="U50" s="600"/>
      <c r="V50" s="601"/>
      <c r="W50" s="659"/>
      <c r="X50" s="659"/>
      <c r="Y50" s="659"/>
      <c r="Z50" s="659"/>
      <c r="AA50" s="659"/>
      <c r="AB50" s="659"/>
      <c r="AC50" s="659"/>
      <c r="AD50" s="659"/>
      <c r="AE50" s="659"/>
      <c r="AF50" s="659"/>
      <c r="AG50" s="659"/>
      <c r="AH50" s="659"/>
      <c r="AI50" s="33"/>
      <c r="AK50" s="35">
        <f t="shared" si="13"/>
        <v>0</v>
      </c>
      <c r="AL50" s="35">
        <f t="shared" si="14"/>
        <v>0</v>
      </c>
      <c r="AP50" s="34" t="s">
        <v>13</v>
      </c>
    </row>
    <row r="51" spans="1:49">
      <c r="A51" s="33"/>
      <c r="B51" s="639"/>
      <c r="C51" s="640"/>
      <c r="D51" s="641"/>
      <c r="E51" s="642"/>
      <c r="F51" s="652"/>
      <c r="G51" s="653"/>
      <c r="H51" s="653"/>
      <c r="I51" s="653"/>
      <c r="J51" s="653"/>
      <c r="K51" s="653"/>
      <c r="L51" s="653"/>
      <c r="M51" s="654"/>
      <c r="N51" s="608"/>
      <c r="O51" s="609"/>
      <c r="P51" s="610"/>
      <c r="Q51" s="614"/>
      <c r="R51" s="615"/>
      <c r="S51" s="616"/>
      <c r="T51" s="599"/>
      <c r="U51" s="600"/>
      <c r="V51" s="601"/>
      <c r="W51" s="659"/>
      <c r="X51" s="659"/>
      <c r="Y51" s="659"/>
      <c r="Z51" s="659"/>
      <c r="AA51" s="659"/>
      <c r="AB51" s="659"/>
      <c r="AC51" s="659"/>
      <c r="AD51" s="659"/>
      <c r="AE51" s="659"/>
      <c r="AF51" s="659"/>
      <c r="AG51" s="659"/>
      <c r="AH51" s="659"/>
      <c r="AI51" s="33"/>
    </row>
    <row r="52" spans="1:49">
      <c r="A52" s="33"/>
      <c r="B52" s="660"/>
      <c r="C52" s="661"/>
      <c r="D52" s="681"/>
      <c r="E52" s="682"/>
      <c r="F52" s="546"/>
      <c r="G52" s="546"/>
      <c r="H52" s="546"/>
      <c r="I52" s="546"/>
      <c r="J52" s="546"/>
      <c r="K52" s="546"/>
      <c r="L52" s="546"/>
      <c r="M52" s="546"/>
      <c r="N52" s="608"/>
      <c r="O52" s="609"/>
      <c r="P52" s="610"/>
      <c r="Q52" s="614"/>
      <c r="R52" s="615"/>
      <c r="S52" s="616"/>
      <c r="T52" s="599"/>
      <c r="U52" s="600"/>
      <c r="V52" s="601"/>
      <c r="W52" s="659"/>
      <c r="X52" s="659"/>
      <c r="Y52" s="659"/>
      <c r="Z52" s="659"/>
      <c r="AA52" s="659"/>
      <c r="AB52" s="659"/>
      <c r="AC52" s="659"/>
      <c r="AD52" s="659"/>
      <c r="AE52" s="659"/>
      <c r="AF52" s="659"/>
      <c r="AG52" s="659"/>
      <c r="AH52" s="659"/>
      <c r="AI52" s="33"/>
      <c r="AJ52" s="34" t="s">
        <v>13</v>
      </c>
      <c r="AK52" s="35">
        <f t="shared" si="13"/>
        <v>0</v>
      </c>
      <c r="AL52" s="35">
        <f t="shared" si="14"/>
        <v>0</v>
      </c>
      <c r="AS52" s="34" t="s">
        <v>13</v>
      </c>
    </row>
    <row r="53" spans="1:49">
      <c r="A53" s="33"/>
      <c r="B53" s="660"/>
      <c r="C53" s="661"/>
      <c r="D53" s="681"/>
      <c r="E53" s="682"/>
      <c r="F53" s="685"/>
      <c r="G53" s="685"/>
      <c r="H53" s="685"/>
      <c r="I53" s="685"/>
      <c r="J53" s="685"/>
      <c r="K53" s="685"/>
      <c r="L53" s="685"/>
      <c r="M53" s="685"/>
      <c r="N53" s="608"/>
      <c r="O53" s="609"/>
      <c r="P53" s="610"/>
      <c r="Q53" s="614"/>
      <c r="R53" s="615"/>
      <c r="S53" s="616"/>
      <c r="T53" s="599"/>
      <c r="U53" s="600"/>
      <c r="V53" s="601"/>
      <c r="W53" s="659"/>
      <c r="X53" s="659"/>
      <c r="Y53" s="659"/>
      <c r="Z53" s="659"/>
      <c r="AA53" s="659"/>
      <c r="AB53" s="659"/>
      <c r="AC53" s="659"/>
      <c r="AD53" s="659"/>
      <c r="AE53" s="659"/>
      <c r="AF53" s="659"/>
      <c r="AG53" s="659"/>
      <c r="AH53" s="659"/>
      <c r="AI53" s="33"/>
      <c r="AK53" s="35">
        <f t="shared" si="13"/>
        <v>0</v>
      </c>
      <c r="AL53" s="35">
        <f t="shared" si="14"/>
        <v>0</v>
      </c>
    </row>
    <row r="54" spans="1:49">
      <c r="B54" s="603"/>
      <c r="C54" s="604"/>
      <c r="D54" s="637"/>
      <c r="E54" s="638"/>
      <c r="F54" s="599"/>
      <c r="G54" s="600"/>
      <c r="H54" s="600"/>
      <c r="I54" s="600"/>
      <c r="J54" s="600"/>
      <c r="K54" s="600"/>
      <c r="L54" s="600"/>
      <c r="M54" s="601"/>
      <c r="N54" s="608"/>
      <c r="O54" s="609"/>
      <c r="P54" s="610"/>
      <c r="Q54" s="614"/>
      <c r="R54" s="615"/>
      <c r="S54" s="616"/>
      <c r="T54" s="599"/>
      <c r="U54" s="600"/>
      <c r="V54" s="601"/>
      <c r="W54" s="659"/>
      <c r="X54" s="659"/>
      <c r="Y54" s="659"/>
      <c r="Z54" s="659"/>
      <c r="AA54" s="659"/>
      <c r="AB54" s="659"/>
      <c r="AC54" s="659"/>
      <c r="AD54" s="659"/>
      <c r="AE54" s="659"/>
      <c r="AF54" s="659"/>
      <c r="AG54" s="659"/>
      <c r="AH54" s="659"/>
    </row>
    <row r="55" spans="1:49">
      <c r="B55" s="639"/>
      <c r="C55" s="640"/>
      <c r="D55" s="641"/>
      <c r="E55" s="642"/>
      <c r="F55" s="599"/>
      <c r="G55" s="600"/>
      <c r="H55" s="600"/>
      <c r="I55" s="600"/>
      <c r="J55" s="600"/>
      <c r="K55" s="600"/>
      <c r="L55" s="600"/>
      <c r="M55" s="601"/>
      <c r="N55" s="608"/>
      <c r="O55" s="609"/>
      <c r="P55" s="610"/>
      <c r="Q55" s="614"/>
      <c r="R55" s="615"/>
      <c r="S55" s="616"/>
      <c r="T55" s="599"/>
      <c r="U55" s="600"/>
      <c r="V55" s="601"/>
      <c r="W55" s="659"/>
      <c r="X55" s="659"/>
      <c r="Y55" s="659"/>
      <c r="Z55" s="659"/>
      <c r="AA55" s="659"/>
      <c r="AB55" s="659"/>
      <c r="AC55" s="659"/>
      <c r="AD55" s="659"/>
      <c r="AE55" s="659"/>
      <c r="AF55" s="659"/>
      <c r="AG55" s="659"/>
      <c r="AH55" s="659"/>
    </row>
    <row r="56" spans="1:49">
      <c r="B56" s="603"/>
      <c r="C56" s="604"/>
      <c r="D56" s="637"/>
      <c r="E56" s="638"/>
      <c r="F56" s="546"/>
      <c r="G56" s="546"/>
      <c r="H56" s="546"/>
      <c r="I56" s="546"/>
      <c r="J56" s="546"/>
      <c r="K56" s="546"/>
      <c r="L56" s="546"/>
      <c r="M56" s="546"/>
      <c r="N56" s="608"/>
      <c r="O56" s="609"/>
      <c r="P56" s="610"/>
      <c r="Q56" s="614"/>
      <c r="R56" s="615"/>
      <c r="S56" s="616"/>
      <c r="T56" s="599"/>
      <c r="U56" s="600"/>
      <c r="V56" s="601"/>
      <c r="W56" s="659"/>
      <c r="X56" s="659"/>
      <c r="Y56" s="659"/>
      <c r="Z56" s="659"/>
      <c r="AA56" s="659"/>
      <c r="AB56" s="659"/>
      <c r="AC56" s="659"/>
      <c r="AD56" s="659"/>
      <c r="AE56" s="659"/>
      <c r="AF56" s="659"/>
      <c r="AG56" s="659"/>
      <c r="AH56" s="659"/>
    </row>
    <row r="57" spans="1:49">
      <c r="B57" s="639"/>
      <c r="C57" s="640"/>
      <c r="D57" s="641"/>
      <c r="E57" s="642"/>
      <c r="F57" s="652"/>
      <c r="G57" s="653"/>
      <c r="H57" s="653"/>
      <c r="I57" s="653"/>
      <c r="J57" s="653"/>
      <c r="K57" s="653"/>
      <c r="L57" s="653"/>
      <c r="M57" s="654"/>
      <c r="N57" s="608"/>
      <c r="O57" s="609"/>
      <c r="P57" s="610"/>
      <c r="Q57" s="614"/>
      <c r="R57" s="615"/>
      <c r="S57" s="616"/>
      <c r="T57" s="599"/>
      <c r="U57" s="600"/>
      <c r="V57" s="601"/>
      <c r="W57" s="608"/>
      <c r="X57" s="609"/>
      <c r="Y57" s="609"/>
      <c r="Z57" s="609"/>
      <c r="AA57" s="609"/>
      <c r="AB57" s="609"/>
      <c r="AC57" s="609"/>
      <c r="AD57" s="609"/>
      <c r="AE57" s="609"/>
      <c r="AF57" s="609"/>
      <c r="AG57" s="609"/>
      <c r="AH57" s="610"/>
    </row>
    <row r="58" spans="1:49">
      <c r="B58" s="660"/>
      <c r="C58" s="661"/>
      <c r="D58" s="681"/>
      <c r="E58" s="682"/>
      <c r="F58" s="546"/>
      <c r="G58" s="546"/>
      <c r="H58" s="546"/>
      <c r="I58" s="546"/>
      <c r="J58" s="546"/>
      <c r="K58" s="546"/>
      <c r="L58" s="546"/>
      <c r="M58" s="546"/>
      <c r="N58" s="608"/>
      <c r="O58" s="609"/>
      <c r="P58" s="610"/>
      <c r="Q58" s="614"/>
      <c r="R58" s="615"/>
      <c r="S58" s="616"/>
      <c r="T58" s="599"/>
      <c r="U58" s="600"/>
      <c r="V58" s="601"/>
      <c r="W58" s="659"/>
      <c r="X58" s="659"/>
      <c r="Y58" s="659"/>
      <c r="Z58" s="659"/>
      <c r="AA58" s="659"/>
      <c r="AB58" s="659"/>
      <c r="AC58" s="659"/>
      <c r="AD58" s="659"/>
      <c r="AE58" s="659"/>
      <c r="AF58" s="659"/>
      <c r="AG58" s="659"/>
      <c r="AH58" s="659"/>
    </row>
    <row r="60" spans="1:49" ht="55.5" customHeight="1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</row>
    <row r="61" spans="1:49" s="38" customFormat="1">
      <c r="A61" s="36"/>
      <c r="B61" s="204" t="s">
        <v>3</v>
      </c>
      <c r="C61" s="204"/>
      <c r="D61" s="204"/>
      <c r="E61" s="204"/>
      <c r="F61" s="617"/>
      <c r="G61" s="618"/>
      <c r="H61" s="618"/>
      <c r="I61" s="618"/>
      <c r="J61" s="618"/>
      <c r="K61" s="618"/>
      <c r="L61" s="619"/>
      <c r="M61" s="58"/>
      <c r="N61" s="59"/>
      <c r="O61" s="205" t="s">
        <v>19</v>
      </c>
      <c r="P61" s="206"/>
      <c r="Q61" s="206"/>
      <c r="R61" s="207"/>
      <c r="S61" s="617"/>
      <c r="T61" s="618"/>
      <c r="U61" s="618"/>
      <c r="V61" s="618"/>
      <c r="W61" s="618"/>
      <c r="X61" s="618"/>
      <c r="Y61" s="618"/>
      <c r="Z61" s="618"/>
      <c r="AA61" s="618"/>
      <c r="AB61" s="618"/>
      <c r="AC61" s="618"/>
      <c r="AD61" s="618"/>
      <c r="AE61" s="618"/>
      <c r="AF61" s="618"/>
      <c r="AG61" s="618"/>
      <c r="AH61" s="619"/>
      <c r="AI61" s="69"/>
      <c r="AJ61" s="70"/>
      <c r="AK61" s="37"/>
      <c r="AL61" s="37"/>
      <c r="AM61" s="36"/>
    </row>
    <row r="62" spans="1:49" s="38" customFormat="1">
      <c r="A62" s="36"/>
      <c r="B62" s="208" t="s">
        <v>5</v>
      </c>
      <c r="C62" s="209"/>
      <c r="D62" s="209"/>
      <c r="E62" s="210"/>
      <c r="F62" s="617"/>
      <c r="G62" s="618"/>
      <c r="H62" s="618"/>
      <c r="I62" s="618"/>
      <c r="J62" s="618"/>
      <c r="K62" s="618"/>
      <c r="L62" s="619"/>
      <c r="M62" s="58"/>
      <c r="N62" s="59"/>
      <c r="O62" s="211" t="s">
        <v>22</v>
      </c>
      <c r="P62" s="212"/>
      <c r="Q62" s="212"/>
      <c r="R62" s="213"/>
      <c r="S62" s="650"/>
      <c r="T62" s="631"/>
      <c r="U62" s="631"/>
      <c r="V62" s="631"/>
      <c r="W62" s="631"/>
      <c r="X62" s="631"/>
      <c r="Y62" s="631"/>
      <c r="Z62" s="631"/>
      <c r="AA62" s="631"/>
      <c r="AB62" s="631"/>
      <c r="AC62" s="631"/>
      <c r="AD62" s="631"/>
      <c r="AE62" s="631"/>
      <c r="AF62" s="631"/>
      <c r="AG62" s="631"/>
      <c r="AH62" s="632"/>
      <c r="AI62" s="69"/>
      <c r="AJ62" s="70"/>
      <c r="AK62" s="37"/>
      <c r="AL62" s="37"/>
      <c r="AM62" s="36"/>
    </row>
    <row r="63" spans="1:49" s="38" customFormat="1">
      <c r="A63" s="36"/>
      <c r="B63" s="214" t="s">
        <v>10</v>
      </c>
      <c r="C63" s="215"/>
      <c r="D63" s="215"/>
      <c r="E63" s="216"/>
      <c r="F63" s="624"/>
      <c r="G63" s="625"/>
      <c r="H63" s="625"/>
      <c r="I63" s="625"/>
      <c r="J63" s="625"/>
      <c r="K63" s="625"/>
      <c r="L63" s="626"/>
      <c r="M63" s="60"/>
      <c r="N63" s="59"/>
      <c r="O63" s="217"/>
      <c r="P63" s="218"/>
      <c r="Q63" s="218"/>
      <c r="R63" s="219"/>
      <c r="S63" s="633"/>
      <c r="T63" s="634"/>
      <c r="U63" s="634"/>
      <c r="V63" s="634"/>
      <c r="W63" s="634"/>
      <c r="X63" s="634"/>
      <c r="Y63" s="634"/>
      <c r="Z63" s="634"/>
      <c r="AA63" s="634"/>
      <c r="AB63" s="634"/>
      <c r="AC63" s="634"/>
      <c r="AD63" s="634"/>
      <c r="AE63" s="634"/>
      <c r="AF63" s="634"/>
      <c r="AG63" s="634"/>
      <c r="AH63" s="635"/>
      <c r="AI63" s="71"/>
      <c r="AJ63" s="70"/>
      <c r="AK63" s="37"/>
      <c r="AL63" s="37"/>
      <c r="AM63" s="36"/>
    </row>
    <row r="64" spans="1:49" ht="12" customHeight="1">
      <c r="A64" s="33"/>
      <c r="B64" s="33"/>
      <c r="C64" s="33"/>
      <c r="D64" s="33"/>
      <c r="E64" s="33"/>
      <c r="F64" s="64"/>
      <c r="G64"/>
      <c r="H64"/>
      <c r="I64"/>
      <c r="J64" s="64"/>
      <c r="K64"/>
      <c r="L64"/>
      <c r="M64"/>
      <c r="N64" s="17"/>
      <c r="O64" s="64"/>
      <c r="P64"/>
      <c r="Q64"/>
      <c r="R64"/>
      <c r="S64" s="64"/>
      <c r="T64"/>
      <c r="U64"/>
      <c r="V64"/>
      <c r="W64" s="64"/>
      <c r="X64"/>
      <c r="Y64"/>
      <c r="Z64"/>
      <c r="AA64" s="64"/>
      <c r="AB64" s="64"/>
      <c r="AC64" s="64"/>
      <c r="AD64" s="64"/>
      <c r="AE64" s="64"/>
      <c r="AF64" s="64"/>
      <c r="AG64" s="64"/>
      <c r="AH64" s="64"/>
      <c r="AI64" s="33"/>
      <c r="AK64" s="34" t="s">
        <v>25</v>
      </c>
      <c r="AL64" s="220"/>
      <c r="AM64" s="33"/>
      <c r="AN64" s="221"/>
      <c r="AW64" s="34" t="s">
        <v>13</v>
      </c>
    </row>
    <row r="65" spans="1:50" ht="15" customHeight="1">
      <c r="A65" s="33"/>
      <c r="B65" s="627" t="s">
        <v>26</v>
      </c>
      <c r="C65" s="628"/>
      <c r="D65" s="628"/>
      <c r="E65" s="628"/>
      <c r="F65" s="628"/>
      <c r="G65" s="628"/>
      <c r="H65" s="628"/>
      <c r="I65" s="628"/>
      <c r="J65" s="628"/>
      <c r="K65" s="628"/>
      <c r="L65" s="628"/>
      <c r="M65" s="628"/>
      <c r="N65" s="628"/>
      <c r="O65" s="628"/>
      <c r="P65" s="628"/>
      <c r="Q65" s="628"/>
      <c r="R65" s="628"/>
      <c r="S65" s="628"/>
      <c r="T65" s="628"/>
      <c r="U65" s="628"/>
      <c r="V65" s="628"/>
      <c r="W65" s="628"/>
      <c r="X65" s="628"/>
      <c r="Y65" s="628"/>
      <c r="Z65" s="628"/>
      <c r="AA65" s="628"/>
      <c r="AB65" s="628"/>
      <c r="AC65" s="628"/>
      <c r="AD65" s="628"/>
      <c r="AE65" s="628"/>
      <c r="AF65" s="628"/>
      <c r="AG65" s="628"/>
      <c r="AH65" s="629"/>
      <c r="AI65" s="33"/>
      <c r="AK65" s="34" t="s">
        <v>27</v>
      </c>
      <c r="AL65" s="220"/>
      <c r="AN65" s="38"/>
    </row>
    <row r="66" spans="1:50">
      <c r="A66" s="33"/>
      <c r="B66" s="636" t="s">
        <v>28</v>
      </c>
      <c r="C66" s="636"/>
      <c r="D66" s="636" t="s">
        <v>29</v>
      </c>
      <c r="E66" s="636"/>
      <c r="F66" s="620" t="s">
        <v>18</v>
      </c>
      <c r="G66" s="620"/>
      <c r="H66" s="620"/>
      <c r="I66" s="620"/>
      <c r="J66" s="620"/>
      <c r="K66" s="620"/>
      <c r="L66" s="620"/>
      <c r="M66" s="620"/>
      <c r="N66" s="621" t="s">
        <v>30</v>
      </c>
      <c r="O66" s="622"/>
      <c r="P66" s="623"/>
      <c r="Q66" s="620" t="s">
        <v>31</v>
      </c>
      <c r="R66" s="620"/>
      <c r="S66" s="620"/>
      <c r="T66" s="620" t="s">
        <v>32</v>
      </c>
      <c r="U66" s="620"/>
      <c r="V66" s="620"/>
      <c r="W66" s="620" t="s">
        <v>33</v>
      </c>
      <c r="X66" s="620"/>
      <c r="Y66" s="620"/>
      <c r="Z66" s="620"/>
      <c r="AA66" s="620"/>
      <c r="AB66" s="620"/>
      <c r="AC66" s="620"/>
      <c r="AD66" s="620"/>
      <c r="AE66" s="620"/>
      <c r="AF66" s="620"/>
      <c r="AG66" s="620"/>
      <c r="AH66" s="620"/>
      <c r="AI66" s="33"/>
      <c r="AK66" s="34"/>
    </row>
    <row r="67" spans="1:50" ht="15" customHeight="1">
      <c r="B67" s="603"/>
      <c r="C67" s="604"/>
      <c r="D67" s="637"/>
      <c r="E67" s="638"/>
      <c r="F67" s="605"/>
      <c r="G67" s="606"/>
      <c r="H67" s="606"/>
      <c r="I67" s="606"/>
      <c r="J67" s="606"/>
      <c r="K67" s="606"/>
      <c r="L67" s="606"/>
      <c r="M67" s="607"/>
      <c r="N67" s="611"/>
      <c r="O67" s="612"/>
      <c r="P67" s="613"/>
      <c r="Q67" s="592"/>
      <c r="R67" s="593"/>
      <c r="S67" s="594"/>
      <c r="T67" s="599"/>
      <c r="U67" s="600"/>
      <c r="V67" s="601"/>
      <c r="W67" s="598"/>
      <c r="X67" s="598"/>
      <c r="Y67" s="598"/>
      <c r="Z67" s="598"/>
      <c r="AA67" s="598"/>
      <c r="AB67" s="598"/>
      <c r="AC67" s="598"/>
      <c r="AD67" s="598"/>
      <c r="AE67" s="598"/>
      <c r="AF67" s="598"/>
      <c r="AG67" s="598"/>
      <c r="AH67" s="598"/>
      <c r="AK67" s="35" t="s">
        <v>13</v>
      </c>
      <c r="AL67" s="35" t="s">
        <v>13</v>
      </c>
      <c r="AN67" s="34" t="s">
        <v>13</v>
      </c>
      <c r="AO67" s="34" t="s">
        <v>13</v>
      </c>
      <c r="AQ67" s="34" t="s">
        <v>13</v>
      </c>
      <c r="AX67" s="34" t="s">
        <v>13</v>
      </c>
    </row>
    <row r="68" spans="1:50" ht="15" customHeight="1">
      <c r="A68" s="33"/>
      <c r="B68" s="603"/>
      <c r="C68" s="604"/>
      <c r="D68" s="602"/>
      <c r="E68" s="602"/>
      <c r="F68" s="605"/>
      <c r="G68" s="606"/>
      <c r="H68" s="606"/>
      <c r="I68" s="606"/>
      <c r="J68" s="606"/>
      <c r="K68" s="606"/>
      <c r="L68" s="606"/>
      <c r="M68" s="607"/>
      <c r="N68" s="611"/>
      <c r="O68" s="612"/>
      <c r="P68" s="613"/>
      <c r="Q68" s="592"/>
      <c r="R68" s="593"/>
      <c r="S68" s="594"/>
      <c r="T68" s="599"/>
      <c r="U68" s="600"/>
      <c r="V68" s="601"/>
      <c r="W68" s="598"/>
      <c r="X68" s="598"/>
      <c r="Y68" s="598"/>
      <c r="Z68" s="598"/>
      <c r="AA68" s="598"/>
      <c r="AB68" s="598"/>
      <c r="AC68" s="598"/>
      <c r="AD68" s="598"/>
      <c r="AE68" s="598"/>
      <c r="AF68" s="598"/>
      <c r="AG68" s="598"/>
      <c r="AH68" s="598"/>
      <c r="AI68" s="33"/>
      <c r="AK68" s="35">
        <f t="shared" ref="AK68:AK70" si="15">Q68-N68</f>
        <v>0</v>
      </c>
      <c r="AL68" s="35">
        <f t="shared" ref="AL68:AL70" si="16">AK68*$AL$7</f>
        <v>0</v>
      </c>
      <c r="AM68" s="222"/>
      <c r="AN68" s="203"/>
      <c r="AR68" s="34" t="s">
        <v>13</v>
      </c>
    </row>
    <row r="69" spans="1:50" ht="15" customHeight="1">
      <c r="A69" s="33"/>
      <c r="B69" s="603"/>
      <c r="C69" s="604"/>
      <c r="D69" s="602"/>
      <c r="E69" s="602"/>
      <c r="F69" s="605"/>
      <c r="G69" s="606"/>
      <c r="H69" s="606"/>
      <c r="I69" s="606"/>
      <c r="J69" s="606"/>
      <c r="K69" s="606"/>
      <c r="L69" s="606"/>
      <c r="M69" s="607"/>
      <c r="N69" s="611"/>
      <c r="O69" s="612"/>
      <c r="P69" s="613"/>
      <c r="Q69" s="592"/>
      <c r="R69" s="593"/>
      <c r="S69" s="594"/>
      <c r="T69" s="599"/>
      <c r="U69" s="600"/>
      <c r="V69" s="601"/>
      <c r="W69" s="598"/>
      <c r="X69" s="598"/>
      <c r="Y69" s="598"/>
      <c r="Z69" s="598"/>
      <c r="AA69" s="598"/>
      <c r="AB69" s="598"/>
      <c r="AC69" s="598"/>
      <c r="AD69" s="598"/>
      <c r="AE69" s="598"/>
      <c r="AF69" s="598"/>
      <c r="AG69" s="598"/>
      <c r="AH69" s="598"/>
      <c r="AI69" s="33"/>
      <c r="AK69" s="35">
        <f t="shared" si="15"/>
        <v>0</v>
      </c>
      <c r="AL69" s="35">
        <f t="shared" si="16"/>
        <v>0</v>
      </c>
    </row>
    <row r="70" spans="1:50" ht="15" customHeight="1">
      <c r="A70" s="33"/>
      <c r="B70" s="660"/>
      <c r="C70" s="661"/>
      <c r="D70" s="602"/>
      <c r="E70" s="602"/>
      <c r="F70" s="605"/>
      <c r="G70" s="606"/>
      <c r="H70" s="606"/>
      <c r="I70" s="606"/>
      <c r="J70" s="606"/>
      <c r="K70" s="606"/>
      <c r="L70" s="606"/>
      <c r="M70" s="607"/>
      <c r="N70" s="608"/>
      <c r="O70" s="609"/>
      <c r="P70" s="610"/>
      <c r="Q70" s="614"/>
      <c r="R70" s="615"/>
      <c r="S70" s="616"/>
      <c r="T70" s="599"/>
      <c r="U70" s="600"/>
      <c r="V70" s="601"/>
      <c r="W70" s="598"/>
      <c r="X70" s="598"/>
      <c r="Y70" s="598"/>
      <c r="Z70" s="598"/>
      <c r="AA70" s="598"/>
      <c r="AB70" s="598"/>
      <c r="AC70" s="598"/>
      <c r="AD70" s="598"/>
      <c r="AE70" s="598"/>
      <c r="AF70" s="598"/>
      <c r="AG70" s="598"/>
      <c r="AH70" s="598"/>
      <c r="AI70" s="33"/>
      <c r="AK70" s="35">
        <f t="shared" si="15"/>
        <v>0</v>
      </c>
      <c r="AL70" s="35">
        <f t="shared" si="16"/>
        <v>0</v>
      </c>
    </row>
    <row r="73" spans="1:50" ht="55.5" customHeight="1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</row>
    <row r="74" spans="1:50" s="38" customFormat="1">
      <c r="A74" s="36"/>
      <c r="B74" s="204" t="s">
        <v>3</v>
      </c>
      <c r="C74" s="204"/>
      <c r="D74" s="204"/>
      <c r="E74" s="204"/>
      <c r="F74" s="617"/>
      <c r="G74" s="618"/>
      <c r="H74" s="618"/>
      <c r="I74" s="618"/>
      <c r="J74" s="618"/>
      <c r="K74" s="618"/>
      <c r="L74" s="619"/>
      <c r="M74" s="58"/>
      <c r="N74" s="59"/>
      <c r="O74" s="205" t="s">
        <v>19</v>
      </c>
      <c r="P74" s="206"/>
      <c r="Q74" s="206"/>
      <c r="R74" s="207"/>
      <c r="S74" s="617"/>
      <c r="T74" s="618"/>
      <c r="U74" s="618"/>
      <c r="V74" s="618"/>
      <c r="W74" s="618"/>
      <c r="X74" s="618"/>
      <c r="Y74" s="618"/>
      <c r="Z74" s="618"/>
      <c r="AA74" s="618"/>
      <c r="AB74" s="618"/>
      <c r="AC74" s="618"/>
      <c r="AD74" s="618"/>
      <c r="AE74" s="618"/>
      <c r="AF74" s="618"/>
      <c r="AG74" s="618"/>
      <c r="AH74" s="619"/>
      <c r="AI74" s="69"/>
      <c r="AJ74" s="70"/>
      <c r="AK74" s="37"/>
      <c r="AL74" s="37"/>
      <c r="AM74" s="36"/>
    </row>
    <row r="75" spans="1:50" s="38" customFormat="1">
      <c r="A75" s="36"/>
      <c r="B75" s="208" t="s">
        <v>5</v>
      </c>
      <c r="C75" s="209"/>
      <c r="D75" s="209"/>
      <c r="E75" s="210"/>
      <c r="F75" s="617"/>
      <c r="G75" s="618"/>
      <c r="H75" s="618"/>
      <c r="I75" s="618"/>
      <c r="J75" s="618"/>
      <c r="K75" s="618"/>
      <c r="L75" s="619"/>
      <c r="M75" s="58"/>
      <c r="N75" s="59"/>
      <c r="O75" s="211" t="s">
        <v>22</v>
      </c>
      <c r="P75" s="212"/>
      <c r="Q75" s="212"/>
      <c r="R75" s="213"/>
      <c r="S75" s="630"/>
      <c r="T75" s="631"/>
      <c r="U75" s="631"/>
      <c r="V75" s="631"/>
      <c r="W75" s="631"/>
      <c r="X75" s="631"/>
      <c r="Y75" s="631"/>
      <c r="Z75" s="631"/>
      <c r="AA75" s="631"/>
      <c r="AB75" s="631"/>
      <c r="AC75" s="631"/>
      <c r="AD75" s="631"/>
      <c r="AE75" s="631"/>
      <c r="AF75" s="631"/>
      <c r="AG75" s="631"/>
      <c r="AH75" s="632"/>
      <c r="AI75" s="69"/>
      <c r="AJ75" s="70"/>
      <c r="AK75" s="37"/>
      <c r="AL75" s="37"/>
      <c r="AM75" s="36"/>
    </row>
    <row r="76" spans="1:50" s="38" customFormat="1">
      <c r="A76" s="36"/>
      <c r="B76" s="214" t="s">
        <v>10</v>
      </c>
      <c r="C76" s="215"/>
      <c r="D76" s="215"/>
      <c r="E76" s="216"/>
      <c r="F76" s="624"/>
      <c r="G76" s="625"/>
      <c r="H76" s="625"/>
      <c r="I76" s="625"/>
      <c r="J76" s="625"/>
      <c r="K76" s="625"/>
      <c r="L76" s="626"/>
      <c r="M76" s="60"/>
      <c r="N76" s="59"/>
      <c r="O76" s="217"/>
      <c r="P76" s="218"/>
      <c r="Q76" s="218"/>
      <c r="R76" s="219"/>
      <c r="S76" s="633"/>
      <c r="T76" s="634"/>
      <c r="U76" s="634"/>
      <c r="V76" s="634"/>
      <c r="W76" s="634"/>
      <c r="X76" s="634"/>
      <c r="Y76" s="634"/>
      <c r="Z76" s="634"/>
      <c r="AA76" s="634"/>
      <c r="AB76" s="634"/>
      <c r="AC76" s="634"/>
      <c r="AD76" s="634"/>
      <c r="AE76" s="634"/>
      <c r="AF76" s="634"/>
      <c r="AG76" s="634"/>
      <c r="AH76" s="635"/>
      <c r="AI76" s="71"/>
      <c r="AJ76" s="70"/>
      <c r="AK76" s="37"/>
      <c r="AL76" s="37"/>
      <c r="AM76" s="36"/>
    </row>
    <row r="77" spans="1:50" ht="12" customHeight="1">
      <c r="A77" s="33"/>
      <c r="B77" s="33"/>
      <c r="C77" s="33"/>
      <c r="D77" s="33"/>
      <c r="E77" s="33"/>
      <c r="F77" s="64"/>
      <c r="G77"/>
      <c r="H77"/>
      <c r="I77"/>
      <c r="J77" s="64"/>
      <c r="K77"/>
      <c r="L77"/>
      <c r="M77"/>
      <c r="N77" s="17"/>
      <c r="O77" s="64"/>
      <c r="P77"/>
      <c r="Q77"/>
      <c r="R77"/>
      <c r="S77" s="64"/>
      <c r="T77"/>
      <c r="U77"/>
      <c r="V77"/>
      <c r="W77" s="64"/>
      <c r="X77"/>
      <c r="Y77"/>
      <c r="Z77"/>
      <c r="AA77" s="64"/>
      <c r="AB77" s="64"/>
      <c r="AC77" s="64"/>
      <c r="AD77" s="64"/>
      <c r="AE77" s="64"/>
      <c r="AF77" s="64"/>
      <c r="AG77" s="64"/>
      <c r="AH77" s="64"/>
      <c r="AI77" s="33"/>
      <c r="AK77" s="34" t="s">
        <v>25</v>
      </c>
      <c r="AL77" s="220"/>
      <c r="AM77" s="33"/>
      <c r="AN77" s="221"/>
      <c r="AW77" s="34" t="s">
        <v>13</v>
      </c>
    </row>
    <row r="78" spans="1:50" ht="15" customHeight="1">
      <c r="A78" s="33"/>
      <c r="B78" s="627" t="s">
        <v>59</v>
      </c>
      <c r="C78" s="628"/>
      <c r="D78" s="628"/>
      <c r="E78" s="628"/>
      <c r="F78" s="628"/>
      <c r="G78" s="628"/>
      <c r="H78" s="628"/>
      <c r="I78" s="628"/>
      <c r="J78" s="628"/>
      <c r="K78" s="628"/>
      <c r="L78" s="628"/>
      <c r="M78" s="628"/>
      <c r="N78" s="628"/>
      <c r="O78" s="628"/>
      <c r="P78" s="628"/>
      <c r="Q78" s="628"/>
      <c r="R78" s="628"/>
      <c r="S78" s="628"/>
      <c r="T78" s="628"/>
      <c r="U78" s="628"/>
      <c r="V78" s="628"/>
      <c r="W78" s="628"/>
      <c r="X78" s="628"/>
      <c r="Y78" s="628"/>
      <c r="Z78" s="628"/>
      <c r="AA78" s="628"/>
      <c r="AB78" s="628"/>
      <c r="AC78" s="628"/>
      <c r="AD78" s="628"/>
      <c r="AE78" s="628"/>
      <c r="AF78" s="628"/>
      <c r="AG78" s="628"/>
      <c r="AH78" s="629"/>
      <c r="AI78" s="33"/>
      <c r="AK78" s="34" t="s">
        <v>27</v>
      </c>
      <c r="AL78" s="220"/>
      <c r="AN78" s="38"/>
    </row>
    <row r="79" spans="1:50">
      <c r="A79" s="33"/>
      <c r="B79" s="636" t="s">
        <v>28</v>
      </c>
      <c r="C79" s="636"/>
      <c r="D79" s="636" t="s">
        <v>29</v>
      </c>
      <c r="E79" s="636"/>
      <c r="F79" s="620" t="s">
        <v>18</v>
      </c>
      <c r="G79" s="620"/>
      <c r="H79" s="620"/>
      <c r="I79" s="620"/>
      <c r="J79" s="620"/>
      <c r="K79" s="620"/>
      <c r="L79" s="620"/>
      <c r="M79" s="620"/>
      <c r="N79" s="621" t="s">
        <v>30</v>
      </c>
      <c r="O79" s="622"/>
      <c r="P79" s="623"/>
      <c r="Q79" s="620" t="s">
        <v>31</v>
      </c>
      <c r="R79" s="620"/>
      <c r="S79" s="620"/>
      <c r="T79" s="620" t="s">
        <v>32</v>
      </c>
      <c r="U79" s="620"/>
      <c r="V79" s="620"/>
      <c r="W79" s="620" t="s">
        <v>33</v>
      </c>
      <c r="X79" s="620"/>
      <c r="Y79" s="620"/>
      <c r="Z79" s="620"/>
      <c r="AA79" s="620"/>
      <c r="AB79" s="620"/>
      <c r="AC79" s="620"/>
      <c r="AD79" s="620"/>
      <c r="AE79" s="620"/>
      <c r="AF79" s="620"/>
      <c r="AG79" s="620"/>
      <c r="AH79" s="620"/>
      <c r="AI79" s="33"/>
      <c r="AK79" s="34"/>
    </row>
    <row r="80" spans="1:50">
      <c r="A80" s="33"/>
      <c r="B80" s="603"/>
      <c r="C80" s="604"/>
      <c r="D80" s="637"/>
      <c r="E80" s="638"/>
      <c r="F80" s="652"/>
      <c r="G80" s="653"/>
      <c r="H80" s="653"/>
      <c r="I80" s="653"/>
      <c r="J80" s="653"/>
      <c r="K80" s="653"/>
      <c r="L80" s="653"/>
      <c r="M80" s="654"/>
      <c r="N80" s="608"/>
      <c r="O80" s="609"/>
      <c r="P80" s="610"/>
      <c r="Q80" s="614"/>
      <c r="R80" s="615"/>
      <c r="S80" s="616"/>
      <c r="T80" s="599"/>
      <c r="U80" s="600"/>
      <c r="V80" s="601"/>
      <c r="W80" s="686"/>
      <c r="X80" s="687"/>
      <c r="Y80" s="687"/>
      <c r="Z80" s="687"/>
      <c r="AA80" s="687"/>
      <c r="AB80" s="687"/>
      <c r="AC80" s="687"/>
      <c r="AD80" s="687"/>
      <c r="AE80" s="687"/>
      <c r="AF80" s="687"/>
      <c r="AG80" s="687"/>
      <c r="AH80" s="688"/>
      <c r="AI80" s="33"/>
      <c r="AK80" s="35">
        <f>Q80-N80</f>
        <v>0</v>
      </c>
      <c r="AL80" s="35">
        <f>AK80*$AL$7</f>
        <v>0</v>
      </c>
      <c r="AO80" s="246"/>
      <c r="AP80" s="247"/>
      <c r="AQ80" s="246"/>
    </row>
    <row r="81" spans="1:43">
      <c r="A81" s="33"/>
      <c r="B81" s="639"/>
      <c r="C81" s="640"/>
      <c r="D81" s="641"/>
      <c r="E81" s="642"/>
      <c r="F81" s="652"/>
      <c r="G81" s="653"/>
      <c r="H81" s="653"/>
      <c r="I81" s="653"/>
      <c r="J81" s="653"/>
      <c r="K81" s="653"/>
      <c r="L81" s="653"/>
      <c r="M81" s="654"/>
      <c r="N81" s="608"/>
      <c r="O81" s="609"/>
      <c r="P81" s="610"/>
      <c r="Q81" s="614"/>
      <c r="R81" s="615"/>
      <c r="S81" s="616"/>
      <c r="T81" s="599"/>
      <c r="U81" s="600"/>
      <c r="V81" s="601"/>
      <c r="W81" s="689"/>
      <c r="X81" s="690"/>
      <c r="Y81" s="690"/>
      <c r="Z81" s="690"/>
      <c r="AA81" s="690"/>
      <c r="AB81" s="690"/>
      <c r="AC81" s="690"/>
      <c r="AD81" s="690"/>
      <c r="AE81" s="690"/>
      <c r="AF81" s="690"/>
      <c r="AG81" s="690"/>
      <c r="AH81" s="691"/>
      <c r="AI81" s="33"/>
      <c r="AK81" s="35">
        <f>Q81-N81</f>
        <v>0</v>
      </c>
      <c r="AL81" s="35">
        <f>AK81*$AL$7</f>
        <v>0</v>
      </c>
      <c r="AO81" s="246"/>
      <c r="AP81" s="247"/>
      <c r="AQ81" s="246"/>
    </row>
    <row r="82" spans="1:43">
      <c r="D82" s="264"/>
    </row>
  </sheetData>
  <protectedRanges>
    <protectedRange sqref="S3 S34 S74" name="Range1_1_4_1_1"/>
    <protectedRange sqref="F23:M23 F25:M28 F18:M21 T25:AE28 T29:V32 F11:M16 T9:V24 B9:C32" name="Range1_1_2_2_1_1_3_1_1"/>
    <protectedRange sqref="D9:E32" name="Range1_1_1_2_2_1_1_2_1_1"/>
    <protectedRange sqref="F22:M22 F17:M17 K9:M10 F9:I10" name="Range1_1_3_2_1_1_1_1"/>
    <protectedRange sqref="F29:M32 F24:M24" name="Table_3_1_1_1_2_1_1"/>
    <protectedRange sqref="N9:P32" name="Range1_1_1_1_1_2_1_1_1_1_1"/>
    <protectedRange sqref="Q9:S32" name="Range1_1_1_1_1_2_1_1_1_1_4_1"/>
    <protectedRange sqref="S61" name="Range1_1_4_1_1_1"/>
    <protectedRange sqref="F68:M70 T67:AE70 B67:C70" name="Range1_1_2_2_1_1_3_1_2"/>
    <protectedRange sqref="D67:E70" name="Range1_1_1_2_2_1_1_2_1_2"/>
    <protectedRange sqref="F67:I67 K67:M67" name="Range1_1_3_2_1_1_1_2"/>
    <protectedRange sqref="N67:P70" name="Range1_1_1_1_1_2_1_1_1_1_2"/>
    <protectedRange sqref="Q67:S70" name="Range1_1_1_1_1_2_1_1_1_1_4_2"/>
    <protectedRange sqref="N40:P58 N80:P81" name="Range1_1_1_1_1_2_1_1_1_1_3"/>
    <protectedRange sqref="F52:M52 B40:C53 F42:M50 T40:AE41 B80:C81 T80:AE81 T42:V58 W42:AE53 W58:AE58 W29:AE32 W9:AE24" name="Range1_1_2_2_1_1_3_1_4_1"/>
    <protectedRange sqref="D40:E53 D80:E81" name="Range1_1_1_2_2_1_1_2_1_4_1"/>
    <protectedRange sqref="F51:M51 F53:M53 F40:M41 F80:M81" name="Table_3_1_1_1_2_1_4_1"/>
    <protectedRange sqref="Q40:S58 Q80:S81" name="Range1_1_1_1_1_2_1_1_1_1_4_3"/>
    <protectedRange sqref="W56:AE57" name="Range1_1_2_2_1_1_1_2_1_1"/>
    <protectedRange sqref="F56:M58" name="Table_3_1_1_1_1_2_1_1"/>
    <protectedRange sqref="D56:E58" name="Range1_1_1_2_2_1_1_2_2_1"/>
    <protectedRange sqref="W54:AE55 B54:C58" name="Range1_1_2_2_1_1_3_1_2_2_1"/>
    <protectedRange sqref="D54:E55" name="Range1_1_1_2_2_1_1_2_1_2_2_1"/>
    <protectedRange sqref="F54:M55" name="Range1_1_3_2_1_1_1_2_2_1"/>
  </protectedRanges>
  <mergeCells count="369">
    <mergeCell ref="F31:M31"/>
    <mergeCell ref="N31:P31"/>
    <mergeCell ref="Q31:S31"/>
    <mergeCell ref="T31:V31"/>
    <mergeCell ref="W31:AH31"/>
    <mergeCell ref="D17:E18"/>
    <mergeCell ref="B23:C24"/>
    <mergeCell ref="F21:M21"/>
    <mergeCell ref="W23:AH23"/>
    <mergeCell ref="Q20:S20"/>
    <mergeCell ref="Q25:S25"/>
    <mergeCell ref="W27:AH27"/>
    <mergeCell ref="W24:AH24"/>
    <mergeCell ref="T26:V26"/>
    <mergeCell ref="Q27:S27"/>
    <mergeCell ref="T24:V24"/>
    <mergeCell ref="Q26:S26"/>
    <mergeCell ref="F26:M26"/>
    <mergeCell ref="N26:P26"/>
    <mergeCell ref="F24:M24"/>
    <mergeCell ref="N27:P27"/>
    <mergeCell ref="B25:C26"/>
    <mergeCell ref="D25:E26"/>
    <mergeCell ref="B27:C28"/>
    <mergeCell ref="F55:M55"/>
    <mergeCell ref="B29:C29"/>
    <mergeCell ref="D29:E29"/>
    <mergeCell ref="F29:M29"/>
    <mergeCell ref="N29:P29"/>
    <mergeCell ref="Q29:S29"/>
    <mergeCell ref="T29:V29"/>
    <mergeCell ref="W29:AH29"/>
    <mergeCell ref="B32:C32"/>
    <mergeCell ref="D32:E32"/>
    <mergeCell ref="F32:M32"/>
    <mergeCell ref="N32:P32"/>
    <mergeCell ref="Q32:S32"/>
    <mergeCell ref="T32:V32"/>
    <mergeCell ref="W32:AH32"/>
    <mergeCell ref="B30:C30"/>
    <mergeCell ref="D30:E30"/>
    <mergeCell ref="F30:M30"/>
    <mergeCell ref="N30:P30"/>
    <mergeCell ref="Q30:S30"/>
    <mergeCell ref="T30:V30"/>
    <mergeCell ref="W30:AH30"/>
    <mergeCell ref="B31:C31"/>
    <mergeCell ref="D31:E31"/>
    <mergeCell ref="B38:AH38"/>
    <mergeCell ref="B39:C39"/>
    <mergeCell ref="D39:E39"/>
    <mergeCell ref="F39:M39"/>
    <mergeCell ref="N39:P39"/>
    <mergeCell ref="Q39:S39"/>
    <mergeCell ref="T39:V39"/>
    <mergeCell ref="W39:AH39"/>
    <mergeCell ref="B40:C40"/>
    <mergeCell ref="D40:E40"/>
    <mergeCell ref="F40:M40"/>
    <mergeCell ref="N40:P40"/>
    <mergeCell ref="Q40:S40"/>
    <mergeCell ref="T40:V40"/>
    <mergeCell ref="W40:AH40"/>
    <mergeCell ref="W80:AH81"/>
    <mergeCell ref="T57:V57"/>
    <mergeCell ref="W57:AH57"/>
    <mergeCell ref="F74:L74"/>
    <mergeCell ref="S74:AH74"/>
    <mergeCell ref="F75:L75"/>
    <mergeCell ref="S75:AH76"/>
    <mergeCell ref="F76:L76"/>
    <mergeCell ref="B78:AH78"/>
    <mergeCell ref="B79:C79"/>
    <mergeCell ref="D79:E79"/>
    <mergeCell ref="F79:M79"/>
    <mergeCell ref="N79:P79"/>
    <mergeCell ref="Q79:S79"/>
    <mergeCell ref="T79:V79"/>
    <mergeCell ref="W79:AH79"/>
    <mergeCell ref="B69:C69"/>
    <mergeCell ref="D69:E69"/>
    <mergeCell ref="F80:M80"/>
    <mergeCell ref="N80:P80"/>
    <mergeCell ref="Q80:S80"/>
    <mergeCell ref="T80:V80"/>
    <mergeCell ref="F69:M69"/>
    <mergeCell ref="N69:P69"/>
    <mergeCell ref="B54:C55"/>
    <mergeCell ref="D54:E55"/>
    <mergeCell ref="F54:M54"/>
    <mergeCell ref="N54:P54"/>
    <mergeCell ref="Q54:S54"/>
    <mergeCell ref="T54:V54"/>
    <mergeCell ref="F81:M81"/>
    <mergeCell ref="N81:P81"/>
    <mergeCell ref="Q81:S81"/>
    <mergeCell ref="T81:V81"/>
    <mergeCell ref="D80:E81"/>
    <mergeCell ref="B80:C81"/>
    <mergeCell ref="Q69:S69"/>
    <mergeCell ref="T69:V69"/>
    <mergeCell ref="F63:L63"/>
    <mergeCell ref="B65:AH65"/>
    <mergeCell ref="B56:C57"/>
    <mergeCell ref="D56:E57"/>
    <mergeCell ref="F56:M56"/>
    <mergeCell ref="N56:P56"/>
    <mergeCell ref="Q56:S56"/>
    <mergeCell ref="T56:V56"/>
    <mergeCell ref="W56:AH56"/>
    <mergeCell ref="F57:M57"/>
    <mergeCell ref="B66:C66"/>
    <mergeCell ref="D66:E66"/>
    <mergeCell ref="F66:M66"/>
    <mergeCell ref="N66:P66"/>
    <mergeCell ref="Q66:S66"/>
    <mergeCell ref="T66:V66"/>
    <mergeCell ref="W66:AH66"/>
    <mergeCell ref="B58:C58"/>
    <mergeCell ref="D58:E58"/>
    <mergeCell ref="F58:M58"/>
    <mergeCell ref="N58:P58"/>
    <mergeCell ref="Q58:S58"/>
    <mergeCell ref="T58:V58"/>
    <mergeCell ref="W58:AH58"/>
    <mergeCell ref="S61:AH61"/>
    <mergeCell ref="F62:L62"/>
    <mergeCell ref="S62:AH63"/>
    <mergeCell ref="F61:L61"/>
    <mergeCell ref="T50:V50"/>
    <mergeCell ref="W50:AH50"/>
    <mergeCell ref="F51:M51"/>
    <mergeCell ref="N51:P51"/>
    <mergeCell ref="Q51:S51"/>
    <mergeCell ref="T51:V51"/>
    <mergeCell ref="W51:AH51"/>
    <mergeCell ref="F52:M52"/>
    <mergeCell ref="N52:P52"/>
    <mergeCell ref="Q52:S52"/>
    <mergeCell ref="T52:V52"/>
    <mergeCell ref="W52:AH52"/>
    <mergeCell ref="N57:P57"/>
    <mergeCell ref="Q57:S57"/>
    <mergeCell ref="T53:V53"/>
    <mergeCell ref="W53:AH53"/>
    <mergeCell ref="N55:P55"/>
    <mergeCell ref="Q55:S55"/>
    <mergeCell ref="T55:V55"/>
    <mergeCell ref="W55:AH55"/>
    <mergeCell ref="W54:AH54"/>
    <mergeCell ref="D53:E53"/>
    <mergeCell ref="D52:E52"/>
    <mergeCell ref="B52:C52"/>
    <mergeCell ref="B48:C49"/>
    <mergeCell ref="D48:E49"/>
    <mergeCell ref="F48:M48"/>
    <mergeCell ref="N48:P48"/>
    <mergeCell ref="Q48:S48"/>
    <mergeCell ref="B50:C51"/>
    <mergeCell ref="D50:E51"/>
    <mergeCell ref="F50:M50"/>
    <mergeCell ref="N50:P50"/>
    <mergeCell ref="Q50:S50"/>
    <mergeCell ref="F53:M53"/>
    <mergeCell ref="N53:P53"/>
    <mergeCell ref="Q53:S53"/>
    <mergeCell ref="B53:C53"/>
    <mergeCell ref="F49:M49"/>
    <mergeCell ref="N49:P49"/>
    <mergeCell ref="Q49:S49"/>
    <mergeCell ref="T49:V49"/>
    <mergeCell ref="W49:AH49"/>
    <mergeCell ref="B45:C45"/>
    <mergeCell ref="D45:E45"/>
    <mergeCell ref="F45:M45"/>
    <mergeCell ref="N45:P45"/>
    <mergeCell ref="Q45:S45"/>
    <mergeCell ref="T45:V45"/>
    <mergeCell ref="W45:AH45"/>
    <mergeCell ref="B46:C47"/>
    <mergeCell ref="D46:E47"/>
    <mergeCell ref="F46:M46"/>
    <mergeCell ref="N46:P46"/>
    <mergeCell ref="Q46:S46"/>
    <mergeCell ref="T46:V46"/>
    <mergeCell ref="W46:AH46"/>
    <mergeCell ref="F47:M47"/>
    <mergeCell ref="N47:P47"/>
    <mergeCell ref="Q47:S47"/>
    <mergeCell ref="B44:C44"/>
    <mergeCell ref="D44:E44"/>
    <mergeCell ref="F44:M44"/>
    <mergeCell ref="N44:P44"/>
    <mergeCell ref="Q44:S44"/>
    <mergeCell ref="T44:V44"/>
    <mergeCell ref="W44:AH44"/>
    <mergeCell ref="T48:V48"/>
    <mergeCell ref="W48:AH48"/>
    <mergeCell ref="W69:AH69"/>
    <mergeCell ref="B41:C41"/>
    <mergeCell ref="D41:E41"/>
    <mergeCell ref="F41:M41"/>
    <mergeCell ref="N41:P41"/>
    <mergeCell ref="Q41:S41"/>
    <mergeCell ref="T41:V41"/>
    <mergeCell ref="W41:AH41"/>
    <mergeCell ref="B42:C42"/>
    <mergeCell ref="D42:E42"/>
    <mergeCell ref="F42:M42"/>
    <mergeCell ref="N42:P42"/>
    <mergeCell ref="Q42:S42"/>
    <mergeCell ref="T42:V42"/>
    <mergeCell ref="W42:AH42"/>
    <mergeCell ref="T47:V47"/>
    <mergeCell ref="W47:AH47"/>
    <mergeCell ref="B43:C43"/>
    <mergeCell ref="D43:E43"/>
    <mergeCell ref="F43:M43"/>
    <mergeCell ref="N43:P43"/>
    <mergeCell ref="Q43:S43"/>
    <mergeCell ref="T43:V43"/>
    <mergeCell ref="W43:AH43"/>
    <mergeCell ref="Q28:S28"/>
    <mergeCell ref="T28:V28"/>
    <mergeCell ref="W22:AH22"/>
    <mergeCell ref="B70:C70"/>
    <mergeCell ref="D70:E70"/>
    <mergeCell ref="F70:M70"/>
    <mergeCell ref="N70:P70"/>
    <mergeCell ref="Q70:S70"/>
    <mergeCell ref="T70:V70"/>
    <mergeCell ref="W70:AH70"/>
    <mergeCell ref="B67:C67"/>
    <mergeCell ref="D67:E67"/>
    <mergeCell ref="F67:M67"/>
    <mergeCell ref="N67:P67"/>
    <mergeCell ref="Q67:S67"/>
    <mergeCell ref="T67:V67"/>
    <mergeCell ref="W67:AH67"/>
    <mergeCell ref="B68:C68"/>
    <mergeCell ref="D68:E68"/>
    <mergeCell ref="F68:M68"/>
    <mergeCell ref="N68:P68"/>
    <mergeCell ref="Q68:S68"/>
    <mergeCell ref="T68:V68"/>
    <mergeCell ref="W68:AH68"/>
    <mergeCell ref="Q23:S23"/>
    <mergeCell ref="T27:V27"/>
    <mergeCell ref="T25:V25"/>
    <mergeCell ref="D27:E28"/>
    <mergeCell ref="B21:C22"/>
    <mergeCell ref="W18:AH18"/>
    <mergeCell ref="T18:V18"/>
    <mergeCell ref="F15:M15"/>
    <mergeCell ref="N15:P15"/>
    <mergeCell ref="Q15:S15"/>
    <mergeCell ref="T15:V15"/>
    <mergeCell ref="W15:AH15"/>
    <mergeCell ref="N18:P18"/>
    <mergeCell ref="Q18:S18"/>
    <mergeCell ref="T21:V21"/>
    <mergeCell ref="T20:V20"/>
    <mergeCell ref="F19:M19"/>
    <mergeCell ref="N19:P19"/>
    <mergeCell ref="F20:M20"/>
    <mergeCell ref="N20:P20"/>
    <mergeCell ref="N21:P21"/>
    <mergeCell ref="D19:E20"/>
    <mergeCell ref="B19:C20"/>
    <mergeCell ref="W25:AH25"/>
    <mergeCell ref="D10:E10"/>
    <mergeCell ref="B10:C10"/>
    <mergeCell ref="F10:M10"/>
    <mergeCell ref="S34:AH34"/>
    <mergeCell ref="F35:L35"/>
    <mergeCell ref="F36:L36"/>
    <mergeCell ref="S35:AH36"/>
    <mergeCell ref="F34:L34"/>
    <mergeCell ref="D21:E22"/>
    <mergeCell ref="D23:E24"/>
    <mergeCell ref="Q21:S21"/>
    <mergeCell ref="W28:AH28"/>
    <mergeCell ref="N28:P28"/>
    <mergeCell ref="F23:M23"/>
    <mergeCell ref="N25:P25"/>
    <mergeCell ref="F27:M27"/>
    <mergeCell ref="F28:M28"/>
    <mergeCell ref="F25:M25"/>
    <mergeCell ref="W26:AH26"/>
    <mergeCell ref="F22:M22"/>
    <mergeCell ref="N23:P23"/>
    <mergeCell ref="Q24:S24"/>
    <mergeCell ref="N24:P24"/>
    <mergeCell ref="T23:V23"/>
    <mergeCell ref="F17:M17"/>
    <mergeCell ref="N17:P17"/>
    <mergeCell ref="B17:C18"/>
    <mergeCell ref="F14:M14"/>
    <mergeCell ref="B12:C12"/>
    <mergeCell ref="Q13:S13"/>
    <mergeCell ref="D12:E12"/>
    <mergeCell ref="N11:P11"/>
    <mergeCell ref="F12:M12"/>
    <mergeCell ref="F18:M18"/>
    <mergeCell ref="N14:P14"/>
    <mergeCell ref="D15:E16"/>
    <mergeCell ref="B15:C16"/>
    <mergeCell ref="F16:M16"/>
    <mergeCell ref="N16:P16"/>
    <mergeCell ref="Q16:S16"/>
    <mergeCell ref="T16:V16"/>
    <mergeCell ref="W16:AH16"/>
    <mergeCell ref="S3:AH3"/>
    <mergeCell ref="F8:M8"/>
    <mergeCell ref="N8:P8"/>
    <mergeCell ref="W8:AH8"/>
    <mergeCell ref="F9:M9"/>
    <mergeCell ref="N9:P9"/>
    <mergeCell ref="W9:AH9"/>
    <mergeCell ref="F3:L3"/>
    <mergeCell ref="F4:L4"/>
    <mergeCell ref="F5:L5"/>
    <mergeCell ref="B7:AH7"/>
    <mergeCell ref="Q8:S8"/>
    <mergeCell ref="T9:V9"/>
    <mergeCell ref="S4:AH5"/>
    <mergeCell ref="T8:V8"/>
    <mergeCell ref="B8:C8"/>
    <mergeCell ref="D8:E8"/>
    <mergeCell ref="B9:C9"/>
    <mergeCell ref="D9:E9"/>
    <mergeCell ref="Q9:S9"/>
    <mergeCell ref="B11:C11"/>
    <mergeCell ref="N10:P10"/>
    <mergeCell ref="N22:P22"/>
    <mergeCell ref="W19:AH19"/>
    <mergeCell ref="W20:AH20"/>
    <mergeCell ref="W21:AH21"/>
    <mergeCell ref="Q19:S19"/>
    <mergeCell ref="Q22:S22"/>
    <mergeCell ref="T22:V22"/>
    <mergeCell ref="T19:V19"/>
    <mergeCell ref="Q17:S17"/>
    <mergeCell ref="T17:V17"/>
    <mergeCell ref="W17:AH17"/>
    <mergeCell ref="Q10:S10"/>
    <mergeCell ref="T10:V10"/>
    <mergeCell ref="W10:AH10"/>
    <mergeCell ref="W14:AH14"/>
    <mergeCell ref="T11:V11"/>
    <mergeCell ref="D11:E11"/>
    <mergeCell ref="B14:C14"/>
    <mergeCell ref="D14:E14"/>
    <mergeCell ref="B13:C13"/>
    <mergeCell ref="D13:E13"/>
    <mergeCell ref="F13:M13"/>
    <mergeCell ref="N13:P13"/>
    <mergeCell ref="N12:P12"/>
    <mergeCell ref="W13:AH13"/>
    <mergeCell ref="T14:V14"/>
    <mergeCell ref="W11:AH11"/>
    <mergeCell ref="W12:AH12"/>
    <mergeCell ref="T12:V12"/>
    <mergeCell ref="T13:V13"/>
    <mergeCell ref="F11:I11"/>
    <mergeCell ref="J11:M11"/>
    <mergeCell ref="Q14:S14"/>
    <mergeCell ref="Q12:S12"/>
    <mergeCell ref="Q11:S11"/>
  </mergeCells>
  <dataValidations count="1">
    <dataValidation type="list" allowBlank="1" showInputMessage="1" showErrorMessage="1" sqref="S3:AH3 S34:AH34 S61:AH61" xr:uid="{8CC8723D-05C5-B247-8FD6-3A932BC18727}">
      <formula1>OFFSET(hotel,0,0,ROWS(hotel)-COUNTIF(hotel,""))</formula1>
    </dataValidation>
  </dataValidations>
  <printOptions horizontalCentered="1" verticalCentered="1"/>
  <pageMargins left="0.39305555555555599" right="0.39305555555555599" top="0.23611111111111099" bottom="0.23611111111111099" header="0.31458333333333299" footer="0.31458333333333299"/>
  <pageSetup paperSize="9" scale="96" orientation="landscape" r:id="rId1"/>
  <colBreaks count="1" manualBreakCount="1">
    <brk id="29" min="1" max="26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3154330-22BE-41B1-96B7-3063A6789544}">
          <x14:formula1>
            <xm:f>'Reference Data'!$C$2:$C$15</xm:f>
          </x14:formula1>
          <xm:sqref>F3:L3</xm:sqref>
        </x14:dataValidation>
        <x14:dataValidation type="list" allowBlank="1" showInputMessage="1" showErrorMessage="1" xr:uid="{5076415D-5CE1-49A9-BF93-8ABE6B8393D2}">
          <x14:formula1>
            <xm:f>'Reference Data'!$A$2:$A$119</xm:f>
          </x14:formula1>
          <xm:sqref>F4:L4</xm:sqref>
        </x14:dataValidation>
        <x14:dataValidation type="list" allowBlank="1" showInputMessage="1" showErrorMessage="1" xr:uid="{66A97AB0-4F68-4EF2-B160-027F5B8411AC}">
          <x14:formula1>
            <xm:f>'Reference Data'!$C$2:$C$16</xm:f>
          </x14:formula1>
          <xm:sqref>F34:L34 F74:L74</xm:sqref>
        </x14:dataValidation>
        <x14:dataValidation type="list" allowBlank="1" showInputMessage="1" showErrorMessage="1" xr:uid="{0AE052F5-1082-4B84-8EAD-20E71BDE35A5}">
          <x14:formula1>
            <xm:f>'Reference Data'!$A$2:$A$120</xm:f>
          </x14:formula1>
          <xm:sqref>F35:L35 F75:L75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D8A11-E7E1-46A3-832F-0649C58A764F}">
  <sheetPr codeName="Sheet5">
    <tabColor theme="0"/>
    <pageSetUpPr fitToPage="1"/>
  </sheetPr>
  <dimension ref="A1:AG184"/>
  <sheetViews>
    <sheetView showGridLines="0" topLeftCell="A2" zoomScale="90" zoomScaleNormal="90" workbookViewId="0">
      <selection activeCell="Z15" sqref="Z15"/>
    </sheetView>
  </sheetViews>
  <sheetFormatPr defaultColWidth="4.7109375" defaultRowHeight="16.899999999999999"/>
  <cols>
    <col min="1" max="1" width="1.7109375" style="3" customWidth="1"/>
    <col min="2" max="3" width="3.7109375" style="3" customWidth="1"/>
    <col min="4" max="4" width="19" style="3" customWidth="1"/>
    <col min="5" max="12" width="6" style="3" customWidth="1"/>
    <col min="13" max="16" width="6.140625" style="3" customWidth="1"/>
    <col min="17" max="24" width="6" style="3" customWidth="1"/>
    <col min="25" max="25" width="21.7109375" style="3" customWidth="1"/>
    <col min="26" max="26" width="19.42578125" style="3" customWidth="1"/>
    <col min="27" max="27" width="9.42578125" style="3" customWidth="1"/>
    <col min="28" max="28" width="0.7109375" style="3" hidden="1" customWidth="1"/>
    <col min="29" max="29" width="3" style="3" hidden="1" customWidth="1"/>
    <col min="30" max="30" width="2.7109375" style="3" hidden="1" customWidth="1"/>
    <col min="31" max="31" width="18.7109375" style="3" customWidth="1"/>
    <col min="32" max="32" width="7.7109375" style="3" customWidth="1"/>
    <col min="33" max="33" width="20.7109375" style="3" customWidth="1"/>
    <col min="34" max="16384" width="4.7109375" style="3"/>
  </cols>
  <sheetData>
    <row r="1" spans="1:27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7" ht="55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7" s="6" customFormat="1">
      <c r="A3" s="4"/>
      <c r="B3" s="68" t="s">
        <v>3</v>
      </c>
      <c r="C3" s="68"/>
      <c r="D3" s="68"/>
      <c r="E3" s="68"/>
      <c r="F3" s="543" t="s">
        <v>4</v>
      </c>
      <c r="G3" s="543"/>
      <c r="H3" s="543"/>
      <c r="I3" s="5"/>
      <c r="J3" s="67" t="s">
        <v>5</v>
      </c>
      <c r="K3" s="67"/>
      <c r="L3" s="67"/>
      <c r="M3" s="67"/>
      <c r="N3" s="544" t="s">
        <v>21</v>
      </c>
      <c r="O3" s="790"/>
      <c r="P3" s="791"/>
      <c r="S3" s="547" t="s">
        <v>10</v>
      </c>
      <c r="T3" s="547"/>
      <c r="U3" s="792" t="s">
        <v>24</v>
      </c>
      <c r="V3" s="543"/>
      <c r="W3" s="543"/>
      <c r="X3" s="543"/>
      <c r="Y3" s="196"/>
    </row>
    <row r="4" spans="1:27" s="6" customFormat="1" ht="17.45" thickBot="1">
      <c r="A4" s="4"/>
      <c r="B4" s="166"/>
      <c r="C4" s="166"/>
      <c r="D4" s="166"/>
      <c r="E4" s="166"/>
      <c r="F4" s="31"/>
      <c r="G4" s="31"/>
      <c r="H4" s="31"/>
      <c r="I4" s="168"/>
      <c r="J4" s="167"/>
      <c r="K4" s="167"/>
      <c r="L4" s="167"/>
      <c r="M4" s="167"/>
      <c r="N4" s="31"/>
      <c r="O4" s="31"/>
      <c r="P4" s="31"/>
      <c r="Q4" s="31"/>
      <c r="R4" s="31"/>
      <c r="S4" s="31"/>
      <c r="T4" s="31"/>
      <c r="U4" s="31"/>
      <c r="V4" s="4"/>
      <c r="W4" s="4"/>
      <c r="X4" s="4"/>
    </row>
    <row r="5" spans="1:27" ht="15" customHeight="1">
      <c r="A5" s="1"/>
      <c r="B5" s="548"/>
      <c r="C5" s="549"/>
      <c r="D5" s="549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49"/>
      <c r="T5" s="549"/>
      <c r="U5" s="549"/>
      <c r="V5" s="549"/>
      <c r="W5" s="549"/>
      <c r="X5" s="550"/>
      <c r="Y5" s="6"/>
      <c r="Z5" s="6"/>
      <c r="AA5" s="6"/>
    </row>
    <row r="6" spans="1:27" ht="17.25" customHeight="1">
      <c r="A6" s="1"/>
      <c r="B6" s="576" t="s">
        <v>11</v>
      </c>
      <c r="C6" s="513"/>
      <c r="D6" s="513"/>
      <c r="E6" s="652" t="s">
        <v>60</v>
      </c>
      <c r="F6" s="653"/>
      <c r="G6" s="653"/>
      <c r="H6" s="654"/>
      <c r="I6" s="652" t="s">
        <v>60</v>
      </c>
      <c r="J6" s="653"/>
      <c r="K6" s="653"/>
      <c r="L6" s="654"/>
      <c r="M6" s="652" t="s">
        <v>60</v>
      </c>
      <c r="N6" s="653"/>
      <c r="O6" s="653"/>
      <c r="P6" s="654"/>
      <c r="Q6" s="652" t="s">
        <v>61</v>
      </c>
      <c r="R6" s="653"/>
      <c r="S6" s="653"/>
      <c r="T6" s="654"/>
      <c r="U6" s="652" t="s">
        <v>62</v>
      </c>
      <c r="V6" s="653"/>
      <c r="W6" s="653"/>
      <c r="X6" s="653"/>
      <c r="Y6" s="227"/>
    </row>
    <row r="7" spans="1:27" ht="17.25" customHeight="1">
      <c r="A7" s="1"/>
      <c r="B7" s="576" t="s">
        <v>12</v>
      </c>
      <c r="C7" s="513"/>
      <c r="D7" s="513"/>
      <c r="E7" s="652" t="s">
        <v>63</v>
      </c>
      <c r="F7" s="653"/>
      <c r="G7" s="653"/>
      <c r="H7" s="654"/>
      <c r="I7" s="652" t="s">
        <v>63</v>
      </c>
      <c r="J7" s="653"/>
      <c r="K7" s="653"/>
      <c r="L7" s="654"/>
      <c r="M7" s="652" t="s">
        <v>63</v>
      </c>
      <c r="N7" s="653"/>
      <c r="O7" s="653"/>
      <c r="P7" s="654"/>
      <c r="Q7" s="652" t="s">
        <v>63</v>
      </c>
      <c r="R7" s="653"/>
      <c r="S7" s="653"/>
      <c r="T7" s="654"/>
      <c r="U7" s="652" t="s">
        <v>63</v>
      </c>
      <c r="V7" s="653"/>
      <c r="W7" s="653"/>
      <c r="X7" s="653"/>
      <c r="Y7" s="228"/>
    </row>
    <row r="8" spans="1:27" ht="17.25" customHeight="1">
      <c r="A8" s="1"/>
      <c r="B8" s="576" t="s">
        <v>10</v>
      </c>
      <c r="C8" s="513"/>
      <c r="D8" s="513"/>
      <c r="E8" s="722">
        <v>46157</v>
      </c>
      <c r="F8" s="723"/>
      <c r="G8" s="723"/>
      <c r="H8" s="724"/>
      <c r="I8" s="722">
        <v>46160</v>
      </c>
      <c r="J8" s="723"/>
      <c r="K8" s="723"/>
      <c r="L8" s="724"/>
      <c r="M8" s="722">
        <v>46160</v>
      </c>
      <c r="N8" s="723"/>
      <c r="O8" s="723"/>
      <c r="P8" s="724"/>
      <c r="Q8" s="722">
        <v>46160</v>
      </c>
      <c r="R8" s="723"/>
      <c r="S8" s="723"/>
      <c r="T8" s="724"/>
      <c r="U8" s="722">
        <v>46160</v>
      </c>
      <c r="V8" s="723"/>
      <c r="W8" s="723"/>
      <c r="X8" s="725"/>
    </row>
    <row r="9" spans="1:27" ht="17.25" customHeight="1">
      <c r="A9" s="1"/>
      <c r="B9" s="726" t="s">
        <v>64</v>
      </c>
      <c r="C9" s="727"/>
      <c r="D9" s="728"/>
      <c r="E9" s="652" t="s">
        <v>65</v>
      </c>
      <c r="F9" s="653"/>
      <c r="G9" s="653"/>
      <c r="H9" s="654"/>
      <c r="I9" s="652" t="s">
        <v>66</v>
      </c>
      <c r="J9" s="653"/>
      <c r="K9" s="653"/>
      <c r="L9" s="654"/>
      <c r="M9" s="652" t="s">
        <v>67</v>
      </c>
      <c r="N9" s="653"/>
      <c r="O9" s="653"/>
      <c r="P9" s="654"/>
      <c r="Q9" s="652" t="s">
        <v>66</v>
      </c>
      <c r="R9" s="653"/>
      <c r="S9" s="653"/>
      <c r="T9" s="654"/>
      <c r="U9" s="652" t="s">
        <v>65</v>
      </c>
      <c r="V9" s="653"/>
      <c r="W9" s="653"/>
      <c r="X9" s="653"/>
      <c r="Y9" s="268"/>
    </row>
    <row r="10" spans="1:27" ht="17.25" customHeight="1">
      <c r="A10" s="1"/>
      <c r="B10" s="718" t="s">
        <v>68</v>
      </c>
      <c r="C10" s="719"/>
      <c r="D10" s="720"/>
      <c r="E10" s="652" t="s">
        <v>69</v>
      </c>
      <c r="F10" s="653"/>
      <c r="G10" s="653"/>
      <c r="H10" s="654"/>
      <c r="I10" s="652" t="s">
        <v>70</v>
      </c>
      <c r="J10" s="653"/>
      <c r="K10" s="653"/>
      <c r="L10" s="654"/>
      <c r="M10" s="652" t="s">
        <v>71</v>
      </c>
      <c r="N10" s="653"/>
      <c r="O10" s="653"/>
      <c r="P10" s="654"/>
      <c r="Q10" s="652" t="s">
        <v>72</v>
      </c>
      <c r="R10" s="653"/>
      <c r="S10" s="653"/>
      <c r="T10" s="654"/>
      <c r="U10" s="799" t="s">
        <v>73</v>
      </c>
      <c r="V10" s="800"/>
      <c r="W10" s="800"/>
      <c r="X10" s="801"/>
      <c r="Y10" s="9"/>
    </row>
    <row r="11" spans="1:27" ht="17.25" customHeight="1">
      <c r="A11" s="1"/>
      <c r="B11" s="718" t="s">
        <v>74</v>
      </c>
      <c r="C11" s="719"/>
      <c r="D11" s="720"/>
      <c r="E11" s="652" t="s">
        <v>75</v>
      </c>
      <c r="F11" s="653"/>
      <c r="G11" s="653"/>
      <c r="H11" s="654"/>
      <c r="I11" s="652" t="s">
        <v>76</v>
      </c>
      <c r="J11" s="653"/>
      <c r="K11" s="653"/>
      <c r="L11" s="654"/>
      <c r="M11" s="652" t="s">
        <v>77</v>
      </c>
      <c r="N11" s="653"/>
      <c r="O11" s="653"/>
      <c r="P11" s="654"/>
      <c r="Q11" s="652" t="s">
        <v>78</v>
      </c>
      <c r="R11" s="653"/>
      <c r="S11" s="653"/>
      <c r="T11" s="654"/>
      <c r="U11" s="799" t="s">
        <v>79</v>
      </c>
      <c r="V11" s="800"/>
      <c r="W11" s="800"/>
      <c r="X11" s="801"/>
      <c r="Y11" s="9"/>
    </row>
    <row r="12" spans="1:27" ht="17.25" customHeight="1">
      <c r="A12" s="1"/>
      <c r="B12" s="576" t="s">
        <v>15</v>
      </c>
      <c r="C12" s="513"/>
      <c r="D12" s="513"/>
      <c r="E12" s="710">
        <v>0.51041666666666663</v>
      </c>
      <c r="F12" s="711"/>
      <c r="G12" s="711"/>
      <c r="H12" s="712"/>
      <c r="I12" s="710">
        <v>0.51041666666666663</v>
      </c>
      <c r="J12" s="711"/>
      <c r="K12" s="711"/>
      <c r="L12" s="712"/>
      <c r="M12" s="710">
        <v>0.63888888888888884</v>
      </c>
      <c r="N12" s="711"/>
      <c r="O12" s="711"/>
      <c r="P12" s="712"/>
      <c r="Q12" s="711">
        <v>0.5625</v>
      </c>
      <c r="R12" s="711"/>
      <c r="S12" s="711"/>
      <c r="T12" s="712"/>
      <c r="U12" s="805">
        <v>0.3888888888888889</v>
      </c>
      <c r="V12" s="805"/>
      <c r="W12" s="805"/>
      <c r="X12" s="806"/>
    </row>
    <row r="13" spans="1:27" ht="17.25" customHeight="1" thickBot="1">
      <c r="A13" s="1"/>
      <c r="B13" s="571" t="s">
        <v>80</v>
      </c>
      <c r="C13" s="572"/>
      <c r="D13" s="572"/>
      <c r="E13" s="714">
        <v>0.56597222222222221</v>
      </c>
      <c r="F13" s="715"/>
      <c r="G13" s="715"/>
      <c r="H13" s="716"/>
      <c r="I13" s="714">
        <v>0.56597222222222221</v>
      </c>
      <c r="J13" s="715"/>
      <c r="K13" s="715"/>
      <c r="L13" s="716"/>
      <c r="M13" s="714">
        <v>0.70486111111111116</v>
      </c>
      <c r="N13" s="715"/>
      <c r="O13" s="715"/>
      <c r="P13" s="716"/>
      <c r="Q13" s="715">
        <v>0.78472222222222221</v>
      </c>
      <c r="R13" s="715"/>
      <c r="S13" s="715"/>
      <c r="T13" s="716"/>
      <c r="U13" s="814">
        <v>0.51041666666666663</v>
      </c>
      <c r="V13" s="814"/>
      <c r="W13" s="814"/>
      <c r="X13" s="815"/>
    </row>
    <row r="14" spans="1:27" ht="17.25" customHeight="1">
      <c r="B14" s="692" t="s">
        <v>81</v>
      </c>
      <c r="C14" s="693"/>
      <c r="D14" s="694"/>
      <c r="E14" s="793" t="s">
        <v>82</v>
      </c>
      <c r="F14" s="793"/>
      <c r="G14" s="793"/>
      <c r="H14" s="793"/>
      <c r="I14" s="811" t="s">
        <v>39</v>
      </c>
      <c r="J14" s="812"/>
      <c r="K14" s="812"/>
      <c r="L14" s="813"/>
      <c r="M14" s="554" t="s">
        <v>50</v>
      </c>
      <c r="N14" s="554"/>
      <c r="O14" s="554"/>
      <c r="P14" s="554"/>
      <c r="Q14" s="807" t="s">
        <v>41</v>
      </c>
      <c r="R14" s="807"/>
      <c r="S14" s="807"/>
      <c r="T14" s="807"/>
      <c r="U14" s="768" t="s">
        <v>48</v>
      </c>
      <c r="V14" s="768"/>
      <c r="W14" s="768"/>
      <c r="X14" s="769"/>
    </row>
    <row r="15" spans="1:27" ht="16.899999999999999" customHeight="1">
      <c r="B15" s="758"/>
      <c r="C15" s="759"/>
      <c r="D15" s="760"/>
      <c r="E15" s="804" t="s">
        <v>37</v>
      </c>
      <c r="F15" s="804"/>
      <c r="G15" s="804"/>
      <c r="H15" s="804"/>
      <c r="I15" s="804" t="s">
        <v>40</v>
      </c>
      <c r="J15" s="804"/>
      <c r="K15" s="804"/>
      <c r="L15" s="804"/>
      <c r="M15" s="771" t="s">
        <v>42</v>
      </c>
      <c r="N15" s="771"/>
      <c r="O15" s="771"/>
      <c r="P15" s="771"/>
      <c r="Q15" s="804"/>
      <c r="R15" s="804"/>
      <c r="S15" s="804"/>
      <c r="T15" s="804"/>
      <c r="U15" s="773"/>
      <c r="V15" s="774"/>
      <c r="W15" s="774"/>
      <c r="X15" s="775"/>
    </row>
    <row r="16" spans="1:27" ht="16.899999999999999" customHeight="1" thickBot="1">
      <c r="B16" s="695"/>
      <c r="C16" s="696"/>
      <c r="D16" s="697"/>
      <c r="E16" s="804"/>
      <c r="F16" s="804"/>
      <c r="G16" s="804"/>
      <c r="H16" s="804"/>
      <c r="I16" s="804" t="s">
        <v>83</v>
      </c>
      <c r="J16" s="804"/>
      <c r="K16" s="804"/>
      <c r="L16" s="804"/>
      <c r="M16" s="771" t="s">
        <v>35</v>
      </c>
      <c r="N16" s="771"/>
      <c r="O16" s="771"/>
      <c r="P16" s="771"/>
      <c r="Q16" s="804"/>
      <c r="R16" s="804"/>
      <c r="S16" s="804"/>
      <c r="T16" s="804"/>
      <c r="U16" s="773"/>
      <c r="V16" s="774"/>
      <c r="W16" s="774"/>
      <c r="X16" s="775"/>
    </row>
    <row r="17" spans="1:26" ht="16.899999999999999" customHeight="1">
      <c r="B17" s="548"/>
      <c r="C17" s="549"/>
      <c r="D17" s="549"/>
      <c r="E17" s="549"/>
      <c r="F17" s="549"/>
      <c r="G17" s="549"/>
      <c r="H17" s="549"/>
      <c r="I17" s="549"/>
      <c r="J17" s="549"/>
      <c r="K17" s="549"/>
      <c r="L17" s="549"/>
      <c r="M17" s="549"/>
      <c r="N17" s="549"/>
      <c r="O17" s="549"/>
      <c r="P17" s="549"/>
      <c r="Q17" s="549"/>
      <c r="R17" s="549"/>
      <c r="S17" s="549"/>
      <c r="T17" s="549"/>
      <c r="U17" s="549"/>
      <c r="V17" s="549"/>
      <c r="W17" s="549"/>
      <c r="X17" s="550"/>
    </row>
    <row r="18" spans="1:26" ht="17.25" customHeight="1">
      <c r="A18" s="1"/>
      <c r="B18" s="576" t="s">
        <v>11</v>
      </c>
      <c r="C18" s="513"/>
      <c r="D18" s="513"/>
      <c r="E18" s="652" t="s">
        <v>84</v>
      </c>
      <c r="F18" s="653"/>
      <c r="G18" s="653"/>
      <c r="H18" s="654"/>
      <c r="I18" s="652" t="s">
        <v>85</v>
      </c>
      <c r="J18" s="653"/>
      <c r="K18" s="653"/>
      <c r="L18" s="654"/>
      <c r="M18" s="652" t="s">
        <v>86</v>
      </c>
      <c r="N18" s="653"/>
      <c r="O18" s="653"/>
      <c r="P18" s="654"/>
      <c r="Q18" s="652" t="s">
        <v>87</v>
      </c>
      <c r="R18" s="653"/>
      <c r="S18" s="653"/>
      <c r="T18" s="654"/>
      <c r="U18" s="652" t="s">
        <v>88</v>
      </c>
      <c r="V18" s="653"/>
      <c r="W18" s="653"/>
      <c r="X18" s="654"/>
      <c r="Y18" s="6"/>
    </row>
    <row r="19" spans="1:26" ht="17.25" customHeight="1">
      <c r="A19" s="1"/>
      <c r="B19" s="576" t="s">
        <v>12</v>
      </c>
      <c r="C19" s="513"/>
      <c r="D19" s="513"/>
      <c r="E19" s="652" t="s">
        <v>63</v>
      </c>
      <c r="F19" s="653"/>
      <c r="G19" s="653"/>
      <c r="H19" s="654"/>
      <c r="I19" s="652" t="s">
        <v>63</v>
      </c>
      <c r="J19" s="653"/>
      <c r="K19" s="653"/>
      <c r="L19" s="654"/>
      <c r="M19" s="652" t="s">
        <v>63</v>
      </c>
      <c r="N19" s="653"/>
      <c r="O19" s="653"/>
      <c r="P19" s="654"/>
      <c r="Q19" s="652" t="s">
        <v>63</v>
      </c>
      <c r="R19" s="653"/>
      <c r="S19" s="653"/>
      <c r="T19" s="654"/>
      <c r="U19" s="652" t="s">
        <v>63</v>
      </c>
      <c r="V19" s="653"/>
      <c r="W19" s="653"/>
      <c r="X19" s="654"/>
    </row>
    <row r="20" spans="1:26" ht="17.25" customHeight="1">
      <c r="A20" s="1"/>
      <c r="B20" s="576" t="s">
        <v>10</v>
      </c>
      <c r="C20" s="513"/>
      <c r="D20" s="513"/>
      <c r="E20" s="722">
        <v>46160</v>
      </c>
      <c r="F20" s="723"/>
      <c r="G20" s="723"/>
      <c r="H20" s="724"/>
      <c r="I20" s="722">
        <v>46160</v>
      </c>
      <c r="J20" s="723"/>
      <c r="K20" s="723"/>
      <c r="L20" s="724"/>
      <c r="M20" s="722">
        <v>46160</v>
      </c>
      <c r="N20" s="723"/>
      <c r="O20" s="723"/>
      <c r="P20" s="724"/>
      <c r="Q20" s="722">
        <v>46160</v>
      </c>
      <c r="R20" s="723"/>
      <c r="S20" s="723"/>
      <c r="T20" s="724"/>
      <c r="U20" s="722">
        <v>46161</v>
      </c>
      <c r="V20" s="723"/>
      <c r="W20" s="723"/>
      <c r="X20" s="724"/>
    </row>
    <row r="21" spans="1:26" ht="17.25" customHeight="1">
      <c r="A21" s="1"/>
      <c r="B21" s="726" t="s">
        <v>64</v>
      </c>
      <c r="C21" s="727"/>
      <c r="D21" s="728"/>
      <c r="E21" s="652" t="s">
        <v>67</v>
      </c>
      <c r="F21" s="653"/>
      <c r="G21" s="653"/>
      <c r="H21" s="654"/>
      <c r="I21" s="652" t="s">
        <v>65</v>
      </c>
      <c r="J21" s="653"/>
      <c r="K21" s="653"/>
      <c r="L21" s="654"/>
      <c r="M21" s="652" t="s">
        <v>89</v>
      </c>
      <c r="N21" s="653"/>
      <c r="O21" s="653"/>
      <c r="P21" s="654"/>
      <c r="Q21" s="652" t="s">
        <v>66</v>
      </c>
      <c r="R21" s="653"/>
      <c r="S21" s="653"/>
      <c r="T21" s="654"/>
      <c r="U21" s="652" t="s">
        <v>65</v>
      </c>
      <c r="V21" s="653"/>
      <c r="W21" s="653"/>
      <c r="X21" s="654"/>
      <c r="Y21" s="7"/>
    </row>
    <row r="22" spans="1:26" ht="17.25" customHeight="1">
      <c r="A22" s="1"/>
      <c r="B22" s="718" t="s">
        <v>68</v>
      </c>
      <c r="C22" s="719"/>
      <c r="D22" s="720"/>
      <c r="E22" s="652" t="s">
        <v>90</v>
      </c>
      <c r="F22" s="653"/>
      <c r="G22" s="653"/>
      <c r="H22" s="654"/>
      <c r="I22" s="652" t="s">
        <v>91</v>
      </c>
      <c r="J22" s="653"/>
      <c r="K22" s="653"/>
      <c r="L22" s="654"/>
      <c r="M22" s="652" t="s">
        <v>92</v>
      </c>
      <c r="N22" s="653"/>
      <c r="O22" s="653"/>
      <c r="P22" s="654"/>
      <c r="Q22" s="652" t="s">
        <v>93</v>
      </c>
      <c r="R22" s="653"/>
      <c r="S22" s="653"/>
      <c r="T22" s="654"/>
      <c r="U22" s="652" t="s">
        <v>94</v>
      </c>
      <c r="V22" s="653"/>
      <c r="W22" s="653"/>
      <c r="X22" s="654"/>
      <c r="Y22" s="9"/>
    </row>
    <row r="23" spans="1:26" ht="17.25" customHeight="1">
      <c r="A23" s="1"/>
      <c r="B23" s="718" t="s">
        <v>74</v>
      </c>
      <c r="C23" s="719"/>
      <c r="D23" s="720"/>
      <c r="E23" s="652" t="s">
        <v>95</v>
      </c>
      <c r="F23" s="653"/>
      <c r="G23" s="653"/>
      <c r="H23" s="654"/>
      <c r="I23" s="652" t="s">
        <v>96</v>
      </c>
      <c r="J23" s="653"/>
      <c r="K23" s="653"/>
      <c r="L23" s="654"/>
      <c r="M23" s="652" t="s">
        <v>97</v>
      </c>
      <c r="N23" s="653"/>
      <c r="O23" s="653"/>
      <c r="P23" s="654"/>
      <c r="Q23" s="652" t="s">
        <v>98</v>
      </c>
      <c r="R23" s="653"/>
      <c r="S23" s="653"/>
      <c r="T23" s="654"/>
      <c r="U23" s="652" t="s">
        <v>99</v>
      </c>
      <c r="V23" s="653"/>
      <c r="W23" s="653"/>
      <c r="X23" s="654"/>
      <c r="Y23" s="9"/>
    </row>
    <row r="24" spans="1:26" ht="17.25" customHeight="1">
      <c r="A24" s="1"/>
      <c r="B24" s="576" t="s">
        <v>15</v>
      </c>
      <c r="C24" s="513"/>
      <c r="D24" s="513"/>
      <c r="E24" s="710">
        <v>0.46875</v>
      </c>
      <c r="F24" s="711"/>
      <c r="G24" s="711"/>
      <c r="H24" s="712"/>
      <c r="I24" s="710">
        <v>0.53125</v>
      </c>
      <c r="J24" s="711"/>
      <c r="K24" s="711"/>
      <c r="L24" s="712"/>
      <c r="M24" s="710">
        <v>0.45833333333333331</v>
      </c>
      <c r="N24" s="711"/>
      <c r="O24" s="711"/>
      <c r="P24" s="712"/>
      <c r="Q24" s="710">
        <v>0.53472222222222221</v>
      </c>
      <c r="R24" s="711"/>
      <c r="S24" s="711"/>
      <c r="T24" s="712"/>
      <c r="U24" s="710">
        <v>0.58680555555555558</v>
      </c>
      <c r="V24" s="711"/>
      <c r="W24" s="711"/>
      <c r="X24" s="712"/>
    </row>
    <row r="25" spans="1:26" ht="17.25" customHeight="1" thickBot="1">
      <c r="A25" s="1"/>
      <c r="B25" s="571" t="s">
        <v>80</v>
      </c>
      <c r="C25" s="572"/>
      <c r="D25" s="572"/>
      <c r="E25" s="714">
        <v>0.70486111111111116</v>
      </c>
      <c r="F25" s="715"/>
      <c r="G25" s="715"/>
      <c r="H25" s="716"/>
      <c r="I25" s="714">
        <v>0.62152777777777779</v>
      </c>
      <c r="J25" s="715"/>
      <c r="K25" s="715"/>
      <c r="L25" s="716"/>
      <c r="M25" s="714">
        <v>0.57638888888888884</v>
      </c>
      <c r="N25" s="715"/>
      <c r="O25" s="715"/>
      <c r="P25" s="716"/>
      <c r="Q25" s="714">
        <v>0.78472222222222221</v>
      </c>
      <c r="R25" s="715"/>
      <c r="S25" s="715"/>
      <c r="T25" s="716"/>
      <c r="U25" s="714">
        <v>0.69444444444444442</v>
      </c>
      <c r="V25" s="715"/>
      <c r="W25" s="715"/>
      <c r="X25" s="716"/>
    </row>
    <row r="26" spans="1:26" ht="17.25" customHeight="1">
      <c r="B26" s="692" t="s">
        <v>81</v>
      </c>
      <c r="C26" s="693"/>
      <c r="D26" s="694"/>
      <c r="E26" s="699" t="s">
        <v>45</v>
      </c>
      <c r="F26" s="700"/>
      <c r="G26" s="700"/>
      <c r="H26" s="701"/>
      <c r="I26" s="698" t="s">
        <v>46</v>
      </c>
      <c r="J26" s="698"/>
      <c r="K26" s="698"/>
      <c r="L26" s="698"/>
      <c r="M26" s="699" t="s">
        <v>47</v>
      </c>
      <c r="N26" s="700"/>
      <c r="O26" s="700"/>
      <c r="P26" s="701"/>
      <c r="Q26" s="702" t="s">
        <v>49</v>
      </c>
      <c r="R26" s="702"/>
      <c r="S26" s="702"/>
      <c r="T26" s="702"/>
      <c r="U26" s="698" t="s">
        <v>44</v>
      </c>
      <c r="V26" s="698"/>
      <c r="W26" s="698"/>
      <c r="X26" s="698"/>
    </row>
    <row r="27" spans="1:26" ht="17.45" thickBot="1">
      <c r="B27" s="695"/>
      <c r="C27" s="696"/>
      <c r="D27" s="697"/>
      <c r="E27" s="704"/>
      <c r="F27" s="705"/>
      <c r="G27" s="705"/>
      <c r="H27" s="706"/>
      <c r="I27" s="707" t="s">
        <v>51</v>
      </c>
      <c r="J27" s="707"/>
      <c r="K27" s="707"/>
      <c r="L27" s="707"/>
      <c r="M27" s="704"/>
      <c r="N27" s="705"/>
      <c r="O27" s="705"/>
      <c r="P27" s="706"/>
      <c r="Q27" s="707"/>
      <c r="R27" s="707"/>
      <c r="S27" s="707"/>
      <c r="T27" s="707"/>
      <c r="U27" s="708"/>
      <c r="V27" s="708"/>
      <c r="W27" s="708"/>
      <c r="X27" s="709"/>
      <c r="Z27" s="238"/>
    </row>
    <row r="28" spans="1:26" ht="16.899999999999999" customHeight="1">
      <c r="B28" s="548"/>
      <c r="C28" s="549"/>
      <c r="D28" s="549"/>
      <c r="E28" s="549"/>
      <c r="F28" s="549"/>
      <c r="G28" s="549"/>
      <c r="H28" s="549"/>
      <c r="I28" s="549"/>
      <c r="J28" s="549"/>
      <c r="K28" s="549"/>
      <c r="L28" s="549"/>
      <c r="M28" s="549"/>
      <c r="N28" s="549"/>
      <c r="O28" s="549"/>
      <c r="P28" s="549"/>
      <c r="Q28" s="549"/>
      <c r="R28" s="549"/>
      <c r="S28" s="549"/>
      <c r="T28" s="549"/>
      <c r="U28" s="549"/>
      <c r="V28" s="549"/>
      <c r="W28" s="549"/>
      <c r="X28" s="550"/>
    </row>
    <row r="29" spans="1:26" ht="17.25" customHeight="1">
      <c r="A29" s="1"/>
      <c r="B29" s="576" t="s">
        <v>11</v>
      </c>
      <c r="C29" s="513"/>
      <c r="D29" s="513"/>
      <c r="E29" s="652" t="s">
        <v>88</v>
      </c>
      <c r="F29" s="653"/>
      <c r="G29" s="653"/>
      <c r="H29" s="654"/>
      <c r="I29" s="652"/>
      <c r="J29" s="653"/>
      <c r="K29" s="653"/>
      <c r="L29" s="654"/>
      <c r="M29" s="652"/>
      <c r="N29" s="653"/>
      <c r="O29" s="653"/>
      <c r="P29" s="654"/>
      <c r="Q29" s="652"/>
      <c r="R29" s="653"/>
      <c r="S29" s="653"/>
      <c r="T29" s="654"/>
      <c r="U29" s="652"/>
      <c r="V29" s="653"/>
      <c r="W29" s="653"/>
      <c r="X29" s="721"/>
      <c r="Y29" s="6"/>
    </row>
    <row r="30" spans="1:26" ht="17.25" customHeight="1">
      <c r="A30" s="1"/>
      <c r="B30" s="576" t="s">
        <v>12</v>
      </c>
      <c r="C30" s="513"/>
      <c r="D30" s="513"/>
      <c r="E30" s="652" t="s">
        <v>63</v>
      </c>
      <c r="F30" s="653"/>
      <c r="G30" s="653"/>
      <c r="H30" s="654"/>
      <c r="I30" s="652"/>
      <c r="J30" s="653"/>
      <c r="K30" s="653"/>
      <c r="L30" s="654"/>
      <c r="M30" s="652"/>
      <c r="N30" s="653"/>
      <c r="O30" s="653"/>
      <c r="P30" s="654"/>
      <c r="Q30" s="652"/>
      <c r="R30" s="653"/>
      <c r="S30" s="653"/>
      <c r="T30" s="654"/>
      <c r="U30" s="652"/>
      <c r="V30" s="653"/>
      <c r="W30" s="653"/>
      <c r="X30" s="721"/>
    </row>
    <row r="31" spans="1:26" ht="17.25" customHeight="1">
      <c r="A31" s="1"/>
      <c r="B31" s="576" t="s">
        <v>10</v>
      </c>
      <c r="C31" s="513"/>
      <c r="D31" s="513"/>
      <c r="E31" s="722">
        <v>46161</v>
      </c>
      <c r="F31" s="723"/>
      <c r="G31" s="723"/>
      <c r="H31" s="724"/>
      <c r="I31" s="722"/>
      <c r="J31" s="723"/>
      <c r="K31" s="723"/>
      <c r="L31" s="724"/>
      <c r="M31" s="722"/>
      <c r="N31" s="723"/>
      <c r="O31" s="723"/>
      <c r="P31" s="724"/>
      <c r="Q31" s="722"/>
      <c r="R31" s="723"/>
      <c r="S31" s="723"/>
      <c r="T31" s="724"/>
      <c r="U31" s="722"/>
      <c r="V31" s="723"/>
      <c r="W31" s="723"/>
      <c r="X31" s="725"/>
    </row>
    <row r="32" spans="1:26" ht="17.25" customHeight="1">
      <c r="A32" s="1"/>
      <c r="B32" s="726" t="s">
        <v>64</v>
      </c>
      <c r="C32" s="727"/>
      <c r="D32" s="728"/>
      <c r="E32" s="652" t="s">
        <v>100</v>
      </c>
      <c r="F32" s="653"/>
      <c r="G32" s="653"/>
      <c r="H32" s="654"/>
      <c r="I32" s="652"/>
      <c r="J32" s="653"/>
      <c r="K32" s="653"/>
      <c r="L32" s="654"/>
      <c r="M32" s="652"/>
      <c r="N32" s="653"/>
      <c r="O32" s="653"/>
      <c r="P32" s="654"/>
      <c r="Q32" s="652"/>
      <c r="R32" s="653"/>
      <c r="S32" s="653"/>
      <c r="T32" s="654"/>
      <c r="U32" s="652"/>
      <c r="V32" s="653"/>
      <c r="W32" s="653"/>
      <c r="X32" s="721"/>
      <c r="Y32" s="7"/>
    </row>
    <row r="33" spans="1:27" ht="17.25" customHeight="1">
      <c r="A33" s="1"/>
      <c r="B33" s="718" t="s">
        <v>68</v>
      </c>
      <c r="C33" s="719"/>
      <c r="D33" s="720"/>
      <c r="E33" s="652" t="s">
        <v>101</v>
      </c>
      <c r="F33" s="653"/>
      <c r="G33" s="653"/>
      <c r="H33" s="654"/>
      <c r="I33" s="652"/>
      <c r="J33" s="653"/>
      <c r="K33" s="653"/>
      <c r="L33" s="654"/>
      <c r="M33" s="652"/>
      <c r="N33" s="653"/>
      <c r="O33" s="653"/>
      <c r="P33" s="654"/>
      <c r="Q33" s="652"/>
      <c r="R33" s="653"/>
      <c r="S33" s="653"/>
      <c r="T33" s="654"/>
      <c r="U33" s="652"/>
      <c r="V33" s="653"/>
      <c r="W33" s="653"/>
      <c r="X33" s="721"/>
      <c r="Y33" s="9"/>
    </row>
    <row r="34" spans="1:27" ht="17.25" customHeight="1">
      <c r="A34" s="1"/>
      <c r="B34" s="718" t="s">
        <v>74</v>
      </c>
      <c r="C34" s="719"/>
      <c r="D34" s="720"/>
      <c r="E34" s="652" t="s">
        <v>102</v>
      </c>
      <c r="F34" s="653"/>
      <c r="G34" s="653"/>
      <c r="H34" s="654"/>
      <c r="I34" s="652"/>
      <c r="J34" s="653"/>
      <c r="K34" s="653"/>
      <c r="L34" s="654"/>
      <c r="M34" s="652"/>
      <c r="N34" s="653"/>
      <c r="O34" s="653"/>
      <c r="P34" s="654"/>
      <c r="Q34" s="652"/>
      <c r="R34" s="653"/>
      <c r="S34" s="653"/>
      <c r="T34" s="654"/>
      <c r="U34" s="652"/>
      <c r="V34" s="653"/>
      <c r="W34" s="653"/>
      <c r="X34" s="721"/>
      <c r="Y34" s="9"/>
    </row>
    <row r="35" spans="1:27" ht="17.25" customHeight="1">
      <c r="A35" s="1"/>
      <c r="B35" s="576" t="s">
        <v>15</v>
      </c>
      <c r="C35" s="513"/>
      <c r="D35" s="513"/>
      <c r="E35" s="710">
        <v>0.75347222222222221</v>
      </c>
      <c r="F35" s="711"/>
      <c r="G35" s="711"/>
      <c r="H35" s="712"/>
      <c r="I35" s="710"/>
      <c r="J35" s="711"/>
      <c r="K35" s="711"/>
      <c r="L35" s="712"/>
      <c r="M35" s="710"/>
      <c r="N35" s="711"/>
      <c r="O35" s="711"/>
      <c r="P35" s="712"/>
      <c r="Q35" s="710"/>
      <c r="R35" s="711"/>
      <c r="S35" s="711"/>
      <c r="T35" s="712"/>
      <c r="U35" s="710"/>
      <c r="V35" s="711"/>
      <c r="W35" s="711"/>
      <c r="X35" s="713"/>
    </row>
    <row r="36" spans="1:27" ht="17.25" customHeight="1" thickBot="1">
      <c r="A36" s="1"/>
      <c r="B36" s="571" t="s">
        <v>80</v>
      </c>
      <c r="C36" s="572"/>
      <c r="D36" s="572"/>
      <c r="E36" s="714">
        <v>0.84375</v>
      </c>
      <c r="F36" s="715"/>
      <c r="G36" s="715"/>
      <c r="H36" s="716"/>
      <c r="I36" s="714"/>
      <c r="J36" s="715"/>
      <c r="K36" s="715"/>
      <c r="L36" s="716"/>
      <c r="M36" s="714"/>
      <c r="N36" s="715"/>
      <c r="O36" s="715"/>
      <c r="P36" s="716"/>
      <c r="Q36" s="714"/>
      <c r="R36" s="715"/>
      <c r="S36" s="715"/>
      <c r="T36" s="716"/>
      <c r="U36" s="714"/>
      <c r="V36" s="715"/>
      <c r="W36" s="715"/>
      <c r="X36" s="717"/>
    </row>
    <row r="37" spans="1:27" ht="17.25" customHeight="1">
      <c r="B37" s="692" t="s">
        <v>81</v>
      </c>
      <c r="C37" s="693"/>
      <c r="D37" s="694"/>
      <c r="E37" s="698" t="s">
        <v>103</v>
      </c>
      <c r="F37" s="698"/>
      <c r="G37" s="698"/>
      <c r="H37" s="698"/>
      <c r="I37" s="698"/>
      <c r="J37" s="698"/>
      <c r="K37" s="698"/>
      <c r="L37" s="698"/>
      <c r="M37" s="699"/>
      <c r="N37" s="700"/>
      <c r="O37" s="700"/>
      <c r="P37" s="701"/>
      <c r="Q37" s="698"/>
      <c r="R37" s="698"/>
      <c r="S37" s="698"/>
      <c r="T37" s="698"/>
      <c r="U37" s="702"/>
      <c r="V37" s="702"/>
      <c r="W37" s="702"/>
      <c r="X37" s="703"/>
    </row>
    <row r="38" spans="1:27" ht="17.45" thickBot="1">
      <c r="B38" s="695"/>
      <c r="C38" s="696"/>
      <c r="D38" s="697"/>
      <c r="E38" s="704"/>
      <c r="F38" s="705"/>
      <c r="G38" s="705"/>
      <c r="H38" s="706"/>
      <c r="I38" s="707"/>
      <c r="J38" s="707"/>
      <c r="K38" s="707"/>
      <c r="L38" s="707"/>
      <c r="M38" s="704"/>
      <c r="N38" s="705"/>
      <c r="O38" s="705"/>
      <c r="P38" s="706"/>
      <c r="Q38" s="707"/>
      <c r="R38" s="707"/>
      <c r="S38" s="707"/>
      <c r="T38" s="707"/>
      <c r="U38" s="708"/>
      <c r="V38" s="708"/>
      <c r="W38" s="708"/>
      <c r="X38" s="709"/>
      <c r="Z38" s="238"/>
    </row>
    <row r="41" spans="1:27" ht="55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7" s="6" customFormat="1">
      <c r="A42" s="4"/>
      <c r="B42" s="68" t="s">
        <v>3</v>
      </c>
      <c r="C42" s="68"/>
      <c r="D42" s="68"/>
      <c r="E42" s="68"/>
      <c r="F42" s="544" t="s">
        <v>4</v>
      </c>
      <c r="G42" s="790"/>
      <c r="H42" s="791"/>
      <c r="I42" s="5"/>
      <c r="J42" s="67" t="s">
        <v>5</v>
      </c>
      <c r="K42" s="67"/>
      <c r="L42" s="67"/>
      <c r="M42" s="67"/>
      <c r="N42" s="544" t="s">
        <v>6</v>
      </c>
      <c r="O42" s="790"/>
      <c r="P42" s="791"/>
      <c r="S42" s="802" t="s">
        <v>10</v>
      </c>
      <c r="T42" s="803"/>
      <c r="U42" s="792" t="s">
        <v>104</v>
      </c>
      <c r="V42" s="543"/>
      <c r="W42" s="543"/>
      <c r="X42" s="543"/>
      <c r="Y42" s="196"/>
    </row>
    <row r="43" spans="1:27" s="6" customFormat="1" ht="17.45" thickBot="1">
      <c r="A43" s="4"/>
      <c r="B43" s="166"/>
      <c r="C43" s="166"/>
      <c r="D43" s="166"/>
      <c r="E43" s="166"/>
      <c r="F43" s="31"/>
      <c r="G43" s="31"/>
      <c r="H43" s="31"/>
      <c r="I43" s="168"/>
      <c r="J43" s="167"/>
      <c r="K43" s="167"/>
      <c r="L43" s="167"/>
      <c r="M43" s="167"/>
      <c r="N43" s="31"/>
      <c r="O43" s="31"/>
      <c r="P43" s="31"/>
      <c r="Q43" s="31"/>
      <c r="R43" s="31"/>
      <c r="S43" s="31"/>
      <c r="T43" s="31"/>
      <c r="U43" s="31"/>
      <c r="V43" s="4"/>
      <c r="W43" s="4"/>
      <c r="X43" s="4"/>
    </row>
    <row r="44" spans="1:27" ht="15" customHeight="1">
      <c r="A44" s="1"/>
      <c r="B44" s="808"/>
      <c r="C44" s="809"/>
      <c r="D44" s="809"/>
      <c r="E44" s="809"/>
      <c r="F44" s="809"/>
      <c r="G44" s="809"/>
      <c r="H44" s="809"/>
      <c r="I44" s="809"/>
      <c r="J44" s="809"/>
      <c r="K44" s="809"/>
      <c r="L44" s="809"/>
      <c r="M44" s="809"/>
      <c r="N44" s="809"/>
      <c r="O44" s="809"/>
      <c r="P44" s="809"/>
      <c r="Q44" s="809"/>
      <c r="R44" s="809"/>
      <c r="S44" s="809"/>
      <c r="T44" s="809"/>
      <c r="U44" s="809"/>
      <c r="V44" s="809"/>
      <c r="W44" s="809"/>
      <c r="X44" s="810"/>
      <c r="Y44" s="6"/>
      <c r="Z44" s="6"/>
      <c r="AA44" s="6"/>
    </row>
    <row r="45" spans="1:27" ht="17.25" customHeight="1">
      <c r="A45" s="1"/>
      <c r="B45" s="718" t="s">
        <v>11</v>
      </c>
      <c r="C45" s="719"/>
      <c r="D45" s="720"/>
      <c r="E45" s="652"/>
      <c r="F45" s="653"/>
      <c r="G45" s="653"/>
      <c r="H45" s="653"/>
      <c r="I45" s="652"/>
      <c r="J45" s="653"/>
      <c r="K45" s="653"/>
      <c r="L45" s="653"/>
      <c r="M45" s="652"/>
      <c r="N45" s="653"/>
      <c r="O45" s="653"/>
      <c r="P45" s="653"/>
      <c r="Q45" s="653"/>
      <c r="R45" s="653"/>
      <c r="S45" s="653"/>
      <c r="T45" s="654"/>
      <c r="U45" s="652"/>
      <c r="V45" s="653"/>
      <c r="W45" s="653"/>
      <c r="X45" s="721"/>
      <c r="Y45" s="227"/>
    </row>
    <row r="46" spans="1:27" ht="17.25" customHeight="1">
      <c r="A46" s="1"/>
      <c r="B46" s="718" t="s">
        <v>12</v>
      </c>
      <c r="C46" s="719"/>
      <c r="D46" s="720"/>
      <c r="E46" s="652"/>
      <c r="F46" s="653"/>
      <c r="G46" s="653"/>
      <c r="H46" s="653"/>
      <c r="I46" s="652"/>
      <c r="J46" s="653"/>
      <c r="K46" s="653"/>
      <c r="L46" s="653"/>
      <c r="M46" s="652"/>
      <c r="N46" s="653"/>
      <c r="O46" s="653"/>
      <c r="P46" s="653"/>
      <c r="Q46" s="653"/>
      <c r="R46" s="653"/>
      <c r="S46" s="653"/>
      <c r="T46" s="654"/>
      <c r="U46" s="652"/>
      <c r="V46" s="653"/>
      <c r="W46" s="653"/>
      <c r="X46" s="721"/>
      <c r="Y46" s="228"/>
    </row>
    <row r="47" spans="1:27" ht="17.25" customHeight="1">
      <c r="A47" s="1"/>
      <c r="B47" s="718" t="s">
        <v>10</v>
      </c>
      <c r="C47" s="719"/>
      <c r="D47" s="720"/>
      <c r="E47" s="722"/>
      <c r="F47" s="723"/>
      <c r="G47" s="723"/>
      <c r="H47" s="723"/>
      <c r="I47" s="722"/>
      <c r="J47" s="723"/>
      <c r="K47" s="723"/>
      <c r="L47" s="723"/>
      <c r="M47" s="722"/>
      <c r="N47" s="723"/>
      <c r="O47" s="723"/>
      <c r="P47" s="723"/>
      <c r="Q47" s="723"/>
      <c r="R47" s="723"/>
      <c r="S47" s="723"/>
      <c r="T47" s="724"/>
      <c r="U47" s="722"/>
      <c r="V47" s="723"/>
      <c r="W47" s="723"/>
      <c r="X47" s="725"/>
    </row>
    <row r="48" spans="1:27" ht="17.25" customHeight="1">
      <c r="A48" s="1"/>
      <c r="B48" s="726" t="s">
        <v>64</v>
      </c>
      <c r="C48" s="727"/>
      <c r="D48" s="728"/>
      <c r="E48" s="652"/>
      <c r="F48" s="653"/>
      <c r="G48" s="653"/>
      <c r="H48" s="653"/>
      <c r="I48" s="652"/>
      <c r="J48" s="653"/>
      <c r="K48" s="653"/>
      <c r="L48" s="653"/>
      <c r="M48" s="652"/>
      <c r="N48" s="653"/>
      <c r="O48" s="653"/>
      <c r="P48" s="653"/>
      <c r="Q48" s="653"/>
      <c r="R48" s="653"/>
      <c r="S48" s="653"/>
      <c r="T48" s="654"/>
      <c r="U48" s="722"/>
      <c r="V48" s="723"/>
      <c r="W48" s="723"/>
      <c r="X48" s="725"/>
      <c r="Y48" s="7"/>
    </row>
    <row r="49" spans="1:33" ht="17.25" customHeight="1">
      <c r="A49" s="1"/>
      <c r="B49" s="718" t="s">
        <v>68</v>
      </c>
      <c r="C49" s="719"/>
      <c r="D49" s="720"/>
      <c r="E49" s="652"/>
      <c r="F49" s="653"/>
      <c r="G49" s="653"/>
      <c r="H49" s="653"/>
      <c r="I49" s="652"/>
      <c r="J49" s="653"/>
      <c r="K49" s="653"/>
      <c r="L49" s="653"/>
      <c r="M49" s="652"/>
      <c r="N49" s="653"/>
      <c r="O49" s="653"/>
      <c r="P49" s="653"/>
      <c r="Q49" s="653"/>
      <c r="R49" s="653"/>
      <c r="S49" s="653"/>
      <c r="T49" s="654"/>
      <c r="U49" s="799"/>
      <c r="V49" s="800"/>
      <c r="W49" s="800"/>
      <c r="X49" s="801"/>
      <c r="Y49" s="9"/>
    </row>
    <row r="50" spans="1:33" ht="17.25" customHeight="1">
      <c r="A50" s="1"/>
      <c r="B50" s="718" t="s">
        <v>74</v>
      </c>
      <c r="C50" s="719"/>
      <c r="D50" s="720"/>
      <c r="E50" s="652"/>
      <c r="F50" s="653"/>
      <c r="G50" s="653"/>
      <c r="H50" s="653"/>
      <c r="I50" s="652"/>
      <c r="J50" s="653"/>
      <c r="K50" s="653"/>
      <c r="L50" s="653"/>
      <c r="M50" s="652"/>
      <c r="N50" s="653"/>
      <c r="O50" s="653"/>
      <c r="P50" s="653"/>
      <c r="Q50" s="653"/>
      <c r="R50" s="653"/>
      <c r="S50" s="653"/>
      <c r="T50" s="654"/>
      <c r="U50" s="799"/>
      <c r="V50" s="800"/>
      <c r="W50" s="800"/>
      <c r="X50" s="801"/>
      <c r="Y50" s="9"/>
    </row>
    <row r="51" spans="1:33" ht="17.25" customHeight="1">
      <c r="A51" s="1"/>
      <c r="B51" s="576" t="s">
        <v>15</v>
      </c>
      <c r="C51" s="513"/>
      <c r="D51" s="513"/>
      <c r="E51" s="710"/>
      <c r="F51" s="711"/>
      <c r="G51" s="711"/>
      <c r="H51" s="711"/>
      <c r="I51" s="710"/>
      <c r="J51" s="711"/>
      <c r="K51" s="711"/>
      <c r="L51" s="711"/>
      <c r="M51" s="710"/>
      <c r="N51" s="711"/>
      <c r="O51" s="711"/>
      <c r="P51" s="711"/>
      <c r="Q51" s="711"/>
      <c r="R51" s="711"/>
      <c r="S51" s="711"/>
      <c r="T51" s="712"/>
      <c r="U51" s="805"/>
      <c r="V51" s="805"/>
      <c r="W51" s="805"/>
      <c r="X51" s="806"/>
    </row>
    <row r="52" spans="1:33" ht="17.25" customHeight="1" thickBot="1">
      <c r="A52" s="1"/>
      <c r="B52" s="571" t="s">
        <v>80</v>
      </c>
      <c r="C52" s="572"/>
      <c r="D52" s="572"/>
      <c r="E52" s="714"/>
      <c r="F52" s="715"/>
      <c r="G52" s="715"/>
      <c r="H52" s="715"/>
      <c r="I52" s="714"/>
      <c r="J52" s="715"/>
      <c r="K52" s="715"/>
      <c r="L52" s="715"/>
      <c r="M52" s="714"/>
      <c r="N52" s="715"/>
      <c r="O52" s="715"/>
      <c r="P52" s="715"/>
      <c r="Q52" s="715"/>
      <c r="R52" s="715"/>
      <c r="S52" s="715"/>
      <c r="T52" s="716"/>
      <c r="U52" s="814"/>
      <c r="V52" s="814"/>
      <c r="W52" s="814"/>
      <c r="X52" s="815"/>
    </row>
    <row r="53" spans="1:33" ht="17.25" customHeight="1">
      <c r="B53" s="562" t="s">
        <v>81</v>
      </c>
      <c r="C53" s="563"/>
      <c r="D53" s="563"/>
      <c r="E53" s="819"/>
      <c r="F53" s="820"/>
      <c r="G53" s="820"/>
      <c r="H53" s="821"/>
      <c r="I53" s="819"/>
      <c r="J53" s="820"/>
      <c r="K53" s="820"/>
      <c r="L53" s="821"/>
      <c r="M53" s="819"/>
      <c r="N53" s="820"/>
      <c r="O53" s="820"/>
      <c r="P53" s="821"/>
      <c r="Q53" s="822"/>
      <c r="R53" s="823"/>
      <c r="S53" s="823"/>
      <c r="T53" s="824"/>
      <c r="U53" s="732"/>
      <c r="V53" s="732"/>
      <c r="W53" s="732"/>
      <c r="X53" s="795"/>
    </row>
    <row r="54" spans="1:33" ht="16.899999999999999" customHeight="1">
      <c r="B54" s="565"/>
      <c r="C54" s="518"/>
      <c r="D54" s="518"/>
      <c r="E54" s="825"/>
      <c r="F54" s="826"/>
      <c r="G54" s="826"/>
      <c r="H54" s="827"/>
      <c r="I54" s="796"/>
      <c r="J54" s="797"/>
      <c r="K54" s="797"/>
      <c r="L54" s="828"/>
      <c r="M54" s="825"/>
      <c r="N54" s="826"/>
      <c r="O54" s="826"/>
      <c r="P54" s="827"/>
      <c r="Q54" s="796"/>
      <c r="R54" s="797"/>
      <c r="S54" s="797"/>
      <c r="T54" s="828"/>
      <c r="U54" s="796"/>
      <c r="V54" s="797"/>
      <c r="W54" s="797"/>
      <c r="X54" s="798"/>
    </row>
    <row r="55" spans="1:33" ht="16.899999999999999" customHeight="1" thickBot="1">
      <c r="B55" s="565"/>
      <c r="C55" s="518"/>
      <c r="D55" s="518"/>
      <c r="E55" s="816"/>
      <c r="F55" s="817"/>
      <c r="G55" s="817"/>
      <c r="H55" s="818"/>
      <c r="I55" s="734"/>
      <c r="J55" s="735"/>
      <c r="K55" s="735"/>
      <c r="L55" s="736"/>
      <c r="M55" s="816"/>
      <c r="N55" s="817"/>
      <c r="O55" s="817"/>
      <c r="P55" s="818"/>
      <c r="Q55" s="734"/>
      <c r="R55" s="735"/>
      <c r="S55" s="735"/>
      <c r="T55" s="736"/>
      <c r="U55" s="796"/>
      <c r="V55" s="797"/>
      <c r="W55" s="797"/>
      <c r="X55" s="798"/>
      <c r="Z55" s="224"/>
      <c r="AA55" s="224"/>
      <c r="AB55" s="224"/>
      <c r="AC55" s="224"/>
      <c r="AD55" s="224"/>
      <c r="AF55" s="225"/>
      <c r="AG55" s="226"/>
    </row>
    <row r="56" spans="1:33" ht="16.899999999999999" customHeight="1">
      <c r="B56" s="548"/>
      <c r="C56" s="549"/>
      <c r="D56" s="549"/>
      <c r="E56" s="549"/>
      <c r="F56" s="549"/>
      <c r="G56" s="549"/>
      <c r="H56" s="549"/>
      <c r="I56" s="549"/>
      <c r="J56" s="549"/>
      <c r="K56" s="549"/>
      <c r="L56" s="549"/>
      <c r="M56" s="549"/>
      <c r="N56" s="549"/>
      <c r="O56" s="549"/>
      <c r="P56" s="549"/>
      <c r="Q56" s="549"/>
      <c r="R56" s="549"/>
      <c r="S56" s="549"/>
      <c r="T56" s="549"/>
      <c r="U56" s="549"/>
      <c r="V56" s="549"/>
      <c r="W56" s="549"/>
      <c r="X56" s="550"/>
    </row>
    <row r="57" spans="1:33" ht="17.25" customHeight="1">
      <c r="A57" s="1"/>
      <c r="B57" s="576" t="s">
        <v>11</v>
      </c>
      <c r="C57" s="513"/>
      <c r="D57" s="513"/>
      <c r="E57" s="652"/>
      <c r="F57" s="653"/>
      <c r="G57" s="653"/>
      <c r="H57" s="654"/>
      <c r="I57" s="652"/>
      <c r="J57" s="653"/>
      <c r="K57" s="653"/>
      <c r="L57" s="654"/>
      <c r="M57" s="652"/>
      <c r="N57" s="653"/>
      <c r="O57" s="653"/>
      <c r="P57" s="654"/>
      <c r="Q57" s="488"/>
      <c r="R57" s="489"/>
      <c r="S57" s="489"/>
      <c r="T57" s="490"/>
      <c r="U57" s="488"/>
      <c r="V57" s="489"/>
      <c r="W57" s="489"/>
      <c r="X57" s="489"/>
      <c r="Y57" s="227"/>
      <c r="Z57" s="236"/>
      <c r="AA57" s="6"/>
      <c r="AB57" s="6"/>
      <c r="AC57" s="6"/>
    </row>
    <row r="58" spans="1:33" ht="17.25" customHeight="1">
      <c r="A58" s="1"/>
      <c r="B58" s="576" t="s">
        <v>12</v>
      </c>
      <c r="C58" s="513"/>
      <c r="D58" s="513"/>
      <c r="E58" s="652"/>
      <c r="F58" s="653"/>
      <c r="G58" s="653"/>
      <c r="H58" s="654"/>
      <c r="I58" s="652"/>
      <c r="J58" s="653"/>
      <c r="K58" s="653"/>
      <c r="L58" s="654"/>
      <c r="M58" s="652"/>
      <c r="N58" s="653"/>
      <c r="O58" s="653"/>
      <c r="P58" s="654"/>
      <c r="Q58" s="488"/>
      <c r="R58" s="489"/>
      <c r="S58" s="489"/>
      <c r="T58" s="490"/>
      <c r="U58" s="488"/>
      <c r="V58" s="489"/>
      <c r="W58" s="489"/>
      <c r="X58" s="489"/>
      <c r="Y58" s="228"/>
      <c r="Z58" s="237"/>
      <c r="AE58" s="238"/>
    </row>
    <row r="59" spans="1:33" ht="17.25" customHeight="1">
      <c r="A59" s="1"/>
      <c r="B59" s="576" t="s">
        <v>10</v>
      </c>
      <c r="C59" s="513"/>
      <c r="D59" s="513"/>
      <c r="E59" s="722"/>
      <c r="F59" s="723"/>
      <c r="G59" s="723"/>
      <c r="H59" s="724"/>
      <c r="I59" s="722"/>
      <c r="J59" s="723"/>
      <c r="K59" s="723"/>
      <c r="L59" s="724"/>
      <c r="M59" s="722"/>
      <c r="N59" s="723"/>
      <c r="O59" s="723"/>
      <c r="P59" s="724"/>
      <c r="Q59" s="541"/>
      <c r="R59" s="541"/>
      <c r="S59" s="541"/>
      <c r="T59" s="542"/>
      <c r="U59" s="540"/>
      <c r="V59" s="541"/>
      <c r="W59" s="541"/>
      <c r="X59" s="752"/>
    </row>
    <row r="60" spans="1:33" ht="17.25" customHeight="1">
      <c r="A60" s="1"/>
      <c r="B60" s="726" t="s">
        <v>64</v>
      </c>
      <c r="C60" s="727"/>
      <c r="D60" s="728"/>
      <c r="E60" s="652"/>
      <c r="F60" s="653"/>
      <c r="G60" s="653"/>
      <c r="H60" s="654"/>
      <c r="I60" s="652"/>
      <c r="J60" s="653"/>
      <c r="K60" s="653"/>
      <c r="L60" s="654"/>
      <c r="M60" s="652"/>
      <c r="N60" s="653"/>
      <c r="O60" s="653"/>
      <c r="P60" s="654"/>
      <c r="Q60" s="489"/>
      <c r="R60" s="489"/>
      <c r="S60" s="489"/>
      <c r="T60" s="490"/>
      <c r="U60" s="540"/>
      <c r="V60" s="541"/>
      <c r="W60" s="541"/>
      <c r="X60" s="752"/>
      <c r="Y60" s="7"/>
      <c r="AE60" s="238"/>
    </row>
    <row r="61" spans="1:33" ht="17.25" customHeight="1">
      <c r="A61" s="1"/>
      <c r="B61" s="718" t="s">
        <v>68</v>
      </c>
      <c r="C61" s="719"/>
      <c r="D61" s="720"/>
      <c r="E61" s="652"/>
      <c r="F61" s="653"/>
      <c r="G61" s="653"/>
      <c r="H61" s="654"/>
      <c r="I61" s="652"/>
      <c r="J61" s="653"/>
      <c r="K61" s="653"/>
      <c r="L61" s="654"/>
      <c r="M61" s="265"/>
      <c r="N61" s="270"/>
      <c r="O61" s="270"/>
      <c r="P61" s="271"/>
      <c r="Q61" s="489"/>
      <c r="R61" s="489"/>
      <c r="S61" s="489"/>
      <c r="T61" s="490"/>
      <c r="U61" s="779"/>
      <c r="V61" s="780"/>
      <c r="W61" s="780"/>
      <c r="X61" s="781"/>
      <c r="Y61" s="9"/>
    </row>
    <row r="62" spans="1:33" ht="17.25" customHeight="1">
      <c r="A62" s="1"/>
      <c r="B62" s="718" t="s">
        <v>74</v>
      </c>
      <c r="C62" s="719"/>
      <c r="D62" s="720"/>
      <c r="E62" s="652"/>
      <c r="F62" s="653"/>
      <c r="G62" s="653"/>
      <c r="H62" s="654"/>
      <c r="I62" s="652"/>
      <c r="J62" s="653"/>
      <c r="K62" s="653"/>
      <c r="L62" s="654"/>
      <c r="M62" s="272"/>
      <c r="N62" s="266"/>
      <c r="O62" s="266"/>
      <c r="P62" s="267"/>
      <c r="Q62" s="653"/>
      <c r="R62" s="653"/>
      <c r="S62" s="653"/>
      <c r="T62" s="654"/>
      <c r="U62" s="799"/>
      <c r="V62" s="800"/>
      <c r="W62" s="800"/>
      <c r="X62" s="801"/>
      <c r="Y62" s="9"/>
    </row>
    <row r="63" spans="1:33" ht="17.25" customHeight="1">
      <c r="A63" s="1"/>
      <c r="B63" s="576" t="s">
        <v>15</v>
      </c>
      <c r="C63" s="513"/>
      <c r="D63" s="513"/>
      <c r="E63" s="710"/>
      <c r="F63" s="711"/>
      <c r="G63" s="711"/>
      <c r="H63" s="712"/>
      <c r="I63" s="710"/>
      <c r="J63" s="711"/>
      <c r="K63" s="711"/>
      <c r="L63" s="712"/>
      <c r="M63" s="710"/>
      <c r="N63" s="711"/>
      <c r="O63" s="711"/>
      <c r="P63" s="712"/>
      <c r="Q63" s="492"/>
      <c r="R63" s="492"/>
      <c r="S63" s="492"/>
      <c r="T63" s="493"/>
      <c r="U63" s="785"/>
      <c r="V63" s="785"/>
      <c r="W63" s="785"/>
      <c r="X63" s="786"/>
    </row>
    <row r="64" spans="1:33" ht="17.25" customHeight="1" thickBot="1">
      <c r="A64" s="1"/>
      <c r="B64" s="571" t="s">
        <v>80</v>
      </c>
      <c r="C64" s="572"/>
      <c r="D64" s="572"/>
      <c r="E64" s="714"/>
      <c r="F64" s="715"/>
      <c r="G64" s="715"/>
      <c r="H64" s="716"/>
      <c r="I64" s="714"/>
      <c r="J64" s="715"/>
      <c r="K64" s="715"/>
      <c r="L64" s="716"/>
      <c r="M64" s="714"/>
      <c r="N64" s="715"/>
      <c r="O64" s="715"/>
      <c r="P64" s="716"/>
      <c r="Q64" s="742"/>
      <c r="R64" s="742"/>
      <c r="S64" s="742"/>
      <c r="T64" s="743"/>
      <c r="U64" s="756"/>
      <c r="V64" s="756"/>
      <c r="W64" s="756"/>
      <c r="X64" s="757"/>
    </row>
    <row r="65" spans="1:27" ht="17.25" customHeight="1">
      <c r="B65" s="692" t="s">
        <v>81</v>
      </c>
      <c r="C65" s="693"/>
      <c r="D65" s="693"/>
      <c r="E65" s="702"/>
      <c r="F65" s="702"/>
      <c r="G65" s="702"/>
      <c r="H65" s="702"/>
      <c r="I65" s="733"/>
      <c r="J65" s="733"/>
      <c r="K65" s="733"/>
      <c r="L65" s="733"/>
      <c r="M65" s="733"/>
      <c r="N65" s="733"/>
      <c r="O65" s="733"/>
      <c r="P65" s="733"/>
      <c r="Q65" s="732"/>
      <c r="R65" s="732"/>
      <c r="S65" s="732"/>
      <c r="T65" s="732"/>
      <c r="U65" s="733"/>
      <c r="V65" s="733"/>
      <c r="W65" s="733"/>
      <c r="X65" s="829"/>
    </row>
    <row r="66" spans="1:27" ht="17.45" thickBot="1">
      <c r="B66" s="695"/>
      <c r="C66" s="696"/>
      <c r="D66" s="696"/>
      <c r="E66" s="269"/>
      <c r="F66" s="254"/>
      <c r="G66" s="254"/>
      <c r="H66" s="254"/>
      <c r="I66" s="734"/>
      <c r="J66" s="735"/>
      <c r="K66" s="735"/>
      <c r="L66" s="736"/>
      <c r="M66" s="737"/>
      <c r="N66" s="737"/>
      <c r="O66" s="737"/>
      <c r="P66" s="737"/>
      <c r="Q66" s="254"/>
      <c r="R66" s="254"/>
      <c r="S66" s="254"/>
      <c r="T66" s="254"/>
      <c r="U66" s="257"/>
      <c r="V66" s="255"/>
      <c r="W66" s="255"/>
      <c r="X66" s="256"/>
      <c r="Z66" s="238"/>
    </row>
    <row r="70" spans="1:27" ht="55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7" s="6" customFormat="1">
      <c r="A71" s="4"/>
      <c r="B71" s="68" t="s">
        <v>3</v>
      </c>
      <c r="C71" s="68"/>
      <c r="D71" s="68"/>
      <c r="E71" s="68"/>
      <c r="F71" s="543" t="s">
        <v>4</v>
      </c>
      <c r="G71" s="543"/>
      <c r="H71" s="543"/>
      <c r="I71" s="5"/>
      <c r="J71" s="67" t="s">
        <v>5</v>
      </c>
      <c r="K71" s="67"/>
      <c r="L71" s="67"/>
      <c r="M71" s="67"/>
      <c r="N71" s="544" t="s">
        <v>6</v>
      </c>
      <c r="O71" s="790"/>
      <c r="P71" s="791"/>
      <c r="S71" s="547" t="s">
        <v>10</v>
      </c>
      <c r="T71" s="547"/>
      <c r="U71" s="792" t="s">
        <v>104</v>
      </c>
      <c r="V71" s="543"/>
      <c r="W71" s="543"/>
      <c r="X71" s="543"/>
      <c r="Y71" s="196"/>
    </row>
    <row r="72" spans="1:27" s="6" customFormat="1" ht="17.45" thickBot="1">
      <c r="A72" s="4"/>
      <c r="B72" s="166"/>
      <c r="C72" s="166"/>
      <c r="D72" s="166"/>
      <c r="E72" s="166"/>
      <c r="F72" s="31"/>
      <c r="G72" s="31"/>
      <c r="H72" s="31"/>
      <c r="I72" s="168"/>
      <c r="J72" s="167"/>
      <c r="K72" s="167"/>
      <c r="L72" s="167"/>
      <c r="M72" s="167"/>
      <c r="N72" s="31"/>
      <c r="O72" s="31"/>
      <c r="P72" s="31"/>
      <c r="Q72" s="31"/>
      <c r="R72" s="31"/>
      <c r="S72" s="31"/>
      <c r="T72" s="31"/>
      <c r="U72" s="31"/>
      <c r="V72" s="4"/>
      <c r="W72" s="4"/>
      <c r="X72" s="4"/>
    </row>
    <row r="73" spans="1:27" ht="15" customHeight="1">
      <c r="A73" s="1"/>
      <c r="B73" s="548"/>
      <c r="C73" s="549"/>
      <c r="D73" s="549"/>
      <c r="E73" s="549"/>
      <c r="F73" s="549"/>
      <c r="G73" s="549"/>
      <c r="H73" s="549"/>
      <c r="I73" s="549"/>
      <c r="J73" s="549"/>
      <c r="K73" s="549"/>
      <c r="L73" s="549"/>
      <c r="M73" s="549"/>
      <c r="N73" s="549"/>
      <c r="O73" s="549"/>
      <c r="P73" s="549"/>
      <c r="Q73" s="549"/>
      <c r="R73" s="549"/>
      <c r="S73" s="549"/>
      <c r="T73" s="549"/>
      <c r="U73" s="549"/>
      <c r="V73" s="549"/>
      <c r="W73" s="549"/>
      <c r="X73" s="550"/>
      <c r="Y73" s="6"/>
      <c r="Z73" s="6"/>
      <c r="AA73" s="6"/>
    </row>
    <row r="74" spans="1:27" ht="17.25" customHeight="1">
      <c r="A74" s="1"/>
      <c r="B74" s="576" t="s">
        <v>11</v>
      </c>
      <c r="C74" s="513"/>
      <c r="D74" s="513"/>
      <c r="E74" s="488" t="s">
        <v>85</v>
      </c>
      <c r="F74" s="489"/>
      <c r="G74" s="489"/>
      <c r="H74" s="490"/>
      <c r="I74" s="488" t="s">
        <v>60</v>
      </c>
      <c r="J74" s="489"/>
      <c r="K74" s="489"/>
      <c r="L74" s="490"/>
      <c r="M74" s="488" t="s">
        <v>105</v>
      </c>
      <c r="N74" s="489"/>
      <c r="O74" s="489"/>
      <c r="P74" s="490"/>
      <c r="Q74" s="488" t="s">
        <v>84</v>
      </c>
      <c r="R74" s="489"/>
      <c r="S74" s="489"/>
      <c r="T74" s="490"/>
      <c r="U74" s="488" t="s">
        <v>62</v>
      </c>
      <c r="V74" s="489"/>
      <c r="W74" s="489"/>
      <c r="X74" s="489"/>
      <c r="Y74" s="227"/>
    </row>
    <row r="75" spans="1:27" ht="17.25" customHeight="1">
      <c r="A75" s="1"/>
      <c r="B75" s="576" t="s">
        <v>12</v>
      </c>
      <c r="C75" s="513"/>
      <c r="D75" s="513"/>
      <c r="E75" s="488" t="s">
        <v>88</v>
      </c>
      <c r="F75" s="489"/>
      <c r="G75" s="489"/>
      <c r="H75" s="490"/>
      <c r="I75" s="488" t="s">
        <v>88</v>
      </c>
      <c r="J75" s="489"/>
      <c r="K75" s="489"/>
      <c r="L75" s="490"/>
      <c r="M75" s="488" t="s">
        <v>88</v>
      </c>
      <c r="N75" s="489"/>
      <c r="O75" s="489"/>
      <c r="P75" s="490"/>
      <c r="Q75" s="488" t="s">
        <v>88</v>
      </c>
      <c r="R75" s="489"/>
      <c r="S75" s="489"/>
      <c r="T75" s="490"/>
      <c r="U75" s="488" t="s">
        <v>88</v>
      </c>
      <c r="V75" s="489"/>
      <c r="W75" s="489"/>
      <c r="X75" s="489"/>
      <c r="Y75" s="228"/>
    </row>
    <row r="76" spans="1:27" ht="17.25" customHeight="1">
      <c r="A76" s="1"/>
      <c r="B76" s="576" t="s">
        <v>10</v>
      </c>
      <c r="C76" s="513"/>
      <c r="D76" s="513"/>
      <c r="E76" s="540">
        <v>46083</v>
      </c>
      <c r="F76" s="541"/>
      <c r="G76" s="541"/>
      <c r="H76" s="542"/>
      <c r="I76" s="540">
        <v>46083</v>
      </c>
      <c r="J76" s="541"/>
      <c r="K76" s="541"/>
      <c r="L76" s="542"/>
      <c r="M76" s="540">
        <v>46083</v>
      </c>
      <c r="N76" s="541"/>
      <c r="O76" s="541"/>
      <c r="P76" s="542"/>
      <c r="Q76" s="540">
        <v>46083</v>
      </c>
      <c r="R76" s="541"/>
      <c r="S76" s="541"/>
      <c r="T76" s="542"/>
      <c r="U76" s="540">
        <v>46083</v>
      </c>
      <c r="V76" s="541"/>
      <c r="W76" s="541"/>
      <c r="X76" s="752"/>
    </row>
    <row r="77" spans="1:27" ht="17.25" customHeight="1">
      <c r="A77" s="1"/>
      <c r="B77" s="726" t="s">
        <v>64</v>
      </c>
      <c r="C77" s="727"/>
      <c r="D77" s="728"/>
      <c r="E77" s="488" t="s">
        <v>100</v>
      </c>
      <c r="F77" s="489"/>
      <c r="G77" s="489"/>
      <c r="H77" s="490"/>
      <c r="I77" s="488" t="s">
        <v>67</v>
      </c>
      <c r="J77" s="489"/>
      <c r="K77" s="489"/>
      <c r="L77" s="490"/>
      <c r="M77" s="488" t="s">
        <v>100</v>
      </c>
      <c r="N77" s="489"/>
      <c r="O77" s="489"/>
      <c r="P77" s="490"/>
      <c r="Q77" s="488" t="s">
        <v>100</v>
      </c>
      <c r="R77" s="489"/>
      <c r="S77" s="489"/>
      <c r="T77" s="490"/>
      <c r="U77" s="540" t="s">
        <v>106</v>
      </c>
      <c r="V77" s="541"/>
      <c r="W77" s="541"/>
      <c r="X77" s="752"/>
      <c r="Y77" s="7"/>
    </row>
    <row r="78" spans="1:27" ht="17.25" customHeight="1">
      <c r="A78" s="1"/>
      <c r="B78" s="718" t="s">
        <v>68</v>
      </c>
      <c r="C78" s="719"/>
      <c r="D78" s="720"/>
      <c r="E78" s="488" t="s">
        <v>107</v>
      </c>
      <c r="F78" s="489"/>
      <c r="G78" s="489"/>
      <c r="H78" s="490"/>
      <c r="I78" s="488" t="s">
        <v>108</v>
      </c>
      <c r="J78" s="489"/>
      <c r="K78" s="489"/>
      <c r="L78" s="490"/>
      <c r="M78" s="488" t="s">
        <v>109</v>
      </c>
      <c r="N78" s="489"/>
      <c r="O78" s="489"/>
      <c r="P78" s="490"/>
      <c r="Q78" s="488" t="s">
        <v>110</v>
      </c>
      <c r="R78" s="489"/>
      <c r="S78" s="489"/>
      <c r="T78" s="490"/>
      <c r="U78" s="779" t="s">
        <v>111</v>
      </c>
      <c r="V78" s="780"/>
      <c r="W78" s="780"/>
      <c r="X78" s="781"/>
      <c r="Y78" s="9"/>
      <c r="Z78" s="263"/>
    </row>
    <row r="79" spans="1:27" ht="17.25" customHeight="1">
      <c r="A79" s="1"/>
      <c r="B79" s="718" t="s">
        <v>74</v>
      </c>
      <c r="C79" s="719"/>
      <c r="D79" s="720"/>
      <c r="E79" s="488" t="s">
        <v>112</v>
      </c>
      <c r="F79" s="489"/>
      <c r="G79" s="489"/>
      <c r="H79" s="490"/>
      <c r="I79" s="488" t="s">
        <v>113</v>
      </c>
      <c r="J79" s="489"/>
      <c r="K79" s="489"/>
      <c r="L79" s="490"/>
      <c r="M79" s="488" t="s">
        <v>114</v>
      </c>
      <c r="N79" s="489"/>
      <c r="O79" s="489"/>
      <c r="P79" s="490"/>
      <c r="Q79" s="488" t="s">
        <v>115</v>
      </c>
      <c r="R79" s="489"/>
      <c r="S79" s="489"/>
      <c r="T79" s="490"/>
      <c r="U79" s="799" t="s">
        <v>116</v>
      </c>
      <c r="V79" s="800"/>
      <c r="W79" s="800"/>
      <c r="X79" s="801"/>
      <c r="Y79" s="9"/>
    </row>
    <row r="80" spans="1:27" ht="17.25" customHeight="1">
      <c r="A80" s="1"/>
      <c r="B80" s="576" t="s">
        <v>15</v>
      </c>
      <c r="C80" s="513"/>
      <c r="D80" s="513"/>
      <c r="E80" s="491">
        <v>0.44097222222222221</v>
      </c>
      <c r="F80" s="492"/>
      <c r="G80" s="492"/>
      <c r="H80" s="493"/>
      <c r="I80" s="492">
        <v>0.65625</v>
      </c>
      <c r="J80" s="492"/>
      <c r="K80" s="492"/>
      <c r="L80" s="492"/>
      <c r="M80" s="491">
        <v>0.625</v>
      </c>
      <c r="N80" s="492"/>
      <c r="O80" s="492"/>
      <c r="P80" s="493"/>
      <c r="Q80" s="491">
        <v>0.45833333333333331</v>
      </c>
      <c r="R80" s="492"/>
      <c r="S80" s="492"/>
      <c r="T80" s="493"/>
      <c r="U80" s="785">
        <v>0.53472222222222221</v>
      </c>
      <c r="V80" s="785"/>
      <c r="W80" s="785"/>
      <c r="X80" s="786"/>
    </row>
    <row r="81" spans="1:26" ht="17.25" customHeight="1" thickBot="1">
      <c r="A81" s="1"/>
      <c r="B81" s="571" t="s">
        <v>80</v>
      </c>
      <c r="C81" s="572"/>
      <c r="D81" s="572"/>
      <c r="E81" s="741">
        <v>0.50347222222222221</v>
      </c>
      <c r="F81" s="742"/>
      <c r="G81" s="742"/>
      <c r="H81" s="742"/>
      <c r="I81" s="741">
        <v>0.67013888888888884</v>
      </c>
      <c r="J81" s="742"/>
      <c r="K81" s="742"/>
      <c r="L81" s="743"/>
      <c r="M81" s="741">
        <v>0.63541666666666663</v>
      </c>
      <c r="N81" s="742"/>
      <c r="O81" s="742"/>
      <c r="P81" s="743"/>
      <c r="Q81" s="741">
        <v>0.51388888888888884</v>
      </c>
      <c r="R81" s="742"/>
      <c r="S81" s="742"/>
      <c r="T81" s="743"/>
      <c r="U81" s="756">
        <v>0.56944444444444442</v>
      </c>
      <c r="V81" s="756"/>
      <c r="W81" s="756"/>
      <c r="X81" s="757"/>
    </row>
    <row r="82" spans="1:26" ht="17.25" customHeight="1">
      <c r="B82" s="692" t="s">
        <v>81</v>
      </c>
      <c r="C82" s="693"/>
      <c r="D82" s="694"/>
      <c r="E82" s="793" t="s">
        <v>46</v>
      </c>
      <c r="F82" s="793"/>
      <c r="G82" s="793"/>
      <c r="H82" s="793"/>
      <c r="I82" s="764" t="s">
        <v>35</v>
      </c>
      <c r="J82" s="765"/>
      <c r="K82" s="765"/>
      <c r="L82" s="766"/>
      <c r="M82" s="554" t="s">
        <v>117</v>
      </c>
      <c r="N82" s="554"/>
      <c r="O82" s="554"/>
      <c r="P82" s="554"/>
      <c r="Q82" s="794" t="s">
        <v>47</v>
      </c>
      <c r="R82" s="794"/>
      <c r="S82" s="794"/>
      <c r="T82" s="794"/>
      <c r="U82" s="732" t="s">
        <v>48</v>
      </c>
      <c r="V82" s="732"/>
      <c r="W82" s="732"/>
      <c r="X82" s="795"/>
    </row>
    <row r="83" spans="1:26" ht="16.899999999999999" customHeight="1">
      <c r="B83" s="758"/>
      <c r="C83" s="759"/>
      <c r="D83" s="760"/>
      <c r="E83" s="770" t="s">
        <v>51</v>
      </c>
      <c r="F83" s="770"/>
      <c r="G83" s="770"/>
      <c r="H83" s="770"/>
      <c r="I83" s="770"/>
      <c r="J83" s="770"/>
      <c r="K83" s="770"/>
      <c r="L83" s="770"/>
      <c r="M83" s="771"/>
      <c r="N83" s="771"/>
      <c r="O83" s="771"/>
      <c r="P83" s="771"/>
      <c r="Q83" s="770" t="s">
        <v>45</v>
      </c>
      <c r="R83" s="770"/>
      <c r="S83" s="770"/>
      <c r="T83" s="770"/>
      <c r="U83" s="796"/>
      <c r="V83" s="797"/>
      <c r="W83" s="797"/>
      <c r="X83" s="798"/>
    </row>
    <row r="84" spans="1:26" ht="16.899999999999999" customHeight="1" thickBot="1">
      <c r="B84" s="695"/>
      <c r="C84" s="696"/>
      <c r="D84" s="697"/>
      <c r="E84" s="770"/>
      <c r="F84" s="770"/>
      <c r="G84" s="770"/>
      <c r="H84" s="770"/>
      <c r="I84" s="770"/>
      <c r="J84" s="770"/>
      <c r="K84" s="770"/>
      <c r="L84" s="770"/>
      <c r="M84" s="771"/>
      <c r="N84" s="771"/>
      <c r="O84" s="771"/>
      <c r="P84" s="771"/>
      <c r="Q84" s="770"/>
      <c r="R84" s="770"/>
      <c r="S84" s="770"/>
      <c r="T84" s="770"/>
      <c r="U84" s="796"/>
      <c r="V84" s="797"/>
      <c r="W84" s="797"/>
      <c r="X84" s="798"/>
    </row>
    <row r="85" spans="1:26" ht="16.899999999999999" customHeight="1">
      <c r="B85" s="548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50"/>
    </row>
    <row r="86" spans="1:26" ht="17.25" customHeight="1">
      <c r="A86" s="1"/>
      <c r="B86" s="576" t="s">
        <v>11</v>
      </c>
      <c r="C86" s="513"/>
      <c r="D86" s="513"/>
      <c r="E86" s="488" t="s">
        <v>61</v>
      </c>
      <c r="F86" s="489"/>
      <c r="G86" s="489"/>
      <c r="H86" s="490"/>
      <c r="I86" s="488"/>
      <c r="J86" s="489"/>
      <c r="K86" s="489"/>
      <c r="L86" s="490"/>
      <c r="M86" s="488"/>
      <c r="N86" s="489"/>
      <c r="O86" s="489"/>
      <c r="P86" s="490"/>
      <c r="Q86" s="488"/>
      <c r="R86" s="489"/>
      <c r="S86" s="489"/>
      <c r="T86" s="490"/>
      <c r="U86" s="488"/>
      <c r="V86" s="489"/>
      <c r="W86" s="489"/>
      <c r="X86" s="751"/>
      <c r="Y86" s="6"/>
    </row>
    <row r="87" spans="1:26" ht="17.25" customHeight="1">
      <c r="A87" s="1"/>
      <c r="B87" s="576" t="s">
        <v>12</v>
      </c>
      <c r="C87" s="513"/>
      <c r="D87" s="513"/>
      <c r="E87" s="488" t="s">
        <v>88</v>
      </c>
      <c r="F87" s="489"/>
      <c r="G87" s="489"/>
      <c r="H87" s="490"/>
      <c r="I87" s="488"/>
      <c r="J87" s="489"/>
      <c r="K87" s="489"/>
      <c r="L87" s="490"/>
      <c r="M87" s="488"/>
      <c r="N87" s="489"/>
      <c r="O87" s="489"/>
      <c r="P87" s="490"/>
      <c r="Q87" s="488"/>
      <c r="R87" s="489"/>
      <c r="S87" s="489"/>
      <c r="T87" s="490"/>
      <c r="U87" s="488"/>
      <c r="V87" s="489"/>
      <c r="W87" s="489"/>
      <c r="X87" s="751"/>
    </row>
    <row r="88" spans="1:26" ht="17.25" customHeight="1">
      <c r="A88" s="1"/>
      <c r="B88" s="576" t="s">
        <v>10</v>
      </c>
      <c r="C88" s="513"/>
      <c r="D88" s="513"/>
      <c r="E88" s="540">
        <v>46083</v>
      </c>
      <c r="F88" s="541"/>
      <c r="G88" s="541"/>
      <c r="H88" s="542"/>
      <c r="I88" s="540"/>
      <c r="J88" s="541"/>
      <c r="K88" s="541"/>
      <c r="L88" s="542"/>
      <c r="M88" s="540"/>
      <c r="N88" s="541"/>
      <c r="O88" s="541"/>
      <c r="P88" s="542"/>
      <c r="Q88" s="540"/>
      <c r="R88" s="541"/>
      <c r="S88" s="541"/>
      <c r="T88" s="542"/>
      <c r="U88" s="540"/>
      <c r="V88" s="541"/>
      <c r="W88" s="541"/>
      <c r="X88" s="752"/>
    </row>
    <row r="89" spans="1:26" ht="17.25" customHeight="1">
      <c r="A89" s="1"/>
      <c r="B89" s="726" t="s">
        <v>64</v>
      </c>
      <c r="C89" s="727"/>
      <c r="D89" s="728"/>
      <c r="E89" s="488" t="s">
        <v>100</v>
      </c>
      <c r="F89" s="489"/>
      <c r="G89" s="489"/>
      <c r="H89" s="490"/>
      <c r="I89" s="488"/>
      <c r="J89" s="489"/>
      <c r="K89" s="489"/>
      <c r="L89" s="490"/>
      <c r="M89" s="488"/>
      <c r="N89" s="489"/>
      <c r="O89" s="489"/>
      <c r="P89" s="490"/>
      <c r="Q89" s="488"/>
      <c r="R89" s="489"/>
      <c r="S89" s="489"/>
      <c r="T89" s="490"/>
      <c r="U89" s="488"/>
      <c r="V89" s="489"/>
      <c r="W89" s="489"/>
      <c r="X89" s="751"/>
      <c r="Y89" s="7"/>
    </row>
    <row r="90" spans="1:26" ht="17.25" customHeight="1">
      <c r="A90" s="1"/>
      <c r="B90" s="718" t="s">
        <v>68</v>
      </c>
      <c r="C90" s="719"/>
      <c r="D90" s="720"/>
      <c r="E90" s="488" t="s">
        <v>118</v>
      </c>
      <c r="F90" s="489"/>
      <c r="G90" s="489"/>
      <c r="H90" s="490"/>
      <c r="I90" s="488"/>
      <c r="J90" s="489"/>
      <c r="K90" s="489"/>
      <c r="L90" s="490"/>
      <c r="M90" s="488"/>
      <c r="N90" s="489"/>
      <c r="O90" s="489"/>
      <c r="P90" s="490"/>
      <c r="Q90" s="488"/>
      <c r="R90" s="489"/>
      <c r="S90" s="489"/>
      <c r="T90" s="490"/>
      <c r="U90" s="488"/>
      <c r="V90" s="489"/>
      <c r="W90" s="489"/>
      <c r="X90" s="751"/>
      <c r="Y90" s="9"/>
    </row>
    <row r="91" spans="1:26" ht="17.25" customHeight="1">
      <c r="A91" s="1"/>
      <c r="B91" s="718" t="s">
        <v>74</v>
      </c>
      <c r="C91" s="719"/>
      <c r="D91" s="720"/>
      <c r="E91" s="652" t="s">
        <v>119</v>
      </c>
      <c r="F91" s="653"/>
      <c r="G91" s="653"/>
      <c r="H91" s="654"/>
      <c r="I91" s="488"/>
      <c r="J91" s="489"/>
      <c r="K91" s="489"/>
      <c r="L91" s="490"/>
      <c r="M91" s="652"/>
      <c r="N91" s="653"/>
      <c r="O91" s="653"/>
      <c r="P91" s="654"/>
      <c r="Q91" s="652"/>
      <c r="R91" s="653"/>
      <c r="S91" s="653"/>
      <c r="T91" s="654"/>
      <c r="U91" s="652"/>
      <c r="V91" s="653"/>
      <c r="W91" s="653"/>
      <c r="X91" s="721"/>
      <c r="Y91" s="9"/>
    </row>
    <row r="92" spans="1:26" ht="17.25" customHeight="1">
      <c r="A92" s="1"/>
      <c r="B92" s="576" t="s">
        <v>15</v>
      </c>
      <c r="C92" s="513"/>
      <c r="D92" s="513"/>
      <c r="E92" s="491">
        <v>0.53472222222222221</v>
      </c>
      <c r="F92" s="492"/>
      <c r="G92" s="492"/>
      <c r="H92" s="493"/>
      <c r="I92" s="491"/>
      <c r="J92" s="492"/>
      <c r="K92" s="492"/>
      <c r="L92" s="493"/>
      <c r="M92" s="491"/>
      <c r="N92" s="492"/>
      <c r="O92" s="492"/>
      <c r="P92" s="493"/>
      <c r="Q92" s="491"/>
      <c r="R92" s="492"/>
      <c r="S92" s="492"/>
      <c r="T92" s="493"/>
      <c r="U92" s="491"/>
      <c r="V92" s="492"/>
      <c r="W92" s="492"/>
      <c r="X92" s="740"/>
    </row>
    <row r="93" spans="1:26" ht="17.25" customHeight="1" thickBot="1">
      <c r="A93" s="1"/>
      <c r="B93" s="571" t="s">
        <v>80</v>
      </c>
      <c r="C93" s="572"/>
      <c r="D93" s="572"/>
      <c r="E93" s="741">
        <v>0.59722222222222221</v>
      </c>
      <c r="F93" s="742"/>
      <c r="G93" s="742"/>
      <c r="H93" s="743"/>
      <c r="I93" s="741"/>
      <c r="J93" s="742"/>
      <c r="K93" s="742"/>
      <c r="L93" s="743"/>
      <c r="M93" s="741"/>
      <c r="N93" s="742"/>
      <c r="O93" s="742"/>
      <c r="P93" s="743"/>
      <c r="Q93" s="741"/>
      <c r="R93" s="742"/>
      <c r="S93" s="742"/>
      <c r="T93" s="743"/>
      <c r="U93" s="741"/>
      <c r="V93" s="742"/>
      <c r="W93" s="742"/>
      <c r="X93" s="744"/>
    </row>
    <row r="94" spans="1:26" ht="17.25" customHeight="1">
      <c r="B94" s="692" t="s">
        <v>81</v>
      </c>
      <c r="C94" s="693"/>
      <c r="D94" s="694"/>
      <c r="E94" s="729" t="s">
        <v>41</v>
      </c>
      <c r="F94" s="730"/>
      <c r="G94" s="730"/>
      <c r="H94" s="731"/>
      <c r="I94" s="733"/>
      <c r="J94" s="733"/>
      <c r="K94" s="733"/>
      <c r="L94" s="733"/>
      <c r="M94" s="729"/>
      <c r="N94" s="730"/>
      <c r="O94" s="730"/>
      <c r="P94" s="731"/>
      <c r="Q94" s="733"/>
      <c r="R94" s="733"/>
      <c r="S94" s="733"/>
      <c r="T94" s="733"/>
      <c r="U94" s="554"/>
      <c r="V94" s="554"/>
      <c r="W94" s="554"/>
      <c r="X94" s="555"/>
    </row>
    <row r="95" spans="1:26" ht="17.45" thickBot="1">
      <c r="B95" s="695"/>
      <c r="C95" s="696"/>
      <c r="D95" s="697"/>
      <c r="E95" s="734"/>
      <c r="F95" s="735"/>
      <c r="G95" s="735"/>
      <c r="H95" s="736"/>
      <c r="I95" s="737"/>
      <c r="J95" s="737"/>
      <c r="K95" s="737"/>
      <c r="L95" s="737"/>
      <c r="M95" s="734"/>
      <c r="N95" s="735"/>
      <c r="O95" s="735"/>
      <c r="P95" s="736"/>
      <c r="Q95" s="737"/>
      <c r="R95" s="737"/>
      <c r="S95" s="737"/>
      <c r="T95" s="737"/>
      <c r="U95" s="738"/>
      <c r="V95" s="738"/>
      <c r="W95" s="738"/>
      <c r="X95" s="739"/>
      <c r="Z95" s="238"/>
    </row>
    <row r="96" spans="1:26" ht="16.899999999999999" customHeight="1">
      <c r="B96" s="548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50"/>
    </row>
    <row r="97" spans="1:27" ht="17.25" customHeight="1">
      <c r="A97" s="1"/>
      <c r="B97" s="576" t="s">
        <v>11</v>
      </c>
      <c r="C97" s="513"/>
      <c r="D97" s="513"/>
      <c r="E97" s="488"/>
      <c r="F97" s="489"/>
      <c r="G97" s="489"/>
      <c r="H97" s="490"/>
      <c r="I97" s="488"/>
      <c r="J97" s="489"/>
      <c r="K97" s="489"/>
      <c r="L97" s="490"/>
      <c r="M97" s="488"/>
      <c r="N97" s="489"/>
      <c r="O97" s="489"/>
      <c r="P97" s="490"/>
      <c r="Q97" s="488"/>
      <c r="R97" s="489"/>
      <c r="S97" s="489"/>
      <c r="T97" s="490"/>
      <c r="U97" s="488"/>
      <c r="V97" s="489"/>
      <c r="W97" s="489"/>
      <c r="X97" s="751"/>
      <c r="Y97" s="6"/>
    </row>
    <row r="98" spans="1:27" ht="17.25" customHeight="1">
      <c r="A98" s="1"/>
      <c r="B98" s="576" t="s">
        <v>12</v>
      </c>
      <c r="C98" s="513"/>
      <c r="D98" s="513"/>
      <c r="E98" s="488"/>
      <c r="F98" s="489"/>
      <c r="G98" s="489"/>
      <c r="H98" s="490"/>
      <c r="I98" s="488"/>
      <c r="J98" s="489"/>
      <c r="K98" s="489"/>
      <c r="L98" s="490"/>
      <c r="M98" s="488"/>
      <c r="N98" s="489"/>
      <c r="O98" s="489"/>
      <c r="P98" s="490"/>
      <c r="Q98" s="488"/>
      <c r="R98" s="489"/>
      <c r="S98" s="489"/>
      <c r="T98" s="490"/>
      <c r="U98" s="488"/>
      <c r="V98" s="489"/>
      <c r="W98" s="489"/>
      <c r="X98" s="751"/>
    </row>
    <row r="99" spans="1:27" ht="17.25" customHeight="1">
      <c r="A99" s="1"/>
      <c r="B99" s="576" t="s">
        <v>10</v>
      </c>
      <c r="C99" s="513"/>
      <c r="D99" s="513"/>
      <c r="E99" s="540"/>
      <c r="F99" s="541"/>
      <c r="G99" s="541"/>
      <c r="H99" s="542"/>
      <c r="I99" s="541"/>
      <c r="J99" s="541"/>
      <c r="K99" s="541"/>
      <c r="L99" s="542"/>
      <c r="M99" s="540"/>
      <c r="N99" s="541"/>
      <c r="O99" s="541"/>
      <c r="P99" s="542"/>
      <c r="Q99" s="540"/>
      <c r="R99" s="541"/>
      <c r="S99" s="541"/>
      <c r="T99" s="542"/>
      <c r="U99" s="540"/>
      <c r="V99" s="541"/>
      <c r="W99" s="541"/>
      <c r="X99" s="752"/>
    </row>
    <row r="100" spans="1:27" ht="17.25" customHeight="1">
      <c r="A100" s="1"/>
      <c r="B100" s="726" t="s">
        <v>64</v>
      </c>
      <c r="C100" s="727"/>
      <c r="D100" s="728"/>
      <c r="E100" s="488"/>
      <c r="F100" s="489"/>
      <c r="G100" s="489"/>
      <c r="H100" s="490"/>
      <c r="I100" s="489"/>
      <c r="J100" s="489"/>
      <c r="K100" s="489"/>
      <c r="L100" s="490"/>
      <c r="M100" s="488"/>
      <c r="N100" s="489"/>
      <c r="O100" s="489"/>
      <c r="P100" s="490"/>
      <c r="Q100" s="488"/>
      <c r="R100" s="489"/>
      <c r="S100" s="489"/>
      <c r="T100" s="490"/>
      <c r="U100" s="488"/>
      <c r="V100" s="489"/>
      <c r="W100" s="489"/>
      <c r="X100" s="751"/>
      <c r="Y100" s="7"/>
    </row>
    <row r="101" spans="1:27" ht="17.25" customHeight="1">
      <c r="A101" s="1"/>
      <c r="B101" s="718" t="s">
        <v>68</v>
      </c>
      <c r="C101" s="719"/>
      <c r="D101" s="720"/>
      <c r="E101" s="745"/>
      <c r="F101" s="746"/>
      <c r="G101" s="746"/>
      <c r="H101" s="747"/>
      <c r="I101" s="489"/>
      <c r="J101" s="489"/>
      <c r="K101" s="489"/>
      <c r="L101" s="490"/>
      <c r="M101" s="488"/>
      <c r="N101" s="489"/>
      <c r="O101" s="489"/>
      <c r="P101" s="490"/>
      <c r="Q101" s="488"/>
      <c r="R101" s="489"/>
      <c r="S101" s="489"/>
      <c r="T101" s="490"/>
      <c r="U101" s="488"/>
      <c r="V101" s="489"/>
      <c r="W101" s="489"/>
      <c r="X101" s="751"/>
      <c r="Y101" s="9"/>
    </row>
    <row r="102" spans="1:27" ht="17.25" customHeight="1">
      <c r="A102" s="1"/>
      <c r="B102" s="718" t="s">
        <v>74</v>
      </c>
      <c r="C102" s="719"/>
      <c r="D102" s="720"/>
      <c r="E102" s="748"/>
      <c r="F102" s="749"/>
      <c r="G102" s="749"/>
      <c r="H102" s="750"/>
      <c r="I102" s="653"/>
      <c r="J102" s="653"/>
      <c r="K102" s="653"/>
      <c r="L102" s="654"/>
      <c r="M102" s="652"/>
      <c r="N102" s="653"/>
      <c r="O102" s="653"/>
      <c r="P102" s="654"/>
      <c r="Q102" s="652"/>
      <c r="R102" s="653"/>
      <c r="S102" s="653"/>
      <c r="T102" s="654"/>
      <c r="U102" s="652"/>
      <c r="V102" s="653"/>
      <c r="W102" s="653"/>
      <c r="X102" s="721"/>
      <c r="Y102" s="9"/>
    </row>
    <row r="103" spans="1:27" ht="17.25" customHeight="1">
      <c r="A103" s="1"/>
      <c r="B103" s="576" t="s">
        <v>15</v>
      </c>
      <c r="C103" s="513"/>
      <c r="D103" s="513"/>
      <c r="E103" s="491"/>
      <c r="F103" s="492"/>
      <c r="G103" s="492"/>
      <c r="H103" s="493"/>
      <c r="I103" s="492"/>
      <c r="J103" s="492"/>
      <c r="K103" s="492"/>
      <c r="L103" s="493"/>
      <c r="M103" s="491"/>
      <c r="N103" s="492"/>
      <c r="O103" s="492"/>
      <c r="P103" s="493"/>
      <c r="Q103" s="491"/>
      <c r="R103" s="492"/>
      <c r="S103" s="492"/>
      <c r="T103" s="493"/>
      <c r="U103" s="491"/>
      <c r="V103" s="492"/>
      <c r="W103" s="492"/>
      <c r="X103" s="740"/>
    </row>
    <row r="104" spans="1:27" ht="17.25" customHeight="1" thickBot="1">
      <c r="A104" s="1"/>
      <c r="B104" s="571" t="s">
        <v>80</v>
      </c>
      <c r="C104" s="572"/>
      <c r="D104" s="572"/>
      <c r="E104" s="741"/>
      <c r="F104" s="742"/>
      <c r="G104" s="742"/>
      <c r="H104" s="743"/>
      <c r="I104" s="742"/>
      <c r="J104" s="742"/>
      <c r="K104" s="742"/>
      <c r="L104" s="743"/>
      <c r="M104" s="741"/>
      <c r="N104" s="742"/>
      <c r="O104" s="742"/>
      <c r="P104" s="743"/>
      <c r="Q104" s="741"/>
      <c r="R104" s="742"/>
      <c r="S104" s="742"/>
      <c r="T104" s="743"/>
      <c r="U104" s="741"/>
      <c r="V104" s="742"/>
      <c r="W104" s="742"/>
      <c r="X104" s="744"/>
    </row>
    <row r="105" spans="1:27" ht="17.25" customHeight="1">
      <c r="B105" s="692" t="s">
        <v>81</v>
      </c>
      <c r="C105" s="693"/>
      <c r="D105" s="694"/>
      <c r="E105" s="729"/>
      <c r="F105" s="730"/>
      <c r="G105" s="730"/>
      <c r="H105" s="731"/>
      <c r="I105" s="732"/>
      <c r="J105" s="732"/>
      <c r="K105" s="732"/>
      <c r="L105" s="732"/>
      <c r="M105" s="729"/>
      <c r="N105" s="730"/>
      <c r="O105" s="730"/>
      <c r="P105" s="731"/>
      <c r="Q105" s="733"/>
      <c r="R105" s="733"/>
      <c r="S105" s="733"/>
      <c r="T105" s="733"/>
      <c r="U105" s="554"/>
      <c r="V105" s="554"/>
      <c r="W105" s="554"/>
      <c r="X105" s="555"/>
    </row>
    <row r="106" spans="1:27" ht="17.45" thickBot="1">
      <c r="B106" s="695"/>
      <c r="C106" s="696"/>
      <c r="D106" s="697"/>
      <c r="E106" s="734"/>
      <c r="F106" s="735"/>
      <c r="G106" s="735"/>
      <c r="H106" s="736"/>
      <c r="I106" s="737"/>
      <c r="J106" s="737"/>
      <c r="K106" s="737"/>
      <c r="L106" s="737"/>
      <c r="M106" s="734"/>
      <c r="N106" s="735"/>
      <c r="O106" s="735"/>
      <c r="P106" s="736"/>
      <c r="Q106" s="737"/>
      <c r="R106" s="737"/>
      <c r="S106" s="737"/>
      <c r="T106" s="737"/>
      <c r="U106" s="738"/>
      <c r="V106" s="738"/>
      <c r="W106" s="738"/>
      <c r="X106" s="739"/>
      <c r="Z106" s="238"/>
    </row>
    <row r="109" spans="1:27" ht="55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7" s="6" customFormat="1">
      <c r="A110" s="4"/>
      <c r="B110" s="68" t="s">
        <v>3</v>
      </c>
      <c r="C110" s="68"/>
      <c r="D110" s="68"/>
      <c r="E110" s="68"/>
      <c r="F110" s="543" t="s">
        <v>4</v>
      </c>
      <c r="G110" s="543"/>
      <c r="H110" s="543"/>
      <c r="I110" s="5"/>
      <c r="J110" s="67" t="s">
        <v>5</v>
      </c>
      <c r="K110" s="67"/>
      <c r="L110" s="67"/>
      <c r="M110" s="67"/>
      <c r="N110" s="544" t="s">
        <v>6</v>
      </c>
      <c r="O110" s="790"/>
      <c r="P110" s="791"/>
      <c r="S110" s="547" t="s">
        <v>10</v>
      </c>
      <c r="T110" s="547"/>
      <c r="U110" s="792" t="s">
        <v>104</v>
      </c>
      <c r="V110" s="543"/>
      <c r="W110" s="543"/>
      <c r="X110" s="543"/>
      <c r="Y110" s="196"/>
    </row>
    <row r="111" spans="1:27" s="6" customFormat="1" ht="17.45" thickBot="1">
      <c r="A111" s="4"/>
      <c r="B111" s="166"/>
      <c r="C111" s="166"/>
      <c r="D111" s="166"/>
      <c r="E111" s="166"/>
      <c r="F111" s="31"/>
      <c r="G111" s="31"/>
      <c r="H111" s="31"/>
      <c r="I111" s="168"/>
      <c r="J111" s="167"/>
      <c r="K111" s="167"/>
      <c r="L111" s="167"/>
      <c r="M111" s="167"/>
      <c r="N111" s="31"/>
      <c r="O111" s="31"/>
      <c r="P111" s="31"/>
      <c r="Q111" s="31"/>
      <c r="R111" s="31"/>
      <c r="S111" s="31"/>
      <c r="T111" s="31"/>
      <c r="U111" s="31"/>
      <c r="V111" s="4"/>
      <c r="W111" s="4"/>
      <c r="X111" s="4"/>
    </row>
    <row r="112" spans="1:27" ht="15" customHeight="1">
      <c r="A112" s="1"/>
      <c r="B112" s="548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50"/>
      <c r="Y112" s="6"/>
      <c r="Z112" s="6"/>
      <c r="AA112" s="6"/>
    </row>
    <row r="113" spans="1:26" ht="17.25" customHeight="1">
      <c r="A113" s="1"/>
      <c r="B113" s="576" t="s">
        <v>11</v>
      </c>
      <c r="C113" s="513"/>
      <c r="D113" s="513"/>
      <c r="E113" s="488" t="s">
        <v>60</v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90"/>
      <c r="Q113" s="488" t="s">
        <v>120</v>
      </c>
      <c r="R113" s="489"/>
      <c r="S113" s="489"/>
      <c r="T113" s="489"/>
      <c r="U113" s="489"/>
      <c r="V113" s="489"/>
      <c r="W113" s="489"/>
      <c r="X113" s="751"/>
      <c r="Y113" s="227"/>
    </row>
    <row r="114" spans="1:26" ht="17.25" customHeight="1">
      <c r="A114" s="1"/>
      <c r="B114" s="576" t="s">
        <v>12</v>
      </c>
      <c r="C114" s="513"/>
      <c r="D114" s="513"/>
      <c r="E114" s="488" t="s">
        <v>121</v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90"/>
      <c r="Q114" s="488" t="s">
        <v>121</v>
      </c>
      <c r="R114" s="489"/>
      <c r="S114" s="489"/>
      <c r="T114" s="489"/>
      <c r="U114" s="489"/>
      <c r="V114" s="489"/>
      <c r="W114" s="489"/>
      <c r="X114" s="751"/>
      <c r="Y114" s="228"/>
    </row>
    <row r="115" spans="1:26" ht="17.25" customHeight="1">
      <c r="A115" s="1"/>
      <c r="B115" s="576" t="s">
        <v>10</v>
      </c>
      <c r="C115" s="513"/>
      <c r="D115" s="513"/>
      <c r="E115" s="540">
        <v>46082</v>
      </c>
      <c r="F115" s="541"/>
      <c r="G115" s="541"/>
      <c r="H115" s="541"/>
      <c r="I115" s="541"/>
      <c r="J115" s="541"/>
      <c r="K115" s="541"/>
      <c r="L115" s="541"/>
      <c r="M115" s="541"/>
      <c r="N115" s="541"/>
      <c r="O115" s="541"/>
      <c r="P115" s="542"/>
      <c r="Q115" s="540">
        <v>46083</v>
      </c>
      <c r="R115" s="541"/>
      <c r="S115" s="541"/>
      <c r="T115" s="541"/>
      <c r="U115" s="541"/>
      <c r="V115" s="541"/>
      <c r="W115" s="541"/>
      <c r="X115" s="752"/>
    </row>
    <row r="116" spans="1:26" ht="17.25" customHeight="1">
      <c r="A116" s="1"/>
      <c r="B116" s="726" t="s">
        <v>64</v>
      </c>
      <c r="C116" s="727"/>
      <c r="D116" s="728"/>
      <c r="E116" s="488" t="s">
        <v>67</v>
      </c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90"/>
      <c r="Q116" s="488" t="s">
        <v>100</v>
      </c>
      <c r="R116" s="489"/>
      <c r="S116" s="489"/>
      <c r="T116" s="489"/>
      <c r="U116" s="489"/>
      <c r="V116" s="489"/>
      <c r="W116" s="489"/>
      <c r="X116" s="751"/>
      <c r="Y116" s="7"/>
    </row>
    <row r="117" spans="1:26" ht="17.25" customHeight="1">
      <c r="A117" s="1"/>
      <c r="B117" s="718" t="s">
        <v>68</v>
      </c>
      <c r="C117" s="719"/>
      <c r="D117" s="720"/>
      <c r="E117" s="488" t="s">
        <v>122</v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90"/>
      <c r="Q117" s="488" t="s">
        <v>123</v>
      </c>
      <c r="R117" s="489"/>
      <c r="S117" s="489"/>
      <c r="T117" s="489"/>
      <c r="U117" s="489"/>
      <c r="V117" s="489"/>
      <c r="W117" s="489"/>
      <c r="X117" s="751"/>
      <c r="Y117" s="9"/>
      <c r="Z117" s="263"/>
    </row>
    <row r="118" spans="1:26" ht="17.25" customHeight="1">
      <c r="A118" s="1"/>
      <c r="B118" s="718" t="s">
        <v>74</v>
      </c>
      <c r="C118" s="719"/>
      <c r="D118" s="720"/>
      <c r="E118" s="488" t="s">
        <v>124</v>
      </c>
      <c r="F118" s="489"/>
      <c r="G118" s="489"/>
      <c r="H118" s="489"/>
      <c r="I118" s="489"/>
      <c r="J118" s="489"/>
      <c r="K118" s="489"/>
      <c r="L118" s="489"/>
      <c r="M118" s="489"/>
      <c r="N118" s="489"/>
      <c r="O118" s="489"/>
      <c r="P118" s="490"/>
      <c r="Q118" s="488" t="s">
        <v>125</v>
      </c>
      <c r="R118" s="489"/>
      <c r="S118" s="489"/>
      <c r="T118" s="490"/>
      <c r="U118" s="799" t="s">
        <v>126</v>
      </c>
      <c r="V118" s="800"/>
      <c r="W118" s="800"/>
      <c r="X118" s="801"/>
      <c r="Y118" s="9"/>
    </row>
    <row r="119" spans="1:26" ht="17.25" customHeight="1">
      <c r="A119" s="1"/>
      <c r="B119" s="576" t="s">
        <v>15</v>
      </c>
      <c r="C119" s="513"/>
      <c r="D119" s="513"/>
      <c r="E119" s="491">
        <v>0.89236111111111116</v>
      </c>
      <c r="F119" s="492"/>
      <c r="G119" s="492"/>
      <c r="H119" s="492"/>
      <c r="I119" s="492"/>
      <c r="J119" s="492"/>
      <c r="K119" s="492"/>
      <c r="L119" s="492"/>
      <c r="M119" s="492"/>
      <c r="N119" s="492"/>
      <c r="O119" s="492"/>
      <c r="P119" s="493"/>
      <c r="Q119" s="491">
        <v>0.85763888888888884</v>
      </c>
      <c r="R119" s="492"/>
      <c r="S119" s="492"/>
      <c r="T119" s="492"/>
      <c r="U119" s="492"/>
      <c r="V119" s="492"/>
      <c r="W119" s="492"/>
      <c r="X119" s="740"/>
    </row>
    <row r="120" spans="1:26" ht="17.25" customHeight="1" thickBot="1">
      <c r="A120" s="1"/>
      <c r="B120" s="571" t="s">
        <v>80</v>
      </c>
      <c r="C120" s="572"/>
      <c r="D120" s="572"/>
      <c r="E120" s="741" t="s">
        <v>127</v>
      </c>
      <c r="F120" s="742"/>
      <c r="G120" s="742"/>
      <c r="H120" s="742"/>
      <c r="I120" s="742"/>
      <c r="J120" s="742"/>
      <c r="K120" s="742"/>
      <c r="L120" s="742"/>
      <c r="M120" s="742"/>
      <c r="N120" s="742"/>
      <c r="O120" s="742"/>
      <c r="P120" s="743"/>
      <c r="Q120" s="741" t="s">
        <v>128</v>
      </c>
      <c r="R120" s="742"/>
      <c r="S120" s="742"/>
      <c r="T120" s="742"/>
      <c r="U120" s="742"/>
      <c r="V120" s="742"/>
      <c r="W120" s="742"/>
      <c r="X120" s="744"/>
    </row>
    <row r="121" spans="1:26" ht="17.25" customHeight="1">
      <c r="B121" s="692" t="s">
        <v>81</v>
      </c>
      <c r="C121" s="693"/>
      <c r="D121" s="694"/>
      <c r="E121" s="793" t="s">
        <v>39</v>
      </c>
      <c r="F121" s="793"/>
      <c r="G121" s="793"/>
      <c r="H121" s="793"/>
      <c r="I121" s="764" t="s">
        <v>129</v>
      </c>
      <c r="J121" s="765"/>
      <c r="K121" s="765"/>
      <c r="L121" s="766"/>
      <c r="M121" s="554" t="s">
        <v>130</v>
      </c>
      <c r="N121" s="554"/>
      <c r="O121" s="554"/>
      <c r="P121" s="554"/>
      <c r="Q121" s="794" t="s">
        <v>131</v>
      </c>
      <c r="R121" s="794"/>
      <c r="S121" s="794"/>
      <c r="T121" s="794"/>
      <c r="U121" s="732" t="s">
        <v>46</v>
      </c>
      <c r="V121" s="732"/>
      <c r="W121" s="732"/>
      <c r="X121" s="795"/>
    </row>
    <row r="122" spans="1:26" ht="16.899999999999999" customHeight="1">
      <c r="B122" s="758"/>
      <c r="C122" s="759"/>
      <c r="D122" s="760"/>
      <c r="E122" s="770" t="s">
        <v>40</v>
      </c>
      <c r="F122" s="770"/>
      <c r="G122" s="770"/>
      <c r="H122" s="770"/>
      <c r="I122" s="770" t="s">
        <v>132</v>
      </c>
      <c r="J122" s="770"/>
      <c r="K122" s="770"/>
      <c r="L122" s="770"/>
      <c r="M122" s="771" t="s">
        <v>133</v>
      </c>
      <c r="N122" s="771"/>
      <c r="O122" s="771"/>
      <c r="P122" s="771"/>
      <c r="Q122" s="770" t="s">
        <v>134</v>
      </c>
      <c r="R122" s="770"/>
      <c r="S122" s="770"/>
      <c r="T122" s="770"/>
      <c r="U122" s="796" t="s">
        <v>51</v>
      </c>
      <c r="V122" s="797"/>
      <c r="W122" s="797"/>
      <c r="X122" s="798"/>
    </row>
    <row r="123" spans="1:26" ht="16.899999999999999" customHeight="1" thickBot="1">
      <c r="B123" s="695"/>
      <c r="C123" s="696"/>
      <c r="D123" s="697"/>
      <c r="E123" s="770" t="s">
        <v>42</v>
      </c>
      <c r="F123" s="770"/>
      <c r="G123" s="770"/>
      <c r="H123" s="770"/>
      <c r="I123" s="770" t="s">
        <v>135</v>
      </c>
      <c r="J123" s="770"/>
      <c r="K123" s="770"/>
      <c r="L123" s="770"/>
      <c r="M123" s="771" t="s">
        <v>136</v>
      </c>
      <c r="N123" s="771"/>
      <c r="O123" s="771"/>
      <c r="P123" s="771"/>
      <c r="Q123" s="770"/>
      <c r="R123" s="770"/>
      <c r="S123" s="770"/>
      <c r="T123" s="770"/>
      <c r="U123" s="796" t="s">
        <v>117</v>
      </c>
      <c r="V123" s="797"/>
      <c r="W123" s="797"/>
      <c r="X123" s="798"/>
    </row>
    <row r="124" spans="1:26" ht="16.899999999999999" customHeight="1">
      <c r="B124" s="548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50"/>
    </row>
    <row r="125" spans="1:26" ht="17.25" customHeight="1">
      <c r="A125" s="1"/>
      <c r="B125" s="576" t="s">
        <v>11</v>
      </c>
      <c r="C125" s="513"/>
      <c r="D125" s="513"/>
      <c r="E125" s="488" t="s">
        <v>120</v>
      </c>
      <c r="F125" s="489"/>
      <c r="G125" s="489"/>
      <c r="H125" s="489"/>
      <c r="I125" s="489"/>
      <c r="J125" s="489"/>
      <c r="K125" s="489"/>
      <c r="L125" s="490"/>
      <c r="M125" s="489" t="s">
        <v>137</v>
      </c>
      <c r="N125" s="489"/>
      <c r="O125" s="489"/>
      <c r="P125" s="490"/>
      <c r="Q125" s="488"/>
      <c r="R125" s="489"/>
      <c r="S125" s="489"/>
      <c r="T125" s="490"/>
      <c r="U125" s="488"/>
      <c r="V125" s="489"/>
      <c r="W125" s="489"/>
      <c r="X125" s="751"/>
      <c r="Y125" s="6"/>
    </row>
    <row r="126" spans="1:26" ht="17.25" customHeight="1">
      <c r="A126" s="1"/>
      <c r="B126" s="576" t="s">
        <v>12</v>
      </c>
      <c r="C126" s="513"/>
      <c r="D126" s="513"/>
      <c r="E126" s="488" t="s">
        <v>121</v>
      </c>
      <c r="F126" s="489"/>
      <c r="G126" s="489"/>
      <c r="H126" s="489"/>
      <c r="I126" s="489"/>
      <c r="J126" s="489"/>
      <c r="K126" s="489"/>
      <c r="L126" s="490"/>
      <c r="M126" s="489" t="s">
        <v>121</v>
      </c>
      <c r="N126" s="489"/>
      <c r="O126" s="489"/>
      <c r="P126" s="490"/>
      <c r="Q126" s="488"/>
      <c r="R126" s="489"/>
      <c r="S126" s="489"/>
      <c r="T126" s="490"/>
      <c r="U126" s="488"/>
      <c r="V126" s="489"/>
      <c r="W126" s="489"/>
      <c r="X126" s="751"/>
    </row>
    <row r="127" spans="1:26" ht="17.25" customHeight="1">
      <c r="A127" s="1"/>
      <c r="B127" s="576" t="s">
        <v>10</v>
      </c>
      <c r="C127" s="513"/>
      <c r="D127" s="513"/>
      <c r="E127" s="540">
        <v>46083</v>
      </c>
      <c r="F127" s="541"/>
      <c r="G127" s="541"/>
      <c r="H127" s="541"/>
      <c r="I127" s="541"/>
      <c r="J127" s="541"/>
      <c r="K127" s="541"/>
      <c r="L127" s="542"/>
      <c r="M127" s="541">
        <v>46082</v>
      </c>
      <c r="N127" s="541"/>
      <c r="O127" s="541"/>
      <c r="P127" s="542"/>
      <c r="Q127" s="540"/>
      <c r="R127" s="541"/>
      <c r="S127" s="541"/>
      <c r="T127" s="542"/>
      <c r="U127" s="540"/>
      <c r="V127" s="541"/>
      <c r="W127" s="541"/>
      <c r="X127" s="752"/>
    </row>
    <row r="128" spans="1:26" ht="17.25" customHeight="1">
      <c r="A128" s="1"/>
      <c r="B128" s="726" t="s">
        <v>64</v>
      </c>
      <c r="C128" s="727"/>
      <c r="D128" s="728"/>
      <c r="E128" s="488" t="s">
        <v>100</v>
      </c>
      <c r="F128" s="489"/>
      <c r="G128" s="489"/>
      <c r="H128" s="489"/>
      <c r="I128" s="489"/>
      <c r="J128" s="489"/>
      <c r="K128" s="489"/>
      <c r="L128" s="490"/>
      <c r="M128" s="488" t="s">
        <v>138</v>
      </c>
      <c r="N128" s="489"/>
      <c r="O128" s="489"/>
      <c r="P128" s="490"/>
      <c r="Q128" s="488"/>
      <c r="R128" s="489"/>
      <c r="S128" s="489"/>
      <c r="T128" s="490"/>
      <c r="U128" s="488"/>
      <c r="V128" s="489"/>
      <c r="W128" s="489"/>
      <c r="X128" s="751"/>
      <c r="Y128" s="7"/>
    </row>
    <row r="129" spans="1:26" ht="17.25" customHeight="1">
      <c r="A129" s="1"/>
      <c r="B129" s="718" t="s">
        <v>68</v>
      </c>
      <c r="C129" s="719"/>
      <c r="D129" s="720"/>
      <c r="E129" s="488" t="s">
        <v>123</v>
      </c>
      <c r="F129" s="489"/>
      <c r="G129" s="489"/>
      <c r="H129" s="489"/>
      <c r="I129" s="489"/>
      <c r="J129" s="489"/>
      <c r="K129" s="489"/>
      <c r="L129" s="490"/>
      <c r="M129" s="489" t="s">
        <v>139</v>
      </c>
      <c r="N129" s="489"/>
      <c r="O129" s="489"/>
      <c r="P129" s="490"/>
      <c r="Q129" s="488"/>
      <c r="R129" s="489"/>
      <c r="S129" s="489"/>
      <c r="T129" s="490"/>
      <c r="U129" s="488"/>
      <c r="V129" s="489"/>
      <c r="W129" s="489"/>
      <c r="X129" s="751"/>
      <c r="Y129" s="9"/>
    </row>
    <row r="130" spans="1:26" ht="17.25" customHeight="1">
      <c r="A130" s="1"/>
      <c r="B130" s="718" t="s">
        <v>74</v>
      </c>
      <c r="C130" s="719"/>
      <c r="D130" s="720"/>
      <c r="E130" s="652" t="s">
        <v>140</v>
      </c>
      <c r="F130" s="653"/>
      <c r="G130" s="653"/>
      <c r="H130" s="653"/>
      <c r="I130" s="653"/>
      <c r="J130" s="653"/>
      <c r="K130" s="653"/>
      <c r="L130" s="654"/>
      <c r="M130" s="653" t="s">
        <v>141</v>
      </c>
      <c r="N130" s="653"/>
      <c r="O130" s="653"/>
      <c r="P130" s="654"/>
      <c r="Q130" s="652"/>
      <c r="R130" s="653"/>
      <c r="S130" s="653"/>
      <c r="T130" s="654"/>
      <c r="U130" s="652"/>
      <c r="V130" s="653"/>
      <c r="W130" s="653"/>
      <c r="X130" s="721"/>
      <c r="Y130" s="9"/>
    </row>
    <row r="131" spans="1:26" ht="17.25" customHeight="1">
      <c r="A131" s="1"/>
      <c r="B131" s="576" t="s">
        <v>15</v>
      </c>
      <c r="C131" s="513"/>
      <c r="D131" s="513"/>
      <c r="E131" s="491">
        <v>0.85763888888888884</v>
      </c>
      <c r="F131" s="492"/>
      <c r="G131" s="492"/>
      <c r="H131" s="492"/>
      <c r="I131" s="492"/>
      <c r="J131" s="492"/>
      <c r="K131" s="492"/>
      <c r="L131" s="493"/>
      <c r="M131" s="492">
        <v>0.72916666666666663</v>
      </c>
      <c r="N131" s="492"/>
      <c r="O131" s="492"/>
      <c r="P131" s="493"/>
      <c r="Q131" s="491"/>
      <c r="R131" s="492"/>
      <c r="S131" s="492"/>
      <c r="T131" s="493"/>
      <c r="U131" s="491"/>
      <c r="V131" s="492"/>
      <c r="W131" s="492"/>
      <c r="X131" s="740"/>
    </row>
    <row r="132" spans="1:26" ht="17.25" customHeight="1" thickBot="1">
      <c r="A132" s="1"/>
      <c r="B132" s="571" t="s">
        <v>80</v>
      </c>
      <c r="C132" s="572"/>
      <c r="D132" s="572"/>
      <c r="E132" s="741" t="s">
        <v>128</v>
      </c>
      <c r="F132" s="742"/>
      <c r="G132" s="742"/>
      <c r="H132" s="742"/>
      <c r="I132" s="742"/>
      <c r="J132" s="742"/>
      <c r="K132" s="742"/>
      <c r="L132" s="743"/>
      <c r="M132" s="742" t="s">
        <v>142</v>
      </c>
      <c r="N132" s="742"/>
      <c r="O132" s="742"/>
      <c r="P132" s="743"/>
      <c r="Q132" s="741"/>
      <c r="R132" s="742"/>
      <c r="S132" s="742"/>
      <c r="T132" s="743"/>
      <c r="U132" s="741"/>
      <c r="V132" s="742"/>
      <c r="W132" s="742"/>
      <c r="X132" s="744"/>
    </row>
    <row r="133" spans="1:26" ht="17.25" customHeight="1">
      <c r="B133" s="692" t="s">
        <v>81</v>
      </c>
      <c r="C133" s="693"/>
      <c r="D133" s="694"/>
      <c r="E133" s="729" t="s">
        <v>47</v>
      </c>
      <c r="F133" s="730"/>
      <c r="G133" s="730"/>
      <c r="H133" s="731"/>
      <c r="I133" s="733" t="s">
        <v>48</v>
      </c>
      <c r="J133" s="733"/>
      <c r="K133" s="733"/>
      <c r="L133" s="733"/>
      <c r="M133" s="729" t="s">
        <v>143</v>
      </c>
      <c r="N133" s="730"/>
      <c r="O133" s="730"/>
      <c r="P133" s="731"/>
      <c r="Q133" s="733"/>
      <c r="R133" s="733"/>
      <c r="S133" s="733"/>
      <c r="T133" s="733"/>
      <c r="U133" s="554"/>
      <c r="V133" s="554"/>
      <c r="W133" s="554"/>
      <c r="X133" s="555"/>
    </row>
    <row r="134" spans="1:26" ht="17.45" thickBot="1">
      <c r="B134" s="695"/>
      <c r="C134" s="696"/>
      <c r="D134" s="697"/>
      <c r="E134" s="734" t="s">
        <v>41</v>
      </c>
      <c r="F134" s="735"/>
      <c r="G134" s="735"/>
      <c r="H134" s="736"/>
      <c r="I134" s="737" t="s">
        <v>45</v>
      </c>
      <c r="J134" s="737"/>
      <c r="K134" s="737"/>
      <c r="L134" s="737"/>
      <c r="M134" s="734" t="s">
        <v>144</v>
      </c>
      <c r="N134" s="735"/>
      <c r="O134" s="735"/>
      <c r="P134" s="736"/>
      <c r="Q134" s="737"/>
      <c r="R134" s="737"/>
      <c r="S134" s="737"/>
      <c r="T134" s="737"/>
      <c r="U134" s="738"/>
      <c r="V134" s="738"/>
      <c r="W134" s="738"/>
      <c r="X134" s="739"/>
      <c r="Z134" s="238"/>
    </row>
    <row r="135" spans="1:26" ht="16.899999999999999" customHeight="1">
      <c r="B135" s="548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50"/>
    </row>
    <row r="136" spans="1:26" ht="17.25" customHeight="1">
      <c r="A136" s="1"/>
      <c r="B136" s="576" t="s">
        <v>11</v>
      </c>
      <c r="C136" s="513"/>
      <c r="D136" s="513"/>
      <c r="E136" s="488"/>
      <c r="F136" s="489"/>
      <c r="G136" s="489"/>
      <c r="H136" s="490"/>
      <c r="I136" s="488"/>
      <c r="J136" s="489"/>
      <c r="K136" s="489"/>
      <c r="L136" s="490"/>
      <c r="M136" s="488"/>
      <c r="N136" s="489"/>
      <c r="O136" s="489"/>
      <c r="P136" s="490"/>
      <c r="Q136" s="488"/>
      <c r="R136" s="489"/>
      <c r="S136" s="489"/>
      <c r="T136" s="490"/>
      <c r="U136" s="488"/>
      <c r="V136" s="489"/>
      <c r="W136" s="489"/>
      <c r="X136" s="751"/>
      <c r="Y136" s="6"/>
    </row>
    <row r="137" spans="1:26" ht="17.25" customHeight="1">
      <c r="A137" s="1"/>
      <c r="B137" s="576" t="s">
        <v>12</v>
      </c>
      <c r="C137" s="513"/>
      <c r="D137" s="513"/>
      <c r="E137" s="488"/>
      <c r="F137" s="489"/>
      <c r="G137" s="489"/>
      <c r="H137" s="490"/>
      <c r="I137" s="488"/>
      <c r="J137" s="489"/>
      <c r="K137" s="489"/>
      <c r="L137" s="490"/>
      <c r="M137" s="488"/>
      <c r="N137" s="489"/>
      <c r="O137" s="489"/>
      <c r="P137" s="490"/>
      <c r="Q137" s="488"/>
      <c r="R137" s="489"/>
      <c r="S137" s="489"/>
      <c r="T137" s="490"/>
      <c r="U137" s="488"/>
      <c r="V137" s="489"/>
      <c r="W137" s="489"/>
      <c r="X137" s="751"/>
    </row>
    <row r="138" spans="1:26" ht="17.25" customHeight="1">
      <c r="A138" s="1"/>
      <c r="B138" s="576" t="s">
        <v>10</v>
      </c>
      <c r="C138" s="513"/>
      <c r="D138" s="513"/>
      <c r="E138" s="540"/>
      <c r="F138" s="541"/>
      <c r="G138" s="541"/>
      <c r="H138" s="542"/>
      <c r="I138" s="541"/>
      <c r="J138" s="541"/>
      <c r="K138" s="541"/>
      <c r="L138" s="542"/>
      <c r="M138" s="540"/>
      <c r="N138" s="541"/>
      <c r="O138" s="541"/>
      <c r="P138" s="542"/>
      <c r="Q138" s="540"/>
      <c r="R138" s="541"/>
      <c r="S138" s="541"/>
      <c r="T138" s="542"/>
      <c r="U138" s="540"/>
      <c r="V138" s="541"/>
      <c r="W138" s="541"/>
      <c r="X138" s="752"/>
    </row>
    <row r="139" spans="1:26" ht="17.25" customHeight="1">
      <c r="A139" s="1"/>
      <c r="B139" s="726" t="s">
        <v>64</v>
      </c>
      <c r="C139" s="727"/>
      <c r="D139" s="728"/>
      <c r="E139" s="488"/>
      <c r="F139" s="489"/>
      <c r="G139" s="489"/>
      <c r="H139" s="490"/>
      <c r="I139" s="489"/>
      <c r="J139" s="489"/>
      <c r="K139" s="489"/>
      <c r="L139" s="490"/>
      <c r="M139" s="488"/>
      <c r="N139" s="489"/>
      <c r="O139" s="489"/>
      <c r="P139" s="490"/>
      <c r="Q139" s="488"/>
      <c r="R139" s="489"/>
      <c r="S139" s="489"/>
      <c r="T139" s="490"/>
      <c r="U139" s="488"/>
      <c r="V139" s="489"/>
      <c r="W139" s="489"/>
      <c r="X139" s="751"/>
      <c r="Y139" s="7"/>
    </row>
    <row r="140" spans="1:26" ht="17.25" customHeight="1">
      <c r="A140" s="1"/>
      <c r="B140" s="718" t="s">
        <v>68</v>
      </c>
      <c r="C140" s="719"/>
      <c r="D140" s="720"/>
      <c r="E140" s="745"/>
      <c r="F140" s="746"/>
      <c r="G140" s="746"/>
      <c r="H140" s="747"/>
      <c r="I140" s="489"/>
      <c r="J140" s="489"/>
      <c r="K140" s="489"/>
      <c r="L140" s="490"/>
      <c r="M140" s="488"/>
      <c r="N140" s="489"/>
      <c r="O140" s="489"/>
      <c r="P140" s="490"/>
      <c r="Q140" s="488"/>
      <c r="R140" s="489"/>
      <c r="S140" s="489"/>
      <c r="T140" s="490"/>
      <c r="U140" s="488"/>
      <c r="V140" s="489"/>
      <c r="W140" s="489"/>
      <c r="X140" s="751"/>
      <c r="Y140" s="9"/>
    </row>
    <row r="141" spans="1:26" ht="17.25" customHeight="1">
      <c r="A141" s="1"/>
      <c r="B141" s="718" t="s">
        <v>74</v>
      </c>
      <c r="C141" s="719"/>
      <c r="D141" s="720"/>
      <c r="E141" s="748"/>
      <c r="F141" s="749"/>
      <c r="G141" s="749"/>
      <c r="H141" s="750"/>
      <c r="I141" s="653"/>
      <c r="J141" s="653"/>
      <c r="K141" s="653"/>
      <c r="L141" s="654"/>
      <c r="M141" s="652"/>
      <c r="N141" s="653"/>
      <c r="O141" s="653"/>
      <c r="P141" s="654"/>
      <c r="Q141" s="652"/>
      <c r="R141" s="653"/>
      <c r="S141" s="653"/>
      <c r="T141" s="654"/>
      <c r="U141" s="652"/>
      <c r="V141" s="653"/>
      <c r="W141" s="653"/>
      <c r="X141" s="721"/>
      <c r="Y141" s="9"/>
    </row>
    <row r="142" spans="1:26" ht="17.25" customHeight="1">
      <c r="A142" s="1"/>
      <c r="B142" s="576" t="s">
        <v>15</v>
      </c>
      <c r="C142" s="513"/>
      <c r="D142" s="513"/>
      <c r="E142" s="491"/>
      <c r="F142" s="492"/>
      <c r="G142" s="492"/>
      <c r="H142" s="493"/>
      <c r="I142" s="492"/>
      <c r="J142" s="492"/>
      <c r="K142" s="492"/>
      <c r="L142" s="493"/>
      <c r="M142" s="491"/>
      <c r="N142" s="492"/>
      <c r="O142" s="492"/>
      <c r="P142" s="493"/>
      <c r="Q142" s="491"/>
      <c r="R142" s="492"/>
      <c r="S142" s="492"/>
      <c r="T142" s="493"/>
      <c r="U142" s="491"/>
      <c r="V142" s="492"/>
      <c r="W142" s="492"/>
      <c r="X142" s="740"/>
    </row>
    <row r="143" spans="1:26" ht="17.25" customHeight="1" thickBot="1">
      <c r="A143" s="1"/>
      <c r="B143" s="571" t="s">
        <v>80</v>
      </c>
      <c r="C143" s="572"/>
      <c r="D143" s="572"/>
      <c r="E143" s="741"/>
      <c r="F143" s="742"/>
      <c r="G143" s="742"/>
      <c r="H143" s="743"/>
      <c r="I143" s="742"/>
      <c r="J143" s="742"/>
      <c r="K143" s="742"/>
      <c r="L143" s="743"/>
      <c r="M143" s="741"/>
      <c r="N143" s="742"/>
      <c r="O143" s="742"/>
      <c r="P143" s="743"/>
      <c r="Q143" s="741"/>
      <c r="R143" s="742"/>
      <c r="S143" s="742"/>
      <c r="T143" s="743"/>
      <c r="U143" s="741"/>
      <c r="V143" s="742"/>
      <c r="W143" s="742"/>
      <c r="X143" s="744"/>
    </row>
    <row r="144" spans="1:26" ht="17.25" customHeight="1">
      <c r="B144" s="692" t="s">
        <v>81</v>
      </c>
      <c r="C144" s="693"/>
      <c r="D144" s="694"/>
      <c r="E144" s="729"/>
      <c r="F144" s="730"/>
      <c r="G144" s="730"/>
      <c r="H144" s="731"/>
      <c r="I144" s="732"/>
      <c r="J144" s="732"/>
      <c r="K144" s="732"/>
      <c r="L144" s="732"/>
      <c r="M144" s="729"/>
      <c r="N144" s="730"/>
      <c r="O144" s="730"/>
      <c r="P144" s="731"/>
      <c r="Q144" s="733"/>
      <c r="R144" s="733"/>
      <c r="S144" s="733"/>
      <c r="T144" s="733"/>
      <c r="U144" s="554"/>
      <c r="V144" s="554"/>
      <c r="W144" s="554"/>
      <c r="X144" s="555"/>
    </row>
    <row r="145" spans="1:27" ht="17.45" thickBot="1">
      <c r="B145" s="695"/>
      <c r="C145" s="696"/>
      <c r="D145" s="697"/>
      <c r="E145" s="734"/>
      <c r="F145" s="735"/>
      <c r="G145" s="735"/>
      <c r="H145" s="736"/>
      <c r="I145" s="737"/>
      <c r="J145" s="737"/>
      <c r="K145" s="737"/>
      <c r="L145" s="737"/>
      <c r="M145" s="734"/>
      <c r="N145" s="735"/>
      <c r="O145" s="735"/>
      <c r="P145" s="736"/>
      <c r="Q145" s="737"/>
      <c r="R145" s="737"/>
      <c r="S145" s="737"/>
      <c r="T145" s="737"/>
      <c r="U145" s="738"/>
      <c r="V145" s="738"/>
      <c r="W145" s="738"/>
      <c r="X145" s="739"/>
      <c r="Z145" s="238"/>
    </row>
    <row r="148" spans="1:27" ht="55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7" s="6" customFormat="1">
      <c r="A149" s="4"/>
      <c r="B149" s="68" t="s">
        <v>3</v>
      </c>
      <c r="C149" s="68"/>
      <c r="D149" s="68"/>
      <c r="E149" s="68"/>
      <c r="F149" s="543" t="s">
        <v>4</v>
      </c>
      <c r="G149" s="543"/>
      <c r="H149" s="543"/>
      <c r="I149" s="5"/>
      <c r="J149" s="67" t="s">
        <v>5</v>
      </c>
      <c r="K149" s="67"/>
      <c r="L149" s="67"/>
      <c r="M149" s="67"/>
      <c r="N149" s="544" t="s">
        <v>6</v>
      </c>
      <c r="O149" s="790"/>
      <c r="P149" s="791"/>
      <c r="S149" s="547" t="s">
        <v>10</v>
      </c>
      <c r="T149" s="547"/>
      <c r="U149" s="792" t="s">
        <v>104</v>
      </c>
      <c r="V149" s="543"/>
      <c r="W149" s="543"/>
      <c r="X149" s="543"/>
      <c r="Y149" s="196"/>
    </row>
    <row r="150" spans="1:27" s="6" customFormat="1" ht="17.45" thickBot="1">
      <c r="A150" s="4"/>
      <c r="B150" s="166"/>
      <c r="C150" s="166"/>
      <c r="D150" s="166"/>
      <c r="E150" s="166"/>
      <c r="F150" s="31"/>
      <c r="G150" s="31"/>
      <c r="H150" s="31"/>
      <c r="I150" s="168"/>
      <c r="J150" s="167"/>
      <c r="K150" s="167"/>
      <c r="L150" s="167"/>
      <c r="M150" s="167"/>
      <c r="N150" s="31"/>
      <c r="O150" s="31"/>
      <c r="P150" s="31"/>
      <c r="Q150" s="31"/>
      <c r="R150" s="31"/>
      <c r="S150" s="31"/>
      <c r="T150" s="31"/>
      <c r="U150" s="31"/>
      <c r="V150" s="4"/>
      <c r="W150" s="4"/>
      <c r="X150" s="4"/>
    </row>
    <row r="151" spans="1:27" ht="15" customHeight="1">
      <c r="A151" s="1"/>
      <c r="B151" s="548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50"/>
      <c r="Y151" s="6"/>
      <c r="Z151" s="6"/>
      <c r="AA151" s="6"/>
    </row>
    <row r="152" spans="1:27" ht="17.25" customHeight="1">
      <c r="A152" s="1"/>
      <c r="B152" s="576" t="s">
        <v>11</v>
      </c>
      <c r="C152" s="513"/>
      <c r="D152" s="513"/>
      <c r="E152" s="488" t="s">
        <v>88</v>
      </c>
      <c r="F152" s="489"/>
      <c r="G152" s="489"/>
      <c r="H152" s="490"/>
      <c r="I152" s="488" t="s">
        <v>88</v>
      </c>
      <c r="J152" s="489"/>
      <c r="K152" s="489"/>
      <c r="L152" s="490"/>
      <c r="M152" s="488" t="s">
        <v>88</v>
      </c>
      <c r="N152" s="489"/>
      <c r="O152" s="489"/>
      <c r="P152" s="490"/>
      <c r="Q152" s="776" t="s">
        <v>88</v>
      </c>
      <c r="R152" s="777"/>
      <c r="S152" s="777"/>
      <c r="T152" s="778"/>
      <c r="U152" s="488" t="s">
        <v>88</v>
      </c>
      <c r="V152" s="489"/>
      <c r="W152" s="489"/>
      <c r="X152" s="489"/>
      <c r="Y152" s="227"/>
    </row>
    <row r="153" spans="1:27" ht="17.25" customHeight="1">
      <c r="A153" s="1"/>
      <c r="B153" s="576" t="s">
        <v>12</v>
      </c>
      <c r="C153" s="513"/>
      <c r="D153" s="513"/>
      <c r="E153" s="488" t="s">
        <v>85</v>
      </c>
      <c r="F153" s="489"/>
      <c r="G153" s="489"/>
      <c r="H153" s="490"/>
      <c r="I153" s="488" t="s">
        <v>60</v>
      </c>
      <c r="J153" s="489"/>
      <c r="K153" s="489"/>
      <c r="L153" s="490"/>
      <c r="M153" s="488" t="s">
        <v>105</v>
      </c>
      <c r="N153" s="489"/>
      <c r="O153" s="489"/>
      <c r="P153" s="490"/>
      <c r="Q153" s="776" t="s">
        <v>84</v>
      </c>
      <c r="R153" s="777"/>
      <c r="S153" s="777"/>
      <c r="T153" s="778"/>
      <c r="U153" s="488" t="s">
        <v>62</v>
      </c>
      <c r="V153" s="489"/>
      <c r="W153" s="489"/>
      <c r="X153" s="489"/>
      <c r="Y153" s="228"/>
    </row>
    <row r="154" spans="1:27" ht="17.25" customHeight="1">
      <c r="A154" s="1"/>
      <c r="B154" s="576" t="s">
        <v>10</v>
      </c>
      <c r="C154" s="513"/>
      <c r="D154" s="513"/>
      <c r="E154" s="540">
        <v>46091</v>
      </c>
      <c r="F154" s="541"/>
      <c r="G154" s="541"/>
      <c r="H154" s="542"/>
      <c r="I154" s="540">
        <v>46091</v>
      </c>
      <c r="J154" s="541"/>
      <c r="K154" s="541"/>
      <c r="L154" s="542"/>
      <c r="M154" s="540">
        <v>46091</v>
      </c>
      <c r="N154" s="541"/>
      <c r="O154" s="541"/>
      <c r="P154" s="542"/>
      <c r="Q154" s="787">
        <v>46091</v>
      </c>
      <c r="R154" s="788"/>
      <c r="S154" s="788"/>
      <c r="T154" s="789"/>
      <c r="U154" s="540">
        <v>46091</v>
      </c>
      <c r="V154" s="541"/>
      <c r="W154" s="541"/>
      <c r="X154" s="752"/>
    </row>
    <row r="155" spans="1:27" ht="17.25" customHeight="1">
      <c r="A155" s="1"/>
      <c r="B155" s="726" t="s">
        <v>64</v>
      </c>
      <c r="C155" s="727"/>
      <c r="D155" s="728"/>
      <c r="E155" s="488" t="s">
        <v>100</v>
      </c>
      <c r="F155" s="489"/>
      <c r="G155" s="489"/>
      <c r="H155" s="490"/>
      <c r="I155" s="488" t="s">
        <v>67</v>
      </c>
      <c r="J155" s="489"/>
      <c r="K155" s="489"/>
      <c r="L155" s="490"/>
      <c r="M155" s="488" t="s">
        <v>100</v>
      </c>
      <c r="N155" s="489"/>
      <c r="O155" s="489"/>
      <c r="P155" s="490"/>
      <c r="Q155" s="776"/>
      <c r="R155" s="777"/>
      <c r="S155" s="777"/>
      <c r="T155" s="778"/>
      <c r="U155" s="540" t="s">
        <v>100</v>
      </c>
      <c r="V155" s="541"/>
      <c r="W155" s="541"/>
      <c r="X155" s="752"/>
      <c r="Y155" s="7"/>
    </row>
    <row r="156" spans="1:27" ht="17.25" customHeight="1">
      <c r="A156" s="1"/>
      <c r="B156" s="718" t="s">
        <v>68</v>
      </c>
      <c r="C156" s="719"/>
      <c r="D156" s="720"/>
      <c r="E156" s="488" t="s">
        <v>145</v>
      </c>
      <c r="F156" s="489"/>
      <c r="G156" s="489"/>
      <c r="H156" s="490"/>
      <c r="I156" s="488" t="s">
        <v>146</v>
      </c>
      <c r="J156" s="489"/>
      <c r="K156" s="489"/>
      <c r="L156" s="490"/>
      <c r="M156" s="488" t="s">
        <v>147</v>
      </c>
      <c r="N156" s="489"/>
      <c r="O156" s="489"/>
      <c r="P156" s="490"/>
      <c r="Q156" s="776"/>
      <c r="R156" s="777"/>
      <c r="S156" s="777"/>
      <c r="T156" s="778"/>
      <c r="U156" s="779" t="s">
        <v>148</v>
      </c>
      <c r="V156" s="780"/>
      <c r="W156" s="780"/>
      <c r="X156" s="781"/>
      <c r="Y156" s="9"/>
      <c r="Z156" s="263"/>
    </row>
    <row r="157" spans="1:27" ht="17.25" customHeight="1">
      <c r="A157" s="1"/>
      <c r="B157" s="718" t="s">
        <v>74</v>
      </c>
      <c r="C157" s="719"/>
      <c r="D157" s="720"/>
      <c r="E157" s="652" t="s">
        <v>112</v>
      </c>
      <c r="F157" s="653"/>
      <c r="G157" s="653"/>
      <c r="H157" s="654"/>
      <c r="I157" s="488" t="s">
        <v>113</v>
      </c>
      <c r="J157" s="489"/>
      <c r="K157" s="489"/>
      <c r="L157" s="490"/>
      <c r="M157" s="488" t="s">
        <v>114</v>
      </c>
      <c r="N157" s="489"/>
      <c r="O157" s="489"/>
      <c r="P157" s="490"/>
      <c r="Q157" s="776" t="s">
        <v>53</v>
      </c>
      <c r="R157" s="777"/>
      <c r="S157" s="777"/>
      <c r="T157" s="778"/>
      <c r="U157" s="779" t="s">
        <v>149</v>
      </c>
      <c r="V157" s="780"/>
      <c r="W157" s="780"/>
      <c r="X157" s="781"/>
      <c r="Y157" s="9"/>
    </row>
    <row r="158" spans="1:27" ht="17.25" customHeight="1">
      <c r="A158" s="1"/>
      <c r="B158" s="576" t="s">
        <v>15</v>
      </c>
      <c r="C158" s="513"/>
      <c r="D158" s="513"/>
      <c r="E158" s="491">
        <v>0.4201388888888889</v>
      </c>
      <c r="F158" s="492"/>
      <c r="G158" s="492"/>
      <c r="H158" s="493"/>
      <c r="I158" s="492">
        <v>0.41666666666666669</v>
      </c>
      <c r="J158" s="492"/>
      <c r="K158" s="492"/>
      <c r="L158" s="492"/>
      <c r="M158" s="491">
        <v>0.37152777777777779</v>
      </c>
      <c r="N158" s="492"/>
      <c r="O158" s="492"/>
      <c r="P158" s="493"/>
      <c r="Q158" s="782"/>
      <c r="R158" s="783"/>
      <c r="S158" s="783"/>
      <c r="T158" s="784"/>
      <c r="U158" s="785">
        <v>0.39930555555555558</v>
      </c>
      <c r="V158" s="785"/>
      <c r="W158" s="785"/>
      <c r="X158" s="786"/>
    </row>
    <row r="159" spans="1:27" ht="17.25" customHeight="1" thickBot="1">
      <c r="A159" s="1"/>
      <c r="B159" s="571" t="s">
        <v>80</v>
      </c>
      <c r="C159" s="572"/>
      <c r="D159" s="572"/>
      <c r="E159" s="741">
        <v>0.56597222222222221</v>
      </c>
      <c r="F159" s="742"/>
      <c r="G159" s="742"/>
      <c r="H159" s="743"/>
      <c r="I159" s="741">
        <v>0.51736111111111116</v>
      </c>
      <c r="J159" s="742"/>
      <c r="K159" s="742"/>
      <c r="L159" s="743"/>
      <c r="M159" s="741">
        <v>0.46527777777777779</v>
      </c>
      <c r="N159" s="742"/>
      <c r="O159" s="742"/>
      <c r="P159" s="743"/>
      <c r="Q159" s="753"/>
      <c r="R159" s="754"/>
      <c r="S159" s="754"/>
      <c r="T159" s="755"/>
      <c r="U159" s="756">
        <v>0.51388888888888884</v>
      </c>
      <c r="V159" s="756"/>
      <c r="W159" s="756"/>
      <c r="X159" s="757"/>
    </row>
    <row r="160" spans="1:27" ht="17.25" customHeight="1">
      <c r="B160" s="692" t="s">
        <v>81</v>
      </c>
      <c r="C160" s="693"/>
      <c r="D160" s="694"/>
      <c r="E160" s="761" t="s">
        <v>46</v>
      </c>
      <c r="F160" s="762"/>
      <c r="G160" s="762"/>
      <c r="H160" s="763"/>
      <c r="I160" s="764" t="s">
        <v>35</v>
      </c>
      <c r="J160" s="765"/>
      <c r="K160" s="765"/>
      <c r="L160" s="766"/>
      <c r="M160" s="554" t="s">
        <v>117</v>
      </c>
      <c r="N160" s="554"/>
      <c r="O160" s="554"/>
      <c r="P160" s="554"/>
      <c r="Q160" s="767" t="s">
        <v>47</v>
      </c>
      <c r="R160" s="767"/>
      <c r="S160" s="767"/>
      <c r="T160" s="767"/>
      <c r="U160" s="768" t="s">
        <v>48</v>
      </c>
      <c r="V160" s="768"/>
      <c r="W160" s="768"/>
      <c r="X160" s="769"/>
    </row>
    <row r="161" spans="1:26" ht="16.899999999999999" customHeight="1">
      <c r="B161" s="758"/>
      <c r="C161" s="759"/>
      <c r="D161" s="760"/>
      <c r="E161" s="770" t="s">
        <v>51</v>
      </c>
      <c r="F161" s="770"/>
      <c r="G161" s="770"/>
      <c r="H161" s="770"/>
      <c r="I161" s="770"/>
      <c r="J161" s="770"/>
      <c r="K161" s="770"/>
      <c r="L161" s="770"/>
      <c r="M161" s="771"/>
      <c r="N161" s="771"/>
      <c r="O161" s="771"/>
      <c r="P161" s="771"/>
      <c r="Q161" s="772" t="s">
        <v>45</v>
      </c>
      <c r="R161" s="772"/>
      <c r="S161" s="772"/>
      <c r="T161" s="772"/>
      <c r="U161" s="773"/>
      <c r="V161" s="774"/>
      <c r="W161" s="774"/>
      <c r="X161" s="775"/>
    </row>
    <row r="162" spans="1:26" ht="16.899999999999999" customHeight="1" thickBot="1">
      <c r="B162" s="695"/>
      <c r="C162" s="696"/>
      <c r="D162" s="697"/>
      <c r="E162" s="770"/>
      <c r="F162" s="770"/>
      <c r="G162" s="770"/>
      <c r="H162" s="770"/>
      <c r="I162" s="770"/>
      <c r="J162" s="770"/>
      <c r="K162" s="770"/>
      <c r="L162" s="770"/>
      <c r="M162" s="771"/>
      <c r="N162" s="771"/>
      <c r="O162" s="771"/>
      <c r="P162" s="771"/>
      <c r="Q162" s="772"/>
      <c r="R162" s="772"/>
      <c r="S162" s="772"/>
      <c r="T162" s="772"/>
      <c r="U162" s="773"/>
      <c r="V162" s="774"/>
      <c r="W162" s="774"/>
      <c r="X162" s="775"/>
    </row>
    <row r="163" spans="1:26" ht="16.899999999999999" customHeight="1">
      <c r="B163" s="548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50"/>
    </row>
    <row r="164" spans="1:26" ht="17.25" customHeight="1">
      <c r="A164" s="1"/>
      <c r="B164" s="576" t="s">
        <v>11</v>
      </c>
      <c r="C164" s="513"/>
      <c r="D164" s="513"/>
      <c r="E164" s="488" t="s">
        <v>88</v>
      </c>
      <c r="F164" s="489"/>
      <c r="G164" s="489"/>
      <c r="H164" s="490"/>
      <c r="I164" s="488"/>
      <c r="J164" s="489"/>
      <c r="K164" s="489"/>
      <c r="L164" s="490"/>
      <c r="M164" s="488"/>
      <c r="N164" s="489"/>
      <c r="O164" s="489"/>
      <c r="P164" s="490"/>
      <c r="Q164" s="488"/>
      <c r="R164" s="489"/>
      <c r="S164" s="489"/>
      <c r="T164" s="490"/>
      <c r="U164" s="488"/>
      <c r="V164" s="489"/>
      <c r="W164" s="489"/>
      <c r="X164" s="751"/>
      <c r="Y164" s="6"/>
    </row>
    <row r="165" spans="1:26" ht="17.25" customHeight="1">
      <c r="A165" s="1"/>
      <c r="B165" s="576" t="s">
        <v>12</v>
      </c>
      <c r="C165" s="513"/>
      <c r="D165" s="513"/>
      <c r="E165" s="488" t="s">
        <v>61</v>
      </c>
      <c r="F165" s="489"/>
      <c r="G165" s="489"/>
      <c r="H165" s="490"/>
      <c r="I165" s="488"/>
      <c r="J165" s="489"/>
      <c r="K165" s="489"/>
      <c r="L165" s="490"/>
      <c r="M165" s="488"/>
      <c r="N165" s="489"/>
      <c r="O165" s="489"/>
      <c r="P165" s="490"/>
      <c r="Q165" s="488"/>
      <c r="R165" s="489"/>
      <c r="S165" s="489"/>
      <c r="T165" s="490"/>
      <c r="U165" s="488"/>
      <c r="V165" s="489"/>
      <c r="W165" s="489"/>
      <c r="X165" s="751"/>
    </row>
    <row r="166" spans="1:26" ht="17.25" customHeight="1">
      <c r="A166" s="1"/>
      <c r="B166" s="576" t="s">
        <v>10</v>
      </c>
      <c r="C166" s="513"/>
      <c r="D166" s="513"/>
      <c r="E166" s="540">
        <v>46091</v>
      </c>
      <c r="F166" s="541"/>
      <c r="G166" s="541"/>
      <c r="H166" s="542"/>
      <c r="I166" s="540"/>
      <c r="J166" s="541"/>
      <c r="K166" s="541"/>
      <c r="L166" s="542"/>
      <c r="M166" s="540"/>
      <c r="N166" s="541"/>
      <c r="O166" s="541"/>
      <c r="P166" s="542"/>
      <c r="Q166" s="540"/>
      <c r="R166" s="541"/>
      <c r="S166" s="541"/>
      <c r="T166" s="542"/>
      <c r="U166" s="540"/>
      <c r="V166" s="541"/>
      <c r="W166" s="541"/>
      <c r="X166" s="752"/>
    </row>
    <row r="167" spans="1:26" ht="17.25" customHeight="1">
      <c r="A167" s="1"/>
      <c r="B167" s="726" t="s">
        <v>64</v>
      </c>
      <c r="C167" s="727"/>
      <c r="D167" s="728"/>
      <c r="E167" s="488" t="s">
        <v>100</v>
      </c>
      <c r="F167" s="489"/>
      <c r="G167" s="489"/>
      <c r="H167" s="490"/>
      <c r="I167" s="488"/>
      <c r="J167" s="489"/>
      <c r="K167" s="489"/>
      <c r="L167" s="490"/>
      <c r="M167" s="488"/>
      <c r="N167" s="489"/>
      <c r="O167" s="489"/>
      <c r="P167" s="490"/>
      <c r="Q167" s="488"/>
      <c r="R167" s="489"/>
      <c r="S167" s="489"/>
      <c r="T167" s="490"/>
      <c r="U167" s="488"/>
      <c r="V167" s="489"/>
      <c r="W167" s="489"/>
      <c r="X167" s="751"/>
      <c r="Y167" s="7"/>
    </row>
    <row r="168" spans="1:26" ht="17.25" customHeight="1">
      <c r="A168" s="1"/>
      <c r="B168" s="718" t="s">
        <v>68</v>
      </c>
      <c r="C168" s="719"/>
      <c r="D168" s="720"/>
      <c r="E168" s="488" t="s">
        <v>150</v>
      </c>
      <c r="F168" s="489"/>
      <c r="G168" s="489"/>
      <c r="H168" s="490"/>
      <c r="I168" s="488"/>
      <c r="J168" s="489"/>
      <c r="K168" s="489"/>
      <c r="L168" s="490"/>
      <c r="M168" s="488"/>
      <c r="N168" s="489"/>
      <c r="O168" s="489"/>
      <c r="P168" s="490"/>
      <c r="Q168" s="488"/>
      <c r="R168" s="489"/>
      <c r="S168" s="489"/>
      <c r="T168" s="490"/>
      <c r="U168" s="488"/>
      <c r="V168" s="489"/>
      <c r="W168" s="489"/>
      <c r="X168" s="751"/>
      <c r="Y168" s="9"/>
    </row>
    <row r="169" spans="1:26" ht="17.25" customHeight="1">
      <c r="A169" s="1"/>
      <c r="B169" s="718" t="s">
        <v>74</v>
      </c>
      <c r="C169" s="719"/>
      <c r="D169" s="720"/>
      <c r="E169" s="652" t="s">
        <v>119</v>
      </c>
      <c r="F169" s="653"/>
      <c r="G169" s="653"/>
      <c r="H169" s="654"/>
      <c r="I169" s="488"/>
      <c r="J169" s="489"/>
      <c r="K169" s="489"/>
      <c r="L169" s="490"/>
      <c r="M169" s="652"/>
      <c r="N169" s="653"/>
      <c r="O169" s="653"/>
      <c r="P169" s="654"/>
      <c r="Q169" s="652"/>
      <c r="R169" s="653"/>
      <c r="S169" s="653"/>
      <c r="T169" s="654"/>
      <c r="U169" s="652"/>
      <c r="V169" s="653"/>
      <c r="W169" s="653"/>
      <c r="X169" s="721"/>
      <c r="Y169" s="9"/>
    </row>
    <row r="170" spans="1:26" ht="17.25" customHeight="1">
      <c r="A170" s="1"/>
      <c r="B170" s="576" t="s">
        <v>15</v>
      </c>
      <c r="C170" s="513"/>
      <c r="D170" s="513"/>
      <c r="E170" s="491">
        <v>0.35069444444444442</v>
      </c>
      <c r="F170" s="492"/>
      <c r="G170" s="492"/>
      <c r="H170" s="493"/>
      <c r="I170" s="491"/>
      <c r="J170" s="492"/>
      <c r="K170" s="492"/>
      <c r="L170" s="493"/>
      <c r="M170" s="491"/>
      <c r="N170" s="492"/>
      <c r="O170" s="492"/>
      <c r="P170" s="493"/>
      <c r="Q170" s="491"/>
      <c r="R170" s="492"/>
      <c r="S170" s="492"/>
      <c r="T170" s="493"/>
      <c r="U170" s="491"/>
      <c r="V170" s="492"/>
      <c r="W170" s="492"/>
      <c r="X170" s="740"/>
    </row>
    <row r="171" spans="1:26" ht="17.25" customHeight="1" thickBot="1">
      <c r="A171" s="1"/>
      <c r="B171" s="571" t="s">
        <v>80</v>
      </c>
      <c r="C171" s="572"/>
      <c r="D171" s="572"/>
      <c r="E171" s="741">
        <v>0.4861111111111111</v>
      </c>
      <c r="F171" s="742"/>
      <c r="G171" s="742"/>
      <c r="H171" s="743"/>
      <c r="I171" s="741"/>
      <c r="J171" s="742"/>
      <c r="K171" s="742"/>
      <c r="L171" s="743"/>
      <c r="M171" s="741"/>
      <c r="N171" s="742"/>
      <c r="O171" s="742"/>
      <c r="P171" s="743"/>
      <c r="Q171" s="741"/>
      <c r="R171" s="742"/>
      <c r="S171" s="742"/>
      <c r="T171" s="743"/>
      <c r="U171" s="741"/>
      <c r="V171" s="742"/>
      <c r="W171" s="742"/>
      <c r="X171" s="744"/>
    </row>
    <row r="172" spans="1:26" ht="17.25" customHeight="1">
      <c r="B172" s="692" t="s">
        <v>81</v>
      </c>
      <c r="C172" s="693"/>
      <c r="D172" s="694"/>
      <c r="E172" s="729" t="s">
        <v>41</v>
      </c>
      <c r="F172" s="730"/>
      <c r="G172" s="730"/>
      <c r="H172" s="731"/>
      <c r="I172" s="733"/>
      <c r="J172" s="733"/>
      <c r="K172" s="733"/>
      <c r="L172" s="733"/>
      <c r="M172" s="729"/>
      <c r="N172" s="730"/>
      <c r="O172" s="730"/>
      <c r="P172" s="731"/>
      <c r="Q172" s="733"/>
      <c r="R172" s="733"/>
      <c r="S172" s="733"/>
      <c r="T172" s="733"/>
      <c r="U172" s="554"/>
      <c r="V172" s="554"/>
      <c r="W172" s="554"/>
      <c r="X172" s="555"/>
    </row>
    <row r="173" spans="1:26" ht="17.45" thickBot="1">
      <c r="B173" s="695"/>
      <c r="C173" s="696"/>
      <c r="D173" s="697"/>
      <c r="E173" s="734"/>
      <c r="F173" s="735"/>
      <c r="G173" s="735"/>
      <c r="H173" s="736"/>
      <c r="I173" s="737"/>
      <c r="J173" s="737"/>
      <c r="K173" s="737"/>
      <c r="L173" s="737"/>
      <c r="M173" s="734"/>
      <c r="N173" s="735"/>
      <c r="O173" s="735"/>
      <c r="P173" s="736"/>
      <c r="Q173" s="737"/>
      <c r="R173" s="737"/>
      <c r="S173" s="737"/>
      <c r="T173" s="737"/>
      <c r="U173" s="738"/>
      <c r="V173" s="738"/>
      <c r="W173" s="738"/>
      <c r="X173" s="739"/>
      <c r="Z173" s="238"/>
    </row>
    <row r="174" spans="1:26" ht="16.899999999999999" customHeight="1">
      <c r="B174" s="548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50"/>
    </row>
    <row r="175" spans="1:26" ht="17.25" customHeight="1">
      <c r="A175" s="1"/>
      <c r="B175" s="576" t="s">
        <v>11</v>
      </c>
      <c r="C175" s="513"/>
      <c r="D175" s="513"/>
      <c r="E175" s="488"/>
      <c r="F175" s="489"/>
      <c r="G175" s="489"/>
      <c r="H175" s="490"/>
      <c r="I175" s="488"/>
      <c r="J175" s="489"/>
      <c r="K175" s="489"/>
      <c r="L175" s="490"/>
      <c r="M175" s="488"/>
      <c r="N175" s="489"/>
      <c r="O175" s="489"/>
      <c r="P175" s="490"/>
      <c r="Q175" s="488"/>
      <c r="R175" s="489"/>
      <c r="S175" s="489"/>
      <c r="T175" s="490"/>
      <c r="U175" s="488"/>
      <c r="V175" s="489"/>
      <c r="W175" s="489"/>
      <c r="X175" s="751"/>
      <c r="Y175" s="6"/>
    </row>
    <row r="176" spans="1:26" ht="17.25" customHeight="1">
      <c r="A176" s="1"/>
      <c r="B176" s="576" t="s">
        <v>12</v>
      </c>
      <c r="C176" s="513"/>
      <c r="D176" s="513"/>
      <c r="E176" s="488"/>
      <c r="F176" s="489"/>
      <c r="G176" s="489"/>
      <c r="H176" s="490"/>
      <c r="I176" s="488"/>
      <c r="J176" s="489"/>
      <c r="K176" s="489"/>
      <c r="L176" s="490"/>
      <c r="M176" s="488"/>
      <c r="N176" s="489"/>
      <c r="O176" s="489"/>
      <c r="P176" s="490"/>
      <c r="Q176" s="488"/>
      <c r="R176" s="489"/>
      <c r="S176" s="489"/>
      <c r="T176" s="490"/>
      <c r="U176" s="488"/>
      <c r="V176" s="489"/>
      <c r="W176" s="489"/>
      <c r="X176" s="751"/>
    </row>
    <row r="177" spans="1:26" ht="17.25" customHeight="1">
      <c r="A177" s="1"/>
      <c r="B177" s="576" t="s">
        <v>10</v>
      </c>
      <c r="C177" s="513"/>
      <c r="D177" s="513"/>
      <c r="E177" s="540"/>
      <c r="F177" s="541"/>
      <c r="G177" s="541"/>
      <c r="H177" s="542"/>
      <c r="I177" s="541"/>
      <c r="J177" s="541"/>
      <c r="K177" s="541"/>
      <c r="L177" s="542"/>
      <c r="M177" s="540"/>
      <c r="N177" s="541"/>
      <c r="O177" s="541"/>
      <c r="P177" s="542"/>
      <c r="Q177" s="540"/>
      <c r="R177" s="541"/>
      <c r="S177" s="541"/>
      <c r="T177" s="542"/>
      <c r="U177" s="540"/>
      <c r="V177" s="541"/>
      <c r="W177" s="541"/>
      <c r="X177" s="752"/>
    </row>
    <row r="178" spans="1:26" ht="17.25" customHeight="1">
      <c r="A178" s="1"/>
      <c r="B178" s="726" t="s">
        <v>64</v>
      </c>
      <c r="C178" s="727"/>
      <c r="D178" s="728"/>
      <c r="E178" s="488"/>
      <c r="F178" s="489"/>
      <c r="G178" s="489"/>
      <c r="H178" s="490"/>
      <c r="I178" s="489"/>
      <c r="J178" s="489"/>
      <c r="K178" s="489"/>
      <c r="L178" s="490"/>
      <c r="M178" s="488"/>
      <c r="N178" s="489"/>
      <c r="O178" s="489"/>
      <c r="P178" s="490"/>
      <c r="Q178" s="488"/>
      <c r="R178" s="489"/>
      <c r="S178" s="489"/>
      <c r="T178" s="490"/>
      <c r="U178" s="488"/>
      <c r="V178" s="489"/>
      <c r="W178" s="489"/>
      <c r="X178" s="751"/>
      <c r="Y178" s="7"/>
    </row>
    <row r="179" spans="1:26" ht="17.25" customHeight="1">
      <c r="A179" s="1"/>
      <c r="B179" s="718" t="s">
        <v>68</v>
      </c>
      <c r="C179" s="719"/>
      <c r="D179" s="720"/>
      <c r="E179" s="745"/>
      <c r="F179" s="746"/>
      <c r="G179" s="746"/>
      <c r="H179" s="747"/>
      <c r="I179" s="489"/>
      <c r="J179" s="489"/>
      <c r="K179" s="489"/>
      <c r="L179" s="490"/>
      <c r="M179" s="488"/>
      <c r="N179" s="489"/>
      <c r="O179" s="489"/>
      <c r="P179" s="490"/>
      <c r="Q179" s="488"/>
      <c r="R179" s="489"/>
      <c r="S179" s="489"/>
      <c r="T179" s="490"/>
      <c r="U179" s="488"/>
      <c r="V179" s="489"/>
      <c r="W179" s="489"/>
      <c r="X179" s="751"/>
      <c r="Y179" s="9"/>
    </row>
    <row r="180" spans="1:26" ht="17.25" customHeight="1">
      <c r="A180" s="1"/>
      <c r="B180" s="718" t="s">
        <v>74</v>
      </c>
      <c r="C180" s="719"/>
      <c r="D180" s="720"/>
      <c r="E180" s="748"/>
      <c r="F180" s="749"/>
      <c r="G180" s="749"/>
      <c r="H180" s="750"/>
      <c r="I180" s="653"/>
      <c r="J180" s="653"/>
      <c r="K180" s="653"/>
      <c r="L180" s="654"/>
      <c r="M180" s="652"/>
      <c r="N180" s="653"/>
      <c r="O180" s="653"/>
      <c r="P180" s="654"/>
      <c r="Q180" s="652"/>
      <c r="R180" s="653"/>
      <c r="S180" s="653"/>
      <c r="T180" s="654"/>
      <c r="U180" s="652"/>
      <c r="V180" s="653"/>
      <c r="W180" s="653"/>
      <c r="X180" s="721"/>
      <c r="Y180" s="9"/>
    </row>
    <row r="181" spans="1:26" ht="17.25" customHeight="1">
      <c r="A181" s="1"/>
      <c r="B181" s="576" t="s">
        <v>15</v>
      </c>
      <c r="C181" s="513"/>
      <c r="D181" s="513"/>
      <c r="E181" s="491"/>
      <c r="F181" s="492"/>
      <c r="G181" s="492"/>
      <c r="H181" s="493"/>
      <c r="I181" s="492"/>
      <c r="J181" s="492"/>
      <c r="K181" s="492"/>
      <c r="L181" s="493"/>
      <c r="M181" s="491"/>
      <c r="N181" s="492"/>
      <c r="O181" s="492"/>
      <c r="P181" s="493"/>
      <c r="Q181" s="491"/>
      <c r="R181" s="492"/>
      <c r="S181" s="492"/>
      <c r="T181" s="493"/>
      <c r="U181" s="491"/>
      <c r="V181" s="492"/>
      <c r="W181" s="492"/>
      <c r="X181" s="740"/>
    </row>
    <row r="182" spans="1:26" ht="17.25" customHeight="1" thickBot="1">
      <c r="A182" s="1"/>
      <c r="B182" s="571" t="s">
        <v>80</v>
      </c>
      <c r="C182" s="572"/>
      <c r="D182" s="572"/>
      <c r="E182" s="741"/>
      <c r="F182" s="742"/>
      <c r="G182" s="742"/>
      <c r="H182" s="743"/>
      <c r="I182" s="742"/>
      <c r="J182" s="742"/>
      <c r="K182" s="742"/>
      <c r="L182" s="743"/>
      <c r="M182" s="741"/>
      <c r="N182" s="742"/>
      <c r="O182" s="742"/>
      <c r="P182" s="743"/>
      <c r="Q182" s="741"/>
      <c r="R182" s="742"/>
      <c r="S182" s="742"/>
      <c r="T182" s="743"/>
      <c r="U182" s="741"/>
      <c r="V182" s="742"/>
      <c r="W182" s="742"/>
      <c r="X182" s="744"/>
    </row>
    <row r="183" spans="1:26" ht="17.25" customHeight="1">
      <c r="B183" s="692" t="s">
        <v>81</v>
      </c>
      <c r="C183" s="693"/>
      <c r="D183" s="694"/>
      <c r="E183" s="729"/>
      <c r="F183" s="730"/>
      <c r="G183" s="730"/>
      <c r="H183" s="731"/>
      <c r="I183" s="732"/>
      <c r="J183" s="732"/>
      <c r="K183" s="732"/>
      <c r="L183" s="732"/>
      <c r="M183" s="729"/>
      <c r="N183" s="730"/>
      <c r="O183" s="730"/>
      <c r="P183" s="731"/>
      <c r="Q183" s="733"/>
      <c r="R183" s="733"/>
      <c r="S183" s="733"/>
      <c r="T183" s="733"/>
      <c r="U183" s="554"/>
      <c r="V183" s="554"/>
      <c r="W183" s="554"/>
      <c r="X183" s="555"/>
    </row>
    <row r="184" spans="1:26" ht="17.45" thickBot="1">
      <c r="B184" s="695"/>
      <c r="C184" s="696"/>
      <c r="D184" s="697"/>
      <c r="E184" s="734"/>
      <c r="F184" s="735"/>
      <c r="G184" s="735"/>
      <c r="H184" s="736"/>
      <c r="I184" s="737"/>
      <c r="J184" s="737"/>
      <c r="K184" s="737"/>
      <c r="L184" s="737"/>
      <c r="M184" s="734"/>
      <c r="N184" s="735"/>
      <c r="O184" s="735"/>
      <c r="P184" s="736"/>
      <c r="Q184" s="737"/>
      <c r="R184" s="737"/>
      <c r="S184" s="737"/>
      <c r="T184" s="737"/>
      <c r="U184" s="738"/>
      <c r="V184" s="738"/>
      <c r="W184" s="738"/>
      <c r="X184" s="739"/>
      <c r="Z184" s="238"/>
    </row>
  </sheetData>
  <protectedRanges>
    <protectedRange sqref="U54:X55 U15:X16 U83:X84 U122:X123 U161:X162" name="Table_3_2_1_2"/>
    <protectedRange sqref="F47:H48 E47 F59:H60 E59 I20 N8:P9 M8 F8:H9 E8 N47:P48 M47 J47:L48 I47 N59:P60 I59:M59 J88:L89 I88 N115:P116 M115 F115:H116 E115 J166:L167 I166 J9:L9 V9:X9 F21:H21 J20:L21 N21:P21 R8:T9 Q8 I31 J31:L32 N32:P32 R32:T32 V32:X32 F32:H32 R21:T21 V21:X21" name="Range1_1_1_1_1_1_2"/>
    <protectedRange sqref="E48 F49:H49 E60 F61:H61 E51:H55 I24:L25 E63:H65 J22:L22 N10:P10 M12:P16 U27:X27 E9 F10:H10 E12:H14 M9 M48 N49:P49 M51:P55 I48 J49:L49 I51:L53 E45:X46 M63:P64 M60 N61:P61 E57:X58 I92:L93 I89 J90:L90 U94:X95 E80:H82 E86:X87 U105:X106 E97:X98 N117:P117 M119:P123 E113:X114 U133:X134 E116 F117:H117 E119:H121 M116 U144:X145 E136:X137 E125:X126 E74:X75 I170:L171 I167 J168:L168 M158:P162 U172:X173 E160:H160 E164:X165 U183:X184 E175:X176 E152:X153 M80:P84 I9 U9 E21 I21 M21 R10:T10 E6:X7 Q9 I35:L36 J33:L33 U37:X38 Q32 U32 I32 M32 E29:X30 E32 Q26:T26 Q21 E18:X19 U21" name="Table_3_2_2"/>
    <protectedRange sqref="E62:H62 I23:L23 E11:H11 E50:P50 M62:P62 I91:L91 I130:L130 M118:P118 E118:H118 I169:L169 M157:P157 M79:P79 M11:T11 I34:L34" name="Table_3_2_1_1"/>
    <protectedRange sqref="I63:L63 Q12:T12 Q51:T51 Q80:T80 Q119:T119 E131:H131 Q158:T158" name="Table_3_2_6_1_2"/>
    <protectedRange sqref="I61:L61 Q49:T49 Q78:T78 Q117:T117 E129:H129 Q156:T156" name="Table_1_1_1"/>
    <protectedRange sqref="I60:L60 Q47:T48 Q77:T77 Q115:T116 E127:H128 Q155:T155" name="Range1_1_1_1_1_1_1_1"/>
    <protectedRange sqref="I62:L62 Q50:T50 Q79:T79 Q118:T118 Q157:T157" name="Table_3_2_3_1"/>
    <protectedRange sqref="I65:L65 I26:L27 Q14:T14 Q53:T53 I184:L184 M65:P66 I94:L95 Q82:T82 I106:L106 I133:L134 Q121:T121 I145:L145 I172:L173 Q160:T160 I37:L38" name="Table_3_2_1_1_1"/>
    <protectedRange sqref="E20:H20 I8:L8 E166:H166 F155:H155 N89:P89 F89:H89 E88:H88 M88:X88 N100:P100 F100:H100 E99:H99 M99:X99 J115:L116 I115 M127:X127 N139:P139 F139:H139 E138:H138 M138:X138 E76:T76 N167:P167 F167:H167 M166:X166 N178:P178 F178:H178 E177:H177 M177:X177 E154:T154 M31:X31 E31:H31 M20:X20" name="Range1_1_1_1_1_1_2_1"/>
    <protectedRange sqref="N22:P22 M24:P25 F22:H22 E24:H25 J10:L10 I12:L13 E181:H182 E155 F156:H156 E158:L159 M89 N90:P90 M92:P93 E89 F90:H90 E92:H93 I80:L81 M100 N101:P101 M103:P104 E100 F101:H101 E103:H104 N129:P129 M131:P132 I116 J117:L117 I119:L120 M139 N140:P140 M142:P143 E139 F140:H140 E142:H143 M167 N168:P168 M170:P171 E167 F168:H168 E170:H171 M178 N179:P179 M181:P182 E178 F179:H179 N33:P33 M35:P36" name="Table_3_2_2_1"/>
    <protectedRange sqref="M23:P23 E23:H23 I11:L11 E180:H180 E157:L157 M91:P91 E91:H91 I79:L79 M102:P102 E102:H102 M130:P130 E130:H130 I118:L118 M141:P141 E141:H141 M169:P169 E169:H169 M180:P180 M34:P34" name="Table_3_2_1_1_2"/>
    <protectedRange sqref="Q63:T63 Q181:X181 I181:L181 Q92:X92 Q103:X103 I103:L103 Q131:X131 Q142:X142 I142:L142 Q170:X170 Q35:X35 E35:H35 Q24:X24" name="Table_3_2_6_1_2_1"/>
    <protectedRange sqref="Q61:T61 I156:P156 E78:P78 Q90:X90 Q101:X101 I101:L101 Q129:X129 Q140:X140 I140:L140 E79:H79 M128:P128 Q168:X168 Q179:X179 I179:L179 Q33:X33 E33:H33 Q22:X22" name="Table_1_1_1_1"/>
    <protectedRange sqref="Q59:T60 I155:P155 Q89:X89 Q100:X100 I99:L100 Q128:X128 Q139:X139 I138:L139 E77:P77 Q167:X167 Q178:X178 I177:L178" name="Range1_1_1_1_1_1_1_1_1"/>
    <protectedRange sqref="Q62:T62 Q180:X180 I180:L180 Q91:X91 Q102:X102 I102:L102 Q130:X130 Q141:X141 I141:L141 Q169:X169 Q34:X34 E34:H34 Q23:X23" name="Table_3_2_3_1_1"/>
    <protectedRange sqref="U8:X8 U47:X48 U59:X60 U76:X77 U115:X116 I127:L128 U154:X155" name="Range1_1_1_1_1_1_1_4_1"/>
    <protectedRange sqref="U10:X14 U49:X53 U61:X65 U78:X82 U117:X121 I129:L129 I131:L132 U156:X160" name="Table_3_2_1_2_2"/>
  </protectedRanges>
  <dataConsolidate/>
  <mergeCells count="838">
    <mergeCell ref="B52:D52"/>
    <mergeCell ref="U52:X52"/>
    <mergeCell ref="B53:D55"/>
    <mergeCell ref="E53:H53"/>
    <mergeCell ref="U64:X64"/>
    <mergeCell ref="B60:D60"/>
    <mergeCell ref="E60:H60"/>
    <mergeCell ref="I60:L60"/>
    <mergeCell ref="M60:P60"/>
    <mergeCell ref="Q60:T60"/>
    <mergeCell ref="U60:X60"/>
    <mergeCell ref="B62:D62"/>
    <mergeCell ref="E62:H62"/>
    <mergeCell ref="I62:L62"/>
    <mergeCell ref="Q62:T62"/>
    <mergeCell ref="U62:X62"/>
    <mergeCell ref="B63:D63"/>
    <mergeCell ref="E63:H63"/>
    <mergeCell ref="I63:L63"/>
    <mergeCell ref="M63:P63"/>
    <mergeCell ref="Q63:T63"/>
    <mergeCell ref="U63:X63"/>
    <mergeCell ref="B64:D64"/>
    <mergeCell ref="E64:H64"/>
    <mergeCell ref="M66:P66"/>
    <mergeCell ref="E65:H65"/>
    <mergeCell ref="I65:L65"/>
    <mergeCell ref="M65:P65"/>
    <mergeCell ref="B56:X56"/>
    <mergeCell ref="B57:D57"/>
    <mergeCell ref="E57:H57"/>
    <mergeCell ref="I57:L57"/>
    <mergeCell ref="M57:P57"/>
    <mergeCell ref="Q57:T57"/>
    <mergeCell ref="U57:X57"/>
    <mergeCell ref="B61:D61"/>
    <mergeCell ref="E61:H61"/>
    <mergeCell ref="I61:L61"/>
    <mergeCell ref="Q61:T61"/>
    <mergeCell ref="U61:X61"/>
    <mergeCell ref="B59:D59"/>
    <mergeCell ref="E59:H59"/>
    <mergeCell ref="I59:L59"/>
    <mergeCell ref="M59:P59"/>
    <mergeCell ref="Q59:T59"/>
    <mergeCell ref="U59:X59"/>
    <mergeCell ref="Q65:T65"/>
    <mergeCell ref="U65:X65"/>
    <mergeCell ref="I64:L64"/>
    <mergeCell ref="M64:P64"/>
    <mergeCell ref="Q64:T64"/>
    <mergeCell ref="M53:P53"/>
    <mergeCell ref="Q53:T53"/>
    <mergeCell ref="U53:X53"/>
    <mergeCell ref="E54:H54"/>
    <mergeCell ref="I54:L54"/>
    <mergeCell ref="M54:P54"/>
    <mergeCell ref="Q54:T54"/>
    <mergeCell ref="U54:X54"/>
    <mergeCell ref="I53:L53"/>
    <mergeCell ref="B58:D58"/>
    <mergeCell ref="E58:H58"/>
    <mergeCell ref="I58:L58"/>
    <mergeCell ref="M58:P58"/>
    <mergeCell ref="Q58:T58"/>
    <mergeCell ref="U58:X58"/>
    <mergeCell ref="E55:H55"/>
    <mergeCell ref="I55:L55"/>
    <mergeCell ref="M55:P55"/>
    <mergeCell ref="Q55:T55"/>
    <mergeCell ref="U55:X55"/>
    <mergeCell ref="M52:T52"/>
    <mergeCell ref="E45:H45"/>
    <mergeCell ref="I47:L47"/>
    <mergeCell ref="I48:L48"/>
    <mergeCell ref="I49:L49"/>
    <mergeCell ref="I50:L50"/>
    <mergeCell ref="I51:L51"/>
    <mergeCell ref="I52:L52"/>
    <mergeCell ref="M45:T45"/>
    <mergeCell ref="M46:T46"/>
    <mergeCell ref="M48:T48"/>
    <mergeCell ref="M49:T49"/>
    <mergeCell ref="M50:T50"/>
    <mergeCell ref="I45:L45"/>
    <mergeCell ref="B50:D50"/>
    <mergeCell ref="U50:X50"/>
    <mergeCell ref="B51:D51"/>
    <mergeCell ref="U51:X51"/>
    <mergeCell ref="B49:D49"/>
    <mergeCell ref="U49:X49"/>
    <mergeCell ref="U48:X48"/>
    <mergeCell ref="B46:D46"/>
    <mergeCell ref="U46:X46"/>
    <mergeCell ref="B48:D48"/>
    <mergeCell ref="B47:D47"/>
    <mergeCell ref="U47:X47"/>
    <mergeCell ref="M51:T51"/>
    <mergeCell ref="U42:X42"/>
    <mergeCell ref="B44:X44"/>
    <mergeCell ref="B45:D45"/>
    <mergeCell ref="U45:X45"/>
    <mergeCell ref="M47:T47"/>
    <mergeCell ref="F3:H3"/>
    <mergeCell ref="S3:T3"/>
    <mergeCell ref="B5:X5"/>
    <mergeCell ref="B6:D6"/>
    <mergeCell ref="B10:D10"/>
    <mergeCell ref="U9:X9"/>
    <mergeCell ref="U10:X10"/>
    <mergeCell ref="U8:X8"/>
    <mergeCell ref="B9:D9"/>
    <mergeCell ref="B7:D7"/>
    <mergeCell ref="B8:D8"/>
    <mergeCell ref="U11:X11"/>
    <mergeCell ref="Q16:T16"/>
    <mergeCell ref="E16:H16"/>
    <mergeCell ref="I16:L16"/>
    <mergeCell ref="I14:L14"/>
    <mergeCell ref="M14:P14"/>
    <mergeCell ref="U13:X13"/>
    <mergeCell ref="U3:X3"/>
    <mergeCell ref="U6:X6"/>
    <mergeCell ref="U7:X7"/>
    <mergeCell ref="N3:P3"/>
    <mergeCell ref="U12:X12"/>
    <mergeCell ref="U23:X23"/>
    <mergeCell ref="U16:X16"/>
    <mergeCell ref="Q14:T14"/>
    <mergeCell ref="Q15:T15"/>
    <mergeCell ref="U14:X14"/>
    <mergeCell ref="M20:P20"/>
    <mergeCell ref="M15:P15"/>
    <mergeCell ref="M18:P18"/>
    <mergeCell ref="M21:P21"/>
    <mergeCell ref="M22:P22"/>
    <mergeCell ref="M23:P23"/>
    <mergeCell ref="M16:P16"/>
    <mergeCell ref="Q11:T11"/>
    <mergeCell ref="M11:P11"/>
    <mergeCell ref="M19:P19"/>
    <mergeCell ref="M6:P6"/>
    <mergeCell ref="M7:P7"/>
    <mergeCell ref="M8:P8"/>
    <mergeCell ref="M9:P9"/>
    <mergeCell ref="M10:P10"/>
    <mergeCell ref="E6:H6"/>
    <mergeCell ref="I6:L6"/>
    <mergeCell ref="E7:H7"/>
    <mergeCell ref="I7:L7"/>
    <mergeCell ref="E8:H8"/>
    <mergeCell ref="I8:L8"/>
    <mergeCell ref="E9:H9"/>
    <mergeCell ref="I9:L9"/>
    <mergeCell ref="E10:H10"/>
    <mergeCell ref="I10:L10"/>
    <mergeCell ref="E26:H26"/>
    <mergeCell ref="I26:L26"/>
    <mergeCell ref="M26:P26"/>
    <mergeCell ref="B14:D16"/>
    <mergeCell ref="E21:H21"/>
    <mergeCell ref="I18:L18"/>
    <mergeCell ref="I19:L19"/>
    <mergeCell ref="I20:L20"/>
    <mergeCell ref="I21:L21"/>
    <mergeCell ref="B26:D27"/>
    <mergeCell ref="E27:H27"/>
    <mergeCell ref="I27:L27"/>
    <mergeCell ref="M27:P27"/>
    <mergeCell ref="I15:L15"/>
    <mergeCell ref="E24:H24"/>
    <mergeCell ref="E25:H25"/>
    <mergeCell ref="B25:D25"/>
    <mergeCell ref="I24:L24"/>
    <mergeCell ref="I25:L25"/>
    <mergeCell ref="M24:P24"/>
    <mergeCell ref="M25:P25"/>
    <mergeCell ref="B24:D24"/>
    <mergeCell ref="B18:D18"/>
    <mergeCell ref="B19:D19"/>
    <mergeCell ref="E11:H11"/>
    <mergeCell ref="I11:L11"/>
    <mergeCell ref="E12:H12"/>
    <mergeCell ref="I12:L12"/>
    <mergeCell ref="E13:H13"/>
    <mergeCell ref="I13:L13"/>
    <mergeCell ref="B12:D12"/>
    <mergeCell ref="B13:D13"/>
    <mergeCell ref="B23:D23"/>
    <mergeCell ref="B22:D22"/>
    <mergeCell ref="B21:D21"/>
    <mergeCell ref="E22:H22"/>
    <mergeCell ref="E23:H23"/>
    <mergeCell ref="I22:L22"/>
    <mergeCell ref="I23:L23"/>
    <mergeCell ref="B11:D11"/>
    <mergeCell ref="B20:D20"/>
    <mergeCell ref="B17:X17"/>
    <mergeCell ref="E18:H18"/>
    <mergeCell ref="E19:H19"/>
    <mergeCell ref="E20:H20"/>
    <mergeCell ref="U15:X15"/>
    <mergeCell ref="E15:H15"/>
    <mergeCell ref="E14:H14"/>
    <mergeCell ref="U27:X27"/>
    <mergeCell ref="Q18:T18"/>
    <mergeCell ref="Q19:T19"/>
    <mergeCell ref="Q20:T20"/>
    <mergeCell ref="Q21:T21"/>
    <mergeCell ref="Q22:T22"/>
    <mergeCell ref="Q24:T24"/>
    <mergeCell ref="Q25:T25"/>
    <mergeCell ref="U18:X18"/>
    <mergeCell ref="U19:X19"/>
    <mergeCell ref="U20:X20"/>
    <mergeCell ref="U21:X21"/>
    <mergeCell ref="U22:X22"/>
    <mergeCell ref="U24:X24"/>
    <mergeCell ref="U25:X25"/>
    <mergeCell ref="U26:X26"/>
    <mergeCell ref="Q26:T26"/>
    <mergeCell ref="Q27:T27"/>
    <mergeCell ref="Q23:T23"/>
    <mergeCell ref="N42:P42"/>
    <mergeCell ref="F71:H71"/>
    <mergeCell ref="N71:P71"/>
    <mergeCell ref="S71:T71"/>
    <mergeCell ref="U71:X71"/>
    <mergeCell ref="B73:X73"/>
    <mergeCell ref="B74:D74"/>
    <mergeCell ref="E74:H74"/>
    <mergeCell ref="I74:L74"/>
    <mergeCell ref="U74:X74"/>
    <mergeCell ref="Q74:T74"/>
    <mergeCell ref="M74:P74"/>
    <mergeCell ref="I66:L66"/>
    <mergeCell ref="B65:D66"/>
    <mergeCell ref="E46:H46"/>
    <mergeCell ref="E47:H47"/>
    <mergeCell ref="E48:H48"/>
    <mergeCell ref="E49:H49"/>
    <mergeCell ref="E50:H50"/>
    <mergeCell ref="E51:H51"/>
    <mergeCell ref="E52:H52"/>
    <mergeCell ref="I46:L46"/>
    <mergeCell ref="F42:H42"/>
    <mergeCell ref="S42:T42"/>
    <mergeCell ref="B75:D75"/>
    <mergeCell ref="E75:H75"/>
    <mergeCell ref="I75:L75"/>
    <mergeCell ref="U75:X75"/>
    <mergeCell ref="B76:D76"/>
    <mergeCell ref="E76:H76"/>
    <mergeCell ref="I76:L76"/>
    <mergeCell ref="U76:X76"/>
    <mergeCell ref="Q75:T75"/>
    <mergeCell ref="Q76:T76"/>
    <mergeCell ref="M75:P75"/>
    <mergeCell ref="M76:P76"/>
    <mergeCell ref="B77:D77"/>
    <mergeCell ref="E77:H77"/>
    <mergeCell ref="I77:L77"/>
    <mergeCell ref="U77:X77"/>
    <mergeCell ref="B78:D78"/>
    <mergeCell ref="E78:H78"/>
    <mergeCell ref="I78:L78"/>
    <mergeCell ref="U78:X78"/>
    <mergeCell ref="Q77:T77"/>
    <mergeCell ref="Q78:T78"/>
    <mergeCell ref="M77:P77"/>
    <mergeCell ref="M78:P78"/>
    <mergeCell ref="B79:D79"/>
    <mergeCell ref="E79:H79"/>
    <mergeCell ref="I79:L79"/>
    <mergeCell ref="U79:X79"/>
    <mergeCell ref="B80:D80"/>
    <mergeCell ref="E80:H80"/>
    <mergeCell ref="I80:L80"/>
    <mergeCell ref="U80:X80"/>
    <mergeCell ref="Q79:T79"/>
    <mergeCell ref="Q80:T80"/>
    <mergeCell ref="M79:P79"/>
    <mergeCell ref="M80:P80"/>
    <mergeCell ref="B81:D81"/>
    <mergeCell ref="E81:H81"/>
    <mergeCell ref="I81:L81"/>
    <mergeCell ref="U81:X81"/>
    <mergeCell ref="B82:D84"/>
    <mergeCell ref="E82:H82"/>
    <mergeCell ref="I82:L82"/>
    <mergeCell ref="M82:P82"/>
    <mergeCell ref="Q82:T82"/>
    <mergeCell ref="U82:X82"/>
    <mergeCell ref="E83:H83"/>
    <mergeCell ref="I83:L83"/>
    <mergeCell ref="M83:P83"/>
    <mergeCell ref="Q83:T83"/>
    <mergeCell ref="U83:X83"/>
    <mergeCell ref="E84:H84"/>
    <mergeCell ref="I84:L84"/>
    <mergeCell ref="M84:P84"/>
    <mergeCell ref="Q84:T84"/>
    <mergeCell ref="U84:X84"/>
    <mergeCell ref="Q81:T81"/>
    <mergeCell ref="M81:P81"/>
    <mergeCell ref="B85:X85"/>
    <mergeCell ref="B86:D86"/>
    <mergeCell ref="E86:H86"/>
    <mergeCell ref="I86:L86"/>
    <mergeCell ref="M86:P86"/>
    <mergeCell ref="Q86:T86"/>
    <mergeCell ref="U86:X86"/>
    <mergeCell ref="B87:D87"/>
    <mergeCell ref="E87:H87"/>
    <mergeCell ref="I87:L87"/>
    <mergeCell ref="M87:P87"/>
    <mergeCell ref="Q87:T87"/>
    <mergeCell ref="U87:X87"/>
    <mergeCell ref="B88:D88"/>
    <mergeCell ref="E88:H88"/>
    <mergeCell ref="I88:L88"/>
    <mergeCell ref="M88:P88"/>
    <mergeCell ref="Q88:T88"/>
    <mergeCell ref="U88:X88"/>
    <mergeCell ref="B89:D89"/>
    <mergeCell ref="E89:H89"/>
    <mergeCell ref="I89:L89"/>
    <mergeCell ref="M89:P89"/>
    <mergeCell ref="Q89:T89"/>
    <mergeCell ref="U89:X89"/>
    <mergeCell ref="B90:D90"/>
    <mergeCell ref="E90:H90"/>
    <mergeCell ref="I90:L90"/>
    <mergeCell ref="M90:P90"/>
    <mergeCell ref="Q90:T90"/>
    <mergeCell ref="U90:X90"/>
    <mergeCell ref="B91:D91"/>
    <mergeCell ref="E91:H91"/>
    <mergeCell ref="I91:L91"/>
    <mergeCell ref="M91:P91"/>
    <mergeCell ref="Q91:T91"/>
    <mergeCell ref="U91:X91"/>
    <mergeCell ref="B92:D92"/>
    <mergeCell ref="E92:H92"/>
    <mergeCell ref="I92:L92"/>
    <mergeCell ref="M92:P92"/>
    <mergeCell ref="Q92:T92"/>
    <mergeCell ref="U92:X92"/>
    <mergeCell ref="B93:D93"/>
    <mergeCell ref="E93:H93"/>
    <mergeCell ref="I93:L93"/>
    <mergeCell ref="M93:P93"/>
    <mergeCell ref="Q93:T93"/>
    <mergeCell ref="U93:X93"/>
    <mergeCell ref="B94:D95"/>
    <mergeCell ref="E94:H94"/>
    <mergeCell ref="I94:L94"/>
    <mergeCell ref="M94:P94"/>
    <mergeCell ref="Q94:T94"/>
    <mergeCell ref="U94:X94"/>
    <mergeCell ref="E95:H95"/>
    <mergeCell ref="I95:L95"/>
    <mergeCell ref="M95:P95"/>
    <mergeCell ref="Q95:T95"/>
    <mergeCell ref="U95:X95"/>
    <mergeCell ref="B96:X96"/>
    <mergeCell ref="B97:D97"/>
    <mergeCell ref="E97:H97"/>
    <mergeCell ref="I97:L97"/>
    <mergeCell ref="M97:P97"/>
    <mergeCell ref="Q97:T97"/>
    <mergeCell ref="U97:X97"/>
    <mergeCell ref="B98:D98"/>
    <mergeCell ref="E98:H98"/>
    <mergeCell ref="I98:L98"/>
    <mergeCell ref="M98:P98"/>
    <mergeCell ref="Q98:T98"/>
    <mergeCell ref="U98:X98"/>
    <mergeCell ref="B99:D99"/>
    <mergeCell ref="E99:H99"/>
    <mergeCell ref="I99:L99"/>
    <mergeCell ref="M99:P99"/>
    <mergeCell ref="Q99:T99"/>
    <mergeCell ref="U99:X99"/>
    <mergeCell ref="B100:D100"/>
    <mergeCell ref="E100:H100"/>
    <mergeCell ref="I100:L100"/>
    <mergeCell ref="M100:P100"/>
    <mergeCell ref="Q100:T100"/>
    <mergeCell ref="U100:X100"/>
    <mergeCell ref="B101:D101"/>
    <mergeCell ref="E101:H102"/>
    <mergeCell ref="I101:L101"/>
    <mergeCell ref="M101:P101"/>
    <mergeCell ref="Q101:T101"/>
    <mergeCell ref="U101:X101"/>
    <mergeCell ref="B102:D102"/>
    <mergeCell ref="I102:L102"/>
    <mergeCell ref="M102:P102"/>
    <mergeCell ref="Q102:T102"/>
    <mergeCell ref="U102:X102"/>
    <mergeCell ref="B103:D103"/>
    <mergeCell ref="E103:H103"/>
    <mergeCell ref="I103:L103"/>
    <mergeCell ref="M103:P103"/>
    <mergeCell ref="Q103:T103"/>
    <mergeCell ref="U103:X103"/>
    <mergeCell ref="B104:D104"/>
    <mergeCell ref="E104:H104"/>
    <mergeCell ref="I104:L104"/>
    <mergeCell ref="M104:P104"/>
    <mergeCell ref="Q104:T104"/>
    <mergeCell ref="U104:X104"/>
    <mergeCell ref="F110:H110"/>
    <mergeCell ref="N110:P110"/>
    <mergeCell ref="S110:T110"/>
    <mergeCell ref="U110:X110"/>
    <mergeCell ref="B112:X112"/>
    <mergeCell ref="B113:D113"/>
    <mergeCell ref="E113:P113"/>
    <mergeCell ref="Q113:X113"/>
    <mergeCell ref="B105:D106"/>
    <mergeCell ref="E105:H105"/>
    <mergeCell ref="I105:L105"/>
    <mergeCell ref="M105:P105"/>
    <mergeCell ref="Q105:T105"/>
    <mergeCell ref="U105:X105"/>
    <mergeCell ref="E106:H106"/>
    <mergeCell ref="I106:L106"/>
    <mergeCell ref="M106:P106"/>
    <mergeCell ref="Q106:T106"/>
    <mergeCell ref="U106:X106"/>
    <mergeCell ref="B114:D114"/>
    <mergeCell ref="E114:P114"/>
    <mergeCell ref="B115:D115"/>
    <mergeCell ref="E115:P115"/>
    <mergeCell ref="B116:D116"/>
    <mergeCell ref="E116:P116"/>
    <mergeCell ref="Q114:X114"/>
    <mergeCell ref="Q115:X115"/>
    <mergeCell ref="Q116:X116"/>
    <mergeCell ref="B117:D117"/>
    <mergeCell ref="E117:P117"/>
    <mergeCell ref="B118:D118"/>
    <mergeCell ref="E118:P118"/>
    <mergeCell ref="Q118:T118"/>
    <mergeCell ref="U118:X118"/>
    <mergeCell ref="B119:D119"/>
    <mergeCell ref="E119:P119"/>
    <mergeCell ref="Q117:X117"/>
    <mergeCell ref="Q119:X119"/>
    <mergeCell ref="B120:D120"/>
    <mergeCell ref="E120:P120"/>
    <mergeCell ref="B121:D123"/>
    <mergeCell ref="E121:H121"/>
    <mergeCell ref="I121:L121"/>
    <mergeCell ref="M121:P121"/>
    <mergeCell ref="Q121:T121"/>
    <mergeCell ref="U121:X121"/>
    <mergeCell ref="E122:H122"/>
    <mergeCell ref="I122:L122"/>
    <mergeCell ref="M122:P122"/>
    <mergeCell ref="Q122:T122"/>
    <mergeCell ref="U122:X122"/>
    <mergeCell ref="E123:H123"/>
    <mergeCell ref="I123:L123"/>
    <mergeCell ref="M123:P123"/>
    <mergeCell ref="Q123:T123"/>
    <mergeCell ref="U123:X123"/>
    <mergeCell ref="Q120:X120"/>
    <mergeCell ref="B124:X124"/>
    <mergeCell ref="B125:D125"/>
    <mergeCell ref="M125:P125"/>
    <mergeCell ref="Q125:T125"/>
    <mergeCell ref="U125:X125"/>
    <mergeCell ref="B126:D126"/>
    <mergeCell ref="M126:P126"/>
    <mergeCell ref="Q126:T126"/>
    <mergeCell ref="U126:X126"/>
    <mergeCell ref="E125:L125"/>
    <mergeCell ref="E126:L126"/>
    <mergeCell ref="B127:D127"/>
    <mergeCell ref="M127:P127"/>
    <mergeCell ref="Q127:T127"/>
    <mergeCell ref="U127:X127"/>
    <mergeCell ref="B128:D128"/>
    <mergeCell ref="M128:P128"/>
    <mergeCell ref="Q128:T128"/>
    <mergeCell ref="U128:X128"/>
    <mergeCell ref="E127:L127"/>
    <mergeCell ref="E128:L128"/>
    <mergeCell ref="B129:D129"/>
    <mergeCell ref="M129:P129"/>
    <mergeCell ref="Q129:T129"/>
    <mergeCell ref="U129:X129"/>
    <mergeCell ref="B130:D130"/>
    <mergeCell ref="M130:P130"/>
    <mergeCell ref="Q130:T130"/>
    <mergeCell ref="U130:X130"/>
    <mergeCell ref="E129:L129"/>
    <mergeCell ref="E130:L130"/>
    <mergeCell ref="B131:D131"/>
    <mergeCell ref="M131:P131"/>
    <mergeCell ref="Q131:T131"/>
    <mergeCell ref="U131:X131"/>
    <mergeCell ref="B132:D132"/>
    <mergeCell ref="M132:P132"/>
    <mergeCell ref="Q132:T132"/>
    <mergeCell ref="U132:X132"/>
    <mergeCell ref="E131:L131"/>
    <mergeCell ref="E132:L132"/>
    <mergeCell ref="B133:D134"/>
    <mergeCell ref="E133:H133"/>
    <mergeCell ref="I133:L133"/>
    <mergeCell ref="M133:P133"/>
    <mergeCell ref="Q133:T133"/>
    <mergeCell ref="U133:X133"/>
    <mergeCell ref="E134:H134"/>
    <mergeCell ref="I134:L134"/>
    <mergeCell ref="M134:P134"/>
    <mergeCell ref="Q134:T134"/>
    <mergeCell ref="U134:X134"/>
    <mergeCell ref="B135:X135"/>
    <mergeCell ref="B136:D136"/>
    <mergeCell ref="E136:H136"/>
    <mergeCell ref="I136:L136"/>
    <mergeCell ref="M136:P136"/>
    <mergeCell ref="Q136:T136"/>
    <mergeCell ref="U136:X136"/>
    <mergeCell ref="B137:D137"/>
    <mergeCell ref="E137:H137"/>
    <mergeCell ref="I137:L137"/>
    <mergeCell ref="M137:P137"/>
    <mergeCell ref="Q137:T137"/>
    <mergeCell ref="U137:X137"/>
    <mergeCell ref="B138:D138"/>
    <mergeCell ref="E138:H138"/>
    <mergeCell ref="I138:L138"/>
    <mergeCell ref="M138:P138"/>
    <mergeCell ref="Q138:T138"/>
    <mergeCell ref="U138:X138"/>
    <mergeCell ref="B139:D139"/>
    <mergeCell ref="E139:H139"/>
    <mergeCell ref="I139:L139"/>
    <mergeCell ref="M139:P139"/>
    <mergeCell ref="Q139:T139"/>
    <mergeCell ref="U139:X139"/>
    <mergeCell ref="B140:D140"/>
    <mergeCell ref="E140:H141"/>
    <mergeCell ref="I140:L140"/>
    <mergeCell ref="M140:P140"/>
    <mergeCell ref="Q140:T140"/>
    <mergeCell ref="U140:X140"/>
    <mergeCell ref="B141:D141"/>
    <mergeCell ref="I141:L141"/>
    <mergeCell ref="M141:P141"/>
    <mergeCell ref="Q141:T141"/>
    <mergeCell ref="U141:X141"/>
    <mergeCell ref="B142:D142"/>
    <mergeCell ref="E142:H142"/>
    <mergeCell ref="I142:L142"/>
    <mergeCell ref="M142:P142"/>
    <mergeCell ref="Q142:T142"/>
    <mergeCell ref="U142:X142"/>
    <mergeCell ref="B143:D143"/>
    <mergeCell ref="E143:H143"/>
    <mergeCell ref="I143:L143"/>
    <mergeCell ref="M143:P143"/>
    <mergeCell ref="Q143:T143"/>
    <mergeCell ref="U143:X143"/>
    <mergeCell ref="B144:D145"/>
    <mergeCell ref="E144:H144"/>
    <mergeCell ref="I144:L144"/>
    <mergeCell ref="M144:P144"/>
    <mergeCell ref="Q144:T144"/>
    <mergeCell ref="U144:X144"/>
    <mergeCell ref="E145:H145"/>
    <mergeCell ref="I145:L145"/>
    <mergeCell ref="M145:P145"/>
    <mergeCell ref="Q145:T145"/>
    <mergeCell ref="U145:X145"/>
    <mergeCell ref="F149:H149"/>
    <mergeCell ref="N149:P149"/>
    <mergeCell ref="S149:T149"/>
    <mergeCell ref="U149:X149"/>
    <mergeCell ref="B151:X151"/>
    <mergeCell ref="B152:D152"/>
    <mergeCell ref="E152:H152"/>
    <mergeCell ref="I152:L152"/>
    <mergeCell ref="M152:P152"/>
    <mergeCell ref="Q152:T152"/>
    <mergeCell ref="U152:X152"/>
    <mergeCell ref="B153:D153"/>
    <mergeCell ref="E153:H153"/>
    <mergeCell ref="I153:L153"/>
    <mergeCell ref="M153:P153"/>
    <mergeCell ref="Q153:T153"/>
    <mergeCell ref="U153:X153"/>
    <mergeCell ref="B154:D154"/>
    <mergeCell ref="E154:H154"/>
    <mergeCell ref="I154:L154"/>
    <mergeCell ref="M154:P154"/>
    <mergeCell ref="Q154:T154"/>
    <mergeCell ref="U154:X154"/>
    <mergeCell ref="B155:D155"/>
    <mergeCell ref="E155:H155"/>
    <mergeCell ref="I155:L155"/>
    <mergeCell ref="M155:P155"/>
    <mergeCell ref="Q155:T155"/>
    <mergeCell ref="U155:X155"/>
    <mergeCell ref="B156:D156"/>
    <mergeCell ref="E156:H156"/>
    <mergeCell ref="I156:L156"/>
    <mergeCell ref="M156:P156"/>
    <mergeCell ref="Q156:T156"/>
    <mergeCell ref="U156:X156"/>
    <mergeCell ref="B157:D157"/>
    <mergeCell ref="E157:H157"/>
    <mergeCell ref="I157:L157"/>
    <mergeCell ref="M157:P157"/>
    <mergeCell ref="Q157:T157"/>
    <mergeCell ref="U157:X157"/>
    <mergeCell ref="B158:D158"/>
    <mergeCell ref="E158:H158"/>
    <mergeCell ref="I158:L158"/>
    <mergeCell ref="M158:P158"/>
    <mergeCell ref="Q158:T158"/>
    <mergeCell ref="U158:X158"/>
    <mergeCell ref="B159:D159"/>
    <mergeCell ref="E159:H159"/>
    <mergeCell ref="I159:L159"/>
    <mergeCell ref="M159:P159"/>
    <mergeCell ref="Q159:T159"/>
    <mergeCell ref="U159:X159"/>
    <mergeCell ref="B160:D162"/>
    <mergeCell ref="E160:H160"/>
    <mergeCell ref="I160:L160"/>
    <mergeCell ref="M160:P160"/>
    <mergeCell ref="Q160:T160"/>
    <mergeCell ref="U160:X160"/>
    <mergeCell ref="E161:H161"/>
    <mergeCell ref="I161:L161"/>
    <mergeCell ref="M161:P161"/>
    <mergeCell ref="Q161:T161"/>
    <mergeCell ref="U161:X161"/>
    <mergeCell ref="E162:H162"/>
    <mergeCell ref="I162:L162"/>
    <mergeCell ref="M162:P162"/>
    <mergeCell ref="Q162:T162"/>
    <mergeCell ref="U162:X162"/>
    <mergeCell ref="B163:X163"/>
    <mergeCell ref="B164:D164"/>
    <mergeCell ref="E164:H164"/>
    <mergeCell ref="I164:L164"/>
    <mergeCell ref="M164:P164"/>
    <mergeCell ref="Q164:T164"/>
    <mergeCell ref="U164:X164"/>
    <mergeCell ref="B165:D165"/>
    <mergeCell ref="E165:H165"/>
    <mergeCell ref="I165:L165"/>
    <mergeCell ref="M165:P165"/>
    <mergeCell ref="Q165:T165"/>
    <mergeCell ref="U165:X165"/>
    <mergeCell ref="B166:D166"/>
    <mergeCell ref="E166:H166"/>
    <mergeCell ref="I166:L166"/>
    <mergeCell ref="M166:P166"/>
    <mergeCell ref="Q166:T166"/>
    <mergeCell ref="U166:X166"/>
    <mergeCell ref="B167:D167"/>
    <mergeCell ref="E167:H167"/>
    <mergeCell ref="I167:L167"/>
    <mergeCell ref="M167:P167"/>
    <mergeCell ref="Q167:T167"/>
    <mergeCell ref="U167:X167"/>
    <mergeCell ref="B168:D168"/>
    <mergeCell ref="E168:H168"/>
    <mergeCell ref="I168:L168"/>
    <mergeCell ref="M168:P168"/>
    <mergeCell ref="Q168:T168"/>
    <mergeCell ref="U168:X168"/>
    <mergeCell ref="B169:D169"/>
    <mergeCell ref="E169:H169"/>
    <mergeCell ref="I169:L169"/>
    <mergeCell ref="M169:P169"/>
    <mergeCell ref="Q169:T169"/>
    <mergeCell ref="U169:X169"/>
    <mergeCell ref="B170:D170"/>
    <mergeCell ref="E170:H170"/>
    <mergeCell ref="I170:L170"/>
    <mergeCell ref="M170:P170"/>
    <mergeCell ref="Q170:T170"/>
    <mergeCell ref="U170:X170"/>
    <mergeCell ref="B171:D171"/>
    <mergeCell ref="E171:H171"/>
    <mergeCell ref="I171:L171"/>
    <mergeCell ref="M171:P171"/>
    <mergeCell ref="Q171:T171"/>
    <mergeCell ref="U171:X171"/>
    <mergeCell ref="B172:D173"/>
    <mergeCell ref="E172:H172"/>
    <mergeCell ref="I172:L172"/>
    <mergeCell ref="M172:P172"/>
    <mergeCell ref="Q172:T172"/>
    <mergeCell ref="U172:X172"/>
    <mergeCell ref="E173:H173"/>
    <mergeCell ref="I173:L173"/>
    <mergeCell ref="M173:P173"/>
    <mergeCell ref="Q173:T173"/>
    <mergeCell ref="U173:X173"/>
    <mergeCell ref="B174:X174"/>
    <mergeCell ref="B175:D175"/>
    <mergeCell ref="E175:H175"/>
    <mergeCell ref="I175:L175"/>
    <mergeCell ref="M175:P175"/>
    <mergeCell ref="Q175:T175"/>
    <mergeCell ref="U175:X175"/>
    <mergeCell ref="B176:D176"/>
    <mergeCell ref="E176:H176"/>
    <mergeCell ref="I176:L176"/>
    <mergeCell ref="M176:P176"/>
    <mergeCell ref="Q176:T176"/>
    <mergeCell ref="U176:X176"/>
    <mergeCell ref="B177:D177"/>
    <mergeCell ref="E177:H177"/>
    <mergeCell ref="I177:L177"/>
    <mergeCell ref="M177:P177"/>
    <mergeCell ref="Q177:T177"/>
    <mergeCell ref="U177:X177"/>
    <mergeCell ref="B178:D178"/>
    <mergeCell ref="E178:H178"/>
    <mergeCell ref="I178:L178"/>
    <mergeCell ref="M178:P178"/>
    <mergeCell ref="Q178:T178"/>
    <mergeCell ref="U178:X178"/>
    <mergeCell ref="B179:D179"/>
    <mergeCell ref="E179:H180"/>
    <mergeCell ref="I179:L179"/>
    <mergeCell ref="M179:P179"/>
    <mergeCell ref="Q179:T179"/>
    <mergeCell ref="U179:X179"/>
    <mergeCell ref="B180:D180"/>
    <mergeCell ref="I180:L180"/>
    <mergeCell ref="M180:P180"/>
    <mergeCell ref="Q180:T180"/>
    <mergeCell ref="U180:X180"/>
    <mergeCell ref="B181:D181"/>
    <mergeCell ref="E181:H181"/>
    <mergeCell ref="I181:L181"/>
    <mergeCell ref="M181:P181"/>
    <mergeCell ref="Q181:T181"/>
    <mergeCell ref="U181:X181"/>
    <mergeCell ref="B182:D182"/>
    <mergeCell ref="E182:H182"/>
    <mergeCell ref="I182:L182"/>
    <mergeCell ref="M182:P182"/>
    <mergeCell ref="Q182:T182"/>
    <mergeCell ref="U182:X182"/>
    <mergeCell ref="B183:D184"/>
    <mergeCell ref="E183:H183"/>
    <mergeCell ref="I183:L183"/>
    <mergeCell ref="M183:P183"/>
    <mergeCell ref="Q183:T183"/>
    <mergeCell ref="U183:X183"/>
    <mergeCell ref="E184:H184"/>
    <mergeCell ref="I184:L184"/>
    <mergeCell ref="M184:P184"/>
    <mergeCell ref="Q184:T184"/>
    <mergeCell ref="U184:X184"/>
    <mergeCell ref="M12:P12"/>
    <mergeCell ref="M13:P13"/>
    <mergeCell ref="Q6:T6"/>
    <mergeCell ref="Q7:T7"/>
    <mergeCell ref="Q8:T8"/>
    <mergeCell ref="Q9:T9"/>
    <mergeCell ref="Q10:T10"/>
    <mergeCell ref="Q12:T12"/>
    <mergeCell ref="Q13:T13"/>
    <mergeCell ref="B28:X28"/>
    <mergeCell ref="B29:D29"/>
    <mergeCell ref="E29:H29"/>
    <mergeCell ref="I29:L29"/>
    <mergeCell ref="M29:P29"/>
    <mergeCell ref="Q29:T29"/>
    <mergeCell ref="U29:X29"/>
    <mergeCell ref="B30:D30"/>
    <mergeCell ref="E30:H30"/>
    <mergeCell ref="I30:L30"/>
    <mergeCell ref="M30:P30"/>
    <mergeCell ref="Q30:T30"/>
    <mergeCell ref="U30:X30"/>
    <mergeCell ref="B31:D31"/>
    <mergeCell ref="E31:H31"/>
    <mergeCell ref="I31:L31"/>
    <mergeCell ref="M31:P31"/>
    <mergeCell ref="Q31:T31"/>
    <mergeCell ref="U31:X31"/>
    <mergeCell ref="B32:D32"/>
    <mergeCell ref="E32:H32"/>
    <mergeCell ref="I32:L32"/>
    <mergeCell ref="M32:P32"/>
    <mergeCell ref="Q32:T32"/>
    <mergeCell ref="U32:X32"/>
    <mergeCell ref="B33:D33"/>
    <mergeCell ref="E33:H33"/>
    <mergeCell ref="I33:L33"/>
    <mergeCell ref="M33:P33"/>
    <mergeCell ref="Q33:T33"/>
    <mergeCell ref="U33:X33"/>
    <mergeCell ref="B34:D34"/>
    <mergeCell ref="E34:H34"/>
    <mergeCell ref="I34:L34"/>
    <mergeCell ref="M34:P34"/>
    <mergeCell ref="Q34:T34"/>
    <mergeCell ref="U34:X34"/>
    <mergeCell ref="B35:D35"/>
    <mergeCell ref="E35:H35"/>
    <mergeCell ref="I35:L35"/>
    <mergeCell ref="M35:P35"/>
    <mergeCell ref="Q35:T35"/>
    <mergeCell ref="U35:X35"/>
    <mergeCell ref="B36:D36"/>
    <mergeCell ref="E36:H36"/>
    <mergeCell ref="I36:L36"/>
    <mergeCell ref="M36:P36"/>
    <mergeCell ref="Q36:T36"/>
    <mergeCell ref="U36:X36"/>
    <mergeCell ref="B37:D38"/>
    <mergeCell ref="E37:H37"/>
    <mergeCell ref="I37:L37"/>
    <mergeCell ref="M37:P37"/>
    <mergeCell ref="Q37:T37"/>
    <mergeCell ref="U37:X37"/>
    <mergeCell ref="E38:H38"/>
    <mergeCell ref="I38:L38"/>
    <mergeCell ref="M38:P38"/>
    <mergeCell ref="Q38:T38"/>
    <mergeCell ref="U38:X38"/>
  </mergeCells>
  <phoneticPr fontId="20" type="noConversion"/>
  <pageMargins left="0.7" right="0.7" top="0.75" bottom="0.75" header="0.3" footer="0.3"/>
  <pageSetup paperSize="9" scale="1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CA8F25F-8A82-49B8-A6A1-1EDA056953B7}">
          <x14:formula1>
            <xm:f>Personel!$F$2:$F$43</xm:f>
          </x14:formula1>
          <xm:sqref>U14:X14 U16:X16 E14:T16 I184:L184 M65:P66 U82:X82 U84:X84 E82:T84 E94:X95 E105:H106 M105:X106 I106:L106 U121:X121 U123:X123 E121:T123 E133:X134 E144:H145 M144:X145 I145:L145 U160:X160 U162:X162 E160:T162 E172:X173 E183:H184 M183:X184 E37:X38 E26:X27</xm:sqref>
        </x14:dataValidation>
        <x14:dataValidation type="list" allowBlank="1" showInputMessage="1" showErrorMessage="1" xr:uid="{954E25E9-78AE-4B76-816D-2DACC2649CE1}">
          <x14:formula1>
            <xm:f>'Reference Data'!$A$2:$A$120</xm:f>
          </x14:formula1>
          <xm:sqref>N3:P3 N42:P42 N71:P71 N110:P110 N149:P149</xm:sqref>
        </x14:dataValidation>
        <x14:dataValidation type="list" allowBlank="1" showInputMessage="1" showErrorMessage="1" xr:uid="{89821844-1D8C-4C29-B568-9D2FCA90A789}">
          <x14:formula1>
            <xm:f>'Reference Data'!$Q$2:$Q$85</xm:f>
          </x14:formula1>
          <xm:sqref>I45:I46 E18:Q19 E45:E46 E29:E30 E6:M7 U6:X7 U45:X46 M45:M46 E57:X58 U86:U87 E86:Q87 E97:Q98 U74:X75 U97:U98 E113:E114 U125:U126 I74:I75 E136:Q137 M74:M75 U136:U137 E74:E75 M125:Q126 Q75 U164:U165 E164:Q165 E175:Q176 U152:X153 U175:U176 I152:I153 M152:M153 E152:E153 Q152:Q153 Q6:Q7 U29:U30 I29:Q30 U18:U19</xm:sqref>
        </x14:dataValidation>
        <x14:dataValidation type="list" allowBlank="1" showInputMessage="1" showErrorMessage="1" xr:uid="{0939FC4D-0D40-4C69-A64C-B38BEC7833C3}">
          <x14:formula1>
            <xm:f>'Reference Data'!$AJ$2:$AJ$28</xm:f>
          </x14:formula1>
          <xm:sqref>I48 U178 E48 E155:I155 M155 E167:Q167 U48:X48 M48 E60:X60 E178:Q178 U155:X155 U89 E89:Q89 E100:Q100 U77:X77 U100 E116 U128 I77 E139:Q139 M77 U139 E77 Q128 U167</xm:sqref>
        </x14:dataValidation>
        <x14:dataValidation type="list" allowBlank="1" showInputMessage="1" showErrorMessage="1" xr:uid="{FBAD605B-90C9-436B-ABCF-8A5F6B3738EC}">
          <x14:formula1>
            <xm:f>'Reference Data'!$C$2:$C$16</xm:f>
          </x14:formula1>
          <xm:sqref>F3:H3 F42:H42 F71:H71 F110:H110 F149:H149</xm:sqref>
        </x14:dataValidation>
        <x14:dataValidation type="list" allowBlank="1" showInputMessage="1" showErrorMessage="1" xr:uid="{50B745F4-947B-4D97-B4ED-6C468B8F7310}">
          <x14:formula1>
            <xm:f>Personel!$F$2:$F$66</xm:f>
          </x14:formula1>
          <xm:sqref>I66:L66 E53:X55 E65:L65 Q65:X65 I105:L105 I144:L144 I183:L183</xm:sqref>
        </x14:dataValidation>
        <x14:dataValidation type="list" allowBlank="1" showInputMessage="1" showErrorMessage="1" xr:uid="{357CBD95-BECF-4361-A72D-26F9DE564E17}">
          <x14:formula1>
            <xm:f>'Reference Data'!$AJ$2:$AJ$38</xm:f>
          </x14:formula1>
          <xm:sqref>E9:L9 U9:X9 E32:X32 E21:X21</xm:sqref>
        </x14:dataValidation>
        <x14:dataValidation type="list" allowBlank="1" showInputMessage="1" showErrorMessage="1" xr:uid="{56E53509-9773-43FA-8A2F-CECBC0AE68DA}">
          <x14:formula1>
            <xm:f>'Reference Data'!$AJ$2:$AJ$36</xm:f>
          </x14:formula1>
          <xm:sqref>M9 Q9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B9C9B-9D36-493D-BA89-C5B5D4E7D4C2}">
  <sheetPr codeName="Sheet11">
    <tabColor theme="0"/>
    <pageSetUpPr fitToPage="1"/>
  </sheetPr>
  <dimension ref="A1:AA38"/>
  <sheetViews>
    <sheetView showGridLines="0" zoomScale="90" zoomScaleNormal="90" workbookViewId="0">
      <selection activeCell="U38" sqref="A2:X38"/>
    </sheetView>
  </sheetViews>
  <sheetFormatPr defaultColWidth="4.7109375" defaultRowHeight="16.899999999999999"/>
  <cols>
    <col min="1" max="1" width="1.7109375" style="3" customWidth="1"/>
    <col min="2" max="3" width="3.7109375" style="3" customWidth="1"/>
    <col min="4" max="4" width="19" style="3" customWidth="1"/>
    <col min="5" max="12" width="6.28515625" style="3" customWidth="1"/>
    <col min="13" max="20" width="7.5703125" style="3" customWidth="1"/>
    <col min="21" max="24" width="6.28515625" style="3" customWidth="1"/>
    <col min="25" max="25" width="1.7109375" style="3" customWidth="1"/>
    <col min="26" max="30" width="4.7109375" style="3"/>
    <col min="31" max="31" width="4.7109375" style="3" customWidth="1"/>
    <col min="32" max="32" width="24.140625" style="3" bestFit="1" customWidth="1"/>
    <col min="33" max="33" width="21" style="3" customWidth="1"/>
    <col min="34" max="34" width="27.7109375" style="3" customWidth="1"/>
    <col min="35" max="35" width="16" style="3" customWidth="1"/>
    <col min="36" max="16384" width="4.7109375" style="3"/>
  </cols>
  <sheetData>
    <row r="1" spans="1:27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7" ht="55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7" s="6" customFormat="1">
      <c r="A3" s="4"/>
      <c r="B3" s="68" t="s">
        <v>3</v>
      </c>
      <c r="C3" s="68"/>
      <c r="D3" s="68"/>
      <c r="E3" s="68"/>
      <c r="F3" s="543" t="s">
        <v>4</v>
      </c>
      <c r="G3" s="543"/>
      <c r="H3" s="543"/>
      <c r="I3" s="5"/>
      <c r="J3" s="547" t="s">
        <v>5</v>
      </c>
      <c r="K3" s="547"/>
      <c r="L3" s="547"/>
      <c r="M3" s="547"/>
      <c r="N3" s="543" t="s">
        <v>21</v>
      </c>
      <c r="O3" s="543"/>
      <c r="P3" s="543"/>
      <c r="Q3" s="23"/>
      <c r="R3" s="23"/>
      <c r="S3" s="547" t="s">
        <v>10</v>
      </c>
      <c r="T3" s="547"/>
      <c r="U3" s="792" t="s">
        <v>24</v>
      </c>
      <c r="V3" s="543"/>
      <c r="W3" s="543"/>
      <c r="X3" s="543"/>
      <c r="Y3" s="57"/>
    </row>
    <row r="4" spans="1:27" s="6" customFormat="1" ht="17.45" thickBot="1">
      <c r="A4" s="4"/>
      <c r="B4" s="166"/>
      <c r="C4" s="166"/>
      <c r="D4" s="166"/>
      <c r="E4" s="166"/>
      <c r="F4" s="31"/>
      <c r="G4" s="31"/>
      <c r="H4" s="31"/>
      <c r="I4" s="168"/>
      <c r="J4" s="167"/>
      <c r="K4" s="167"/>
      <c r="L4" s="167"/>
      <c r="M4" s="167"/>
      <c r="N4" s="31"/>
      <c r="O4" s="31"/>
      <c r="P4" s="31"/>
      <c r="Q4" s="32"/>
      <c r="R4" s="32"/>
      <c r="S4" s="167"/>
      <c r="T4" s="167"/>
      <c r="U4" s="31"/>
      <c r="V4" s="31"/>
      <c r="W4" s="31"/>
      <c r="X4" s="31"/>
      <c r="Y4" s="4"/>
    </row>
    <row r="5" spans="1:27" ht="15" customHeight="1">
      <c r="A5" s="1"/>
      <c r="B5" s="548"/>
      <c r="C5" s="549"/>
      <c r="D5" s="549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49"/>
      <c r="T5" s="549"/>
      <c r="U5" s="549"/>
      <c r="V5" s="549"/>
      <c r="W5" s="549"/>
      <c r="X5" s="550"/>
      <c r="Y5" s="6"/>
      <c r="Z5" s="6"/>
      <c r="AA5" s="6"/>
    </row>
    <row r="6" spans="1:27" ht="17.25" customHeight="1">
      <c r="A6" s="1"/>
      <c r="B6" s="576" t="s">
        <v>11</v>
      </c>
      <c r="C6" s="513"/>
      <c r="D6" s="513"/>
      <c r="E6" s="652" t="s">
        <v>63</v>
      </c>
      <c r="F6" s="653"/>
      <c r="G6" s="653"/>
      <c r="H6" s="654"/>
      <c r="I6" s="652" t="s">
        <v>63</v>
      </c>
      <c r="J6" s="653"/>
      <c r="K6" s="653"/>
      <c r="L6" s="654"/>
      <c r="M6" s="652" t="s">
        <v>63</v>
      </c>
      <c r="N6" s="653"/>
      <c r="O6" s="653"/>
      <c r="P6" s="654"/>
      <c r="Q6" s="652" t="s">
        <v>63</v>
      </c>
      <c r="R6" s="653"/>
      <c r="S6" s="653"/>
      <c r="T6" s="654"/>
      <c r="U6" s="652" t="s">
        <v>63</v>
      </c>
      <c r="V6" s="653"/>
      <c r="W6" s="653"/>
      <c r="X6" s="654"/>
      <c r="Y6" s="227"/>
    </row>
    <row r="7" spans="1:27" ht="17.25" customHeight="1">
      <c r="A7" s="1"/>
      <c r="B7" s="576" t="s">
        <v>12</v>
      </c>
      <c r="C7" s="513"/>
      <c r="D7" s="513"/>
      <c r="E7" s="652" t="s">
        <v>60</v>
      </c>
      <c r="F7" s="653"/>
      <c r="G7" s="653"/>
      <c r="H7" s="654"/>
      <c r="I7" s="652" t="s">
        <v>60</v>
      </c>
      <c r="J7" s="653"/>
      <c r="K7" s="653"/>
      <c r="L7" s="654"/>
      <c r="M7" s="652" t="s">
        <v>60</v>
      </c>
      <c r="N7" s="653"/>
      <c r="O7" s="653"/>
      <c r="P7" s="654"/>
      <c r="Q7" s="652" t="s">
        <v>61</v>
      </c>
      <c r="R7" s="653"/>
      <c r="S7" s="653"/>
      <c r="T7" s="654"/>
      <c r="U7" s="652" t="s">
        <v>62</v>
      </c>
      <c r="V7" s="653"/>
      <c r="W7" s="653"/>
      <c r="X7" s="653"/>
      <c r="Y7" s="228"/>
    </row>
    <row r="8" spans="1:27" ht="17.25" customHeight="1">
      <c r="A8" s="1"/>
      <c r="B8" s="576" t="s">
        <v>10</v>
      </c>
      <c r="C8" s="513"/>
      <c r="D8" s="513"/>
      <c r="E8" s="722">
        <v>46167</v>
      </c>
      <c r="F8" s="723"/>
      <c r="G8" s="723"/>
      <c r="H8" s="724"/>
      <c r="I8" s="722">
        <v>46166</v>
      </c>
      <c r="J8" s="723"/>
      <c r="K8" s="723"/>
      <c r="L8" s="724"/>
      <c r="M8" s="722">
        <v>46167</v>
      </c>
      <c r="N8" s="723"/>
      <c r="O8" s="723"/>
      <c r="P8" s="724"/>
      <c r="Q8" s="722">
        <v>46167</v>
      </c>
      <c r="R8" s="723"/>
      <c r="S8" s="723"/>
      <c r="T8" s="724"/>
      <c r="U8" s="722">
        <v>46167</v>
      </c>
      <c r="V8" s="723"/>
      <c r="W8" s="723"/>
      <c r="X8" s="725"/>
    </row>
    <row r="9" spans="1:27" ht="17.25" customHeight="1">
      <c r="A9" s="1"/>
      <c r="B9" s="726" t="s">
        <v>64</v>
      </c>
      <c r="C9" s="727"/>
      <c r="D9" s="728"/>
      <c r="E9" s="652" t="s">
        <v>65</v>
      </c>
      <c r="F9" s="653"/>
      <c r="G9" s="653"/>
      <c r="H9" s="654"/>
      <c r="I9" s="652" t="s">
        <v>66</v>
      </c>
      <c r="J9" s="653"/>
      <c r="K9" s="653"/>
      <c r="L9" s="654"/>
      <c r="M9" s="652" t="s">
        <v>67</v>
      </c>
      <c r="N9" s="653"/>
      <c r="O9" s="653"/>
      <c r="P9" s="654"/>
      <c r="Q9" s="652" t="s">
        <v>66</v>
      </c>
      <c r="R9" s="653"/>
      <c r="S9" s="653"/>
      <c r="T9" s="654"/>
      <c r="U9" s="652" t="s">
        <v>65</v>
      </c>
      <c r="V9" s="653"/>
      <c r="W9" s="653"/>
      <c r="X9" s="653"/>
      <c r="Y9" s="268"/>
    </row>
    <row r="10" spans="1:27" ht="17.25" customHeight="1">
      <c r="A10" s="1"/>
      <c r="B10" s="718" t="s">
        <v>68</v>
      </c>
      <c r="C10" s="719"/>
      <c r="D10" s="720"/>
      <c r="E10" s="652" t="s">
        <v>151</v>
      </c>
      <c r="F10" s="653"/>
      <c r="G10" s="653"/>
      <c r="H10" s="654"/>
      <c r="I10" s="652" t="s">
        <v>70</v>
      </c>
      <c r="J10" s="653"/>
      <c r="K10" s="653"/>
      <c r="L10" s="654"/>
      <c r="M10" s="652" t="s">
        <v>152</v>
      </c>
      <c r="N10" s="653"/>
      <c r="O10" s="653"/>
      <c r="P10" s="654"/>
      <c r="Q10" s="652" t="s">
        <v>153</v>
      </c>
      <c r="R10" s="653"/>
      <c r="S10" s="653"/>
      <c r="T10" s="654"/>
      <c r="U10" s="799" t="s">
        <v>154</v>
      </c>
      <c r="V10" s="800"/>
      <c r="W10" s="800"/>
      <c r="X10" s="801"/>
      <c r="Y10" s="9"/>
    </row>
    <row r="11" spans="1:27" ht="17.25" customHeight="1">
      <c r="A11" s="1"/>
      <c r="B11" s="718" t="s">
        <v>74</v>
      </c>
      <c r="C11" s="719"/>
      <c r="D11" s="720"/>
      <c r="E11" s="652" t="s">
        <v>75</v>
      </c>
      <c r="F11" s="653"/>
      <c r="G11" s="653"/>
      <c r="H11" s="654"/>
      <c r="I11" s="652" t="s">
        <v>76</v>
      </c>
      <c r="J11" s="653"/>
      <c r="K11" s="653"/>
      <c r="L11" s="654"/>
      <c r="M11" s="652" t="s">
        <v>77</v>
      </c>
      <c r="N11" s="653"/>
      <c r="O11" s="653"/>
      <c r="P11" s="654"/>
      <c r="Q11" s="652" t="s">
        <v>78</v>
      </c>
      <c r="R11" s="653"/>
      <c r="S11" s="653"/>
      <c r="T11" s="654"/>
      <c r="U11" s="799" t="s">
        <v>79</v>
      </c>
      <c r="V11" s="800"/>
      <c r="W11" s="800"/>
      <c r="X11" s="801"/>
      <c r="Y11" s="9"/>
    </row>
    <row r="12" spans="1:27" ht="17.25" customHeight="1">
      <c r="A12" s="1"/>
      <c r="B12" s="576" t="s">
        <v>15</v>
      </c>
      <c r="C12" s="513"/>
      <c r="D12" s="513"/>
      <c r="E12" s="710">
        <v>0.89583333333333337</v>
      </c>
      <c r="F12" s="711"/>
      <c r="G12" s="711"/>
      <c r="H12" s="712"/>
      <c r="I12" s="710">
        <v>0.89583333333333337</v>
      </c>
      <c r="J12" s="711"/>
      <c r="K12" s="711"/>
      <c r="L12" s="712"/>
      <c r="M12" s="710">
        <v>0.78472222222222221</v>
      </c>
      <c r="N12" s="711"/>
      <c r="O12" s="711"/>
      <c r="P12" s="712"/>
      <c r="Q12" s="711">
        <v>0.69444444444444442</v>
      </c>
      <c r="R12" s="711"/>
      <c r="S12" s="711"/>
      <c r="T12" s="712"/>
      <c r="U12" s="805">
        <v>0.68055555555555558</v>
      </c>
      <c r="V12" s="805"/>
      <c r="W12" s="805"/>
      <c r="X12" s="806"/>
    </row>
    <row r="13" spans="1:27" ht="17.25" customHeight="1" thickBot="1">
      <c r="A13" s="1"/>
      <c r="B13" s="571" t="s">
        <v>80</v>
      </c>
      <c r="C13" s="572"/>
      <c r="D13" s="572"/>
      <c r="E13" s="714">
        <v>0.42708333333333331</v>
      </c>
      <c r="F13" s="715"/>
      <c r="G13" s="715"/>
      <c r="H13" s="716"/>
      <c r="I13" s="714">
        <v>0.42708333333333331</v>
      </c>
      <c r="J13" s="715"/>
      <c r="K13" s="715"/>
      <c r="L13" s="716"/>
      <c r="M13" s="714">
        <v>0.32291666666666669</v>
      </c>
      <c r="N13" s="715"/>
      <c r="O13" s="715"/>
      <c r="P13" s="716"/>
      <c r="Q13" s="715">
        <v>0.40277777777777779</v>
      </c>
      <c r="R13" s="715"/>
      <c r="S13" s="715"/>
      <c r="T13" s="716"/>
      <c r="U13" s="814">
        <v>0.25</v>
      </c>
      <c r="V13" s="814"/>
      <c r="W13" s="814"/>
      <c r="X13" s="815"/>
    </row>
    <row r="14" spans="1:27" ht="17.25" customHeight="1">
      <c r="B14" s="692" t="s">
        <v>81</v>
      </c>
      <c r="C14" s="693"/>
      <c r="D14" s="694"/>
      <c r="E14" s="793" t="s">
        <v>82</v>
      </c>
      <c r="F14" s="793"/>
      <c r="G14" s="793"/>
      <c r="H14" s="793"/>
      <c r="I14" s="811" t="s">
        <v>39</v>
      </c>
      <c r="J14" s="812"/>
      <c r="K14" s="812"/>
      <c r="L14" s="813"/>
      <c r="M14" s="554" t="s">
        <v>50</v>
      </c>
      <c r="N14" s="554"/>
      <c r="O14" s="554"/>
      <c r="P14" s="554"/>
      <c r="Q14" s="807" t="s">
        <v>41</v>
      </c>
      <c r="R14" s="807"/>
      <c r="S14" s="807"/>
      <c r="T14" s="807"/>
      <c r="U14" s="768" t="s">
        <v>48</v>
      </c>
      <c r="V14" s="768"/>
      <c r="W14" s="768"/>
      <c r="X14" s="769"/>
    </row>
    <row r="15" spans="1:27" ht="16.899999999999999" customHeight="1">
      <c r="B15" s="758"/>
      <c r="C15" s="759"/>
      <c r="D15" s="760"/>
      <c r="E15" s="804" t="s">
        <v>37</v>
      </c>
      <c r="F15" s="804"/>
      <c r="G15" s="804"/>
      <c r="H15" s="804"/>
      <c r="I15" s="804" t="s">
        <v>40</v>
      </c>
      <c r="J15" s="804"/>
      <c r="K15" s="804"/>
      <c r="L15" s="804"/>
      <c r="M15" s="771" t="s">
        <v>42</v>
      </c>
      <c r="N15" s="771"/>
      <c r="O15" s="771"/>
      <c r="P15" s="771"/>
      <c r="Q15" s="804"/>
      <c r="R15" s="804"/>
      <c r="S15" s="804"/>
      <c r="T15" s="804"/>
      <c r="U15" s="773"/>
      <c r="V15" s="774"/>
      <c r="W15" s="774"/>
      <c r="X15" s="775"/>
    </row>
    <row r="16" spans="1:27" ht="16.899999999999999" customHeight="1" thickBot="1">
      <c r="B16" s="695"/>
      <c r="C16" s="696"/>
      <c r="D16" s="697"/>
      <c r="E16" s="804"/>
      <c r="F16" s="804"/>
      <c r="G16" s="804"/>
      <c r="H16" s="804"/>
      <c r="I16" s="804" t="s">
        <v>83</v>
      </c>
      <c r="J16" s="804"/>
      <c r="K16" s="804"/>
      <c r="L16" s="804"/>
      <c r="M16" s="771" t="s">
        <v>35</v>
      </c>
      <c r="N16" s="771"/>
      <c r="O16" s="771"/>
      <c r="P16" s="771"/>
      <c r="Q16" s="804"/>
      <c r="R16" s="804"/>
      <c r="S16" s="804"/>
      <c r="T16" s="804"/>
      <c r="U16" s="773"/>
      <c r="V16" s="774"/>
      <c r="W16" s="774"/>
      <c r="X16" s="775"/>
    </row>
    <row r="17" spans="1:26" ht="16.899999999999999" customHeight="1">
      <c r="B17" s="548"/>
      <c r="C17" s="549"/>
      <c r="D17" s="549"/>
      <c r="E17" s="549"/>
      <c r="F17" s="549"/>
      <c r="G17" s="549"/>
      <c r="H17" s="549"/>
      <c r="I17" s="549"/>
      <c r="J17" s="549"/>
      <c r="K17" s="549"/>
      <c r="L17" s="549"/>
      <c r="M17" s="549"/>
      <c r="N17" s="549"/>
      <c r="O17" s="549"/>
      <c r="P17" s="549"/>
      <c r="Q17" s="549"/>
      <c r="R17" s="549"/>
      <c r="S17" s="549"/>
      <c r="T17" s="549"/>
      <c r="U17" s="549"/>
      <c r="V17" s="549"/>
      <c r="W17" s="549"/>
      <c r="X17" s="550"/>
    </row>
    <row r="18" spans="1:26" ht="17.25" customHeight="1">
      <c r="A18" s="1"/>
      <c r="B18" s="576" t="s">
        <v>11</v>
      </c>
      <c r="C18" s="513"/>
      <c r="D18" s="513"/>
      <c r="E18" s="652" t="s">
        <v>63</v>
      </c>
      <c r="F18" s="653"/>
      <c r="G18" s="653"/>
      <c r="H18" s="654"/>
      <c r="I18" s="652" t="s">
        <v>63</v>
      </c>
      <c r="J18" s="653"/>
      <c r="K18" s="653"/>
      <c r="L18" s="654"/>
      <c r="M18" s="652" t="s">
        <v>63</v>
      </c>
      <c r="N18" s="653"/>
      <c r="O18" s="653"/>
      <c r="P18" s="654"/>
      <c r="Q18" s="652" t="s">
        <v>63</v>
      </c>
      <c r="R18" s="653"/>
      <c r="S18" s="653"/>
      <c r="T18" s="654"/>
      <c r="U18" s="652" t="s">
        <v>63</v>
      </c>
      <c r="V18" s="653"/>
      <c r="W18" s="653"/>
      <c r="X18" s="654"/>
      <c r="Y18" s="6"/>
    </row>
    <row r="19" spans="1:26" ht="17.25" customHeight="1">
      <c r="A19" s="1"/>
      <c r="B19" s="576" t="s">
        <v>12</v>
      </c>
      <c r="C19" s="513"/>
      <c r="D19" s="513"/>
      <c r="E19" s="652" t="s">
        <v>84</v>
      </c>
      <c r="F19" s="653"/>
      <c r="G19" s="653"/>
      <c r="H19" s="654"/>
      <c r="I19" s="652" t="s">
        <v>85</v>
      </c>
      <c r="J19" s="653"/>
      <c r="K19" s="653"/>
      <c r="L19" s="654"/>
      <c r="M19" s="652" t="s">
        <v>86</v>
      </c>
      <c r="N19" s="653"/>
      <c r="O19" s="653"/>
      <c r="P19" s="654"/>
      <c r="Q19" s="652" t="s">
        <v>87</v>
      </c>
      <c r="R19" s="653"/>
      <c r="S19" s="653"/>
      <c r="T19" s="654"/>
      <c r="U19" s="652" t="s">
        <v>88</v>
      </c>
      <c r="V19" s="653"/>
      <c r="W19" s="653"/>
      <c r="X19" s="654"/>
    </row>
    <row r="20" spans="1:26" ht="17.25" customHeight="1">
      <c r="A20" s="1"/>
      <c r="B20" s="576" t="s">
        <v>10</v>
      </c>
      <c r="C20" s="513"/>
      <c r="D20" s="513"/>
      <c r="E20" s="722">
        <v>46167</v>
      </c>
      <c r="F20" s="723"/>
      <c r="G20" s="723"/>
      <c r="H20" s="724"/>
      <c r="I20" s="722">
        <v>46167</v>
      </c>
      <c r="J20" s="723"/>
      <c r="K20" s="723"/>
      <c r="L20" s="724"/>
      <c r="M20" s="722">
        <v>46167</v>
      </c>
      <c r="N20" s="723"/>
      <c r="O20" s="723"/>
      <c r="P20" s="724"/>
      <c r="Q20" s="722">
        <v>46167</v>
      </c>
      <c r="R20" s="723"/>
      <c r="S20" s="723"/>
      <c r="T20" s="724"/>
      <c r="U20" s="722">
        <v>46166</v>
      </c>
      <c r="V20" s="723"/>
      <c r="W20" s="723"/>
      <c r="X20" s="724"/>
    </row>
    <row r="21" spans="1:26" ht="17.25" customHeight="1">
      <c r="A21" s="1"/>
      <c r="B21" s="726" t="s">
        <v>64</v>
      </c>
      <c r="C21" s="727"/>
      <c r="D21" s="728"/>
      <c r="E21" s="652" t="s">
        <v>67</v>
      </c>
      <c r="F21" s="653"/>
      <c r="G21" s="653"/>
      <c r="H21" s="654"/>
      <c r="I21" s="652" t="s">
        <v>65</v>
      </c>
      <c r="J21" s="653"/>
      <c r="K21" s="653"/>
      <c r="L21" s="654"/>
      <c r="M21" s="652" t="s">
        <v>89</v>
      </c>
      <c r="N21" s="653"/>
      <c r="O21" s="653"/>
      <c r="P21" s="654"/>
      <c r="Q21" s="652" t="s">
        <v>66</v>
      </c>
      <c r="R21" s="653"/>
      <c r="S21" s="653"/>
      <c r="T21" s="654"/>
      <c r="U21" s="652" t="s">
        <v>65</v>
      </c>
      <c r="V21" s="653"/>
      <c r="W21" s="653"/>
      <c r="X21" s="654"/>
      <c r="Y21" s="7"/>
    </row>
    <row r="22" spans="1:26" ht="17.25" customHeight="1">
      <c r="A22" s="1"/>
      <c r="B22" s="718" t="s">
        <v>68</v>
      </c>
      <c r="C22" s="719"/>
      <c r="D22" s="720"/>
      <c r="E22" s="652" t="s">
        <v>155</v>
      </c>
      <c r="F22" s="653"/>
      <c r="G22" s="653"/>
      <c r="H22" s="654"/>
      <c r="I22" s="652" t="s">
        <v>156</v>
      </c>
      <c r="J22" s="653"/>
      <c r="K22" s="653"/>
      <c r="L22" s="654"/>
      <c r="M22" s="652" t="s">
        <v>157</v>
      </c>
      <c r="N22" s="653"/>
      <c r="O22" s="653"/>
      <c r="P22" s="654"/>
      <c r="Q22" s="652" t="s">
        <v>158</v>
      </c>
      <c r="R22" s="653"/>
      <c r="S22" s="653"/>
      <c r="T22" s="654"/>
      <c r="U22" s="652" t="s">
        <v>159</v>
      </c>
      <c r="V22" s="653"/>
      <c r="W22" s="653"/>
      <c r="X22" s="654"/>
      <c r="Y22" s="9"/>
    </row>
    <row r="23" spans="1:26" ht="17.25" customHeight="1">
      <c r="A23" s="1"/>
      <c r="B23" s="718" t="s">
        <v>74</v>
      </c>
      <c r="C23" s="719"/>
      <c r="D23" s="720"/>
      <c r="E23" s="652" t="s">
        <v>95</v>
      </c>
      <c r="F23" s="653"/>
      <c r="G23" s="653"/>
      <c r="H23" s="654"/>
      <c r="I23" s="652" t="s">
        <v>160</v>
      </c>
      <c r="J23" s="653"/>
      <c r="K23" s="653"/>
      <c r="L23" s="654"/>
      <c r="M23" s="652" t="s">
        <v>97</v>
      </c>
      <c r="N23" s="653"/>
      <c r="O23" s="653"/>
      <c r="P23" s="654"/>
      <c r="Q23" s="652" t="s">
        <v>98</v>
      </c>
      <c r="R23" s="653"/>
      <c r="S23" s="653"/>
      <c r="T23" s="654"/>
      <c r="U23" s="652" t="s">
        <v>99</v>
      </c>
      <c r="V23" s="653"/>
      <c r="W23" s="653"/>
      <c r="X23" s="654"/>
      <c r="Y23" s="9"/>
    </row>
    <row r="24" spans="1:26" ht="17.25" customHeight="1">
      <c r="A24" s="1"/>
      <c r="B24" s="576" t="s">
        <v>15</v>
      </c>
      <c r="C24" s="513"/>
      <c r="D24" s="513"/>
      <c r="E24" s="710">
        <v>0.78472222222222221</v>
      </c>
      <c r="F24" s="711"/>
      <c r="G24" s="711"/>
      <c r="H24" s="712"/>
      <c r="I24" s="710">
        <v>0.74652777777777779</v>
      </c>
      <c r="J24" s="711"/>
      <c r="K24" s="711"/>
      <c r="L24" s="712"/>
      <c r="M24" s="710">
        <v>0.77430555555555558</v>
      </c>
      <c r="N24" s="711"/>
      <c r="O24" s="711"/>
      <c r="P24" s="712"/>
      <c r="Q24" s="710">
        <v>0.68055555555555558</v>
      </c>
      <c r="R24" s="711"/>
      <c r="S24" s="711"/>
      <c r="T24" s="712"/>
      <c r="U24" s="710">
        <v>0.91319444444444442</v>
      </c>
      <c r="V24" s="711"/>
      <c r="W24" s="711"/>
      <c r="X24" s="712"/>
    </row>
    <row r="25" spans="1:26" ht="17.25" customHeight="1" thickBot="1">
      <c r="A25" s="1"/>
      <c r="B25" s="571" t="s">
        <v>80</v>
      </c>
      <c r="C25" s="572"/>
      <c r="D25" s="572"/>
      <c r="E25" s="714">
        <v>0.4375</v>
      </c>
      <c r="F25" s="715"/>
      <c r="G25" s="715"/>
      <c r="H25" s="716"/>
      <c r="I25" s="714">
        <v>0.28472222222222221</v>
      </c>
      <c r="J25" s="715"/>
      <c r="K25" s="715"/>
      <c r="L25" s="716"/>
      <c r="M25" s="714">
        <v>0.3576388888888889</v>
      </c>
      <c r="N25" s="715"/>
      <c r="O25" s="715"/>
      <c r="P25" s="716"/>
      <c r="Q25" s="714">
        <v>0.54861111111111116</v>
      </c>
      <c r="R25" s="715"/>
      <c r="S25" s="715"/>
      <c r="T25" s="716"/>
      <c r="U25" s="714">
        <v>0.39930555555555558</v>
      </c>
      <c r="V25" s="715"/>
      <c r="W25" s="715"/>
      <c r="X25" s="716"/>
    </row>
    <row r="26" spans="1:26" ht="17.25" customHeight="1">
      <c r="B26" s="692" t="s">
        <v>81</v>
      </c>
      <c r="C26" s="693"/>
      <c r="D26" s="694"/>
      <c r="E26" s="699" t="s">
        <v>45</v>
      </c>
      <c r="F26" s="700"/>
      <c r="G26" s="700"/>
      <c r="H26" s="701"/>
      <c r="I26" s="698" t="s">
        <v>46</v>
      </c>
      <c r="J26" s="698"/>
      <c r="K26" s="698"/>
      <c r="L26" s="698"/>
      <c r="M26" s="699" t="s">
        <v>47</v>
      </c>
      <c r="N26" s="700"/>
      <c r="O26" s="700"/>
      <c r="P26" s="701"/>
      <c r="Q26" s="702" t="s">
        <v>49</v>
      </c>
      <c r="R26" s="702"/>
      <c r="S26" s="702"/>
      <c r="T26" s="702"/>
      <c r="U26" s="698" t="s">
        <v>44</v>
      </c>
      <c r="V26" s="698"/>
      <c r="W26" s="698"/>
      <c r="X26" s="698"/>
    </row>
    <row r="27" spans="1:26" ht="17.45" thickBot="1">
      <c r="B27" s="695"/>
      <c r="C27" s="696"/>
      <c r="D27" s="697"/>
      <c r="E27" s="704"/>
      <c r="F27" s="705"/>
      <c r="G27" s="705"/>
      <c r="H27" s="706"/>
      <c r="I27" s="707" t="s">
        <v>51</v>
      </c>
      <c r="J27" s="707"/>
      <c r="K27" s="707"/>
      <c r="L27" s="707"/>
      <c r="M27" s="704"/>
      <c r="N27" s="705"/>
      <c r="O27" s="705"/>
      <c r="P27" s="706"/>
      <c r="Q27" s="707"/>
      <c r="R27" s="707"/>
      <c r="S27" s="707"/>
      <c r="T27" s="707"/>
      <c r="U27" s="708"/>
      <c r="V27" s="708"/>
      <c r="W27" s="708"/>
      <c r="X27" s="709"/>
      <c r="Z27" s="238"/>
    </row>
    <row r="28" spans="1:26" ht="16.899999999999999" customHeight="1">
      <c r="B28" s="548"/>
      <c r="C28" s="549"/>
      <c r="D28" s="549"/>
      <c r="E28" s="549"/>
      <c r="F28" s="549"/>
      <c r="G28" s="549"/>
      <c r="H28" s="549"/>
      <c r="I28" s="549"/>
      <c r="J28" s="549"/>
      <c r="K28" s="549"/>
      <c r="L28" s="549"/>
      <c r="M28" s="549"/>
      <c r="N28" s="549"/>
      <c r="O28" s="549"/>
      <c r="P28" s="549"/>
      <c r="Q28" s="549"/>
      <c r="R28" s="549"/>
      <c r="S28" s="549"/>
      <c r="T28" s="549"/>
      <c r="U28" s="549"/>
      <c r="V28" s="549"/>
      <c r="W28" s="549"/>
      <c r="X28" s="550"/>
    </row>
    <row r="29" spans="1:26" ht="17.25" customHeight="1">
      <c r="A29" s="1"/>
      <c r="B29" s="576" t="s">
        <v>11</v>
      </c>
      <c r="C29" s="513"/>
      <c r="D29" s="513"/>
      <c r="E29" s="488" t="s">
        <v>63</v>
      </c>
      <c r="F29" s="489"/>
      <c r="G29" s="489"/>
      <c r="H29" s="490"/>
      <c r="I29" s="652"/>
      <c r="J29" s="653"/>
      <c r="K29" s="653"/>
      <c r="L29" s="654"/>
      <c r="M29" s="652"/>
      <c r="N29" s="653"/>
      <c r="O29" s="653"/>
      <c r="P29" s="654"/>
      <c r="Q29" s="652"/>
      <c r="R29" s="653"/>
      <c r="S29" s="653"/>
      <c r="T29" s="654"/>
      <c r="U29" s="652"/>
      <c r="V29" s="653"/>
      <c r="W29" s="653"/>
      <c r="X29" s="721"/>
      <c r="Y29" s="6"/>
    </row>
    <row r="30" spans="1:26" ht="17.25" customHeight="1">
      <c r="A30" s="1"/>
      <c r="B30" s="576" t="s">
        <v>12</v>
      </c>
      <c r="C30" s="513"/>
      <c r="D30" s="513"/>
      <c r="E30" s="488" t="s">
        <v>88</v>
      </c>
      <c r="F30" s="489"/>
      <c r="G30" s="489"/>
      <c r="H30" s="490"/>
      <c r="I30" s="652"/>
      <c r="J30" s="653"/>
      <c r="K30" s="653"/>
      <c r="L30" s="654"/>
      <c r="M30" s="652"/>
      <c r="N30" s="653"/>
      <c r="O30" s="653"/>
      <c r="P30" s="654"/>
      <c r="Q30" s="652"/>
      <c r="R30" s="653"/>
      <c r="S30" s="653"/>
      <c r="T30" s="654"/>
      <c r="U30" s="652"/>
      <c r="V30" s="653"/>
      <c r="W30" s="653"/>
      <c r="X30" s="721"/>
    </row>
    <row r="31" spans="1:26" ht="17.25" customHeight="1">
      <c r="A31" s="1"/>
      <c r="B31" s="576" t="s">
        <v>10</v>
      </c>
      <c r="C31" s="513"/>
      <c r="D31" s="513"/>
      <c r="E31" s="540">
        <v>46166</v>
      </c>
      <c r="F31" s="541"/>
      <c r="G31" s="541"/>
      <c r="H31" s="542"/>
      <c r="I31" s="722"/>
      <c r="J31" s="723"/>
      <c r="K31" s="723"/>
      <c r="L31" s="724"/>
      <c r="M31" s="722"/>
      <c r="N31" s="723"/>
      <c r="O31" s="723"/>
      <c r="P31" s="724"/>
      <c r="Q31" s="722"/>
      <c r="R31" s="723"/>
      <c r="S31" s="723"/>
      <c r="T31" s="724"/>
      <c r="U31" s="722"/>
      <c r="V31" s="723"/>
      <c r="W31" s="723"/>
      <c r="X31" s="725"/>
    </row>
    <row r="32" spans="1:26" ht="17.25" customHeight="1">
      <c r="A32" s="1"/>
      <c r="B32" s="726" t="s">
        <v>64</v>
      </c>
      <c r="C32" s="727"/>
      <c r="D32" s="728"/>
      <c r="E32" s="488" t="s">
        <v>100</v>
      </c>
      <c r="F32" s="489"/>
      <c r="G32" s="489"/>
      <c r="H32" s="490"/>
      <c r="I32" s="652"/>
      <c r="J32" s="653"/>
      <c r="K32" s="653"/>
      <c r="L32" s="654"/>
      <c r="M32" s="652"/>
      <c r="N32" s="653"/>
      <c r="O32" s="653"/>
      <c r="P32" s="654"/>
      <c r="Q32" s="652"/>
      <c r="R32" s="653"/>
      <c r="S32" s="653"/>
      <c r="T32" s="654"/>
      <c r="U32" s="652"/>
      <c r="V32" s="653"/>
      <c r="W32" s="653"/>
      <c r="X32" s="721"/>
      <c r="Y32" s="7"/>
    </row>
    <row r="33" spans="1:26" ht="17.25" customHeight="1">
      <c r="A33" s="1"/>
      <c r="B33" s="718" t="s">
        <v>68</v>
      </c>
      <c r="C33" s="719"/>
      <c r="D33" s="720"/>
      <c r="E33" s="488" t="s">
        <v>161</v>
      </c>
      <c r="F33" s="489"/>
      <c r="G33" s="489"/>
      <c r="H33" s="490"/>
      <c r="I33" s="652"/>
      <c r="J33" s="653"/>
      <c r="K33" s="653"/>
      <c r="L33" s="654"/>
      <c r="M33" s="652"/>
      <c r="N33" s="653"/>
      <c r="O33" s="653"/>
      <c r="P33" s="654"/>
      <c r="Q33" s="652"/>
      <c r="R33" s="653"/>
      <c r="S33" s="653"/>
      <c r="T33" s="654"/>
      <c r="U33" s="652"/>
      <c r="V33" s="653"/>
      <c r="W33" s="653"/>
      <c r="X33" s="721"/>
      <c r="Y33" s="9"/>
    </row>
    <row r="34" spans="1:26" ht="17.25" customHeight="1">
      <c r="A34" s="1"/>
      <c r="B34" s="718" t="s">
        <v>74</v>
      </c>
      <c r="C34" s="719"/>
      <c r="D34" s="720"/>
      <c r="E34" s="488" t="s">
        <v>102</v>
      </c>
      <c r="F34" s="489"/>
      <c r="G34" s="489"/>
      <c r="H34" s="490"/>
      <c r="I34" s="652"/>
      <c r="J34" s="653"/>
      <c r="K34" s="653"/>
      <c r="L34" s="654"/>
      <c r="M34" s="652"/>
      <c r="N34" s="653"/>
      <c r="O34" s="653"/>
      <c r="P34" s="654"/>
      <c r="Q34" s="652"/>
      <c r="R34" s="653"/>
      <c r="S34" s="653"/>
      <c r="T34" s="654"/>
      <c r="U34" s="652"/>
      <c r="V34" s="653"/>
      <c r="W34" s="653"/>
      <c r="X34" s="721"/>
      <c r="Y34" s="9"/>
    </row>
    <row r="35" spans="1:26" ht="17.25" customHeight="1">
      <c r="A35" s="1"/>
      <c r="B35" s="576" t="s">
        <v>15</v>
      </c>
      <c r="C35" s="513"/>
      <c r="D35" s="513"/>
      <c r="E35" s="491">
        <v>0.91666666666666663</v>
      </c>
      <c r="F35" s="492"/>
      <c r="G35" s="492"/>
      <c r="H35" s="493"/>
      <c r="I35" s="710"/>
      <c r="J35" s="711"/>
      <c r="K35" s="711"/>
      <c r="L35" s="712"/>
      <c r="M35" s="710"/>
      <c r="N35" s="711"/>
      <c r="O35" s="711"/>
      <c r="P35" s="712"/>
      <c r="Q35" s="710"/>
      <c r="R35" s="711"/>
      <c r="S35" s="711"/>
      <c r="T35" s="712"/>
      <c r="U35" s="710"/>
      <c r="V35" s="711"/>
      <c r="W35" s="711"/>
      <c r="X35" s="713"/>
    </row>
    <row r="36" spans="1:26" ht="17.25" customHeight="1" thickBot="1">
      <c r="A36" s="1"/>
      <c r="B36" s="571" t="s">
        <v>80</v>
      </c>
      <c r="C36" s="572"/>
      <c r="D36" s="572"/>
      <c r="E36" s="741">
        <v>0.40277777777777779</v>
      </c>
      <c r="F36" s="742"/>
      <c r="G36" s="742"/>
      <c r="H36" s="743"/>
      <c r="I36" s="714"/>
      <c r="J36" s="715"/>
      <c r="K36" s="715"/>
      <c r="L36" s="716"/>
      <c r="M36" s="714"/>
      <c r="N36" s="715"/>
      <c r="O36" s="715"/>
      <c r="P36" s="716"/>
      <c r="Q36" s="714"/>
      <c r="R36" s="715"/>
      <c r="S36" s="715"/>
      <c r="T36" s="716"/>
      <c r="U36" s="714"/>
      <c r="V36" s="715"/>
      <c r="W36" s="715"/>
      <c r="X36" s="717"/>
    </row>
    <row r="37" spans="1:26" ht="17.25" customHeight="1">
      <c r="B37" s="692" t="s">
        <v>81</v>
      </c>
      <c r="C37" s="693"/>
      <c r="D37" s="694"/>
      <c r="E37" s="698" t="s">
        <v>103</v>
      </c>
      <c r="F37" s="698"/>
      <c r="G37" s="698"/>
      <c r="H37" s="698"/>
      <c r="I37" s="733"/>
      <c r="J37" s="733"/>
      <c r="K37" s="733"/>
      <c r="L37" s="733"/>
      <c r="M37" s="699"/>
      <c r="N37" s="700"/>
      <c r="O37" s="700"/>
      <c r="P37" s="701"/>
      <c r="Q37" s="698"/>
      <c r="R37" s="698"/>
      <c r="S37" s="698"/>
      <c r="T37" s="698"/>
      <c r="U37" s="702"/>
      <c r="V37" s="702"/>
      <c r="W37" s="702"/>
      <c r="X37" s="703"/>
    </row>
    <row r="38" spans="1:26" ht="17.45" thickBot="1">
      <c r="B38" s="695"/>
      <c r="C38" s="696"/>
      <c r="D38" s="697"/>
      <c r="E38" s="704"/>
      <c r="F38" s="705"/>
      <c r="G38" s="705"/>
      <c r="H38" s="706"/>
      <c r="I38" s="707"/>
      <c r="J38" s="707"/>
      <c r="K38" s="707"/>
      <c r="L38" s="707"/>
      <c r="M38" s="704"/>
      <c r="N38" s="705"/>
      <c r="O38" s="705"/>
      <c r="P38" s="706"/>
      <c r="Q38" s="707"/>
      <c r="R38" s="707"/>
      <c r="S38" s="707"/>
      <c r="T38" s="707"/>
      <c r="U38" s="708"/>
      <c r="V38" s="708"/>
      <c r="W38" s="708"/>
      <c r="X38" s="709"/>
      <c r="Z38" s="238"/>
    </row>
  </sheetData>
  <protectedRanges>
    <protectedRange sqref="U15:X16" name="Table_3_2_1_2_3"/>
    <protectedRange sqref="I20 N8:P9 M8 F8:H9 E8 J9:L9 V9:X9 F21:H21 J20:L21 N21:P21 R8:T9 Q8 I31 J31:L32 N32:P32 R32:T32 V32:X32 F32:H32 R21:T21 V21:X21" name="Range1_1_1_1_1_1_2_2"/>
    <protectedRange sqref="I24:L25 J22:L22 N10:P10 M12:P16 U27:X27 E9 F10:H10 E12:H14 M9 I9 U9 E21 I21 M21 R10:T10 Q9 I35:L36 J33:L33 U37:X38 Q32 U32 I32 M32 E29:X30 E32 Q26:T26 Q21 U21 E18:X19 E6:X7" name="Table_3_2_2_7"/>
    <protectedRange sqref="I23:L23 E11:H11 M11:T11 I34:L34" name="Table_3_2_1_1_5"/>
    <protectedRange sqref="Q12:T12" name="Table_3_2_6_1_2_2"/>
    <protectedRange sqref="I26:L27 Q14:T14 I37:L38" name="Table_3_2_1_1_1_3"/>
    <protectedRange sqref="E20:H20 I8:L8 M31:X31 E31:H31 M20:X20" name="Range1_1_1_1_1_1_2_1_3"/>
    <protectedRange sqref="N22:P22 M24:P25 F22:H22 E24:H25 J10:L10 I12:L13 N33:P33 M35:P36" name="Table_3_2_2_1_3"/>
    <protectedRange sqref="M23:P23 E23:H23 I11:L11 M34:P34" name="Table_3_2_1_1_2_6"/>
    <protectedRange sqref="Q35:X35 E35:H35 Q24:X24" name="Table_3_2_6_1_2_1_1"/>
    <protectedRange sqref="Q33:X33 E33:H33 Q22:X22" name="Table_1_1_1_1_1"/>
    <protectedRange sqref="Q34:X34 E34:H34 Q23:X23" name="Table_3_2_3_1_1_2"/>
    <protectedRange sqref="U8:X8" name="Range1_1_1_1_1_1_1_4_1_1"/>
    <protectedRange sqref="U10:X14" name="Table_3_2_1_2_2_3"/>
  </protectedRanges>
  <dataConsolidate/>
  <mergeCells count="190">
    <mergeCell ref="M6:P6"/>
    <mergeCell ref="Q6:T6"/>
    <mergeCell ref="E12:H12"/>
    <mergeCell ref="E13:H13"/>
    <mergeCell ref="I12:L12"/>
    <mergeCell ref="I13:L13"/>
    <mergeCell ref="I16:L16"/>
    <mergeCell ref="M16:P16"/>
    <mergeCell ref="Q16:T16"/>
    <mergeCell ref="M7:P7"/>
    <mergeCell ref="Q7:T7"/>
    <mergeCell ref="M8:P8"/>
    <mergeCell ref="Q8:T8"/>
    <mergeCell ref="M9:P9"/>
    <mergeCell ref="Q9:T9"/>
    <mergeCell ref="M10:P10"/>
    <mergeCell ref="Q10:T10"/>
    <mergeCell ref="E15:H15"/>
    <mergeCell ref="U16:X16"/>
    <mergeCell ref="U11:X11"/>
    <mergeCell ref="M14:P14"/>
    <mergeCell ref="Q14:T14"/>
    <mergeCell ref="U14:X14"/>
    <mergeCell ref="U12:X12"/>
    <mergeCell ref="U13:X13"/>
    <mergeCell ref="I14:L14"/>
    <mergeCell ref="U22:X22"/>
    <mergeCell ref="M12:P12"/>
    <mergeCell ref="Q12:T12"/>
    <mergeCell ref="M13:P13"/>
    <mergeCell ref="Q13:T13"/>
    <mergeCell ref="U15:X15"/>
    <mergeCell ref="I15:L15"/>
    <mergeCell ref="M15:P15"/>
    <mergeCell ref="Q15:T15"/>
    <mergeCell ref="M19:P19"/>
    <mergeCell ref="M20:P20"/>
    <mergeCell ref="M21:P21"/>
    <mergeCell ref="M22:P22"/>
    <mergeCell ref="U21:X21"/>
    <mergeCell ref="I23:L23"/>
    <mergeCell ref="M23:P23"/>
    <mergeCell ref="Q23:T23"/>
    <mergeCell ref="U24:X24"/>
    <mergeCell ref="U25:X25"/>
    <mergeCell ref="E25:H25"/>
    <mergeCell ref="I25:L25"/>
    <mergeCell ref="M24:P24"/>
    <mergeCell ref="M25:P25"/>
    <mergeCell ref="Q24:T24"/>
    <mergeCell ref="Q25:T25"/>
    <mergeCell ref="U23:X23"/>
    <mergeCell ref="B35:D35"/>
    <mergeCell ref="M35:P35"/>
    <mergeCell ref="B34:D34"/>
    <mergeCell ref="I27:L27"/>
    <mergeCell ref="B26:D27"/>
    <mergeCell ref="E27:H27"/>
    <mergeCell ref="M27:P27"/>
    <mergeCell ref="Q27:T27"/>
    <mergeCell ref="U27:X27"/>
    <mergeCell ref="B28:X28"/>
    <mergeCell ref="B29:D29"/>
    <mergeCell ref="E29:H29"/>
    <mergeCell ref="I29:L29"/>
    <mergeCell ref="M29:P29"/>
    <mergeCell ref="Q29:T29"/>
    <mergeCell ref="U29:X29"/>
    <mergeCell ref="E26:H26"/>
    <mergeCell ref="I26:L26"/>
    <mergeCell ref="M26:P26"/>
    <mergeCell ref="Q26:T26"/>
    <mergeCell ref="B30:D30"/>
    <mergeCell ref="E30:H30"/>
    <mergeCell ref="I30:L30"/>
    <mergeCell ref="M30:P30"/>
    <mergeCell ref="U8:X8"/>
    <mergeCell ref="U9:X9"/>
    <mergeCell ref="M11:P11"/>
    <mergeCell ref="B18:D18"/>
    <mergeCell ref="B20:D20"/>
    <mergeCell ref="B19:D19"/>
    <mergeCell ref="B22:D22"/>
    <mergeCell ref="B21:D21"/>
    <mergeCell ref="B24:D24"/>
    <mergeCell ref="B23:D23"/>
    <mergeCell ref="E20:H20"/>
    <mergeCell ref="E21:H21"/>
    <mergeCell ref="E22:H22"/>
    <mergeCell ref="E24:H24"/>
    <mergeCell ref="E18:H18"/>
    <mergeCell ref="E19:H19"/>
    <mergeCell ref="E23:H23"/>
    <mergeCell ref="I18:L18"/>
    <mergeCell ref="I19:L19"/>
    <mergeCell ref="I20:L20"/>
    <mergeCell ref="I21:L21"/>
    <mergeCell ref="I22:L22"/>
    <mergeCell ref="I24:L24"/>
    <mergeCell ref="M18:P18"/>
    <mergeCell ref="F3:H3"/>
    <mergeCell ref="B6:D6"/>
    <mergeCell ref="B9:D9"/>
    <mergeCell ref="B7:D7"/>
    <mergeCell ref="J3:M3"/>
    <mergeCell ref="N3:P3"/>
    <mergeCell ref="B17:X17"/>
    <mergeCell ref="U3:X3"/>
    <mergeCell ref="S3:T3"/>
    <mergeCell ref="B12:D12"/>
    <mergeCell ref="B11:D11"/>
    <mergeCell ref="B10:D10"/>
    <mergeCell ref="B13:D13"/>
    <mergeCell ref="B8:D8"/>
    <mergeCell ref="U6:X6"/>
    <mergeCell ref="U7:X7"/>
    <mergeCell ref="U10:X10"/>
    <mergeCell ref="E11:H11"/>
    <mergeCell ref="I11:L11"/>
    <mergeCell ref="Q11:T11"/>
    <mergeCell ref="E14:H14"/>
    <mergeCell ref="B14:D16"/>
    <mergeCell ref="E16:H16"/>
    <mergeCell ref="E6:H6"/>
    <mergeCell ref="B36:D36"/>
    <mergeCell ref="U26:X26"/>
    <mergeCell ref="B25:D25"/>
    <mergeCell ref="Q21:T21"/>
    <mergeCell ref="Q22:T22"/>
    <mergeCell ref="U30:X30"/>
    <mergeCell ref="M34:P34"/>
    <mergeCell ref="B33:D33"/>
    <mergeCell ref="B5:X5"/>
    <mergeCell ref="U18:X18"/>
    <mergeCell ref="U19:X19"/>
    <mergeCell ref="U20:X20"/>
    <mergeCell ref="E7:H7"/>
    <mergeCell ref="E8:H8"/>
    <mergeCell ref="E9:H9"/>
    <mergeCell ref="E10:H10"/>
    <mergeCell ref="I6:L6"/>
    <mergeCell ref="I7:L7"/>
    <mergeCell ref="I8:L8"/>
    <mergeCell ref="I9:L9"/>
    <mergeCell ref="I10:L10"/>
    <mergeCell ref="Q18:T18"/>
    <mergeCell ref="Q19:T19"/>
    <mergeCell ref="Q20:T20"/>
    <mergeCell ref="E37:H37"/>
    <mergeCell ref="E38:H38"/>
    <mergeCell ref="M33:P33"/>
    <mergeCell ref="M36:P36"/>
    <mergeCell ref="M37:P37"/>
    <mergeCell ref="Q34:T34"/>
    <mergeCell ref="U34:X34"/>
    <mergeCell ref="Q35:T35"/>
    <mergeCell ref="U35:X35"/>
    <mergeCell ref="Q36:T36"/>
    <mergeCell ref="U36:X36"/>
    <mergeCell ref="M38:P38"/>
    <mergeCell ref="I37:L37"/>
    <mergeCell ref="I38:L38"/>
    <mergeCell ref="E33:H33"/>
    <mergeCell ref="E34:H34"/>
    <mergeCell ref="E35:H35"/>
    <mergeCell ref="E36:H36"/>
    <mergeCell ref="Q30:T30"/>
    <mergeCell ref="B31:D31"/>
    <mergeCell ref="E31:H31"/>
    <mergeCell ref="I31:L31"/>
    <mergeCell ref="M31:P31"/>
    <mergeCell ref="Q31:T31"/>
    <mergeCell ref="B37:D38"/>
    <mergeCell ref="Q37:T37"/>
    <mergeCell ref="U37:X37"/>
    <mergeCell ref="Q38:T38"/>
    <mergeCell ref="U38:X38"/>
    <mergeCell ref="U31:X31"/>
    <mergeCell ref="B32:D32"/>
    <mergeCell ref="E32:H32"/>
    <mergeCell ref="I32:L32"/>
    <mergeCell ref="M32:P32"/>
    <mergeCell ref="Q32:T32"/>
    <mergeCell ref="U32:X32"/>
    <mergeCell ref="Q33:T33"/>
    <mergeCell ref="U33:X33"/>
    <mergeCell ref="I33:L33"/>
    <mergeCell ref="I34:L34"/>
    <mergeCell ref="I35:L35"/>
    <mergeCell ref="I36:L36"/>
  </mergeCells>
  <phoneticPr fontId="20" type="noConversion"/>
  <pageMargins left="0.7" right="0.7" top="0.75" bottom="0.75" header="0.3" footer="0.3"/>
  <pageSetup paperSize="9" scale="4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3823E81-E627-4494-A15B-678991620381}">
          <x14:formula1>
            <xm:f>'Reference Data'!$A$2:$A$131</xm:f>
          </x14:formula1>
          <xm:sqref>N3:P3</xm:sqref>
        </x14:dataValidation>
        <x14:dataValidation type="list" allowBlank="1" showInputMessage="1" showErrorMessage="1" xr:uid="{EDD00CA3-6EEC-446D-87E9-97C53DB8FFE8}">
          <x14:formula1>
            <xm:f>'Reference Data'!$C$2:$C$12</xm:f>
          </x14:formula1>
          <xm:sqref>F3:H3</xm:sqref>
        </x14:dataValidation>
        <x14:dataValidation type="list" allowBlank="1" showInputMessage="1" showErrorMessage="1" xr:uid="{864511F7-E926-4AEE-92C4-561A767708CE}">
          <x14:formula1>
            <xm:f>'Reference Data'!$Q$2:$Q$85</xm:f>
          </x14:formula1>
          <xm:sqref>U19 E29:E30 U6:X7 Q7 I18:X18 U29:U30 I29:Q30 E18:H19 I19:Q19 E7:M7 E6:T6</xm:sqref>
        </x14:dataValidation>
        <x14:dataValidation type="list" allowBlank="1" showInputMessage="1" showErrorMessage="1" xr:uid="{D8334A3E-2A9D-4FCF-9FBE-8FBA6BD06E2D}">
          <x14:formula1>
            <xm:f>Personel!$F$2:$F$43</xm:f>
          </x14:formula1>
          <xm:sqref>U14:X14 U16:X16 E14:T16 E37:X38 E26:X27</xm:sqref>
        </x14:dataValidation>
        <x14:dataValidation type="list" allowBlank="1" showInputMessage="1" showErrorMessage="1" xr:uid="{EAAD08BA-8A08-4F5E-BC37-18946D9AA076}">
          <x14:formula1>
            <xm:f>'Reference Data'!$AJ$2:$AJ$38</xm:f>
          </x14:formula1>
          <xm:sqref>E9:L9 U9:X9 E32:X32 E21:X21</xm:sqref>
        </x14:dataValidation>
        <x14:dataValidation type="list" allowBlank="1" showInputMessage="1" showErrorMessage="1" xr:uid="{FAB41593-7F93-4B16-BF05-3B8CF9E08AD7}">
          <x14:formula1>
            <xm:f>'Reference Data'!$AJ$2:$AJ$36</xm:f>
          </x14:formula1>
          <xm:sqref>M9 Q9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B2278-DEF9-6346-AAE4-6F3B857BACC1}">
  <sheetPr codeName="Sheet10">
    <tabColor theme="0"/>
    <pageSetUpPr fitToPage="1"/>
  </sheetPr>
  <dimension ref="A1:AK115"/>
  <sheetViews>
    <sheetView showGridLines="0" topLeftCell="A4" zoomScale="110" zoomScaleNormal="110" workbookViewId="0">
      <selection activeCell="V98" sqref="B7:Y98"/>
    </sheetView>
  </sheetViews>
  <sheetFormatPr defaultColWidth="4.7109375" defaultRowHeight="16.899999999999999"/>
  <cols>
    <col min="1" max="1" width="1.7109375" style="3" customWidth="1"/>
    <col min="2" max="4" width="3.7109375" style="3" customWidth="1"/>
    <col min="5" max="5" width="5.7109375" style="3" customWidth="1"/>
    <col min="6" max="20" width="5.42578125" style="3" customWidth="1"/>
    <col min="21" max="21" width="7.42578125" style="3" customWidth="1"/>
    <col min="22" max="24" width="5.42578125" style="3" customWidth="1"/>
    <col min="25" max="25" width="7.140625" style="3" customWidth="1"/>
    <col min="26" max="26" width="1.7109375" style="3" customWidth="1"/>
    <col min="27" max="27" width="20.140625" style="3" customWidth="1"/>
    <col min="28" max="28" width="21" style="3" bestFit="1" customWidth="1"/>
    <col min="29" max="29" width="21" style="3" customWidth="1"/>
    <col min="30" max="31" width="4.7109375" style="3"/>
    <col min="32" max="32" width="5.42578125" style="3" bestFit="1" customWidth="1"/>
    <col min="33" max="16384" width="4.7109375" style="3"/>
  </cols>
  <sheetData>
    <row r="1" spans="1:29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4" spans="1:29" ht="55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9" s="6" customFormat="1">
      <c r="A5" s="4"/>
      <c r="B5" s="547" t="s">
        <v>3</v>
      </c>
      <c r="C5" s="547"/>
      <c r="D5" s="547"/>
      <c r="E5" s="802"/>
      <c r="F5" s="853" t="s">
        <v>4</v>
      </c>
      <c r="G5" s="854"/>
      <c r="H5" s="855"/>
      <c r="I5" s="230"/>
      <c r="J5" s="856" t="s">
        <v>5</v>
      </c>
      <c r="K5" s="856"/>
      <c r="L5" s="857"/>
      <c r="M5" s="544" t="s">
        <v>21</v>
      </c>
      <c r="N5" s="790"/>
      <c r="O5" s="790"/>
      <c r="P5" s="791"/>
      <c r="U5" s="858" t="s">
        <v>10</v>
      </c>
      <c r="V5" s="859"/>
      <c r="W5" s="847" t="s">
        <v>24</v>
      </c>
      <c r="X5" s="848"/>
      <c r="Y5" s="849"/>
    </row>
    <row r="6" spans="1:29" s="6" customFormat="1" ht="17.45" thickBot="1">
      <c r="A6" s="4"/>
      <c r="B6" s="167"/>
      <c r="C6" s="167"/>
      <c r="D6" s="167"/>
      <c r="E6" s="167"/>
      <c r="J6" s="231"/>
      <c r="K6" s="231"/>
      <c r="L6" s="231"/>
      <c r="M6" s="31"/>
      <c r="N6" s="31"/>
      <c r="O6" s="31"/>
      <c r="P6" s="31"/>
      <c r="U6" s="231"/>
      <c r="V6" s="231"/>
      <c r="W6" s="232"/>
      <c r="X6" s="232"/>
      <c r="Y6" s="232"/>
    </row>
    <row r="7" spans="1:29" ht="14.25" customHeight="1" thickBot="1">
      <c r="A7" s="1"/>
      <c r="B7" s="850" t="s">
        <v>162</v>
      </c>
      <c r="C7" s="851"/>
      <c r="D7" s="851"/>
      <c r="E7" s="851"/>
      <c r="F7" s="549"/>
      <c r="G7" s="549"/>
      <c r="H7" s="549"/>
      <c r="I7" s="549"/>
      <c r="J7" s="549"/>
      <c r="K7" s="549"/>
      <c r="L7" s="549"/>
      <c r="M7" s="549"/>
      <c r="N7" s="851"/>
      <c r="O7" s="851"/>
      <c r="P7" s="851"/>
      <c r="Q7" s="851"/>
      <c r="R7" s="851"/>
      <c r="S7" s="851"/>
      <c r="T7" s="851"/>
      <c r="U7" s="851"/>
      <c r="V7" s="851"/>
      <c r="W7" s="851"/>
      <c r="X7" s="851"/>
      <c r="Y7" s="852"/>
      <c r="Z7" s="1"/>
      <c r="AB7" s="165"/>
      <c r="AC7" s="229" t="s">
        <v>163</v>
      </c>
    </row>
    <row r="8" spans="1:29" ht="13.5" customHeight="1">
      <c r="A8" s="1"/>
      <c r="B8" s="869" t="s">
        <v>164</v>
      </c>
      <c r="C8" s="870"/>
      <c r="D8" s="870"/>
      <c r="E8" s="871"/>
      <c r="F8" s="779" t="s">
        <v>165</v>
      </c>
      <c r="G8" s="780"/>
      <c r="H8" s="780"/>
      <c r="I8" s="780"/>
      <c r="J8" s="779" t="s">
        <v>165</v>
      </c>
      <c r="K8" s="780"/>
      <c r="L8" s="780"/>
      <c r="M8" s="780"/>
      <c r="N8" s="872" t="s">
        <v>165</v>
      </c>
      <c r="O8" s="873"/>
      <c r="P8" s="873"/>
      <c r="Q8" s="874"/>
      <c r="R8" s="875" t="s">
        <v>165</v>
      </c>
      <c r="S8" s="876"/>
      <c r="T8" s="876"/>
      <c r="U8" s="876"/>
      <c r="V8" s="833"/>
      <c r="W8" s="834"/>
      <c r="X8" s="834"/>
      <c r="Y8" s="835"/>
      <c r="Z8" s="1"/>
      <c r="AB8" s="165"/>
      <c r="AC8" s="233"/>
    </row>
    <row r="9" spans="1:29" ht="14.25" customHeight="1">
      <c r="A9" s="1"/>
      <c r="B9" s="877" t="s">
        <v>166</v>
      </c>
      <c r="C9" s="878"/>
      <c r="D9" s="878"/>
      <c r="E9" s="879"/>
      <c r="F9" s="587" t="s">
        <v>63</v>
      </c>
      <c r="G9" s="590"/>
      <c r="H9" s="590"/>
      <c r="I9" s="590"/>
      <c r="J9" s="587" t="s">
        <v>63</v>
      </c>
      <c r="K9" s="590"/>
      <c r="L9" s="590"/>
      <c r="M9" s="590"/>
      <c r="N9" s="587" t="s">
        <v>63</v>
      </c>
      <c r="O9" s="590"/>
      <c r="P9" s="590"/>
      <c r="Q9" s="591"/>
      <c r="R9" s="591" t="s">
        <v>63</v>
      </c>
      <c r="S9" s="527"/>
      <c r="T9" s="527"/>
      <c r="U9" s="527"/>
      <c r="V9" s="830"/>
      <c r="W9" s="831"/>
      <c r="X9" s="831"/>
      <c r="Y9" s="832"/>
      <c r="Z9" s="1"/>
      <c r="AB9" s="165"/>
      <c r="AC9" s="233"/>
    </row>
    <row r="10" spans="1:29" ht="14.25" customHeight="1">
      <c r="A10" s="1"/>
      <c r="B10" s="877" t="s">
        <v>10</v>
      </c>
      <c r="C10" s="878"/>
      <c r="D10" s="878"/>
      <c r="E10" s="879"/>
      <c r="F10" s="722">
        <v>46160</v>
      </c>
      <c r="G10" s="723"/>
      <c r="H10" s="723"/>
      <c r="I10" s="723"/>
      <c r="J10" s="722">
        <v>46160</v>
      </c>
      <c r="K10" s="723"/>
      <c r="L10" s="723"/>
      <c r="M10" s="723"/>
      <c r="N10" s="722">
        <v>46160</v>
      </c>
      <c r="O10" s="723"/>
      <c r="P10" s="723"/>
      <c r="Q10" s="723"/>
      <c r="R10" s="880">
        <v>46161</v>
      </c>
      <c r="S10" s="880"/>
      <c r="T10" s="880"/>
      <c r="U10" s="880"/>
      <c r="V10" s="830"/>
      <c r="W10" s="831"/>
      <c r="X10" s="831"/>
      <c r="Y10" s="832"/>
      <c r="Z10" s="1"/>
      <c r="AB10" s="165"/>
      <c r="AC10" s="233"/>
    </row>
    <row r="11" spans="1:29" ht="13.5" customHeight="1">
      <c r="A11" s="1"/>
      <c r="B11" s="877" t="s">
        <v>167</v>
      </c>
      <c r="C11" s="878"/>
      <c r="D11" s="878"/>
      <c r="E11" s="879"/>
      <c r="F11" s="881" t="s">
        <v>168</v>
      </c>
      <c r="G11" s="882"/>
      <c r="H11" s="882"/>
      <c r="I11" s="882"/>
      <c r="J11" s="881" t="s">
        <v>169</v>
      </c>
      <c r="K11" s="882"/>
      <c r="L11" s="882"/>
      <c r="M11" s="882"/>
      <c r="N11" s="881" t="s">
        <v>170</v>
      </c>
      <c r="O11" s="882"/>
      <c r="P11" s="882"/>
      <c r="Q11" s="882"/>
      <c r="R11" s="881" t="s">
        <v>171</v>
      </c>
      <c r="S11" s="882"/>
      <c r="T11" s="882"/>
      <c r="U11" s="882"/>
      <c r="V11" s="779"/>
      <c r="W11" s="780"/>
      <c r="X11" s="780"/>
      <c r="Y11" s="781"/>
      <c r="Z11" s="1"/>
      <c r="AB11" s="165"/>
      <c r="AC11" s="233"/>
    </row>
    <row r="12" spans="1:29" ht="13.5" customHeight="1">
      <c r="A12" s="1"/>
      <c r="B12" s="877" t="s">
        <v>172</v>
      </c>
      <c r="C12" s="878"/>
      <c r="D12" s="878"/>
      <c r="E12" s="879"/>
      <c r="F12" s="491">
        <v>0.58333333333333337</v>
      </c>
      <c r="G12" s="492"/>
      <c r="H12" s="492"/>
      <c r="I12" s="493"/>
      <c r="J12" s="492">
        <v>0.72916666666666663</v>
      </c>
      <c r="K12" s="492"/>
      <c r="L12" s="492"/>
      <c r="M12" s="493"/>
      <c r="N12" s="491">
        <v>0.8125</v>
      </c>
      <c r="O12" s="492"/>
      <c r="P12" s="492"/>
      <c r="Q12" s="493"/>
      <c r="R12" s="493">
        <v>0.875</v>
      </c>
      <c r="S12" s="507"/>
      <c r="T12" s="507"/>
      <c r="U12" s="507"/>
      <c r="V12" s="830"/>
      <c r="W12" s="831"/>
      <c r="X12" s="831"/>
      <c r="Y12" s="832"/>
      <c r="Z12" s="1"/>
      <c r="AB12" s="165"/>
      <c r="AC12" s="233"/>
    </row>
    <row r="13" spans="1:29" ht="14.25" customHeight="1" thickBot="1">
      <c r="A13" s="1"/>
      <c r="B13" s="884" t="s">
        <v>173</v>
      </c>
      <c r="C13" s="885"/>
      <c r="D13" s="885"/>
      <c r="E13" s="886"/>
      <c r="F13" s="887" t="s">
        <v>40</v>
      </c>
      <c r="G13" s="888"/>
      <c r="H13" s="888"/>
      <c r="I13" s="889"/>
      <c r="J13" s="890" t="s">
        <v>50</v>
      </c>
      <c r="K13" s="891"/>
      <c r="L13" s="891"/>
      <c r="M13" s="892"/>
      <c r="N13" s="893" t="s">
        <v>49</v>
      </c>
      <c r="O13" s="893"/>
      <c r="P13" s="893"/>
      <c r="Q13" s="893"/>
      <c r="R13" s="894" t="s">
        <v>103</v>
      </c>
      <c r="S13" s="894"/>
      <c r="T13" s="894"/>
      <c r="U13" s="894"/>
      <c r="V13" s="844"/>
      <c r="W13" s="845"/>
      <c r="X13" s="845"/>
      <c r="Y13" s="846"/>
      <c r="Z13" s="1"/>
      <c r="AB13" s="165"/>
      <c r="AC13" s="234"/>
    </row>
    <row r="14" spans="1:29" ht="14.25" customHeight="1">
      <c r="A14" s="1"/>
      <c r="B14" s="933" t="s">
        <v>81</v>
      </c>
      <c r="C14" s="934"/>
      <c r="D14" s="934"/>
      <c r="E14" s="935"/>
      <c r="F14" s="895" t="s">
        <v>39</v>
      </c>
      <c r="G14" s="896"/>
      <c r="H14" s="896"/>
      <c r="I14" s="897"/>
      <c r="J14" s="896" t="s">
        <v>42</v>
      </c>
      <c r="K14" s="896"/>
      <c r="L14" s="896"/>
      <c r="M14" s="896"/>
      <c r="N14" s="896" t="s">
        <v>41</v>
      </c>
      <c r="O14" s="896"/>
      <c r="P14" s="896"/>
      <c r="Q14" s="896"/>
      <c r="R14" s="895"/>
      <c r="S14" s="896"/>
      <c r="T14" s="896"/>
      <c r="U14" s="896"/>
      <c r="V14" s="761"/>
      <c r="W14" s="762"/>
      <c r="X14" s="762"/>
      <c r="Y14" s="843"/>
      <c r="Z14" s="1"/>
      <c r="AA14" s="253"/>
      <c r="AB14" s="165" t="s">
        <v>174</v>
      </c>
      <c r="AC14" s="235">
        <f>SUM(AC8:AC12)</f>
        <v>0</v>
      </c>
    </row>
    <row r="15" spans="1:29" ht="14.25" customHeight="1">
      <c r="A15" s="1"/>
      <c r="B15" s="918"/>
      <c r="C15" s="919"/>
      <c r="D15" s="919"/>
      <c r="E15" s="920"/>
      <c r="F15" s="883" t="s">
        <v>43</v>
      </c>
      <c r="G15" s="898"/>
      <c r="H15" s="898"/>
      <c r="I15" s="898"/>
      <c r="J15" s="895" t="s">
        <v>35</v>
      </c>
      <c r="K15" s="896"/>
      <c r="L15" s="896"/>
      <c r="M15" s="896"/>
      <c r="N15" s="896"/>
      <c r="O15" s="896"/>
      <c r="P15" s="896"/>
      <c r="Q15" s="896"/>
      <c r="R15" s="895"/>
      <c r="S15" s="896"/>
      <c r="T15" s="896"/>
      <c r="U15" s="896"/>
      <c r="V15" s="242"/>
      <c r="W15" s="243"/>
      <c r="X15" s="243"/>
      <c r="Y15" s="244"/>
      <c r="Z15" s="1"/>
      <c r="AA15" s="3" t="s">
        <v>175</v>
      </c>
      <c r="AC15" s="245"/>
    </row>
    <row r="16" spans="1:29" ht="14.25" customHeight="1">
      <c r="A16" s="1"/>
      <c r="B16" s="918"/>
      <c r="C16" s="919"/>
      <c r="D16" s="919"/>
      <c r="E16" s="920"/>
      <c r="F16" s="895" t="s">
        <v>47</v>
      </c>
      <c r="G16" s="896"/>
      <c r="H16" s="896"/>
      <c r="I16" s="897"/>
      <c r="J16" s="898" t="s">
        <v>45</v>
      </c>
      <c r="K16" s="898"/>
      <c r="L16" s="898"/>
      <c r="M16" s="898"/>
      <c r="N16" s="896"/>
      <c r="O16" s="896"/>
      <c r="P16" s="896"/>
      <c r="Q16" s="896"/>
      <c r="R16" s="895"/>
      <c r="S16" s="896"/>
      <c r="T16" s="896"/>
      <c r="U16" s="896"/>
      <c r="V16" s="242"/>
      <c r="W16" s="243"/>
      <c r="X16" s="243"/>
      <c r="Y16" s="244"/>
      <c r="Z16" s="1"/>
      <c r="AA16" s="3" t="s">
        <v>176</v>
      </c>
      <c r="AC16" s="245"/>
    </row>
    <row r="17" spans="2:28" ht="18.75" hidden="1" customHeight="1">
      <c r="B17" s="918"/>
      <c r="C17" s="919"/>
      <c r="D17" s="919"/>
      <c r="E17" s="920"/>
      <c r="F17" s="485"/>
      <c r="G17" s="485"/>
      <c r="H17" s="485"/>
      <c r="I17" s="486"/>
      <c r="J17" s="484"/>
      <c r="K17" s="485"/>
      <c r="L17" s="485"/>
      <c r="M17" s="486"/>
      <c r="N17" s="840"/>
      <c r="O17" s="841"/>
      <c r="P17" s="841"/>
      <c r="Q17" s="883"/>
      <c r="R17" s="484"/>
      <c r="S17" s="485"/>
      <c r="T17" s="485"/>
      <c r="U17" s="486"/>
      <c r="V17" s="840"/>
      <c r="W17" s="841"/>
      <c r="X17" s="841"/>
      <c r="Y17" s="842"/>
    </row>
    <row r="18" spans="2:28" ht="18" hidden="1" customHeight="1">
      <c r="B18" s="918"/>
      <c r="C18" s="919"/>
      <c r="D18" s="919"/>
      <c r="E18" s="920"/>
      <c r="F18" s="899"/>
      <c r="G18" s="899"/>
      <c r="H18" s="899"/>
      <c r="I18" s="900"/>
      <c r="J18" s="901"/>
      <c r="K18" s="899"/>
      <c r="L18" s="899"/>
      <c r="M18" s="900"/>
      <c r="N18" s="902"/>
      <c r="O18" s="903"/>
      <c r="P18" s="903"/>
      <c r="Q18" s="904"/>
      <c r="R18" s="902"/>
      <c r="S18" s="903"/>
      <c r="T18" s="903"/>
      <c r="U18" s="904"/>
      <c r="V18" s="587"/>
      <c r="W18" s="590"/>
      <c r="X18" s="590"/>
      <c r="Y18" s="839"/>
    </row>
    <row r="19" spans="2:28" ht="18" hidden="1" customHeight="1">
      <c r="B19" s="918"/>
      <c r="C19" s="919"/>
      <c r="D19" s="919"/>
      <c r="E19" s="920"/>
      <c r="F19" s="905"/>
      <c r="G19" s="905"/>
      <c r="H19" s="905"/>
      <c r="I19" s="905"/>
      <c r="J19" s="905"/>
      <c r="K19" s="905"/>
      <c r="L19" s="905"/>
      <c r="M19" s="905"/>
      <c r="N19" s="223"/>
      <c r="O19" s="905"/>
      <c r="P19" s="905"/>
      <c r="Q19" s="905"/>
      <c r="R19" s="223"/>
      <c r="S19" s="905"/>
      <c r="T19" s="905"/>
      <c r="U19" s="906"/>
      <c r="V19" s="836"/>
      <c r="W19" s="837"/>
      <c r="X19" s="837"/>
      <c r="Y19" s="838"/>
    </row>
    <row r="20" spans="2:28" ht="18" hidden="1" customHeight="1">
      <c r="B20" s="918"/>
      <c r="C20" s="919"/>
      <c r="D20" s="919"/>
      <c r="E20" s="920"/>
      <c r="F20" s="907"/>
      <c r="G20" s="907"/>
      <c r="H20" s="907"/>
      <c r="I20" s="907"/>
      <c r="J20" s="907"/>
      <c r="K20" s="907"/>
      <c r="L20" s="907"/>
      <c r="M20" s="907"/>
      <c r="N20" s="223"/>
      <c r="O20" s="907"/>
      <c r="P20" s="907"/>
      <c r="Q20" s="907"/>
      <c r="R20" s="223"/>
      <c r="S20" s="907"/>
      <c r="T20" s="907"/>
      <c r="U20" s="908"/>
      <c r="V20" s="836"/>
      <c r="W20" s="837"/>
      <c r="X20" s="837"/>
      <c r="Y20" s="838"/>
    </row>
    <row r="21" spans="2:28" ht="18" hidden="1" customHeight="1">
      <c r="B21" s="918"/>
      <c r="C21" s="919"/>
      <c r="D21" s="919"/>
      <c r="E21" s="920"/>
      <c r="F21" s="907"/>
      <c r="G21" s="907"/>
      <c r="H21" s="907"/>
      <c r="I21" s="907"/>
      <c r="J21" s="907"/>
      <c r="K21" s="907"/>
      <c r="L21" s="907"/>
      <c r="M21" s="907"/>
      <c r="N21" s="223"/>
      <c r="O21" s="907"/>
      <c r="P21" s="907"/>
      <c r="Q21" s="907"/>
      <c r="R21" s="223"/>
      <c r="S21" s="907"/>
      <c r="T21" s="907"/>
      <c r="U21" s="908"/>
      <c r="V21" s="836"/>
      <c r="W21" s="837"/>
      <c r="X21" s="837"/>
      <c r="Y21" s="838"/>
    </row>
    <row r="22" spans="2:28" ht="18" hidden="1" customHeight="1">
      <c r="B22" s="918"/>
      <c r="C22" s="919"/>
      <c r="D22" s="919"/>
      <c r="E22" s="920"/>
      <c r="F22" s="907"/>
      <c r="G22" s="907"/>
      <c r="H22" s="907"/>
      <c r="I22" s="907"/>
      <c r="J22" s="907"/>
      <c r="K22" s="907"/>
      <c r="L22" s="907"/>
      <c r="M22" s="907"/>
      <c r="N22" s="223"/>
      <c r="O22" s="907"/>
      <c r="P22" s="907"/>
      <c r="Q22" s="907"/>
      <c r="R22" s="223"/>
      <c r="S22" s="907"/>
      <c r="T22" s="907"/>
      <c r="U22" s="908"/>
      <c r="V22" s="836"/>
      <c r="W22" s="837"/>
      <c r="X22" s="837"/>
      <c r="Y22" s="838"/>
      <c r="AB22" s="3" t="s">
        <v>13</v>
      </c>
    </row>
    <row r="23" spans="2:28" ht="18" hidden="1" customHeight="1">
      <c r="B23" s="918"/>
      <c r="C23" s="919"/>
      <c r="D23" s="919"/>
      <c r="E23" s="920"/>
      <c r="F23" s="907"/>
      <c r="G23" s="907"/>
      <c r="H23" s="907"/>
      <c r="I23" s="907"/>
      <c r="J23" s="907"/>
      <c r="K23" s="907"/>
      <c r="L23" s="907"/>
      <c r="M23" s="907"/>
      <c r="N23" s="223"/>
      <c r="O23" s="907"/>
      <c r="P23" s="907"/>
      <c r="Q23" s="907"/>
      <c r="R23" s="223"/>
      <c r="S23" s="907"/>
      <c r="T23" s="907"/>
      <c r="U23" s="908"/>
      <c r="V23" s="836"/>
      <c r="W23" s="837"/>
      <c r="X23" s="837"/>
      <c r="Y23" s="838"/>
    </row>
    <row r="24" spans="2:28" ht="18" hidden="1" customHeight="1">
      <c r="B24" s="918"/>
      <c r="C24" s="919"/>
      <c r="D24" s="919"/>
      <c r="E24" s="920"/>
      <c r="F24" s="907"/>
      <c r="G24" s="907"/>
      <c r="H24" s="907"/>
      <c r="I24" s="907"/>
      <c r="J24" s="907"/>
      <c r="K24" s="907"/>
      <c r="L24" s="907"/>
      <c r="M24" s="907"/>
      <c r="N24" s="223"/>
      <c r="O24" s="907"/>
      <c r="P24" s="907"/>
      <c r="Q24" s="907"/>
      <c r="R24" s="223"/>
      <c r="S24" s="907"/>
      <c r="T24" s="907"/>
      <c r="U24" s="908"/>
      <c r="V24" s="836"/>
      <c r="W24" s="837"/>
      <c r="X24" s="837"/>
      <c r="Y24" s="838"/>
    </row>
    <row r="25" spans="2:28" ht="18" hidden="1" customHeight="1">
      <c r="B25" s="918"/>
      <c r="C25" s="919"/>
      <c r="D25" s="919"/>
      <c r="E25" s="920"/>
      <c r="F25" s="907"/>
      <c r="G25" s="907"/>
      <c r="H25" s="907"/>
      <c r="I25" s="907"/>
      <c r="J25" s="907"/>
      <c r="K25" s="907"/>
      <c r="L25" s="907"/>
      <c r="M25" s="907"/>
      <c r="N25" s="223"/>
      <c r="O25" s="907"/>
      <c r="P25" s="907"/>
      <c r="Q25" s="907"/>
      <c r="R25" s="223"/>
      <c r="S25" s="907"/>
      <c r="T25" s="907"/>
      <c r="U25" s="908"/>
      <c r="V25" s="836"/>
      <c r="W25" s="837"/>
      <c r="X25" s="837"/>
      <c r="Y25" s="838"/>
    </row>
    <row r="26" spans="2:28" ht="18" hidden="1" customHeight="1">
      <c r="B26" s="918"/>
      <c r="C26" s="919"/>
      <c r="D26" s="919"/>
      <c r="E26" s="920"/>
      <c r="F26" s="907"/>
      <c r="G26" s="907"/>
      <c r="H26" s="907"/>
      <c r="I26" s="907"/>
      <c r="J26" s="907"/>
      <c r="K26" s="907"/>
      <c r="L26" s="907"/>
      <c r="M26" s="907"/>
      <c r="N26" s="223"/>
      <c r="O26" s="907"/>
      <c r="P26" s="907"/>
      <c r="Q26" s="907"/>
      <c r="R26" s="223"/>
      <c r="S26" s="907"/>
      <c r="T26" s="907"/>
      <c r="U26" s="908"/>
      <c r="V26" s="836"/>
      <c r="W26" s="837"/>
      <c r="X26" s="837"/>
      <c r="Y26" s="838"/>
    </row>
    <row r="27" spans="2:28" ht="18" hidden="1" customHeight="1">
      <c r="B27" s="918"/>
      <c r="C27" s="919"/>
      <c r="D27" s="919"/>
      <c r="E27" s="920"/>
      <c r="F27" s="907"/>
      <c r="G27" s="907"/>
      <c r="H27" s="907"/>
      <c r="I27" s="907"/>
      <c r="J27" s="907"/>
      <c r="K27" s="907"/>
      <c r="L27" s="907"/>
      <c r="M27" s="907"/>
      <c r="N27" s="223"/>
      <c r="O27" s="907"/>
      <c r="P27" s="907"/>
      <c r="Q27" s="907"/>
      <c r="R27" s="223"/>
      <c r="S27" s="907"/>
      <c r="T27" s="907"/>
      <c r="U27" s="908"/>
      <c r="V27" s="836"/>
      <c r="W27" s="837"/>
      <c r="X27" s="837"/>
      <c r="Y27" s="838"/>
    </row>
    <row r="28" spans="2:28" ht="18" hidden="1" customHeight="1">
      <c r="B28" s="918"/>
      <c r="C28" s="919"/>
      <c r="D28" s="919"/>
      <c r="E28" s="920"/>
      <c r="F28" s="907"/>
      <c r="G28" s="907"/>
      <c r="H28" s="907"/>
      <c r="I28" s="907"/>
      <c r="J28" s="907"/>
      <c r="K28" s="907"/>
      <c r="L28" s="907"/>
      <c r="M28" s="907"/>
      <c r="N28" s="223"/>
      <c r="O28" s="907"/>
      <c r="P28" s="907"/>
      <c r="Q28" s="907"/>
      <c r="R28" s="223"/>
      <c r="S28" s="907"/>
      <c r="T28" s="907"/>
      <c r="U28" s="908"/>
      <c r="V28" s="836"/>
      <c r="W28" s="837"/>
      <c r="X28" s="837"/>
      <c r="Y28" s="838"/>
    </row>
    <row r="29" spans="2:28" ht="18" hidden="1" customHeight="1">
      <c r="B29" s="918"/>
      <c r="C29" s="919"/>
      <c r="D29" s="919"/>
      <c r="E29" s="920"/>
      <c r="F29" s="907"/>
      <c r="G29" s="907"/>
      <c r="H29" s="907"/>
      <c r="I29" s="907"/>
      <c r="J29" s="907"/>
      <c r="K29" s="907"/>
      <c r="L29" s="907"/>
      <c r="M29" s="907"/>
      <c r="N29" s="223"/>
      <c r="O29" s="907"/>
      <c r="P29" s="907"/>
      <c r="Q29" s="907"/>
      <c r="R29" s="223"/>
      <c r="S29" s="907"/>
      <c r="T29" s="907"/>
      <c r="U29" s="908"/>
      <c r="V29" s="836"/>
      <c r="W29" s="837"/>
      <c r="X29" s="837"/>
      <c r="Y29" s="838"/>
    </row>
    <row r="30" spans="2:28" ht="18" hidden="1" customHeight="1">
      <c r="B30" s="918"/>
      <c r="C30" s="919"/>
      <c r="D30" s="919"/>
      <c r="E30" s="920"/>
      <c r="F30" s="907"/>
      <c r="G30" s="907"/>
      <c r="H30" s="907"/>
      <c r="I30" s="907"/>
      <c r="J30" s="907"/>
      <c r="K30" s="907"/>
      <c r="L30" s="907"/>
      <c r="M30" s="907"/>
      <c r="N30" s="223"/>
      <c r="O30" s="907"/>
      <c r="P30" s="907"/>
      <c r="Q30" s="907"/>
      <c r="R30" s="223"/>
      <c r="S30" s="907"/>
      <c r="T30" s="907"/>
      <c r="U30" s="908"/>
      <c r="V30" s="836"/>
      <c r="W30" s="837"/>
      <c r="X30" s="837"/>
      <c r="Y30" s="838"/>
    </row>
    <row r="31" spans="2:28" ht="18" hidden="1" customHeight="1">
      <c r="B31" s="918"/>
      <c r="C31" s="919"/>
      <c r="D31" s="919"/>
      <c r="E31" s="920"/>
      <c r="F31" s="907"/>
      <c r="G31" s="907"/>
      <c r="H31" s="907"/>
      <c r="I31" s="907"/>
      <c r="J31" s="907"/>
      <c r="K31" s="907"/>
      <c r="L31" s="907"/>
      <c r="M31" s="907"/>
      <c r="N31" s="223"/>
      <c r="O31" s="907"/>
      <c r="P31" s="907"/>
      <c r="Q31" s="907"/>
      <c r="R31" s="223"/>
      <c r="S31" s="907"/>
      <c r="T31" s="907"/>
      <c r="U31" s="908"/>
      <c r="V31" s="836"/>
      <c r="W31" s="837"/>
      <c r="X31" s="837"/>
      <c r="Y31" s="838"/>
    </row>
    <row r="32" spans="2:28" ht="18" hidden="1" customHeight="1">
      <c r="B32" s="918"/>
      <c r="C32" s="919"/>
      <c r="D32" s="919"/>
      <c r="E32" s="920"/>
      <c r="F32" s="907"/>
      <c r="G32" s="907"/>
      <c r="H32" s="907"/>
      <c r="I32" s="907"/>
      <c r="J32" s="907"/>
      <c r="K32" s="907"/>
      <c r="L32" s="907"/>
      <c r="M32" s="907"/>
      <c r="N32" s="223"/>
      <c r="O32" s="907"/>
      <c r="P32" s="907"/>
      <c r="Q32" s="907"/>
      <c r="R32" s="223"/>
      <c r="S32" s="907"/>
      <c r="T32" s="907"/>
      <c r="U32" s="908"/>
      <c r="V32" s="836"/>
      <c r="W32" s="837"/>
      <c r="X32" s="837"/>
      <c r="Y32" s="838"/>
    </row>
    <row r="33" spans="2:25" ht="18" hidden="1" customHeight="1">
      <c r="B33" s="918"/>
      <c r="C33" s="919"/>
      <c r="D33" s="919"/>
      <c r="E33" s="920"/>
      <c r="F33" s="907"/>
      <c r="G33" s="907"/>
      <c r="H33" s="907"/>
      <c r="I33" s="907"/>
      <c r="J33" s="907"/>
      <c r="K33" s="907"/>
      <c r="L33" s="907"/>
      <c r="M33" s="907"/>
      <c r="N33" s="223"/>
      <c r="O33" s="907"/>
      <c r="P33" s="907"/>
      <c r="Q33" s="907"/>
      <c r="R33" s="223"/>
      <c r="S33" s="907"/>
      <c r="T33" s="907"/>
      <c r="U33" s="908"/>
      <c r="V33" s="836"/>
      <c r="W33" s="837"/>
      <c r="X33" s="837"/>
      <c r="Y33" s="838"/>
    </row>
    <row r="34" spans="2:25" ht="18" hidden="1" customHeight="1">
      <c r="B34" s="918"/>
      <c r="C34" s="919"/>
      <c r="D34" s="919"/>
      <c r="E34" s="920"/>
      <c r="F34" s="907"/>
      <c r="G34" s="907"/>
      <c r="H34" s="907"/>
      <c r="I34" s="907"/>
      <c r="J34" s="907"/>
      <c r="K34" s="907"/>
      <c r="L34" s="907"/>
      <c r="M34" s="907"/>
      <c r="N34" s="223"/>
      <c r="O34" s="907"/>
      <c r="P34" s="907"/>
      <c r="Q34" s="907"/>
      <c r="R34" s="223"/>
      <c r="S34" s="907"/>
      <c r="T34" s="907"/>
      <c r="U34" s="908"/>
      <c r="V34" s="836"/>
      <c r="W34" s="837"/>
      <c r="X34" s="837"/>
      <c r="Y34" s="838"/>
    </row>
    <row r="35" spans="2:25" ht="18" hidden="1" customHeight="1">
      <c r="B35" s="918"/>
      <c r="C35" s="919"/>
      <c r="D35" s="919"/>
      <c r="E35" s="920"/>
      <c r="F35" s="907"/>
      <c r="G35" s="907"/>
      <c r="H35" s="907"/>
      <c r="I35" s="907"/>
      <c r="J35" s="907"/>
      <c r="K35" s="907"/>
      <c r="L35" s="907"/>
      <c r="M35" s="907"/>
      <c r="N35" s="223"/>
      <c r="O35" s="907"/>
      <c r="P35" s="907"/>
      <c r="Q35" s="907"/>
      <c r="R35" s="223"/>
      <c r="S35" s="907"/>
      <c r="T35" s="907"/>
      <c r="U35" s="908"/>
      <c r="V35" s="836"/>
      <c r="W35" s="837"/>
      <c r="X35" s="837"/>
      <c r="Y35" s="838"/>
    </row>
    <row r="36" spans="2:25" ht="18" hidden="1" customHeight="1">
      <c r="B36" s="918"/>
      <c r="C36" s="919"/>
      <c r="D36" s="919"/>
      <c r="E36" s="920"/>
      <c r="F36" s="907"/>
      <c r="G36" s="907"/>
      <c r="H36" s="907"/>
      <c r="I36" s="907"/>
      <c r="J36" s="907"/>
      <c r="K36" s="907"/>
      <c r="L36" s="907"/>
      <c r="M36" s="907"/>
      <c r="N36" s="223"/>
      <c r="O36" s="907"/>
      <c r="P36" s="907"/>
      <c r="Q36" s="907"/>
      <c r="R36" s="223"/>
      <c r="S36" s="907"/>
      <c r="T36" s="907"/>
      <c r="U36" s="908"/>
      <c r="V36" s="836"/>
      <c r="W36" s="837"/>
      <c r="X36" s="837"/>
      <c r="Y36" s="838"/>
    </row>
    <row r="37" spans="2:25" ht="18" hidden="1" customHeight="1">
      <c r="B37" s="918"/>
      <c r="C37" s="919"/>
      <c r="D37" s="919"/>
      <c r="E37" s="920"/>
      <c r="F37" s="907"/>
      <c r="G37" s="907"/>
      <c r="H37" s="907"/>
      <c r="I37" s="907"/>
      <c r="J37" s="907"/>
      <c r="K37" s="907"/>
      <c r="L37" s="907"/>
      <c r="M37" s="907"/>
      <c r="N37" s="223"/>
      <c r="O37" s="907"/>
      <c r="P37" s="907"/>
      <c r="Q37" s="907"/>
      <c r="R37" s="223"/>
      <c r="S37" s="907"/>
      <c r="T37" s="907"/>
      <c r="U37" s="908"/>
      <c r="V37" s="836"/>
      <c r="W37" s="837"/>
      <c r="X37" s="837"/>
      <c r="Y37" s="838"/>
    </row>
    <row r="38" spans="2:25" ht="18" hidden="1" customHeight="1">
      <c r="B38" s="918"/>
      <c r="C38" s="919"/>
      <c r="D38" s="919"/>
      <c r="E38" s="920"/>
      <c r="F38" s="907"/>
      <c r="G38" s="907"/>
      <c r="H38" s="907"/>
      <c r="I38" s="907"/>
      <c r="J38" s="907"/>
      <c r="K38" s="907"/>
      <c r="L38" s="907"/>
      <c r="M38" s="907"/>
      <c r="N38" s="223"/>
      <c r="O38" s="907"/>
      <c r="P38" s="907"/>
      <c r="Q38" s="907"/>
      <c r="R38" s="223"/>
      <c r="S38" s="907"/>
      <c r="T38" s="907"/>
      <c r="U38" s="908"/>
      <c r="V38" s="836"/>
      <c r="W38" s="837"/>
      <c r="X38" s="837"/>
      <c r="Y38" s="838"/>
    </row>
    <row r="39" spans="2:25" ht="18" hidden="1" customHeight="1">
      <c r="B39" s="918"/>
      <c r="C39" s="919"/>
      <c r="D39" s="919"/>
      <c r="E39" s="920"/>
      <c r="F39" s="907"/>
      <c r="G39" s="907"/>
      <c r="H39" s="907"/>
      <c r="I39" s="907"/>
      <c r="J39" s="907"/>
      <c r="K39" s="907"/>
      <c r="L39" s="907"/>
      <c r="M39" s="907"/>
      <c r="N39" s="223"/>
      <c r="O39" s="907"/>
      <c r="P39" s="907"/>
      <c r="Q39" s="907"/>
      <c r="R39" s="223"/>
      <c r="S39" s="907"/>
      <c r="T39" s="907"/>
      <c r="U39" s="908"/>
      <c r="V39" s="836"/>
      <c r="W39" s="837"/>
      <c r="X39" s="837"/>
      <c r="Y39" s="838"/>
    </row>
    <row r="40" spans="2:25" ht="18" hidden="1" customHeight="1">
      <c r="B40" s="918"/>
      <c r="C40" s="919"/>
      <c r="D40" s="919"/>
      <c r="E40" s="920"/>
      <c r="F40" s="907"/>
      <c r="G40" s="907"/>
      <c r="H40" s="907"/>
      <c r="I40" s="907"/>
      <c r="J40" s="907"/>
      <c r="K40" s="907"/>
      <c r="L40" s="907"/>
      <c r="M40" s="907"/>
      <c r="N40" s="223"/>
      <c r="O40" s="907"/>
      <c r="P40" s="907"/>
      <c r="Q40" s="907"/>
      <c r="R40" s="223"/>
      <c r="S40" s="907"/>
      <c r="T40" s="907"/>
      <c r="U40" s="908"/>
      <c r="V40" s="836"/>
      <c r="W40" s="837"/>
      <c r="X40" s="837"/>
      <c r="Y40" s="838"/>
    </row>
    <row r="41" spans="2:25" ht="18" hidden="1" customHeight="1">
      <c r="B41" s="918"/>
      <c r="C41" s="919"/>
      <c r="D41" s="919"/>
      <c r="E41" s="920"/>
      <c r="F41" s="907"/>
      <c r="G41" s="907"/>
      <c r="H41" s="907"/>
      <c r="I41" s="907"/>
      <c r="J41" s="907"/>
      <c r="K41" s="907"/>
      <c r="L41" s="907"/>
      <c r="M41" s="907"/>
      <c r="N41" s="223"/>
      <c r="O41" s="907"/>
      <c r="P41" s="907"/>
      <c r="Q41" s="907"/>
      <c r="R41" s="223"/>
      <c r="S41" s="907"/>
      <c r="T41" s="907"/>
      <c r="U41" s="908"/>
      <c r="V41" s="836"/>
      <c r="W41" s="837"/>
      <c r="X41" s="837"/>
      <c r="Y41" s="838"/>
    </row>
    <row r="42" spans="2:25" ht="18" hidden="1" customHeight="1">
      <c r="B42" s="918"/>
      <c r="C42" s="919"/>
      <c r="D42" s="919"/>
      <c r="E42" s="920"/>
      <c r="F42" s="907"/>
      <c r="G42" s="907"/>
      <c r="H42" s="907"/>
      <c r="I42" s="907"/>
      <c r="J42" s="907"/>
      <c r="K42" s="907"/>
      <c r="L42" s="907"/>
      <c r="M42" s="907"/>
      <c r="N42" s="223"/>
      <c r="O42" s="907"/>
      <c r="P42" s="907"/>
      <c r="Q42" s="907"/>
      <c r="R42" s="223"/>
      <c r="S42" s="907"/>
      <c r="T42" s="907"/>
      <c r="U42" s="908"/>
      <c r="V42" s="836"/>
      <c r="W42" s="837"/>
      <c r="X42" s="837"/>
      <c r="Y42" s="838"/>
    </row>
    <row r="43" spans="2:25" ht="18" hidden="1" customHeight="1">
      <c r="B43" s="918"/>
      <c r="C43" s="919"/>
      <c r="D43" s="919"/>
      <c r="E43" s="920"/>
      <c r="F43" s="907"/>
      <c r="G43" s="907"/>
      <c r="H43" s="907"/>
      <c r="I43" s="907"/>
      <c r="J43" s="907"/>
      <c r="K43" s="907"/>
      <c r="L43" s="907"/>
      <c r="M43" s="907"/>
      <c r="N43" s="223"/>
      <c r="O43" s="907"/>
      <c r="P43" s="907"/>
      <c r="Q43" s="907"/>
      <c r="R43" s="223"/>
      <c r="S43" s="907"/>
      <c r="T43" s="907"/>
      <c r="U43" s="908"/>
      <c r="V43" s="836"/>
      <c r="W43" s="837"/>
      <c r="X43" s="837"/>
      <c r="Y43" s="838"/>
    </row>
    <row r="44" spans="2:25" ht="18" hidden="1" customHeight="1">
      <c r="B44" s="918"/>
      <c r="C44" s="919"/>
      <c r="D44" s="919"/>
      <c r="E44" s="920"/>
      <c r="F44" s="907"/>
      <c r="G44" s="907"/>
      <c r="H44" s="907"/>
      <c r="I44" s="907"/>
      <c r="J44" s="907"/>
      <c r="K44" s="907"/>
      <c r="L44" s="907"/>
      <c r="M44" s="907"/>
      <c r="N44" s="223"/>
      <c r="O44" s="907"/>
      <c r="P44" s="907"/>
      <c r="Q44" s="907"/>
      <c r="R44" s="223"/>
      <c r="S44" s="907"/>
      <c r="T44" s="907"/>
      <c r="U44" s="908"/>
      <c r="V44" s="836"/>
      <c r="W44" s="837"/>
      <c r="X44" s="837"/>
      <c r="Y44" s="838"/>
    </row>
    <row r="45" spans="2:25" ht="18" hidden="1" customHeight="1">
      <c r="B45" s="918"/>
      <c r="C45" s="919"/>
      <c r="D45" s="919"/>
      <c r="E45" s="920"/>
      <c r="F45" s="907"/>
      <c r="G45" s="907"/>
      <c r="H45" s="907"/>
      <c r="I45" s="907"/>
      <c r="J45" s="907"/>
      <c r="K45" s="907"/>
      <c r="L45" s="907"/>
      <c r="M45" s="907"/>
      <c r="N45" s="223"/>
      <c r="O45" s="907"/>
      <c r="P45" s="907"/>
      <c r="Q45" s="907"/>
      <c r="R45" s="223"/>
      <c r="S45" s="907"/>
      <c r="T45" s="907"/>
      <c r="U45" s="908"/>
      <c r="V45" s="836"/>
      <c r="W45" s="837"/>
      <c r="X45" s="837"/>
      <c r="Y45" s="838"/>
    </row>
    <row r="46" spans="2:25" ht="18" hidden="1" customHeight="1">
      <c r="B46" s="918"/>
      <c r="C46" s="919"/>
      <c r="D46" s="919"/>
      <c r="E46" s="920"/>
      <c r="F46" s="907"/>
      <c r="G46" s="907"/>
      <c r="H46" s="907"/>
      <c r="I46" s="907"/>
      <c r="J46" s="907"/>
      <c r="K46" s="907"/>
      <c r="L46" s="907"/>
      <c r="M46" s="907"/>
      <c r="N46" s="223"/>
      <c r="O46" s="907"/>
      <c r="P46" s="907"/>
      <c r="Q46" s="907"/>
      <c r="R46" s="223"/>
      <c r="S46" s="907"/>
      <c r="T46" s="907"/>
      <c r="U46" s="908"/>
      <c r="V46" s="836"/>
      <c r="W46" s="837"/>
      <c r="X46" s="837"/>
      <c r="Y46" s="838"/>
    </row>
    <row r="47" spans="2:25" ht="18" hidden="1" customHeight="1">
      <c r="B47" s="918"/>
      <c r="C47" s="919"/>
      <c r="D47" s="919"/>
      <c r="E47" s="920"/>
      <c r="F47" s="907"/>
      <c r="G47" s="907"/>
      <c r="H47" s="907"/>
      <c r="I47" s="907"/>
      <c r="J47" s="907"/>
      <c r="K47" s="907"/>
      <c r="L47" s="907"/>
      <c r="M47" s="907"/>
      <c r="N47" s="223"/>
      <c r="O47" s="907"/>
      <c r="P47" s="907"/>
      <c r="Q47" s="907"/>
      <c r="R47" s="223"/>
      <c r="S47" s="907"/>
      <c r="T47" s="907"/>
      <c r="U47" s="908"/>
      <c r="V47" s="836"/>
      <c r="W47" s="837"/>
      <c r="X47" s="837"/>
      <c r="Y47" s="838"/>
    </row>
    <row r="48" spans="2:25" ht="18" hidden="1" customHeight="1">
      <c r="B48" s="918"/>
      <c r="C48" s="919"/>
      <c r="D48" s="919"/>
      <c r="E48" s="920"/>
      <c r="F48" s="907"/>
      <c r="G48" s="907"/>
      <c r="H48" s="907"/>
      <c r="I48" s="907"/>
      <c r="J48" s="907"/>
      <c r="K48" s="907"/>
      <c r="L48" s="907"/>
      <c r="M48" s="907"/>
      <c r="N48" s="223"/>
      <c r="O48" s="907"/>
      <c r="P48" s="907"/>
      <c r="Q48" s="907"/>
      <c r="R48" s="223"/>
      <c r="S48" s="907"/>
      <c r="T48" s="907"/>
      <c r="U48" s="908"/>
      <c r="V48" s="836"/>
      <c r="W48" s="837"/>
      <c r="X48" s="837"/>
      <c r="Y48" s="838"/>
    </row>
    <row r="49" spans="2:25" ht="18" hidden="1" customHeight="1">
      <c r="B49" s="918"/>
      <c r="C49" s="919"/>
      <c r="D49" s="919"/>
      <c r="E49" s="920"/>
      <c r="F49" s="907"/>
      <c r="G49" s="907"/>
      <c r="H49" s="907"/>
      <c r="I49" s="907"/>
      <c r="J49" s="907"/>
      <c r="K49" s="907"/>
      <c r="L49" s="907"/>
      <c r="M49" s="907"/>
      <c r="N49" s="223"/>
      <c r="O49" s="907"/>
      <c r="P49" s="907"/>
      <c r="Q49" s="907"/>
      <c r="R49" s="223"/>
      <c r="S49" s="907"/>
      <c r="T49" s="907"/>
      <c r="U49" s="908"/>
      <c r="V49" s="836"/>
      <c r="W49" s="837"/>
      <c r="X49" s="837"/>
      <c r="Y49" s="838"/>
    </row>
    <row r="50" spans="2:25" ht="18" hidden="1" customHeight="1">
      <c r="B50" s="918"/>
      <c r="C50" s="919"/>
      <c r="D50" s="919"/>
      <c r="E50" s="920"/>
      <c r="F50" s="907"/>
      <c r="G50" s="907"/>
      <c r="H50" s="907"/>
      <c r="I50" s="907"/>
      <c r="J50" s="907"/>
      <c r="K50" s="907"/>
      <c r="L50" s="907"/>
      <c r="M50" s="907"/>
      <c r="N50" s="223"/>
      <c r="O50" s="907"/>
      <c r="P50" s="907"/>
      <c r="Q50" s="907"/>
      <c r="R50" s="223"/>
      <c r="S50" s="907"/>
      <c r="T50" s="907"/>
      <c r="U50" s="908"/>
      <c r="V50" s="836"/>
      <c r="W50" s="837"/>
      <c r="X50" s="837"/>
      <c r="Y50" s="838"/>
    </row>
    <row r="51" spans="2:25" ht="18" hidden="1" customHeight="1">
      <c r="B51" s="918"/>
      <c r="C51" s="919"/>
      <c r="D51" s="919"/>
      <c r="E51" s="920"/>
      <c r="F51" s="907"/>
      <c r="G51" s="907"/>
      <c r="H51" s="907"/>
      <c r="I51" s="907"/>
      <c r="J51" s="907"/>
      <c r="K51" s="907"/>
      <c r="L51" s="907"/>
      <c r="M51" s="907"/>
      <c r="N51" s="223"/>
      <c r="O51" s="907"/>
      <c r="P51" s="907"/>
      <c r="Q51" s="907"/>
      <c r="R51" s="223"/>
      <c r="S51" s="907"/>
      <c r="T51" s="907"/>
      <c r="U51" s="908"/>
      <c r="V51" s="836"/>
      <c r="W51" s="837"/>
      <c r="X51" s="837"/>
      <c r="Y51" s="838"/>
    </row>
    <row r="52" spans="2:25" ht="18" hidden="1" customHeight="1">
      <c r="B52" s="918"/>
      <c r="C52" s="919"/>
      <c r="D52" s="919"/>
      <c r="E52" s="920"/>
      <c r="F52" s="907"/>
      <c r="G52" s="907"/>
      <c r="H52" s="907"/>
      <c r="I52" s="907"/>
      <c r="J52" s="907"/>
      <c r="K52" s="907"/>
      <c r="L52" s="907"/>
      <c r="M52" s="907"/>
      <c r="N52" s="223"/>
      <c r="O52" s="907"/>
      <c r="P52" s="907"/>
      <c r="Q52" s="907"/>
      <c r="R52" s="223"/>
      <c r="S52" s="907"/>
      <c r="T52" s="907"/>
      <c r="U52" s="908"/>
      <c r="V52" s="836"/>
      <c r="W52" s="837"/>
      <c r="X52" s="837"/>
      <c r="Y52" s="838"/>
    </row>
    <row r="53" spans="2:25" ht="18" hidden="1" customHeight="1">
      <c r="B53" s="918"/>
      <c r="C53" s="919"/>
      <c r="D53" s="919"/>
      <c r="E53" s="920"/>
      <c r="F53" s="907"/>
      <c r="G53" s="907"/>
      <c r="H53" s="907"/>
      <c r="I53" s="907"/>
      <c r="J53" s="907"/>
      <c r="K53" s="907"/>
      <c r="L53" s="907"/>
      <c r="M53" s="907"/>
      <c r="N53" s="223"/>
      <c r="O53" s="907"/>
      <c r="P53" s="907"/>
      <c r="Q53" s="907"/>
      <c r="R53" s="223"/>
      <c r="S53" s="907"/>
      <c r="T53" s="907"/>
      <c r="U53" s="908"/>
      <c r="V53" s="836"/>
      <c r="W53" s="837"/>
      <c r="X53" s="837"/>
      <c r="Y53" s="838"/>
    </row>
    <row r="54" spans="2:25" ht="18" hidden="1" customHeight="1">
      <c r="B54" s="918"/>
      <c r="C54" s="919"/>
      <c r="D54" s="919"/>
      <c r="E54" s="920"/>
      <c r="F54" s="907"/>
      <c r="G54" s="907"/>
      <c r="H54" s="907"/>
      <c r="I54" s="907"/>
      <c r="J54" s="907"/>
      <c r="K54" s="907"/>
      <c r="L54" s="907"/>
      <c r="M54" s="907"/>
      <c r="N54" s="223"/>
      <c r="O54" s="907"/>
      <c r="P54" s="907"/>
      <c r="Q54" s="907"/>
      <c r="R54" s="223"/>
      <c r="S54" s="907"/>
      <c r="T54" s="907"/>
      <c r="U54" s="908"/>
      <c r="V54" s="836"/>
      <c r="W54" s="837"/>
      <c r="X54" s="837"/>
      <c r="Y54" s="838"/>
    </row>
    <row r="55" spans="2:25" ht="18" hidden="1" customHeight="1">
      <c r="B55" s="918"/>
      <c r="C55" s="919"/>
      <c r="D55" s="919"/>
      <c r="E55" s="920"/>
      <c r="F55" s="907"/>
      <c r="G55" s="907"/>
      <c r="H55" s="907"/>
      <c r="I55" s="907"/>
      <c r="J55" s="907"/>
      <c r="K55" s="907"/>
      <c r="L55" s="907"/>
      <c r="M55" s="907"/>
      <c r="N55" s="223"/>
      <c r="O55" s="907"/>
      <c r="P55" s="907"/>
      <c r="Q55" s="907"/>
      <c r="R55" s="223"/>
      <c r="S55" s="907"/>
      <c r="T55" s="907"/>
      <c r="U55" s="908"/>
      <c r="V55" s="836"/>
      <c r="W55" s="837"/>
      <c r="X55" s="837"/>
      <c r="Y55" s="838"/>
    </row>
    <row r="56" spans="2:25" ht="18" hidden="1" customHeight="1">
      <c r="B56" s="918"/>
      <c r="C56" s="919"/>
      <c r="D56" s="919"/>
      <c r="E56" s="920"/>
      <c r="F56" s="907"/>
      <c r="G56" s="907"/>
      <c r="H56" s="907"/>
      <c r="I56" s="907"/>
      <c r="J56" s="907"/>
      <c r="K56" s="907"/>
      <c r="L56" s="907"/>
      <c r="M56" s="907"/>
      <c r="N56" s="223"/>
      <c r="O56" s="907"/>
      <c r="P56" s="907"/>
      <c r="Q56" s="907"/>
      <c r="R56" s="223"/>
      <c r="S56" s="907"/>
      <c r="T56" s="907"/>
      <c r="U56" s="908"/>
      <c r="V56" s="836"/>
      <c r="W56" s="837"/>
      <c r="X56" s="837"/>
      <c r="Y56" s="838"/>
    </row>
    <row r="57" spans="2:25" ht="18" hidden="1" customHeight="1">
      <c r="B57" s="918"/>
      <c r="C57" s="919"/>
      <c r="D57" s="919"/>
      <c r="E57" s="920"/>
      <c r="F57" s="907"/>
      <c r="G57" s="907"/>
      <c r="H57" s="907"/>
      <c r="I57" s="907"/>
      <c r="J57" s="907"/>
      <c r="K57" s="907"/>
      <c r="L57" s="907"/>
      <c r="M57" s="907"/>
      <c r="N57" s="223"/>
      <c r="O57" s="907"/>
      <c r="P57" s="907"/>
      <c r="Q57" s="907"/>
      <c r="R57" s="223"/>
      <c r="S57" s="907"/>
      <c r="T57" s="907"/>
      <c r="U57" s="908"/>
      <c r="V57" s="836"/>
      <c r="W57" s="837"/>
      <c r="X57" s="837"/>
      <c r="Y57" s="838"/>
    </row>
    <row r="58" spans="2:25" ht="18" hidden="1" customHeight="1">
      <c r="B58" s="918"/>
      <c r="C58" s="919"/>
      <c r="D58" s="919"/>
      <c r="E58" s="920"/>
      <c r="F58" s="907"/>
      <c r="G58" s="907"/>
      <c r="H58" s="907"/>
      <c r="I58" s="907"/>
      <c r="J58" s="907"/>
      <c r="K58" s="907"/>
      <c r="L58" s="907"/>
      <c r="M58" s="907"/>
      <c r="N58" s="223"/>
      <c r="O58" s="907"/>
      <c r="P58" s="907"/>
      <c r="Q58" s="907"/>
      <c r="R58" s="223"/>
      <c r="S58" s="907"/>
      <c r="T58" s="907"/>
      <c r="U58" s="908"/>
      <c r="V58" s="836"/>
      <c r="W58" s="837"/>
      <c r="X58" s="837"/>
      <c r="Y58" s="838"/>
    </row>
    <row r="59" spans="2:25" ht="18" hidden="1" customHeight="1">
      <c r="B59" s="918"/>
      <c r="C59" s="919"/>
      <c r="D59" s="919"/>
      <c r="E59" s="920"/>
      <c r="F59" s="907"/>
      <c r="G59" s="907"/>
      <c r="H59" s="907"/>
      <c r="I59" s="907"/>
      <c r="J59" s="907"/>
      <c r="K59" s="907"/>
      <c r="L59" s="907"/>
      <c r="M59" s="907"/>
      <c r="N59" s="223"/>
      <c r="O59" s="907"/>
      <c r="P59" s="907"/>
      <c r="Q59" s="907"/>
      <c r="R59" s="223"/>
      <c r="S59" s="907"/>
      <c r="T59" s="907"/>
      <c r="U59" s="908"/>
      <c r="V59" s="836"/>
      <c r="W59" s="837"/>
      <c r="X59" s="837"/>
      <c r="Y59" s="838"/>
    </row>
    <row r="60" spans="2:25" ht="18" hidden="1" customHeight="1">
      <c r="B60" s="918"/>
      <c r="C60" s="919"/>
      <c r="D60" s="919"/>
      <c r="E60" s="920"/>
      <c r="F60" s="907"/>
      <c r="G60" s="907"/>
      <c r="H60" s="907"/>
      <c r="I60" s="907"/>
      <c r="J60" s="907"/>
      <c r="K60" s="907"/>
      <c r="L60" s="907"/>
      <c r="M60" s="907"/>
      <c r="N60" s="223"/>
      <c r="O60" s="907"/>
      <c r="P60" s="907"/>
      <c r="Q60" s="907"/>
      <c r="R60" s="223"/>
      <c r="S60" s="907"/>
      <c r="T60" s="907"/>
      <c r="U60" s="908"/>
      <c r="V60" s="836"/>
      <c r="W60" s="837"/>
      <c r="X60" s="837"/>
      <c r="Y60" s="838"/>
    </row>
    <row r="61" spans="2:25" ht="18" hidden="1" customHeight="1">
      <c r="B61" s="918"/>
      <c r="C61" s="919"/>
      <c r="D61" s="919"/>
      <c r="E61" s="920"/>
      <c r="F61" s="907"/>
      <c r="G61" s="907"/>
      <c r="H61" s="907"/>
      <c r="I61" s="907"/>
      <c r="J61" s="907"/>
      <c r="K61" s="907"/>
      <c r="L61" s="907"/>
      <c r="M61" s="907"/>
      <c r="N61" s="223"/>
      <c r="O61" s="907"/>
      <c r="P61" s="907"/>
      <c r="Q61" s="907"/>
      <c r="R61" s="223"/>
      <c r="S61" s="907"/>
      <c r="T61" s="907"/>
      <c r="U61" s="908"/>
      <c r="V61" s="836"/>
      <c r="W61" s="837"/>
      <c r="X61" s="837"/>
      <c r="Y61" s="838"/>
    </row>
    <row r="62" spans="2:25" ht="18" hidden="1" customHeight="1">
      <c r="B62" s="918"/>
      <c r="C62" s="919"/>
      <c r="D62" s="919"/>
      <c r="E62" s="920"/>
      <c r="F62" s="907"/>
      <c r="G62" s="907"/>
      <c r="H62" s="907"/>
      <c r="I62" s="907"/>
      <c r="J62" s="907"/>
      <c r="K62" s="907"/>
      <c r="L62" s="907"/>
      <c r="M62" s="907"/>
      <c r="N62" s="223"/>
      <c r="O62" s="907"/>
      <c r="P62" s="907"/>
      <c r="Q62" s="907"/>
      <c r="R62" s="223"/>
      <c r="S62" s="907"/>
      <c r="T62" s="907"/>
      <c r="U62" s="908"/>
      <c r="V62" s="836"/>
      <c r="W62" s="837"/>
      <c r="X62" s="837"/>
      <c r="Y62" s="838"/>
    </row>
    <row r="63" spans="2:25" ht="18" hidden="1" customHeight="1">
      <c r="B63" s="918"/>
      <c r="C63" s="919"/>
      <c r="D63" s="919"/>
      <c r="E63" s="920"/>
      <c r="F63" s="907"/>
      <c r="G63" s="907"/>
      <c r="H63" s="907"/>
      <c r="I63" s="907"/>
      <c r="J63" s="907"/>
      <c r="K63" s="907"/>
      <c r="L63" s="907"/>
      <c r="M63" s="907"/>
      <c r="N63" s="223"/>
      <c r="O63" s="907"/>
      <c r="P63" s="907"/>
      <c r="Q63" s="907"/>
      <c r="R63" s="223"/>
      <c r="S63" s="907"/>
      <c r="T63" s="907"/>
      <c r="U63" s="908"/>
      <c r="V63" s="836"/>
      <c r="W63" s="837"/>
      <c r="X63" s="837"/>
      <c r="Y63" s="838"/>
    </row>
    <row r="64" spans="2:25" ht="18" hidden="1" customHeight="1">
      <c r="B64" s="918"/>
      <c r="C64" s="919"/>
      <c r="D64" s="919"/>
      <c r="E64" s="920"/>
      <c r="F64" s="907"/>
      <c r="G64" s="907"/>
      <c r="H64" s="907"/>
      <c r="I64" s="907"/>
      <c r="J64" s="907"/>
      <c r="K64" s="907"/>
      <c r="L64" s="907"/>
      <c r="M64" s="907"/>
      <c r="N64" s="223"/>
      <c r="O64" s="907"/>
      <c r="P64" s="907"/>
      <c r="Q64" s="907"/>
      <c r="R64" s="223"/>
      <c r="S64" s="907"/>
      <c r="T64" s="907"/>
      <c r="U64" s="908"/>
      <c r="V64" s="836"/>
      <c r="W64" s="837"/>
      <c r="X64" s="837"/>
      <c r="Y64" s="838"/>
    </row>
    <row r="65" spans="2:25" ht="18" hidden="1" customHeight="1">
      <c r="B65" s="918"/>
      <c r="C65" s="919"/>
      <c r="D65" s="919"/>
      <c r="E65" s="920"/>
      <c r="F65" s="907"/>
      <c r="G65" s="907"/>
      <c r="H65" s="907"/>
      <c r="I65" s="907"/>
      <c r="J65" s="907"/>
      <c r="K65" s="907"/>
      <c r="L65" s="907"/>
      <c r="M65" s="907"/>
      <c r="N65" s="223"/>
      <c r="O65" s="907"/>
      <c r="P65" s="907"/>
      <c r="Q65" s="907"/>
      <c r="R65" s="223"/>
      <c r="S65" s="907"/>
      <c r="T65" s="907"/>
      <c r="U65" s="908"/>
      <c r="V65" s="836"/>
      <c r="W65" s="837"/>
      <c r="X65" s="837"/>
      <c r="Y65" s="838"/>
    </row>
    <row r="66" spans="2:25" ht="18" hidden="1" customHeight="1">
      <c r="B66" s="918"/>
      <c r="C66" s="919"/>
      <c r="D66" s="919"/>
      <c r="E66" s="920"/>
      <c r="F66" s="907"/>
      <c r="G66" s="907"/>
      <c r="H66" s="907"/>
      <c r="I66" s="907"/>
      <c r="J66" s="907"/>
      <c r="K66" s="907"/>
      <c r="L66" s="907"/>
      <c r="M66" s="907"/>
      <c r="N66" s="223"/>
      <c r="O66" s="907"/>
      <c r="P66" s="907"/>
      <c r="Q66" s="907"/>
      <c r="R66" s="223"/>
      <c r="S66" s="907"/>
      <c r="T66" s="907"/>
      <c r="U66" s="908"/>
      <c r="V66" s="836"/>
      <c r="W66" s="837"/>
      <c r="X66" s="837"/>
      <c r="Y66" s="838"/>
    </row>
    <row r="67" spans="2:25" ht="18" hidden="1" customHeight="1">
      <c r="B67" s="918"/>
      <c r="C67" s="919"/>
      <c r="D67" s="919"/>
      <c r="E67" s="920"/>
      <c r="F67" s="907"/>
      <c r="G67" s="907"/>
      <c r="H67" s="907"/>
      <c r="I67" s="907"/>
      <c r="J67" s="907"/>
      <c r="K67" s="907"/>
      <c r="L67" s="907"/>
      <c r="M67" s="907"/>
      <c r="N67" s="223"/>
      <c r="O67" s="907"/>
      <c r="P67" s="907"/>
      <c r="Q67" s="907"/>
      <c r="R67" s="223"/>
      <c r="S67" s="907"/>
      <c r="T67" s="907"/>
      <c r="U67" s="908"/>
      <c r="V67" s="836"/>
      <c r="W67" s="837"/>
      <c r="X67" s="837"/>
      <c r="Y67" s="838"/>
    </row>
    <row r="68" spans="2:25" ht="18" hidden="1" customHeight="1">
      <c r="B68" s="918"/>
      <c r="C68" s="919"/>
      <c r="D68" s="919"/>
      <c r="E68" s="920"/>
      <c r="F68" s="907"/>
      <c r="G68" s="907"/>
      <c r="H68" s="907"/>
      <c r="I68" s="907"/>
      <c r="J68" s="907"/>
      <c r="K68" s="907"/>
      <c r="L68" s="907"/>
      <c r="M68" s="907"/>
      <c r="N68" s="223"/>
      <c r="O68" s="907"/>
      <c r="P68" s="907"/>
      <c r="Q68" s="907"/>
      <c r="R68" s="223"/>
      <c r="S68" s="907"/>
      <c r="T68" s="907"/>
      <c r="U68" s="908"/>
      <c r="V68" s="836"/>
      <c r="W68" s="837"/>
      <c r="X68" s="837"/>
      <c r="Y68" s="838"/>
    </row>
    <row r="69" spans="2:25" ht="18" hidden="1" customHeight="1">
      <c r="B69" s="918"/>
      <c r="C69" s="919"/>
      <c r="D69" s="919"/>
      <c r="E69" s="920"/>
      <c r="F69" s="907"/>
      <c r="G69" s="907"/>
      <c r="H69" s="907"/>
      <c r="I69" s="907"/>
      <c r="J69" s="907"/>
      <c r="K69" s="907"/>
      <c r="L69" s="907"/>
      <c r="M69" s="907"/>
      <c r="N69" s="223"/>
      <c r="O69" s="907"/>
      <c r="P69" s="907"/>
      <c r="Q69" s="907"/>
      <c r="R69" s="223"/>
      <c r="S69" s="907"/>
      <c r="T69" s="907"/>
      <c r="U69" s="908"/>
      <c r="V69" s="836"/>
      <c r="W69" s="837"/>
      <c r="X69" s="837"/>
      <c r="Y69" s="838"/>
    </row>
    <row r="70" spans="2:25" ht="18" hidden="1" customHeight="1">
      <c r="B70" s="918"/>
      <c r="C70" s="919"/>
      <c r="D70" s="919"/>
      <c r="E70" s="920"/>
      <c r="F70" s="907"/>
      <c r="G70" s="907"/>
      <c r="H70" s="907"/>
      <c r="I70" s="907"/>
      <c r="J70" s="907"/>
      <c r="K70" s="907"/>
      <c r="L70" s="907"/>
      <c r="M70" s="907"/>
      <c r="N70" s="223"/>
      <c r="O70" s="907"/>
      <c r="P70" s="907"/>
      <c r="Q70" s="907"/>
      <c r="R70" s="223"/>
      <c r="S70" s="907"/>
      <c r="T70" s="907"/>
      <c r="U70" s="908"/>
      <c r="V70" s="836"/>
      <c r="W70" s="837"/>
      <c r="X70" s="837"/>
      <c r="Y70" s="838"/>
    </row>
    <row r="71" spans="2:25" ht="18" hidden="1" customHeight="1">
      <c r="B71" s="918"/>
      <c r="C71" s="919"/>
      <c r="D71" s="919"/>
      <c r="E71" s="920"/>
      <c r="F71" s="907"/>
      <c r="G71" s="907"/>
      <c r="H71" s="907"/>
      <c r="I71" s="907"/>
      <c r="J71" s="907"/>
      <c r="K71" s="907"/>
      <c r="L71" s="907"/>
      <c r="M71" s="907"/>
      <c r="N71" s="223"/>
      <c r="O71" s="907"/>
      <c r="P71" s="907"/>
      <c r="Q71" s="907"/>
      <c r="R71" s="223"/>
      <c r="S71" s="907"/>
      <c r="T71" s="907"/>
      <c r="U71" s="908"/>
      <c r="V71" s="836"/>
      <c r="W71" s="837"/>
      <c r="X71" s="837"/>
      <c r="Y71" s="838"/>
    </row>
    <row r="72" spans="2:25" ht="18" hidden="1" customHeight="1">
      <c r="B72" s="918"/>
      <c r="C72" s="919"/>
      <c r="D72" s="919"/>
      <c r="E72" s="920"/>
      <c r="F72" s="907"/>
      <c r="G72" s="907"/>
      <c r="H72" s="907"/>
      <c r="I72" s="907"/>
      <c r="J72" s="907"/>
      <c r="K72" s="907"/>
      <c r="L72" s="907"/>
      <c r="M72" s="907"/>
      <c r="N72" s="223"/>
      <c r="O72" s="907"/>
      <c r="P72" s="907"/>
      <c r="Q72" s="907"/>
      <c r="R72" s="223"/>
      <c r="S72" s="907"/>
      <c r="T72" s="907"/>
      <c r="U72" s="908"/>
      <c r="V72" s="836"/>
      <c r="W72" s="837"/>
      <c r="X72" s="837"/>
      <c r="Y72" s="838"/>
    </row>
    <row r="73" spans="2:25" ht="18" hidden="1" customHeight="1">
      <c r="B73" s="918"/>
      <c r="C73" s="919"/>
      <c r="D73" s="919"/>
      <c r="E73" s="920"/>
      <c r="F73" s="907"/>
      <c r="G73" s="907"/>
      <c r="H73" s="907"/>
      <c r="I73" s="907"/>
      <c r="J73" s="907"/>
      <c r="K73" s="907"/>
      <c r="L73" s="907"/>
      <c r="M73" s="907"/>
      <c r="N73" s="223"/>
      <c r="O73" s="907"/>
      <c r="P73" s="907"/>
      <c r="Q73" s="907"/>
      <c r="R73" s="223"/>
      <c r="S73" s="907"/>
      <c r="T73" s="907"/>
      <c r="U73" s="908"/>
      <c r="V73" s="836"/>
      <c r="W73" s="837"/>
      <c r="X73" s="837"/>
      <c r="Y73" s="838"/>
    </row>
    <row r="74" spans="2:25" ht="18" hidden="1" customHeight="1">
      <c r="B74" s="918"/>
      <c r="C74" s="919"/>
      <c r="D74" s="919"/>
      <c r="E74" s="920"/>
      <c r="F74" s="907"/>
      <c r="G74" s="907"/>
      <c r="H74" s="907"/>
      <c r="I74" s="907"/>
      <c r="J74" s="907"/>
      <c r="K74" s="907"/>
      <c r="L74" s="907"/>
      <c r="M74" s="907"/>
      <c r="N74" s="223"/>
      <c r="O74" s="907"/>
      <c r="P74" s="907"/>
      <c r="Q74" s="907"/>
      <c r="R74" s="223"/>
      <c r="S74" s="907"/>
      <c r="T74" s="907"/>
      <c r="U74" s="908"/>
      <c r="V74" s="836"/>
      <c r="W74" s="837"/>
      <c r="X74" s="837"/>
      <c r="Y74" s="838"/>
    </row>
    <row r="75" spans="2:25" ht="18" hidden="1" customHeight="1">
      <c r="B75" s="918"/>
      <c r="C75" s="919"/>
      <c r="D75" s="919"/>
      <c r="E75" s="920"/>
      <c r="F75" s="907"/>
      <c r="G75" s="907"/>
      <c r="H75" s="907"/>
      <c r="I75" s="907"/>
      <c r="J75" s="907"/>
      <c r="K75" s="907"/>
      <c r="L75" s="907"/>
      <c r="M75" s="907"/>
      <c r="N75" s="223"/>
      <c r="O75" s="907"/>
      <c r="P75" s="907"/>
      <c r="Q75" s="907"/>
      <c r="R75" s="223"/>
      <c r="S75" s="907"/>
      <c r="T75" s="907"/>
      <c r="U75" s="908"/>
      <c r="V75" s="836"/>
      <c r="W75" s="837"/>
      <c r="X75" s="837"/>
      <c r="Y75" s="838"/>
    </row>
    <row r="76" spans="2:25" ht="18" hidden="1" customHeight="1">
      <c r="B76" s="918"/>
      <c r="C76" s="919"/>
      <c r="D76" s="919"/>
      <c r="E76" s="920"/>
      <c r="F76" s="907"/>
      <c r="G76" s="907"/>
      <c r="H76" s="907"/>
      <c r="I76" s="907"/>
      <c r="J76" s="907"/>
      <c r="K76" s="907"/>
      <c r="L76" s="907"/>
      <c r="M76" s="907"/>
      <c r="N76" s="223"/>
      <c r="O76" s="907"/>
      <c r="P76" s="907"/>
      <c r="Q76" s="907"/>
      <c r="R76" s="223"/>
      <c r="S76" s="907"/>
      <c r="T76" s="907"/>
      <c r="U76" s="908"/>
      <c r="V76" s="836"/>
      <c r="W76" s="837"/>
      <c r="X76" s="837"/>
      <c r="Y76" s="838"/>
    </row>
    <row r="77" spans="2:25" ht="18" hidden="1" customHeight="1">
      <c r="B77" s="918"/>
      <c r="C77" s="919"/>
      <c r="D77" s="919"/>
      <c r="E77" s="920"/>
      <c r="F77" s="907"/>
      <c r="G77" s="907"/>
      <c r="H77" s="907"/>
      <c r="I77" s="907"/>
      <c r="J77" s="907"/>
      <c r="K77" s="907"/>
      <c r="L77" s="907"/>
      <c r="M77" s="907"/>
      <c r="N77" s="223"/>
      <c r="O77" s="907"/>
      <c r="P77" s="907"/>
      <c r="Q77" s="907"/>
      <c r="R77" s="223"/>
      <c r="S77" s="907"/>
      <c r="T77" s="907"/>
      <c r="U77" s="908"/>
      <c r="V77" s="836"/>
      <c r="W77" s="837"/>
      <c r="X77" s="837"/>
      <c r="Y77" s="838"/>
    </row>
    <row r="78" spans="2:25" ht="18" hidden="1" customHeight="1">
      <c r="B78" s="918"/>
      <c r="C78" s="919"/>
      <c r="D78" s="919"/>
      <c r="E78" s="920"/>
      <c r="F78" s="907"/>
      <c r="G78" s="907"/>
      <c r="H78" s="907"/>
      <c r="I78" s="907"/>
      <c r="J78" s="907"/>
      <c r="K78" s="907"/>
      <c r="L78" s="907"/>
      <c r="M78" s="907"/>
      <c r="N78" s="223"/>
      <c r="O78" s="907"/>
      <c r="P78" s="907"/>
      <c r="Q78" s="907"/>
      <c r="R78" s="223"/>
      <c r="S78" s="907"/>
      <c r="T78" s="907"/>
      <c r="U78" s="908"/>
      <c r="V78" s="836"/>
      <c r="W78" s="837"/>
      <c r="X78" s="837"/>
      <c r="Y78" s="838"/>
    </row>
    <row r="79" spans="2:25" ht="18" hidden="1" customHeight="1">
      <c r="B79" s="918"/>
      <c r="C79" s="919"/>
      <c r="D79" s="919"/>
      <c r="E79" s="920"/>
      <c r="F79" s="907"/>
      <c r="G79" s="907"/>
      <c r="H79" s="907"/>
      <c r="I79" s="907"/>
      <c r="J79" s="907"/>
      <c r="K79" s="907"/>
      <c r="L79" s="907"/>
      <c r="M79" s="907"/>
      <c r="N79" s="223"/>
      <c r="O79" s="907"/>
      <c r="P79" s="907"/>
      <c r="Q79" s="907"/>
      <c r="R79" s="223"/>
      <c r="S79" s="907"/>
      <c r="T79" s="907"/>
      <c r="U79" s="908"/>
      <c r="V79" s="836"/>
      <c r="W79" s="837"/>
      <c r="X79" s="837"/>
      <c r="Y79" s="838"/>
    </row>
    <row r="80" spans="2:25" ht="18" hidden="1" customHeight="1">
      <c r="B80" s="918"/>
      <c r="C80" s="919"/>
      <c r="D80" s="919"/>
      <c r="E80" s="920"/>
      <c r="F80" s="907"/>
      <c r="G80" s="907"/>
      <c r="H80" s="907"/>
      <c r="I80" s="907"/>
      <c r="J80" s="907"/>
      <c r="K80" s="907"/>
      <c r="L80" s="907"/>
      <c r="M80" s="907"/>
      <c r="N80" s="223"/>
      <c r="O80" s="907"/>
      <c r="P80" s="907"/>
      <c r="Q80" s="907"/>
      <c r="R80" s="223"/>
      <c r="S80" s="907"/>
      <c r="T80" s="907"/>
      <c r="U80" s="908"/>
      <c r="V80" s="836"/>
      <c r="W80" s="837"/>
      <c r="X80" s="837"/>
      <c r="Y80" s="838"/>
    </row>
    <row r="81" spans="1:37" ht="18" hidden="1" customHeight="1">
      <c r="B81" s="918"/>
      <c r="C81" s="919"/>
      <c r="D81" s="919"/>
      <c r="E81" s="920"/>
      <c r="F81" s="909"/>
      <c r="G81" s="909"/>
      <c r="H81" s="909"/>
      <c r="I81" s="909"/>
      <c r="J81" s="907"/>
      <c r="K81" s="907"/>
      <c r="L81" s="907"/>
      <c r="M81" s="907"/>
      <c r="N81" s="223"/>
      <c r="O81" s="909"/>
      <c r="P81" s="909"/>
      <c r="Q81" s="909"/>
      <c r="R81" s="223"/>
      <c r="S81" s="909"/>
      <c r="T81" s="909"/>
      <c r="U81" s="910"/>
      <c r="V81" s="836"/>
      <c r="W81" s="837"/>
      <c r="X81" s="837"/>
      <c r="Y81" s="838"/>
    </row>
    <row r="82" spans="1:37" ht="14.25" customHeight="1">
      <c r="A82" s="1"/>
      <c r="B82" s="918"/>
      <c r="C82" s="919"/>
      <c r="D82" s="919"/>
      <c r="E82" s="920"/>
      <c r="F82" s="883" t="s">
        <v>48</v>
      </c>
      <c r="G82" s="898"/>
      <c r="H82" s="898"/>
      <c r="I82" s="898"/>
      <c r="J82" s="898"/>
      <c r="K82" s="898"/>
      <c r="L82" s="898"/>
      <c r="M82" s="898"/>
      <c r="N82" s="896"/>
      <c r="O82" s="896"/>
      <c r="P82" s="896"/>
      <c r="Q82" s="896"/>
      <c r="R82" s="895"/>
      <c r="S82" s="896"/>
      <c r="T82" s="896"/>
      <c r="U82" s="896"/>
      <c r="V82" s="242"/>
      <c r="W82" s="243"/>
      <c r="X82" s="243"/>
      <c r="Y82" s="244"/>
      <c r="Z82" s="1"/>
      <c r="AA82" s="3" t="s">
        <v>177</v>
      </c>
      <c r="AC82" s="245"/>
    </row>
    <row r="83" spans="1:37" ht="13.5" customHeight="1">
      <c r="B83" s="912" t="s">
        <v>178</v>
      </c>
      <c r="C83" s="913"/>
      <c r="D83" s="913"/>
      <c r="E83" s="913"/>
      <c r="F83" s="913"/>
      <c r="G83" s="913"/>
      <c r="H83" s="913"/>
      <c r="I83" s="913"/>
      <c r="J83" s="913"/>
      <c r="K83" s="913"/>
      <c r="L83" s="913"/>
      <c r="M83" s="913"/>
      <c r="N83" s="913"/>
      <c r="O83" s="913"/>
      <c r="P83" s="913"/>
      <c r="Q83" s="913"/>
      <c r="R83" s="913"/>
      <c r="S83" s="913"/>
      <c r="T83" s="913"/>
      <c r="U83" s="913"/>
      <c r="V83" s="913"/>
      <c r="W83" s="913"/>
      <c r="X83" s="913"/>
      <c r="Y83" s="914"/>
      <c r="AA83" s="276"/>
    </row>
    <row r="84" spans="1:37" ht="13.5" customHeight="1" thickBot="1">
      <c r="B84" s="884" t="s">
        <v>173</v>
      </c>
      <c r="C84" s="885"/>
      <c r="D84" s="885"/>
      <c r="E84" s="886"/>
      <c r="F84" s="887" t="s">
        <v>40</v>
      </c>
      <c r="G84" s="888"/>
      <c r="H84" s="888"/>
      <c r="I84" s="889"/>
      <c r="J84" s="890" t="s">
        <v>50</v>
      </c>
      <c r="K84" s="891"/>
      <c r="L84" s="891"/>
      <c r="M84" s="892"/>
      <c r="N84" s="893" t="s">
        <v>49</v>
      </c>
      <c r="O84" s="893"/>
      <c r="P84" s="893"/>
      <c r="Q84" s="893"/>
      <c r="R84" s="894" t="s">
        <v>103</v>
      </c>
      <c r="S84" s="894"/>
      <c r="T84" s="894"/>
      <c r="U84" s="894"/>
      <c r="V84" s="844"/>
      <c r="W84" s="845"/>
      <c r="X84" s="845"/>
      <c r="Y84" s="846"/>
      <c r="AA84" s="277" t="s">
        <v>179</v>
      </c>
      <c r="AC84" s="3" t="s">
        <v>13</v>
      </c>
    </row>
    <row r="85" spans="1:37" ht="13.5" customHeight="1">
      <c r="B85" s="933" t="s">
        <v>81</v>
      </c>
      <c r="C85" s="934"/>
      <c r="D85" s="934"/>
      <c r="E85" s="935"/>
      <c r="F85" s="895" t="s">
        <v>39</v>
      </c>
      <c r="G85" s="896"/>
      <c r="H85" s="896"/>
      <c r="I85" s="897"/>
      <c r="J85" s="896" t="s">
        <v>51</v>
      </c>
      <c r="K85" s="896"/>
      <c r="L85" s="896"/>
      <c r="M85" s="896"/>
      <c r="N85" s="896" t="s">
        <v>46</v>
      </c>
      <c r="O85" s="896"/>
      <c r="P85" s="896"/>
      <c r="Q85" s="896"/>
      <c r="R85" s="897" t="s">
        <v>35</v>
      </c>
      <c r="S85" s="915"/>
      <c r="T85" s="915"/>
      <c r="U85" s="895"/>
      <c r="V85" s="761"/>
      <c r="W85" s="762"/>
      <c r="X85" s="762"/>
      <c r="Y85" s="843"/>
      <c r="AA85" s="277" t="s">
        <v>180</v>
      </c>
      <c r="AE85" s="3" t="s">
        <v>13</v>
      </c>
    </row>
    <row r="86" spans="1:37" ht="13.5" customHeight="1">
      <c r="B86" s="918"/>
      <c r="C86" s="919"/>
      <c r="D86" s="919"/>
      <c r="E86" s="920"/>
      <c r="F86" s="883" t="s">
        <v>41</v>
      </c>
      <c r="G86" s="898"/>
      <c r="H86" s="898"/>
      <c r="I86" s="898"/>
      <c r="J86" s="895" t="s">
        <v>82</v>
      </c>
      <c r="K86" s="896"/>
      <c r="L86" s="896"/>
      <c r="M86" s="896"/>
      <c r="N86" s="840" t="s">
        <v>45</v>
      </c>
      <c r="O86" s="841"/>
      <c r="P86" s="841"/>
      <c r="Q86" s="883"/>
      <c r="R86" s="916" t="s">
        <v>181</v>
      </c>
      <c r="S86" s="916"/>
      <c r="T86" s="916"/>
      <c r="U86" s="916"/>
      <c r="V86" s="484"/>
      <c r="W86" s="485"/>
      <c r="X86" s="485"/>
      <c r="Y86" s="556"/>
      <c r="AA86" s="277" t="s">
        <v>182</v>
      </c>
    </row>
    <row r="87" spans="1:37" ht="13.15" customHeight="1">
      <c r="B87" s="918"/>
      <c r="C87" s="919"/>
      <c r="D87" s="919"/>
      <c r="E87" s="920"/>
      <c r="F87" s="895" t="s">
        <v>42</v>
      </c>
      <c r="G87" s="896"/>
      <c r="H87" s="896"/>
      <c r="I87" s="897"/>
      <c r="J87" s="898" t="s">
        <v>37</v>
      </c>
      <c r="K87" s="898"/>
      <c r="L87" s="898"/>
      <c r="M87" s="898"/>
      <c r="N87" s="898" t="s">
        <v>48</v>
      </c>
      <c r="O87" s="898"/>
      <c r="P87" s="898"/>
      <c r="Q87" s="898"/>
      <c r="R87" s="796"/>
      <c r="S87" s="797"/>
      <c r="T87" s="797"/>
      <c r="U87" s="828"/>
      <c r="V87" s="840"/>
      <c r="W87" s="841"/>
      <c r="X87" s="841"/>
      <c r="Y87" s="842"/>
      <c r="AA87" s="277" t="s">
        <v>183</v>
      </c>
      <c r="AC87" s="3" t="s">
        <v>13</v>
      </c>
      <c r="AD87" s="166"/>
      <c r="AE87" s="32"/>
      <c r="AF87" s="32"/>
      <c r="AG87" s="32"/>
      <c r="AH87" s="166"/>
      <c r="AI87" s="32"/>
      <c r="AJ87" s="32"/>
      <c r="AK87" s="32"/>
    </row>
    <row r="88" spans="1:37" ht="13.15" customHeight="1">
      <c r="B88" s="918"/>
      <c r="C88" s="919"/>
      <c r="D88" s="919"/>
      <c r="E88" s="920"/>
      <c r="F88" s="898" t="s">
        <v>47</v>
      </c>
      <c r="G88" s="898"/>
      <c r="H88" s="898"/>
      <c r="I88" s="898"/>
      <c r="J88" s="898" t="s">
        <v>43</v>
      </c>
      <c r="K88" s="898"/>
      <c r="L88" s="898"/>
      <c r="M88" s="898"/>
      <c r="N88" s="898" t="s">
        <v>44</v>
      </c>
      <c r="O88" s="898"/>
      <c r="P88" s="898"/>
      <c r="Q88" s="898"/>
      <c r="R88" s="796"/>
      <c r="S88" s="797"/>
      <c r="T88" s="797"/>
      <c r="U88" s="828"/>
      <c r="V88" s="840"/>
      <c r="W88" s="841"/>
      <c r="X88" s="841"/>
      <c r="Y88" s="842"/>
      <c r="AA88" s="277" t="s">
        <v>184</v>
      </c>
      <c r="AD88" s="166"/>
      <c r="AE88" s="32"/>
      <c r="AF88" s="32"/>
      <c r="AG88" s="32"/>
      <c r="AH88" s="166"/>
      <c r="AI88" s="32"/>
      <c r="AJ88" s="32"/>
      <c r="AK88" s="32"/>
    </row>
    <row r="89" spans="1:37" ht="13.5" customHeight="1" thickBot="1">
      <c r="B89" s="912" t="s">
        <v>185</v>
      </c>
      <c r="C89" s="913"/>
      <c r="D89" s="913"/>
      <c r="E89" s="913"/>
      <c r="F89" s="913"/>
      <c r="G89" s="913"/>
      <c r="H89" s="913"/>
      <c r="I89" s="913"/>
      <c r="J89" s="913"/>
      <c r="K89" s="913"/>
      <c r="L89" s="913"/>
      <c r="M89" s="913"/>
      <c r="N89" s="913"/>
      <c r="O89" s="913"/>
      <c r="P89" s="913"/>
      <c r="Q89" s="913"/>
      <c r="R89" s="913"/>
      <c r="S89" s="913"/>
      <c r="T89" s="913"/>
      <c r="U89" s="913"/>
      <c r="V89" s="913"/>
      <c r="W89" s="913"/>
      <c r="X89" s="913"/>
      <c r="Y89" s="913"/>
      <c r="Z89" s="228"/>
      <c r="AA89" s="277" t="s">
        <v>186</v>
      </c>
      <c r="AB89" s="911"/>
      <c r="AC89" s="911"/>
      <c r="AD89" s="911"/>
      <c r="AE89" s="911"/>
    </row>
    <row r="90" spans="1:37" ht="13.5" customHeight="1">
      <c r="B90" s="869" t="s">
        <v>164</v>
      </c>
      <c r="C90" s="870"/>
      <c r="D90" s="870"/>
      <c r="E90" s="871"/>
      <c r="F90" s="779" t="s">
        <v>165</v>
      </c>
      <c r="G90" s="780"/>
      <c r="H90" s="780"/>
      <c r="I90" s="780"/>
      <c r="J90" s="779" t="s">
        <v>165</v>
      </c>
      <c r="K90" s="780"/>
      <c r="L90" s="780"/>
      <c r="M90" s="780"/>
      <c r="N90" s="779" t="s">
        <v>165</v>
      </c>
      <c r="O90" s="780"/>
      <c r="P90" s="780"/>
      <c r="Q90" s="780"/>
      <c r="R90" s="779" t="s">
        <v>165</v>
      </c>
      <c r="S90" s="780"/>
      <c r="T90" s="780"/>
      <c r="U90" s="780"/>
      <c r="V90" s="833"/>
      <c r="W90" s="834"/>
      <c r="X90" s="834"/>
      <c r="Y90" s="835"/>
      <c r="Z90" s="228"/>
      <c r="AA90" s="278" t="s">
        <v>187</v>
      </c>
      <c r="AB90" s="911"/>
      <c r="AC90" s="911"/>
      <c r="AD90" s="911"/>
      <c r="AE90" s="911"/>
    </row>
    <row r="91" spans="1:37" ht="13.5" customHeight="1">
      <c r="B91" s="877" t="s">
        <v>166</v>
      </c>
      <c r="C91" s="878"/>
      <c r="D91" s="878"/>
      <c r="E91" s="879"/>
      <c r="F91" s="587" t="s">
        <v>63</v>
      </c>
      <c r="G91" s="590"/>
      <c r="H91" s="590"/>
      <c r="I91" s="590"/>
      <c r="J91" s="587" t="s">
        <v>63</v>
      </c>
      <c r="K91" s="590"/>
      <c r="L91" s="590"/>
      <c r="M91" s="590"/>
      <c r="N91" s="587" t="s">
        <v>63</v>
      </c>
      <c r="O91" s="590"/>
      <c r="P91" s="590"/>
      <c r="Q91" s="590"/>
      <c r="R91" s="587" t="s">
        <v>63</v>
      </c>
      <c r="S91" s="590"/>
      <c r="T91" s="590"/>
      <c r="U91" s="590"/>
      <c r="V91" s="830"/>
      <c r="W91" s="831"/>
      <c r="X91" s="831"/>
      <c r="Y91" s="832"/>
      <c r="Z91" s="228"/>
      <c r="AB91" s="911"/>
      <c r="AC91" s="911"/>
      <c r="AD91" s="911"/>
      <c r="AE91" s="911"/>
    </row>
    <row r="92" spans="1:37" ht="13.5" customHeight="1">
      <c r="B92" s="877" t="s">
        <v>10</v>
      </c>
      <c r="C92" s="878"/>
      <c r="D92" s="878"/>
      <c r="E92" s="878"/>
      <c r="F92" s="722">
        <v>46166</v>
      </c>
      <c r="G92" s="723"/>
      <c r="H92" s="723"/>
      <c r="I92" s="724"/>
      <c r="J92" s="722">
        <v>46167</v>
      </c>
      <c r="K92" s="723"/>
      <c r="L92" s="723"/>
      <c r="M92" s="724"/>
      <c r="N92" s="722">
        <v>46167</v>
      </c>
      <c r="O92" s="723"/>
      <c r="P92" s="723"/>
      <c r="Q92" s="724"/>
      <c r="R92" s="542">
        <v>46167</v>
      </c>
      <c r="S92" s="526"/>
      <c r="T92" s="526"/>
      <c r="U92" s="526"/>
      <c r="V92" s="830"/>
      <c r="W92" s="831"/>
      <c r="X92" s="831"/>
      <c r="Y92" s="832"/>
      <c r="Z92" s="228"/>
      <c r="AB92" s="911"/>
      <c r="AC92" s="911"/>
      <c r="AD92" s="911"/>
      <c r="AE92" s="911"/>
    </row>
    <row r="93" spans="1:37" ht="13.5" customHeight="1">
      <c r="B93" s="877" t="s">
        <v>188</v>
      </c>
      <c r="C93" s="878"/>
      <c r="D93" s="878"/>
      <c r="E93" s="879"/>
      <c r="F93" s="491">
        <v>0.79166666666666663</v>
      </c>
      <c r="G93" s="492"/>
      <c r="H93" s="492"/>
      <c r="I93" s="493"/>
      <c r="J93" s="491">
        <v>0.70833333333333337</v>
      </c>
      <c r="K93" s="492"/>
      <c r="L93" s="492"/>
      <c r="M93" s="493"/>
      <c r="N93" s="917">
        <v>0.58333333333333337</v>
      </c>
      <c r="O93" s="917"/>
      <c r="P93" s="917"/>
      <c r="Q93" s="917"/>
      <c r="R93" s="917">
        <v>0.66666666666666663</v>
      </c>
      <c r="S93" s="917"/>
      <c r="T93" s="917"/>
      <c r="U93" s="917"/>
      <c r="V93" s="830"/>
      <c r="W93" s="831"/>
      <c r="X93" s="831"/>
      <c r="Y93" s="832"/>
      <c r="Z93" s="228"/>
      <c r="AB93" s="911"/>
      <c r="AC93" s="911"/>
      <c r="AD93" s="911"/>
      <c r="AE93" s="911"/>
    </row>
    <row r="94" spans="1:37" ht="13.5" customHeight="1" thickBot="1">
      <c r="B94" s="884" t="s">
        <v>173</v>
      </c>
      <c r="C94" s="885"/>
      <c r="D94" s="885"/>
      <c r="E94" s="886"/>
      <c r="F94" s="887" t="s">
        <v>40</v>
      </c>
      <c r="G94" s="888"/>
      <c r="H94" s="888"/>
      <c r="I94" s="889"/>
      <c r="J94" s="890" t="s">
        <v>50</v>
      </c>
      <c r="K94" s="891"/>
      <c r="L94" s="891"/>
      <c r="M94" s="892"/>
      <c r="N94" s="893" t="s">
        <v>49</v>
      </c>
      <c r="O94" s="893"/>
      <c r="P94" s="893"/>
      <c r="Q94" s="893"/>
      <c r="R94" s="894" t="s">
        <v>46</v>
      </c>
      <c r="S94" s="894"/>
      <c r="T94" s="894"/>
      <c r="U94" s="894"/>
      <c r="V94" s="844"/>
      <c r="W94" s="845"/>
      <c r="X94" s="845"/>
      <c r="Y94" s="846"/>
    </row>
    <row r="95" spans="1:37" ht="15.75" customHeight="1">
      <c r="B95" s="918" t="s">
        <v>81</v>
      </c>
      <c r="C95" s="919"/>
      <c r="D95" s="919"/>
      <c r="E95" s="920"/>
      <c r="F95" s="895" t="s">
        <v>39</v>
      </c>
      <c r="G95" s="896"/>
      <c r="H95" s="896"/>
      <c r="I95" s="896"/>
      <c r="J95" s="896" t="s">
        <v>42</v>
      </c>
      <c r="K95" s="896"/>
      <c r="L95" s="896"/>
      <c r="M95" s="896"/>
      <c r="N95" s="896" t="s">
        <v>41</v>
      </c>
      <c r="O95" s="896"/>
      <c r="P95" s="896"/>
      <c r="Q95" s="896"/>
      <c r="R95" s="897" t="s">
        <v>51</v>
      </c>
      <c r="S95" s="915"/>
      <c r="T95" s="915"/>
      <c r="U95" s="895"/>
      <c r="V95" s="761"/>
      <c r="W95" s="762"/>
      <c r="X95" s="762"/>
      <c r="Y95" s="843"/>
      <c r="AC95" s="3" t="s">
        <v>13</v>
      </c>
    </row>
    <row r="96" spans="1:37" ht="15.75" customHeight="1">
      <c r="B96" s="918"/>
      <c r="C96" s="919"/>
      <c r="D96" s="919"/>
      <c r="E96" s="920"/>
      <c r="F96" s="883" t="s">
        <v>43</v>
      </c>
      <c r="G96" s="898"/>
      <c r="H96" s="898"/>
      <c r="I96" s="898"/>
      <c r="J96" s="895" t="s">
        <v>35</v>
      </c>
      <c r="K96" s="896"/>
      <c r="L96" s="896"/>
      <c r="M96" s="896"/>
      <c r="N96" s="898" t="s">
        <v>48</v>
      </c>
      <c r="O96" s="898"/>
      <c r="P96" s="898"/>
      <c r="Q96" s="898"/>
      <c r="R96" s="773"/>
      <c r="S96" s="774"/>
      <c r="T96" s="774"/>
      <c r="U96" s="924"/>
      <c r="V96" s="840"/>
      <c r="W96" s="841"/>
      <c r="X96" s="841"/>
      <c r="Y96" s="842"/>
    </row>
    <row r="97" spans="2:25" ht="15.75" customHeight="1">
      <c r="B97" s="918"/>
      <c r="C97" s="919"/>
      <c r="D97" s="919"/>
      <c r="E97" s="920"/>
      <c r="F97" s="883" t="s">
        <v>103</v>
      </c>
      <c r="G97" s="898"/>
      <c r="H97" s="898"/>
      <c r="I97" s="898"/>
      <c r="J97" s="895" t="s">
        <v>45</v>
      </c>
      <c r="K97" s="896"/>
      <c r="L97" s="896"/>
      <c r="M97" s="896"/>
      <c r="N97" s="898"/>
      <c r="O97" s="898"/>
      <c r="P97" s="898"/>
      <c r="Q97" s="898"/>
      <c r="R97" s="773"/>
      <c r="S97" s="774"/>
      <c r="T97" s="774"/>
      <c r="U97" s="924"/>
      <c r="V97" s="840"/>
      <c r="W97" s="841"/>
      <c r="X97" s="841"/>
      <c r="Y97" s="842"/>
    </row>
    <row r="98" spans="2:25" ht="15.75" customHeight="1" thickBot="1">
      <c r="B98" s="921"/>
      <c r="C98" s="922"/>
      <c r="D98" s="922"/>
      <c r="E98" s="923"/>
      <c r="F98" s="925" t="s">
        <v>44</v>
      </c>
      <c r="G98" s="926"/>
      <c r="H98" s="926"/>
      <c r="I98" s="927"/>
      <c r="J98" s="928" t="s">
        <v>47</v>
      </c>
      <c r="K98" s="928"/>
      <c r="L98" s="928"/>
      <c r="M98" s="928"/>
      <c r="N98" s="738"/>
      <c r="O98" s="738"/>
      <c r="P98" s="738"/>
      <c r="Q98" s="738"/>
      <c r="R98" s="928"/>
      <c r="S98" s="928"/>
      <c r="T98" s="928"/>
      <c r="U98" s="901"/>
      <c r="V98" s="866"/>
      <c r="W98" s="867"/>
      <c r="X98" s="867"/>
      <c r="Y98" s="868"/>
    </row>
    <row r="101" spans="2:25" ht="39.6" customHeight="1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2:25">
      <c r="B102" s="547" t="s">
        <v>3</v>
      </c>
      <c r="C102" s="547"/>
      <c r="D102" s="547"/>
      <c r="E102" s="802"/>
      <c r="F102" s="853" t="s">
        <v>4</v>
      </c>
      <c r="G102" s="854"/>
      <c r="H102" s="855"/>
      <c r="I102" s="230"/>
      <c r="J102" s="856" t="s">
        <v>5</v>
      </c>
      <c r="K102" s="856"/>
      <c r="L102" s="857"/>
      <c r="M102" s="544" t="s">
        <v>6</v>
      </c>
      <c r="N102" s="790"/>
      <c r="O102" s="790"/>
      <c r="P102" s="791"/>
      <c r="Q102" s="6"/>
      <c r="R102" s="6"/>
      <c r="S102" s="6"/>
      <c r="T102" s="6"/>
      <c r="U102" s="858" t="s">
        <v>10</v>
      </c>
      <c r="V102" s="859"/>
      <c r="W102" s="847" t="s">
        <v>104</v>
      </c>
      <c r="X102" s="848"/>
      <c r="Y102" s="849"/>
    </row>
    <row r="103" spans="2:25" ht="17.45" thickBot="1">
      <c r="B103" s="167"/>
      <c r="C103" s="167"/>
      <c r="D103" s="167"/>
      <c r="E103" s="167"/>
      <c r="F103" s="6"/>
      <c r="G103" s="6"/>
      <c r="H103" s="6"/>
      <c r="I103" s="6"/>
      <c r="J103" s="231"/>
      <c r="K103" s="231"/>
      <c r="L103" s="231"/>
      <c r="M103" s="31"/>
      <c r="N103" s="31"/>
      <c r="O103" s="31"/>
      <c r="P103" s="31"/>
      <c r="Q103" s="6"/>
      <c r="R103" s="6"/>
      <c r="S103" s="6"/>
      <c r="T103" s="6"/>
      <c r="U103" s="231"/>
      <c r="V103" s="231"/>
      <c r="W103" s="232"/>
      <c r="X103" s="232"/>
      <c r="Y103" s="232"/>
    </row>
    <row r="104" spans="2:25" ht="17.45" thickBot="1">
      <c r="B104" s="850" t="s">
        <v>162</v>
      </c>
      <c r="C104" s="851"/>
      <c r="D104" s="851"/>
      <c r="E104" s="851"/>
      <c r="F104" s="549"/>
      <c r="G104" s="549"/>
      <c r="H104" s="549"/>
      <c r="I104" s="549"/>
      <c r="J104" s="549"/>
      <c r="K104" s="549"/>
      <c r="L104" s="549"/>
      <c r="M104" s="549"/>
      <c r="N104" s="851"/>
      <c r="O104" s="851"/>
      <c r="P104" s="851"/>
      <c r="Q104" s="851"/>
      <c r="R104" s="851"/>
      <c r="S104" s="851"/>
      <c r="T104" s="851"/>
      <c r="U104" s="851"/>
      <c r="V104" s="851"/>
      <c r="W104" s="851"/>
      <c r="X104" s="851"/>
      <c r="Y104" s="852"/>
    </row>
    <row r="105" spans="2:25">
      <c r="B105" s="869" t="s">
        <v>164</v>
      </c>
      <c r="C105" s="870"/>
      <c r="D105" s="870"/>
      <c r="E105" s="871"/>
      <c r="F105" s="779"/>
      <c r="G105" s="780"/>
      <c r="H105" s="780"/>
      <c r="I105" s="780"/>
      <c r="J105" s="779"/>
      <c r="K105" s="780"/>
      <c r="L105" s="780"/>
      <c r="M105" s="929"/>
      <c r="N105" s="875"/>
      <c r="O105" s="876"/>
      <c r="P105" s="876"/>
      <c r="Q105" s="876"/>
      <c r="R105" s="875"/>
      <c r="S105" s="876"/>
      <c r="T105" s="876"/>
      <c r="U105" s="876"/>
      <c r="V105" s="872"/>
      <c r="W105" s="873"/>
      <c r="X105" s="873"/>
      <c r="Y105" s="930"/>
    </row>
    <row r="106" spans="2:25">
      <c r="B106" s="877" t="s">
        <v>11</v>
      </c>
      <c r="C106" s="878"/>
      <c r="D106" s="878"/>
      <c r="E106" s="879"/>
      <c r="F106" s="587"/>
      <c r="G106" s="590"/>
      <c r="H106" s="590"/>
      <c r="I106" s="590"/>
      <c r="J106" s="587"/>
      <c r="K106" s="590"/>
      <c r="L106" s="590"/>
      <c r="M106" s="590"/>
      <c r="N106" s="527"/>
      <c r="O106" s="527"/>
      <c r="P106" s="527"/>
      <c r="Q106" s="527"/>
      <c r="R106" s="591"/>
      <c r="S106" s="527"/>
      <c r="T106" s="527"/>
      <c r="U106" s="527"/>
      <c r="V106" s="779"/>
      <c r="W106" s="780"/>
      <c r="X106" s="780"/>
      <c r="Y106" s="781"/>
    </row>
    <row r="107" spans="2:25">
      <c r="B107" s="877" t="s">
        <v>12</v>
      </c>
      <c r="C107" s="878"/>
      <c r="D107" s="878"/>
      <c r="E107" s="879"/>
      <c r="F107" s="587"/>
      <c r="G107" s="590"/>
      <c r="H107" s="590"/>
      <c r="I107" s="590"/>
      <c r="J107" s="587"/>
      <c r="K107" s="590"/>
      <c r="L107" s="590"/>
      <c r="M107" s="590"/>
      <c r="N107" s="527"/>
      <c r="O107" s="527"/>
      <c r="P107" s="527"/>
      <c r="Q107" s="527"/>
      <c r="R107" s="591"/>
      <c r="S107" s="527"/>
      <c r="T107" s="527"/>
      <c r="U107" s="527"/>
      <c r="V107" s="779"/>
      <c r="W107" s="780"/>
      <c r="X107" s="780"/>
      <c r="Y107" s="781"/>
    </row>
    <row r="108" spans="2:25">
      <c r="B108" s="877" t="s">
        <v>10</v>
      </c>
      <c r="C108" s="878"/>
      <c r="D108" s="878"/>
      <c r="E108" s="879"/>
      <c r="F108" s="722"/>
      <c r="G108" s="723"/>
      <c r="H108" s="723"/>
      <c r="I108" s="723"/>
      <c r="J108" s="722"/>
      <c r="K108" s="723"/>
      <c r="L108" s="723"/>
      <c r="M108" s="723"/>
      <c r="N108" s="722"/>
      <c r="O108" s="723"/>
      <c r="P108" s="723"/>
      <c r="Q108" s="723"/>
      <c r="R108" s="722"/>
      <c r="S108" s="723"/>
      <c r="T108" s="723"/>
      <c r="U108" s="723"/>
      <c r="V108" s="863"/>
      <c r="W108" s="864"/>
      <c r="X108" s="864"/>
      <c r="Y108" s="865"/>
    </row>
    <row r="109" spans="2:25">
      <c r="B109" s="877" t="s">
        <v>167</v>
      </c>
      <c r="C109" s="878"/>
      <c r="D109" s="878"/>
      <c r="E109" s="879"/>
      <c r="F109" s="881"/>
      <c r="G109" s="882"/>
      <c r="H109" s="882"/>
      <c r="I109" s="882"/>
      <c r="J109" s="881"/>
      <c r="K109" s="882"/>
      <c r="L109" s="882"/>
      <c r="M109" s="882"/>
      <c r="N109" s="881"/>
      <c r="O109" s="882"/>
      <c r="P109" s="882"/>
      <c r="Q109" s="882"/>
      <c r="R109" s="881"/>
      <c r="S109" s="882"/>
      <c r="T109" s="882"/>
      <c r="U109" s="882"/>
      <c r="V109" s="779"/>
      <c r="W109" s="780"/>
      <c r="X109" s="780"/>
      <c r="Y109" s="781"/>
    </row>
    <row r="110" spans="2:25" ht="17.45" thickBot="1">
      <c r="B110" s="884" t="s">
        <v>172</v>
      </c>
      <c r="C110" s="885"/>
      <c r="D110" s="885"/>
      <c r="E110" s="886"/>
      <c r="F110" s="741"/>
      <c r="G110" s="742"/>
      <c r="H110" s="742"/>
      <c r="I110" s="743"/>
      <c r="J110" s="741"/>
      <c r="K110" s="742"/>
      <c r="L110" s="742"/>
      <c r="M110" s="743"/>
      <c r="N110" s="931"/>
      <c r="O110" s="931"/>
      <c r="P110" s="931"/>
      <c r="Q110" s="931"/>
      <c r="R110" s="743"/>
      <c r="S110" s="931"/>
      <c r="T110" s="931"/>
      <c r="U110" s="931"/>
      <c r="V110" s="860"/>
      <c r="W110" s="861"/>
      <c r="X110" s="861"/>
      <c r="Y110" s="862"/>
    </row>
    <row r="111" spans="2:25">
      <c r="B111" s="918" t="s">
        <v>81</v>
      </c>
      <c r="C111" s="919"/>
      <c r="D111" s="919"/>
      <c r="E111" s="920"/>
      <c r="F111" s="895" t="s">
        <v>48</v>
      </c>
      <c r="G111" s="896"/>
      <c r="H111" s="896"/>
      <c r="I111" s="897"/>
      <c r="J111" s="896" t="s">
        <v>189</v>
      </c>
      <c r="K111" s="896"/>
      <c r="L111" s="896"/>
      <c r="M111" s="896"/>
      <c r="N111" s="896"/>
      <c r="O111" s="896"/>
      <c r="P111" s="896"/>
      <c r="Q111" s="896"/>
      <c r="R111" s="895"/>
      <c r="S111" s="896"/>
      <c r="T111" s="896"/>
      <c r="U111" s="896"/>
      <c r="V111" s="761"/>
      <c r="W111" s="762"/>
      <c r="X111" s="762"/>
      <c r="Y111" s="843"/>
    </row>
    <row r="112" spans="2:25">
      <c r="B112" s="918"/>
      <c r="C112" s="919"/>
      <c r="D112" s="919"/>
      <c r="E112" s="920"/>
      <c r="F112" s="883"/>
      <c r="G112" s="898"/>
      <c r="H112" s="898"/>
      <c r="I112" s="898"/>
      <c r="J112" s="895" t="s">
        <v>190</v>
      </c>
      <c r="K112" s="896"/>
      <c r="L112" s="896"/>
      <c r="M112" s="896"/>
      <c r="N112" s="896"/>
      <c r="O112" s="896"/>
      <c r="P112" s="896"/>
      <c r="Q112" s="896"/>
      <c r="R112" s="895"/>
      <c r="S112" s="896"/>
      <c r="T112" s="896"/>
      <c r="U112" s="896"/>
      <c r="V112" s="484"/>
      <c r="W112" s="485"/>
      <c r="X112" s="485"/>
      <c r="Y112" s="556"/>
    </row>
    <row r="113" spans="2:25">
      <c r="B113" s="918"/>
      <c r="C113" s="919"/>
      <c r="D113" s="919"/>
      <c r="E113" s="920"/>
      <c r="F113" s="895"/>
      <c r="G113" s="896"/>
      <c r="H113" s="896"/>
      <c r="I113" s="897"/>
      <c r="J113" s="898"/>
      <c r="K113" s="898"/>
      <c r="L113" s="898"/>
      <c r="M113" s="898"/>
      <c r="N113" s="896"/>
      <c r="O113" s="896"/>
      <c r="P113" s="896"/>
      <c r="Q113" s="896"/>
      <c r="R113" s="895"/>
      <c r="S113" s="896"/>
      <c r="T113" s="896"/>
      <c r="U113" s="896"/>
      <c r="V113" s="484"/>
      <c r="W113" s="485"/>
      <c r="X113" s="485"/>
      <c r="Y113" s="556"/>
    </row>
    <row r="114" spans="2:25">
      <c r="B114" s="918"/>
      <c r="C114" s="919"/>
      <c r="D114" s="919"/>
      <c r="E114" s="920"/>
      <c r="F114" s="485"/>
      <c r="G114" s="485"/>
      <c r="H114" s="485"/>
      <c r="I114" s="486"/>
      <c r="J114" s="484"/>
      <c r="K114" s="485"/>
      <c r="L114" s="485"/>
      <c r="M114" s="486"/>
      <c r="N114" s="840"/>
      <c r="O114" s="841"/>
      <c r="P114" s="841"/>
      <c r="Q114" s="883"/>
      <c r="R114" s="484"/>
      <c r="S114" s="485"/>
      <c r="T114" s="485"/>
      <c r="U114" s="486"/>
      <c r="V114" s="840"/>
      <c r="W114" s="841"/>
      <c r="X114" s="841"/>
      <c r="Y114" s="842"/>
    </row>
    <row r="115" spans="2:25" ht="17.45" thickBot="1">
      <c r="B115" s="921"/>
      <c r="C115" s="922"/>
      <c r="D115" s="922"/>
      <c r="E115" s="923"/>
      <c r="F115" s="899"/>
      <c r="G115" s="899"/>
      <c r="H115" s="899"/>
      <c r="I115" s="900"/>
      <c r="J115" s="901"/>
      <c r="K115" s="899"/>
      <c r="L115" s="899"/>
      <c r="M115" s="900"/>
      <c r="N115" s="902"/>
      <c r="O115" s="903"/>
      <c r="P115" s="903"/>
      <c r="Q115" s="904"/>
      <c r="R115" s="902"/>
      <c r="S115" s="903"/>
      <c r="T115" s="903"/>
      <c r="U115" s="904"/>
      <c r="V115" s="902"/>
      <c r="W115" s="903"/>
      <c r="X115" s="903"/>
      <c r="Y115" s="932"/>
    </row>
  </sheetData>
  <protectedRanges>
    <protectedRange sqref="AB89:AE93" name="Table_3_1"/>
    <protectedRange sqref="F105:Y115 R94:Y94 F82:Y82 F8:Y12 F90:Y93 F95:Y98 R84:Y84 F85:Y88 F14:Y18 R13:Y13" name="Range1_1_3"/>
    <protectedRange sqref="F13:Q13 F94:Q94 F84:Q84" name="Range1_1_3_1"/>
  </protectedRanges>
  <mergeCells count="540">
    <mergeCell ref="F80:I80"/>
    <mergeCell ref="F96:I96"/>
    <mergeCell ref="J96:M96"/>
    <mergeCell ref="N96:Q96"/>
    <mergeCell ref="R96:U96"/>
    <mergeCell ref="B85:E88"/>
    <mergeCell ref="F82:I82"/>
    <mergeCell ref="J82:M82"/>
    <mergeCell ref="N82:Q82"/>
    <mergeCell ref="R82:U82"/>
    <mergeCell ref="B14:E82"/>
    <mergeCell ref="F88:I88"/>
    <mergeCell ref="J88:M88"/>
    <mergeCell ref="N88:Q88"/>
    <mergeCell ref="R88:U88"/>
    <mergeCell ref="J87:M87"/>
    <mergeCell ref="N87:Q87"/>
    <mergeCell ref="R87:U87"/>
    <mergeCell ref="F78:I78"/>
    <mergeCell ref="J78:M78"/>
    <mergeCell ref="O78:Q78"/>
    <mergeCell ref="S78:U78"/>
    <mergeCell ref="F74:I74"/>
    <mergeCell ref="J74:M74"/>
    <mergeCell ref="V115:Y115"/>
    <mergeCell ref="J114:M114"/>
    <mergeCell ref="N114:Q114"/>
    <mergeCell ref="R114:U114"/>
    <mergeCell ref="V114:Y114"/>
    <mergeCell ref="J91:M91"/>
    <mergeCell ref="N91:Q91"/>
    <mergeCell ref="R91:U91"/>
    <mergeCell ref="V91:Y91"/>
    <mergeCell ref="B111:E115"/>
    <mergeCell ref="F111:I111"/>
    <mergeCell ref="J111:M111"/>
    <mergeCell ref="N111:Q111"/>
    <mergeCell ref="R111:U111"/>
    <mergeCell ref="F112:I112"/>
    <mergeCell ref="J112:M112"/>
    <mergeCell ref="N112:Q112"/>
    <mergeCell ref="R112:U112"/>
    <mergeCell ref="F113:I113"/>
    <mergeCell ref="J113:M113"/>
    <mergeCell ref="N113:Q113"/>
    <mergeCell ref="R113:U113"/>
    <mergeCell ref="F114:I114"/>
    <mergeCell ref="F115:I115"/>
    <mergeCell ref="J115:M115"/>
    <mergeCell ref="N115:Q115"/>
    <mergeCell ref="R115:U115"/>
    <mergeCell ref="B109:E109"/>
    <mergeCell ref="F109:I109"/>
    <mergeCell ref="J109:M109"/>
    <mergeCell ref="N109:Q109"/>
    <mergeCell ref="R109:U109"/>
    <mergeCell ref="B110:E110"/>
    <mergeCell ref="F110:I110"/>
    <mergeCell ref="N110:Q110"/>
    <mergeCell ref="R110:U110"/>
    <mergeCell ref="J110:M110"/>
    <mergeCell ref="B106:E106"/>
    <mergeCell ref="F106:I106"/>
    <mergeCell ref="J106:M106"/>
    <mergeCell ref="N106:Q106"/>
    <mergeCell ref="R106:U106"/>
    <mergeCell ref="B108:E108"/>
    <mergeCell ref="F108:I108"/>
    <mergeCell ref="J108:M108"/>
    <mergeCell ref="N108:Q108"/>
    <mergeCell ref="R108:U108"/>
    <mergeCell ref="B107:E107"/>
    <mergeCell ref="F107:I107"/>
    <mergeCell ref="J107:M107"/>
    <mergeCell ref="N107:Q107"/>
    <mergeCell ref="R107:U107"/>
    <mergeCell ref="B102:E102"/>
    <mergeCell ref="F102:H102"/>
    <mergeCell ref="J102:L102"/>
    <mergeCell ref="M102:P102"/>
    <mergeCell ref="U102:V102"/>
    <mergeCell ref="W102:Y102"/>
    <mergeCell ref="B104:Y104"/>
    <mergeCell ref="B105:E105"/>
    <mergeCell ref="F105:I105"/>
    <mergeCell ref="J105:M105"/>
    <mergeCell ref="N105:Q105"/>
    <mergeCell ref="R105:U105"/>
    <mergeCell ref="V105:Y105"/>
    <mergeCell ref="B95:E98"/>
    <mergeCell ref="F95:I95"/>
    <mergeCell ref="J95:M95"/>
    <mergeCell ref="N95:Q95"/>
    <mergeCell ref="R95:U95"/>
    <mergeCell ref="F97:I97"/>
    <mergeCell ref="J97:M97"/>
    <mergeCell ref="N97:Q97"/>
    <mergeCell ref="R97:U97"/>
    <mergeCell ref="F98:I98"/>
    <mergeCell ref="J98:M98"/>
    <mergeCell ref="N98:Q98"/>
    <mergeCell ref="R98:U98"/>
    <mergeCell ref="AB93:AE93"/>
    <mergeCell ref="B94:E94"/>
    <mergeCell ref="F94:I94"/>
    <mergeCell ref="J94:M94"/>
    <mergeCell ref="N94:Q94"/>
    <mergeCell ref="R94:U94"/>
    <mergeCell ref="V94:Y94"/>
    <mergeCell ref="B93:E93"/>
    <mergeCell ref="F93:I93"/>
    <mergeCell ref="J93:M93"/>
    <mergeCell ref="N93:Q93"/>
    <mergeCell ref="R93:U93"/>
    <mergeCell ref="V93:Y93"/>
    <mergeCell ref="N85:Q85"/>
    <mergeCell ref="R85:U85"/>
    <mergeCell ref="V85:Y85"/>
    <mergeCell ref="F86:I86"/>
    <mergeCell ref="J86:M86"/>
    <mergeCell ref="N86:Q86"/>
    <mergeCell ref="F87:I87"/>
    <mergeCell ref="AB91:AE91"/>
    <mergeCell ref="B92:E92"/>
    <mergeCell ref="F92:I92"/>
    <mergeCell ref="J92:M92"/>
    <mergeCell ref="N92:Q92"/>
    <mergeCell ref="R92:U92"/>
    <mergeCell ref="V92:Y92"/>
    <mergeCell ref="AB92:AE92"/>
    <mergeCell ref="B91:E91"/>
    <mergeCell ref="F91:I91"/>
    <mergeCell ref="V88:Y88"/>
    <mergeCell ref="B89:Y89"/>
    <mergeCell ref="R86:U86"/>
    <mergeCell ref="V86:Y86"/>
    <mergeCell ref="V87:Y87"/>
    <mergeCell ref="J80:M80"/>
    <mergeCell ref="O80:Q80"/>
    <mergeCell ref="S80:U80"/>
    <mergeCell ref="F81:I81"/>
    <mergeCell ref="J81:M81"/>
    <mergeCell ref="O81:Q81"/>
    <mergeCell ref="S81:U81"/>
    <mergeCell ref="AB89:AE89"/>
    <mergeCell ref="B90:E90"/>
    <mergeCell ref="F90:I90"/>
    <mergeCell ref="J90:M90"/>
    <mergeCell ref="N90:Q90"/>
    <mergeCell ref="R90:U90"/>
    <mergeCell ref="V90:Y90"/>
    <mergeCell ref="AB90:AE90"/>
    <mergeCell ref="B83:Y83"/>
    <mergeCell ref="B84:E84"/>
    <mergeCell ref="F84:I84"/>
    <mergeCell ref="J84:M84"/>
    <mergeCell ref="N84:Q84"/>
    <mergeCell ref="R84:U84"/>
    <mergeCell ref="V84:Y84"/>
    <mergeCell ref="F85:I85"/>
    <mergeCell ref="J85:M85"/>
    <mergeCell ref="V78:Y78"/>
    <mergeCell ref="F79:I79"/>
    <mergeCell ref="J79:M79"/>
    <mergeCell ref="O79:Q79"/>
    <mergeCell ref="S79:U79"/>
    <mergeCell ref="V79:Y79"/>
    <mergeCell ref="F76:I76"/>
    <mergeCell ref="J76:M76"/>
    <mergeCell ref="O76:Q76"/>
    <mergeCell ref="S76:U76"/>
    <mergeCell ref="V76:Y76"/>
    <mergeCell ref="F77:I77"/>
    <mergeCell ref="J77:M77"/>
    <mergeCell ref="O77:Q77"/>
    <mergeCell ref="S77:U77"/>
    <mergeCell ref="V77:Y77"/>
    <mergeCell ref="V74:Y74"/>
    <mergeCell ref="F75:I75"/>
    <mergeCell ref="J75:M75"/>
    <mergeCell ref="O75:Q75"/>
    <mergeCell ref="S75:U75"/>
    <mergeCell ref="V75:Y75"/>
    <mergeCell ref="F72:I72"/>
    <mergeCell ref="J72:M72"/>
    <mergeCell ref="O72:Q72"/>
    <mergeCell ref="S72:U72"/>
    <mergeCell ref="V72:Y72"/>
    <mergeCell ref="F73:I73"/>
    <mergeCell ref="J73:M73"/>
    <mergeCell ref="O73:Q73"/>
    <mergeCell ref="S73:U73"/>
    <mergeCell ref="V73:Y73"/>
    <mergeCell ref="O74:Q74"/>
    <mergeCell ref="S74:U74"/>
    <mergeCell ref="F71:I71"/>
    <mergeCell ref="J71:M71"/>
    <mergeCell ref="O71:Q71"/>
    <mergeCell ref="S71:U71"/>
    <mergeCell ref="F68:I68"/>
    <mergeCell ref="J68:M68"/>
    <mergeCell ref="O68:Q68"/>
    <mergeCell ref="S68:U68"/>
    <mergeCell ref="F69:I69"/>
    <mergeCell ref="J69:M69"/>
    <mergeCell ref="O69:Q69"/>
    <mergeCell ref="S69:U69"/>
    <mergeCell ref="F70:I70"/>
    <mergeCell ref="J70:M70"/>
    <mergeCell ref="O70:Q70"/>
    <mergeCell ref="F66:I66"/>
    <mergeCell ref="J66:M66"/>
    <mergeCell ref="O66:Q66"/>
    <mergeCell ref="S66:U66"/>
    <mergeCell ref="F67:I67"/>
    <mergeCell ref="J67:M67"/>
    <mergeCell ref="O67:Q67"/>
    <mergeCell ref="S67:U67"/>
    <mergeCell ref="S70:U70"/>
    <mergeCell ref="F63:I63"/>
    <mergeCell ref="J63:M63"/>
    <mergeCell ref="O63:Q63"/>
    <mergeCell ref="S63:U63"/>
    <mergeCell ref="F64:I64"/>
    <mergeCell ref="J64:M64"/>
    <mergeCell ref="O64:Q64"/>
    <mergeCell ref="S64:U64"/>
    <mergeCell ref="F65:I65"/>
    <mergeCell ref="J65:M65"/>
    <mergeCell ref="O65:Q65"/>
    <mergeCell ref="S65:U65"/>
    <mergeCell ref="F60:I60"/>
    <mergeCell ref="J60:M60"/>
    <mergeCell ref="O60:Q60"/>
    <mergeCell ref="S60:U60"/>
    <mergeCell ref="F61:I61"/>
    <mergeCell ref="J61:M61"/>
    <mergeCell ref="O61:Q61"/>
    <mergeCell ref="S61:U61"/>
    <mergeCell ref="F62:I62"/>
    <mergeCell ref="J62:M62"/>
    <mergeCell ref="O62:Q62"/>
    <mergeCell ref="S62:U62"/>
    <mergeCell ref="F57:I57"/>
    <mergeCell ref="J57:M57"/>
    <mergeCell ref="O57:Q57"/>
    <mergeCell ref="S57:U57"/>
    <mergeCell ref="F58:I58"/>
    <mergeCell ref="J58:M58"/>
    <mergeCell ref="O58:Q58"/>
    <mergeCell ref="S58:U58"/>
    <mergeCell ref="F59:I59"/>
    <mergeCell ref="J59:M59"/>
    <mergeCell ref="O59:Q59"/>
    <mergeCell ref="S59:U59"/>
    <mergeCell ref="F54:I54"/>
    <mergeCell ref="J54:M54"/>
    <mergeCell ref="O54:Q54"/>
    <mergeCell ref="S54:U54"/>
    <mergeCell ref="F55:I55"/>
    <mergeCell ref="J55:M55"/>
    <mergeCell ref="O55:Q55"/>
    <mergeCell ref="S55:U55"/>
    <mergeCell ref="F56:I56"/>
    <mergeCell ref="J56:M56"/>
    <mergeCell ref="O56:Q56"/>
    <mergeCell ref="S56:U56"/>
    <mergeCell ref="F51:I51"/>
    <mergeCell ref="J51:M51"/>
    <mergeCell ref="O51:Q51"/>
    <mergeCell ref="S51:U51"/>
    <mergeCell ref="F52:I52"/>
    <mergeCell ref="J52:M52"/>
    <mergeCell ref="O52:Q52"/>
    <mergeCell ref="S52:U52"/>
    <mergeCell ref="F53:I53"/>
    <mergeCell ref="J53:M53"/>
    <mergeCell ref="O53:Q53"/>
    <mergeCell ref="S53:U53"/>
    <mergeCell ref="F48:I48"/>
    <mergeCell ref="J48:M48"/>
    <mergeCell ref="O48:Q48"/>
    <mergeCell ref="S48:U48"/>
    <mergeCell ref="F49:I49"/>
    <mergeCell ref="J49:M49"/>
    <mergeCell ref="O49:Q49"/>
    <mergeCell ref="S49:U49"/>
    <mergeCell ref="F50:I50"/>
    <mergeCell ref="J50:M50"/>
    <mergeCell ref="O50:Q50"/>
    <mergeCell ref="S50:U50"/>
    <mergeCell ref="F45:I45"/>
    <mergeCell ref="J45:M45"/>
    <mergeCell ref="O45:Q45"/>
    <mergeCell ref="S45:U45"/>
    <mergeCell ref="F46:I46"/>
    <mergeCell ref="J46:M46"/>
    <mergeCell ref="O46:Q46"/>
    <mergeCell ref="S46:U46"/>
    <mergeCell ref="F47:I47"/>
    <mergeCell ref="J47:M47"/>
    <mergeCell ref="O47:Q47"/>
    <mergeCell ref="S47:U47"/>
    <mergeCell ref="F42:I42"/>
    <mergeCell ref="J42:M42"/>
    <mergeCell ref="O42:Q42"/>
    <mergeCell ref="S42:U42"/>
    <mergeCell ref="F43:I43"/>
    <mergeCell ref="J43:M43"/>
    <mergeCell ref="O43:Q43"/>
    <mergeCell ref="S43:U43"/>
    <mergeCell ref="F44:I44"/>
    <mergeCell ref="J44:M44"/>
    <mergeCell ref="O44:Q44"/>
    <mergeCell ref="S44:U44"/>
    <mergeCell ref="F39:I39"/>
    <mergeCell ref="J39:M39"/>
    <mergeCell ref="O39:Q39"/>
    <mergeCell ref="S39:U39"/>
    <mergeCell ref="F40:I40"/>
    <mergeCell ref="J40:M40"/>
    <mergeCell ref="O40:Q40"/>
    <mergeCell ref="S40:U40"/>
    <mergeCell ref="F41:I41"/>
    <mergeCell ref="J41:M41"/>
    <mergeCell ref="O41:Q41"/>
    <mergeCell ref="S41:U41"/>
    <mergeCell ref="F36:I36"/>
    <mergeCell ref="J36:M36"/>
    <mergeCell ref="O36:Q36"/>
    <mergeCell ref="S36:U36"/>
    <mergeCell ref="F37:I37"/>
    <mergeCell ref="J37:M37"/>
    <mergeCell ref="O37:Q37"/>
    <mergeCell ref="S37:U37"/>
    <mergeCell ref="F38:I38"/>
    <mergeCell ref="J38:M38"/>
    <mergeCell ref="O38:Q38"/>
    <mergeCell ref="S38:U38"/>
    <mergeCell ref="F33:I33"/>
    <mergeCell ref="J33:M33"/>
    <mergeCell ref="O33:Q33"/>
    <mergeCell ref="S33:U33"/>
    <mergeCell ref="F34:I34"/>
    <mergeCell ref="J34:M34"/>
    <mergeCell ref="O34:Q34"/>
    <mergeCell ref="S34:U34"/>
    <mergeCell ref="F35:I35"/>
    <mergeCell ref="J35:M35"/>
    <mergeCell ref="O35:Q35"/>
    <mergeCell ref="S35:U35"/>
    <mergeCell ref="F30:I30"/>
    <mergeCell ref="J30:M30"/>
    <mergeCell ref="O30:Q30"/>
    <mergeCell ref="S30:U30"/>
    <mergeCell ref="F31:I31"/>
    <mergeCell ref="J31:M31"/>
    <mergeCell ref="O31:Q31"/>
    <mergeCell ref="S31:U31"/>
    <mergeCell ref="F32:I32"/>
    <mergeCell ref="J32:M32"/>
    <mergeCell ref="O32:Q32"/>
    <mergeCell ref="S32:U32"/>
    <mergeCell ref="F27:I27"/>
    <mergeCell ref="J27:M27"/>
    <mergeCell ref="O27:Q27"/>
    <mergeCell ref="S27:U27"/>
    <mergeCell ref="F28:I28"/>
    <mergeCell ref="J28:M28"/>
    <mergeCell ref="O28:Q28"/>
    <mergeCell ref="S28:U28"/>
    <mergeCell ref="F29:I29"/>
    <mergeCell ref="J29:M29"/>
    <mergeCell ref="O29:Q29"/>
    <mergeCell ref="S29:U29"/>
    <mergeCell ref="F24:I24"/>
    <mergeCell ref="J24:M24"/>
    <mergeCell ref="O24:Q24"/>
    <mergeCell ref="S24:U24"/>
    <mergeCell ref="F25:I25"/>
    <mergeCell ref="J25:M25"/>
    <mergeCell ref="O25:Q25"/>
    <mergeCell ref="S25:U25"/>
    <mergeCell ref="F26:I26"/>
    <mergeCell ref="J26:M26"/>
    <mergeCell ref="O26:Q26"/>
    <mergeCell ref="S26:U26"/>
    <mergeCell ref="F21:I21"/>
    <mergeCell ref="J21:M21"/>
    <mergeCell ref="O21:Q21"/>
    <mergeCell ref="S21:U21"/>
    <mergeCell ref="F22:I22"/>
    <mergeCell ref="J22:M22"/>
    <mergeCell ref="O22:Q22"/>
    <mergeCell ref="S22:U22"/>
    <mergeCell ref="F23:I23"/>
    <mergeCell ref="J23:M23"/>
    <mergeCell ref="O23:Q23"/>
    <mergeCell ref="S23:U23"/>
    <mergeCell ref="F18:I18"/>
    <mergeCell ref="J18:M18"/>
    <mergeCell ref="N18:Q18"/>
    <mergeCell ref="R18:U18"/>
    <mergeCell ref="F19:I19"/>
    <mergeCell ref="J19:M19"/>
    <mergeCell ref="O19:Q19"/>
    <mergeCell ref="S19:U19"/>
    <mergeCell ref="F20:I20"/>
    <mergeCell ref="J20:M20"/>
    <mergeCell ref="O20:Q20"/>
    <mergeCell ref="S20:U20"/>
    <mergeCell ref="F17:I17"/>
    <mergeCell ref="J17:M17"/>
    <mergeCell ref="N17:Q17"/>
    <mergeCell ref="R17:U17"/>
    <mergeCell ref="B13:E13"/>
    <mergeCell ref="F13:I13"/>
    <mergeCell ref="J13:M13"/>
    <mergeCell ref="N13:Q13"/>
    <mergeCell ref="R13:U13"/>
    <mergeCell ref="F14:I14"/>
    <mergeCell ref="J14:M14"/>
    <mergeCell ref="N14:Q14"/>
    <mergeCell ref="R14:U14"/>
    <mergeCell ref="F15:I15"/>
    <mergeCell ref="J15:M15"/>
    <mergeCell ref="N15:Q15"/>
    <mergeCell ref="R15:U15"/>
    <mergeCell ref="F16:I16"/>
    <mergeCell ref="J16:M16"/>
    <mergeCell ref="N16:Q16"/>
    <mergeCell ref="R16:U16"/>
    <mergeCell ref="B10:E10"/>
    <mergeCell ref="F10:I10"/>
    <mergeCell ref="J10:M10"/>
    <mergeCell ref="N10:Q10"/>
    <mergeCell ref="R10:U10"/>
    <mergeCell ref="B12:E12"/>
    <mergeCell ref="F12:I12"/>
    <mergeCell ref="J12:M12"/>
    <mergeCell ref="N12:Q12"/>
    <mergeCell ref="R12:U12"/>
    <mergeCell ref="B11:E11"/>
    <mergeCell ref="F11:I11"/>
    <mergeCell ref="J11:M11"/>
    <mergeCell ref="N11:Q11"/>
    <mergeCell ref="R11:U11"/>
    <mergeCell ref="B8:E8"/>
    <mergeCell ref="F8:I8"/>
    <mergeCell ref="J8:M8"/>
    <mergeCell ref="N8:Q8"/>
    <mergeCell ref="R8:U8"/>
    <mergeCell ref="B9:E9"/>
    <mergeCell ref="F9:I9"/>
    <mergeCell ref="J9:M9"/>
    <mergeCell ref="N9:Q9"/>
    <mergeCell ref="R9:U9"/>
    <mergeCell ref="W5:Y5"/>
    <mergeCell ref="B7:Y7"/>
    <mergeCell ref="B5:E5"/>
    <mergeCell ref="F5:H5"/>
    <mergeCell ref="J5:L5"/>
    <mergeCell ref="M5:P5"/>
    <mergeCell ref="U5:V5"/>
    <mergeCell ref="V113:Y113"/>
    <mergeCell ref="V112:Y112"/>
    <mergeCell ref="V111:Y111"/>
    <mergeCell ref="V107:Y107"/>
    <mergeCell ref="V110:Y110"/>
    <mergeCell ref="V109:Y109"/>
    <mergeCell ref="V108:Y108"/>
    <mergeCell ref="V106:Y106"/>
    <mergeCell ref="V96:Y96"/>
    <mergeCell ref="V98:Y98"/>
    <mergeCell ref="V97:Y97"/>
    <mergeCell ref="V95:Y95"/>
    <mergeCell ref="V81:Y81"/>
    <mergeCell ref="V80:Y80"/>
    <mergeCell ref="V69:Y69"/>
    <mergeCell ref="V68:Y68"/>
    <mergeCell ref="V71:Y71"/>
    <mergeCell ref="V70:Y70"/>
    <mergeCell ref="V67:Y67"/>
    <mergeCell ref="V66:Y66"/>
    <mergeCell ref="V65:Y65"/>
    <mergeCell ref="V64:Y64"/>
    <mergeCell ref="V63:Y63"/>
    <mergeCell ref="V62:Y62"/>
    <mergeCell ref="V61:Y61"/>
    <mergeCell ref="V60:Y60"/>
    <mergeCell ref="V59:Y59"/>
    <mergeCell ref="V58:Y58"/>
    <mergeCell ref="V57:Y57"/>
    <mergeCell ref="V56:Y56"/>
    <mergeCell ref="V55:Y55"/>
    <mergeCell ref="V54:Y54"/>
    <mergeCell ref="V53:Y53"/>
    <mergeCell ref="V52:Y52"/>
    <mergeCell ref="V51:Y51"/>
    <mergeCell ref="V50:Y50"/>
    <mergeCell ref="V49:Y49"/>
    <mergeCell ref="V48:Y48"/>
    <mergeCell ref="V47:Y47"/>
    <mergeCell ref="V46:Y46"/>
    <mergeCell ref="V45:Y45"/>
    <mergeCell ref="V44:Y44"/>
    <mergeCell ref="V43:Y43"/>
    <mergeCell ref="V42:Y42"/>
    <mergeCell ref="V41:Y41"/>
    <mergeCell ref="V40:Y40"/>
    <mergeCell ref="V39:Y39"/>
    <mergeCell ref="V38:Y38"/>
    <mergeCell ref="V37:Y37"/>
    <mergeCell ref="V36:Y36"/>
    <mergeCell ref="V35:Y35"/>
    <mergeCell ref="V34:Y34"/>
    <mergeCell ref="V33:Y33"/>
    <mergeCell ref="V32:Y32"/>
    <mergeCell ref="V31:Y31"/>
    <mergeCell ref="V30:Y30"/>
    <mergeCell ref="V29:Y29"/>
    <mergeCell ref="V28:Y28"/>
    <mergeCell ref="V27:Y27"/>
    <mergeCell ref="V26:Y26"/>
    <mergeCell ref="V25:Y25"/>
    <mergeCell ref="V24:Y24"/>
    <mergeCell ref="V11:Y11"/>
    <mergeCell ref="V12:Y12"/>
    <mergeCell ref="V10:Y10"/>
    <mergeCell ref="V9:Y9"/>
    <mergeCell ref="V8:Y8"/>
    <mergeCell ref="V23:Y23"/>
    <mergeCell ref="V22:Y22"/>
    <mergeCell ref="V21:Y21"/>
    <mergeCell ref="V20:Y20"/>
    <mergeCell ref="V19:Y19"/>
    <mergeCell ref="V18:Y18"/>
    <mergeCell ref="V17:Y17"/>
    <mergeCell ref="V14:Y14"/>
    <mergeCell ref="V13:Y13"/>
  </mergeCells>
  <printOptions horizontalCentered="1" verticalCentered="1"/>
  <pageMargins left="0.39370078740157483" right="0.39370078740157483" top="0.23622047244094491" bottom="0.23622047244094491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6F5D9B5-7394-44EA-900C-A2B3215BA198}">
          <x14:formula1>
            <xm:f>Personel!$F$2:$F$57</xm:f>
          </x14:formula1>
          <xm:sqref>R94:Y94 R84:Y84 R13:Y13</xm:sqref>
        </x14:dataValidation>
        <x14:dataValidation type="list" allowBlank="1" showInputMessage="1" showErrorMessage="1" xr:uid="{08A5506B-C466-487A-B57F-BE9AEA3C2047}">
          <x14:formula1>
            <xm:f>'Reference Data'!$U$2:$U$31</xm:f>
          </x14:formula1>
          <xm:sqref>F8:Y8 F90:Y90</xm:sqref>
        </x14:dataValidation>
        <x14:dataValidation type="list" allowBlank="1" showInputMessage="1" showErrorMessage="1" xr:uid="{B94A183A-59D6-4043-A7AB-F1E3823B19D7}">
          <x14:formula1>
            <xm:f>'Reference Data'!$Q$2:$Q$87</xm:f>
          </x14:formula1>
          <xm:sqref>F9:Y9 F91:Y91</xm:sqref>
        </x14:dataValidation>
        <x14:dataValidation type="list" allowBlank="1" showInputMessage="1" showErrorMessage="1" xr:uid="{0020D5D6-D8D0-4FBF-984F-488114253021}">
          <x14:formula1>
            <xm:f>Personel!$F$2:$F$59</xm:f>
          </x14:formula1>
          <xm:sqref>F14:Y16 F85:I88 F82:Y82</xm:sqref>
        </x14:dataValidation>
        <x14:dataValidation type="list" allowBlank="1" showInputMessage="1" showErrorMessage="1" xr:uid="{9CBDF957-F960-40FA-A86D-1AF779B15D0E}">
          <x14:formula1>
            <xm:f>Personel!$F$2:$F$64</xm:f>
          </x14:formula1>
          <xm:sqref>R87:U88 J85:Q88 V85:Y88 R85:U85 V95:Y97 F95:U98</xm:sqref>
        </x14:dataValidation>
        <x14:dataValidation type="list" allowBlank="1" showInputMessage="1" showErrorMessage="1" xr:uid="{3B839824-2840-4721-A318-0871BC539540}">
          <x14:formula1>
            <xm:f>'Reference Data'!$A$2:$A$114</xm:f>
          </x14:formula1>
          <xm:sqref>M5:P5 M102:P102</xm:sqref>
        </x14:dataValidation>
        <x14:dataValidation type="list" allowBlank="1" showInputMessage="1" showErrorMessage="1" xr:uid="{DCF7CBC8-541E-4419-BCAC-1D3F9990B488}">
          <x14:formula1>
            <xm:f>'Reference Data'!$C$2:$C$12</xm:f>
          </x14:formula1>
          <xm:sqref>F5:H5 F102:H102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7A507-B5F9-4793-8EB5-4578F3167ACE}">
  <sheetPr codeName="Sheet12">
    <tabColor theme="0"/>
  </sheetPr>
  <dimension ref="A1:BF59"/>
  <sheetViews>
    <sheetView showGridLines="0" zoomScale="115" zoomScaleNormal="115" workbookViewId="0">
      <selection activeCell="AM13" sqref="AM13"/>
    </sheetView>
  </sheetViews>
  <sheetFormatPr defaultColWidth="4.7109375" defaultRowHeight="16.899999999999999"/>
  <cols>
    <col min="1" max="1" width="2.7109375" style="3" customWidth="1"/>
    <col min="2" max="9" width="3.7109375" style="3" customWidth="1"/>
    <col min="10" max="10" width="4.7109375" style="3" customWidth="1"/>
    <col min="11" max="18" width="3.7109375" style="3" customWidth="1"/>
    <col min="19" max="19" width="4.7109375" style="1" customWidth="1"/>
    <col min="20" max="27" width="3.7109375" style="3" customWidth="1"/>
    <col min="28" max="28" width="4.7109375" style="3" customWidth="1"/>
    <col min="29" max="29" width="3.7109375" style="1" customWidth="1"/>
    <col min="30" max="36" width="3.7109375" style="3" customWidth="1"/>
    <col min="37" max="37" width="2.7109375" style="3" customWidth="1"/>
    <col min="38" max="38" width="6.42578125" style="3" customWidth="1"/>
    <col min="39" max="39" width="20.140625" style="3" customWidth="1"/>
    <col min="40" max="41" width="3.7109375" style="3" customWidth="1"/>
    <col min="42" max="42" width="4.42578125" style="3" customWidth="1"/>
    <col min="43" max="45" width="4.7109375" style="3"/>
    <col min="46" max="46" width="5" style="3" customWidth="1"/>
    <col min="47" max="16384" width="4.7109375" style="3"/>
  </cols>
  <sheetData>
    <row r="1" spans="1:58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1"/>
      <c r="U1" s="1"/>
      <c r="V1" s="1"/>
      <c r="W1" s="1"/>
      <c r="X1" s="1"/>
      <c r="Y1" s="1"/>
      <c r="Z1" s="1"/>
      <c r="AA1" s="1"/>
      <c r="AB1" s="1"/>
      <c r="AD1" s="1"/>
      <c r="AE1" s="1"/>
      <c r="AF1" s="1"/>
      <c r="AG1" s="1"/>
      <c r="AH1" s="1"/>
      <c r="AI1" s="1"/>
      <c r="AJ1" s="1"/>
      <c r="AK1" s="1"/>
      <c r="AL1" s="1"/>
    </row>
    <row r="2" spans="1:58" ht="20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T2" s="1"/>
      <c r="U2" s="1"/>
      <c r="V2" s="1"/>
      <c r="W2" s="1"/>
      <c r="X2" s="1"/>
      <c r="Y2" s="1"/>
      <c r="Z2" s="1"/>
      <c r="AA2" s="1"/>
      <c r="AB2" s="1"/>
      <c r="AD2" s="1"/>
      <c r="AE2" s="1"/>
      <c r="AF2" s="1"/>
      <c r="AG2" s="1"/>
      <c r="AH2" s="1"/>
      <c r="AI2" s="1"/>
      <c r="AJ2" s="1"/>
      <c r="AK2" s="1"/>
      <c r="AL2" s="1"/>
    </row>
    <row r="3" spans="1:58" s="6" customFormat="1">
      <c r="A3" s="4"/>
      <c r="B3" s="936" t="s">
        <v>5</v>
      </c>
      <c r="C3" s="937"/>
      <c r="D3" s="947" t="str">
        <f>'Event Info'!B2</f>
        <v>Melbourne</v>
      </c>
      <c r="E3" s="948"/>
      <c r="F3" s="948"/>
      <c r="G3" s="948"/>
      <c r="H3" s="948"/>
      <c r="I3" s="949"/>
      <c r="J3" s="4"/>
      <c r="K3" s="936" t="s">
        <v>5</v>
      </c>
      <c r="L3" s="937"/>
      <c r="M3" s="938" t="str">
        <f>IF($D$3="","",$D$3)</f>
        <v>Melbourne</v>
      </c>
      <c r="N3" s="939"/>
      <c r="O3" s="939"/>
      <c r="P3" s="939"/>
      <c r="Q3" s="939"/>
      <c r="R3" s="940"/>
      <c r="S3" s="1"/>
      <c r="T3" s="936" t="s">
        <v>5</v>
      </c>
      <c r="U3" s="937"/>
      <c r="V3" s="938" t="str">
        <f>IF($D$3="","",$D$3)</f>
        <v>Melbourne</v>
      </c>
      <c r="W3" s="939"/>
      <c r="X3" s="939"/>
      <c r="Y3" s="939"/>
      <c r="Z3" s="939"/>
      <c r="AA3" s="940"/>
      <c r="AB3" s="1"/>
      <c r="AC3" s="936" t="s">
        <v>5</v>
      </c>
      <c r="AD3" s="937"/>
      <c r="AE3" s="938" t="s">
        <v>191</v>
      </c>
      <c r="AF3" s="939"/>
      <c r="AG3" s="939"/>
      <c r="AH3" s="939"/>
      <c r="AI3" s="939"/>
      <c r="AJ3" s="940"/>
      <c r="AK3" s="1"/>
      <c r="AL3" s="4"/>
    </row>
    <row r="4" spans="1:58" ht="6" customHeight="1">
      <c r="A4" s="1"/>
      <c r="B4" s="1"/>
      <c r="C4" s="1"/>
      <c r="D4" s="1"/>
      <c r="E4" s="1"/>
      <c r="F4" s="1"/>
      <c r="G4" s="1"/>
      <c r="H4" s="1"/>
      <c r="I4" s="20"/>
      <c r="J4" s="21"/>
      <c r="K4" s="1"/>
      <c r="L4" s="1"/>
      <c r="M4" s="1"/>
      <c r="N4" s="1"/>
      <c r="O4" s="1"/>
      <c r="P4" s="1"/>
      <c r="Q4" s="1"/>
      <c r="R4" s="20"/>
      <c r="S4" s="22"/>
      <c r="T4" s="1"/>
      <c r="U4" s="1"/>
      <c r="V4" s="1"/>
      <c r="W4" s="1"/>
      <c r="X4" s="1"/>
      <c r="Y4" s="1"/>
      <c r="Z4" s="1"/>
      <c r="AA4" s="20"/>
      <c r="AB4" s="22"/>
      <c r="AD4" s="1"/>
      <c r="AE4" s="1"/>
      <c r="AF4" s="1"/>
      <c r="AG4" s="1"/>
      <c r="AH4" s="1"/>
      <c r="AI4" s="1"/>
      <c r="AJ4" s="20"/>
      <c r="AK4" s="22"/>
      <c r="AL4" s="1"/>
    </row>
    <row r="5" spans="1:58" ht="15" customHeight="1">
      <c r="A5" s="1"/>
      <c r="B5" s="941" t="s">
        <v>192</v>
      </c>
      <c r="C5" s="942"/>
      <c r="D5" s="942"/>
      <c r="E5" s="942"/>
      <c r="F5" s="942"/>
      <c r="G5" s="942"/>
      <c r="H5" s="942"/>
      <c r="I5" s="943"/>
      <c r="J5" s="1"/>
      <c r="K5" s="944" t="str">
        <f>$B$5</f>
        <v>DAY 1: FRIDAY 2ND</v>
      </c>
      <c r="L5" s="945"/>
      <c r="M5" s="945"/>
      <c r="N5" s="945"/>
      <c r="O5" s="945"/>
      <c r="P5" s="945"/>
      <c r="Q5" s="945"/>
      <c r="R5" s="946"/>
      <c r="S5" s="23"/>
      <c r="T5" s="944" t="str">
        <f>$B$5</f>
        <v>DAY 1: FRIDAY 2ND</v>
      </c>
      <c r="U5" s="945"/>
      <c r="V5" s="945"/>
      <c r="W5" s="945"/>
      <c r="X5" s="945"/>
      <c r="Y5" s="945"/>
      <c r="Z5" s="945"/>
      <c r="AA5" s="946"/>
      <c r="AB5" s="23"/>
      <c r="AC5" s="944" t="str">
        <f>$B$5</f>
        <v>DAY 1: FRIDAY 2ND</v>
      </c>
      <c r="AD5" s="945"/>
      <c r="AE5" s="945"/>
      <c r="AF5" s="945"/>
      <c r="AG5" s="945"/>
      <c r="AH5" s="945"/>
      <c r="AI5" s="945"/>
      <c r="AJ5" s="946"/>
      <c r="AK5" s="24"/>
      <c r="AL5" s="1"/>
    </row>
    <row r="6" spans="1:58">
      <c r="A6" s="1"/>
      <c r="B6" s="950" t="s">
        <v>193</v>
      </c>
      <c r="C6" s="951"/>
      <c r="D6" s="952" t="s">
        <v>194</v>
      </c>
      <c r="E6" s="953"/>
      <c r="F6" s="952" t="s">
        <v>195</v>
      </c>
      <c r="G6" s="953"/>
      <c r="H6" s="953"/>
      <c r="I6" s="954"/>
      <c r="J6" s="24"/>
      <c r="K6" s="950" t="s">
        <v>193</v>
      </c>
      <c r="L6" s="951"/>
      <c r="M6" s="952" t="s">
        <v>194</v>
      </c>
      <c r="N6" s="953"/>
      <c r="O6" s="952" t="s">
        <v>195</v>
      </c>
      <c r="P6" s="953"/>
      <c r="Q6" s="953"/>
      <c r="R6" s="954"/>
      <c r="S6" s="24"/>
      <c r="T6" s="950" t="s">
        <v>193</v>
      </c>
      <c r="U6" s="951"/>
      <c r="V6" s="952" t="s">
        <v>194</v>
      </c>
      <c r="W6" s="953"/>
      <c r="X6" s="952" t="s">
        <v>195</v>
      </c>
      <c r="Y6" s="953"/>
      <c r="Z6" s="953"/>
      <c r="AA6" s="954"/>
      <c r="AB6" s="24"/>
      <c r="AC6" s="950" t="s">
        <v>193</v>
      </c>
      <c r="AD6" s="951"/>
      <c r="AE6" s="952" t="s">
        <v>194</v>
      </c>
      <c r="AF6" s="953"/>
      <c r="AG6" s="952" t="s">
        <v>195</v>
      </c>
      <c r="AH6" s="953"/>
      <c r="AI6" s="953"/>
      <c r="AJ6" s="954"/>
      <c r="AK6" s="24"/>
      <c r="AL6" s="1"/>
    </row>
    <row r="7" spans="1:58">
      <c r="A7" s="1"/>
      <c r="B7" s="961">
        <v>0.375</v>
      </c>
      <c r="C7" s="962"/>
      <c r="D7" s="962">
        <v>0.40277777777777773</v>
      </c>
      <c r="E7" s="962"/>
      <c r="F7" s="963" t="s">
        <v>196</v>
      </c>
      <c r="G7" s="963"/>
      <c r="H7" s="963"/>
      <c r="I7" s="964"/>
      <c r="J7" s="25"/>
      <c r="K7" s="955">
        <f>IF($B7="","",$B7)</f>
        <v>0.375</v>
      </c>
      <c r="L7" s="956"/>
      <c r="M7" s="957">
        <f>IF($D7="","",$D7)</f>
        <v>0.40277777777777773</v>
      </c>
      <c r="N7" s="958"/>
      <c r="O7" s="959" t="str">
        <f>IF($F7="","",$F7)</f>
        <v>FREE PRACTICE</v>
      </c>
      <c r="P7" s="959"/>
      <c r="Q7" s="959"/>
      <c r="R7" s="960"/>
      <c r="T7" s="955">
        <f>IF($B7="","",$B7)</f>
        <v>0.375</v>
      </c>
      <c r="U7" s="956"/>
      <c r="V7" s="957">
        <f>IF($D7="","",$D7)</f>
        <v>0.40277777777777773</v>
      </c>
      <c r="W7" s="958"/>
      <c r="X7" s="959" t="str">
        <f>IF($F7="","",$F7)</f>
        <v>FREE PRACTICE</v>
      </c>
      <c r="Y7" s="959"/>
      <c r="Z7" s="959"/>
      <c r="AA7" s="960"/>
      <c r="AB7" s="1"/>
      <c r="AC7" s="955">
        <f>IF($B7="","",$B7)</f>
        <v>0.375</v>
      </c>
      <c r="AD7" s="956"/>
      <c r="AE7" s="957">
        <f>IF($D7="","",$D7)</f>
        <v>0.40277777777777773</v>
      </c>
      <c r="AF7" s="958"/>
      <c r="AG7" s="959" t="str">
        <f>IF($F7="","",$F7)</f>
        <v>FREE PRACTICE</v>
      </c>
      <c r="AH7" s="959"/>
      <c r="AI7" s="959"/>
      <c r="AJ7" s="960"/>
      <c r="AK7" s="1"/>
      <c r="AL7" s="1"/>
      <c r="AN7" s="7"/>
      <c r="AO7" s="7"/>
      <c r="AP7" s="7"/>
      <c r="AQ7" s="7"/>
      <c r="AR7" s="7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9"/>
    </row>
    <row r="8" spans="1:58">
      <c r="A8" s="1"/>
      <c r="B8" s="961">
        <v>0.45833333333333298</v>
      </c>
      <c r="C8" s="962"/>
      <c r="D8" s="962">
        <v>0.4861111111111111</v>
      </c>
      <c r="E8" s="962"/>
      <c r="F8" s="963" t="s">
        <v>197</v>
      </c>
      <c r="G8" s="963"/>
      <c r="H8" s="963"/>
      <c r="I8" s="964"/>
      <c r="J8" s="25"/>
      <c r="K8" s="955">
        <f>IF($B8="","",$B8)</f>
        <v>0.45833333333333298</v>
      </c>
      <c r="L8" s="956"/>
      <c r="M8" s="957">
        <f>IF($D8="","",$D8)</f>
        <v>0.4861111111111111</v>
      </c>
      <c r="N8" s="958"/>
      <c r="O8" s="959" t="str">
        <f>IF($F8="","",$F8)</f>
        <v>QUALIFYING</v>
      </c>
      <c r="P8" s="959"/>
      <c r="Q8" s="959"/>
      <c r="R8" s="960"/>
      <c r="T8" s="955">
        <f>IF($B8="","",$B8)</f>
        <v>0.45833333333333298</v>
      </c>
      <c r="U8" s="956"/>
      <c r="V8" s="957">
        <f>IF($D8="","",$D8)</f>
        <v>0.4861111111111111</v>
      </c>
      <c r="W8" s="958"/>
      <c r="X8" s="959" t="str">
        <f>IF($F8="","",$F8)</f>
        <v>QUALIFYING</v>
      </c>
      <c r="Y8" s="959"/>
      <c r="Z8" s="959"/>
      <c r="AA8" s="960"/>
      <c r="AB8" s="1"/>
      <c r="AC8" s="955">
        <f>IF($B8="","",$B8)</f>
        <v>0.45833333333333298</v>
      </c>
      <c r="AD8" s="956"/>
      <c r="AE8" s="957">
        <f>IF($D8="","",$D8)</f>
        <v>0.4861111111111111</v>
      </c>
      <c r="AF8" s="958"/>
      <c r="AG8" s="959" t="str">
        <f>IF($F8="","",$F8)</f>
        <v>QUALIFYING</v>
      </c>
      <c r="AH8" s="959"/>
      <c r="AI8" s="959"/>
      <c r="AJ8" s="960"/>
      <c r="AK8" s="1"/>
      <c r="AL8" s="1"/>
      <c r="AO8" s="7"/>
      <c r="AP8" s="7"/>
      <c r="AQ8" s="9"/>
      <c r="AR8" s="9"/>
      <c r="AS8" s="9"/>
      <c r="AT8" s="10"/>
      <c r="AU8" s="10"/>
      <c r="AV8" s="10"/>
      <c r="AW8" s="10"/>
      <c r="AX8" s="10"/>
      <c r="AY8" s="10"/>
      <c r="AZ8" s="11"/>
      <c r="BA8" s="12"/>
      <c r="BB8" s="11"/>
      <c r="BC8" s="11"/>
      <c r="BD8" s="12"/>
      <c r="BE8" s="11"/>
      <c r="BF8" s="9"/>
    </row>
    <row r="9" spans="1:58">
      <c r="A9" s="1"/>
      <c r="B9" s="961"/>
      <c r="C9" s="962"/>
      <c r="D9" s="962"/>
      <c r="E9" s="962"/>
      <c r="F9" s="963"/>
      <c r="G9" s="963"/>
      <c r="H9" s="963"/>
      <c r="I9" s="964"/>
      <c r="J9" s="25"/>
      <c r="K9" s="955" t="str">
        <f>IF($B9="","",$B9)</f>
        <v/>
      </c>
      <c r="L9" s="956"/>
      <c r="M9" s="957" t="str">
        <f>IF($D9="","",$D9)</f>
        <v/>
      </c>
      <c r="N9" s="958"/>
      <c r="O9" s="959" t="str">
        <f>IF($F9="","",$F9)</f>
        <v/>
      </c>
      <c r="P9" s="959"/>
      <c r="Q9" s="959"/>
      <c r="R9" s="960"/>
      <c r="T9" s="955" t="str">
        <f>IF($B9="","",$B9)</f>
        <v/>
      </c>
      <c r="U9" s="956"/>
      <c r="V9" s="957" t="str">
        <f>IF($D9="","",$D9)</f>
        <v/>
      </c>
      <c r="W9" s="958"/>
      <c r="X9" s="959" t="str">
        <f>IF($F9="","",$F9)</f>
        <v/>
      </c>
      <c r="Y9" s="959"/>
      <c r="Z9" s="959"/>
      <c r="AA9" s="960"/>
      <c r="AB9" s="1"/>
      <c r="AC9" s="955" t="str">
        <f>IF($B9="","",$B9)</f>
        <v/>
      </c>
      <c r="AD9" s="956"/>
      <c r="AE9" s="957" t="str">
        <f>IF($D9="","",$D9)</f>
        <v/>
      </c>
      <c r="AF9" s="958"/>
      <c r="AG9" s="959" t="str">
        <f>IF($F9="","",$F9)</f>
        <v/>
      </c>
      <c r="AH9" s="959"/>
      <c r="AI9" s="959"/>
      <c r="AJ9" s="960"/>
      <c r="AK9" s="1"/>
      <c r="AL9" s="1"/>
    </row>
    <row r="10" spans="1:58">
      <c r="A10" s="1"/>
      <c r="B10" s="971"/>
      <c r="C10" s="972"/>
      <c r="D10" s="972"/>
      <c r="E10" s="972"/>
      <c r="F10" s="973"/>
      <c r="G10" s="973"/>
      <c r="H10" s="973"/>
      <c r="I10" s="974"/>
      <c r="J10" s="25"/>
      <c r="K10" s="975" t="str">
        <f>IF($B10="","",$B10)</f>
        <v/>
      </c>
      <c r="L10" s="976"/>
      <c r="M10" s="967" t="str">
        <f>IF($D10="","",$D10)</f>
        <v/>
      </c>
      <c r="N10" s="968"/>
      <c r="O10" s="969" t="str">
        <f>IF($F10="","",$F10)</f>
        <v/>
      </c>
      <c r="P10" s="969"/>
      <c r="Q10" s="969"/>
      <c r="R10" s="970"/>
      <c r="T10" s="965" t="str">
        <f>IF($B10="","",$B10)</f>
        <v/>
      </c>
      <c r="U10" s="966"/>
      <c r="V10" s="967" t="str">
        <f>IF($D10="","",$D10)</f>
        <v/>
      </c>
      <c r="W10" s="968"/>
      <c r="X10" s="969" t="str">
        <f>IF($F10="","",$F10)</f>
        <v/>
      </c>
      <c r="Y10" s="969"/>
      <c r="Z10" s="969"/>
      <c r="AA10" s="970"/>
      <c r="AB10" s="1"/>
      <c r="AC10" s="965" t="str">
        <f>IF($B10="","",$B10)</f>
        <v/>
      </c>
      <c r="AD10" s="966"/>
      <c r="AE10" s="967" t="str">
        <f>IF($D10="","",$D10)</f>
        <v/>
      </c>
      <c r="AF10" s="968"/>
      <c r="AG10" s="969" t="str">
        <f>IF($F10="","",$F10)</f>
        <v/>
      </c>
      <c r="AH10" s="969"/>
      <c r="AI10" s="969"/>
      <c r="AJ10" s="970"/>
      <c r="AK10" s="1"/>
      <c r="AL10" s="1"/>
    </row>
    <row r="11" spans="1:58" ht="5.25" customHeight="1">
      <c r="A11" s="1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T11" s="25"/>
      <c r="U11" s="25"/>
      <c r="V11" s="25"/>
      <c r="W11" s="25"/>
      <c r="X11" s="25"/>
      <c r="Y11" s="25"/>
      <c r="Z11" s="25"/>
      <c r="AA11" s="25"/>
      <c r="AB11" s="1"/>
      <c r="AC11" s="25"/>
      <c r="AD11" s="25"/>
      <c r="AE11" s="25"/>
      <c r="AF11" s="25"/>
      <c r="AG11" s="25"/>
      <c r="AH11" s="25"/>
      <c r="AI11" s="25"/>
      <c r="AJ11" s="25"/>
      <c r="AK11" s="1"/>
      <c r="AL11" s="1"/>
    </row>
    <row r="12" spans="1:58">
      <c r="A12" s="1"/>
      <c r="B12" s="941" t="s">
        <v>198</v>
      </c>
      <c r="C12" s="942"/>
      <c r="D12" s="942"/>
      <c r="E12" s="942"/>
      <c r="F12" s="942"/>
      <c r="G12" s="942"/>
      <c r="H12" s="942"/>
      <c r="I12" s="943"/>
      <c r="J12" s="25"/>
      <c r="K12" s="944" t="str">
        <f>$B$12</f>
        <v>DAY 2: SATURDAY 3RD</v>
      </c>
      <c r="L12" s="945"/>
      <c r="M12" s="945"/>
      <c r="N12" s="945"/>
      <c r="O12" s="945"/>
      <c r="P12" s="945"/>
      <c r="Q12" s="945"/>
      <c r="R12" s="946"/>
      <c r="T12" s="944" t="str">
        <f>$B$12</f>
        <v>DAY 2: SATURDAY 3RD</v>
      </c>
      <c r="U12" s="945"/>
      <c r="V12" s="945"/>
      <c r="W12" s="945"/>
      <c r="X12" s="945"/>
      <c r="Y12" s="945"/>
      <c r="Z12" s="945"/>
      <c r="AA12" s="946"/>
      <c r="AB12" s="1"/>
      <c r="AC12" s="944" t="str">
        <f>$B$12</f>
        <v>DAY 2: SATURDAY 3RD</v>
      </c>
      <c r="AD12" s="945"/>
      <c r="AE12" s="945"/>
      <c r="AF12" s="945"/>
      <c r="AG12" s="945"/>
      <c r="AH12" s="945"/>
      <c r="AI12" s="945"/>
      <c r="AJ12" s="946"/>
      <c r="AK12" s="1"/>
      <c r="AL12" s="1"/>
    </row>
    <row r="13" spans="1:58">
      <c r="A13" s="1"/>
      <c r="B13" s="950" t="s">
        <v>193</v>
      </c>
      <c r="C13" s="951"/>
      <c r="D13" s="952" t="s">
        <v>194</v>
      </c>
      <c r="E13" s="953"/>
      <c r="F13" s="952" t="s">
        <v>195</v>
      </c>
      <c r="G13" s="953"/>
      <c r="H13" s="953"/>
      <c r="I13" s="954"/>
      <c r="J13" s="25"/>
      <c r="K13" s="977" t="s">
        <v>193</v>
      </c>
      <c r="L13" s="978"/>
      <c r="M13" s="979" t="s">
        <v>194</v>
      </c>
      <c r="N13" s="979"/>
      <c r="O13" s="952" t="s">
        <v>195</v>
      </c>
      <c r="P13" s="953"/>
      <c r="Q13" s="953"/>
      <c r="R13" s="954"/>
      <c r="T13" s="977" t="s">
        <v>193</v>
      </c>
      <c r="U13" s="978"/>
      <c r="V13" s="979" t="s">
        <v>194</v>
      </c>
      <c r="W13" s="979"/>
      <c r="X13" s="952" t="s">
        <v>195</v>
      </c>
      <c r="Y13" s="953"/>
      <c r="Z13" s="953"/>
      <c r="AA13" s="954"/>
      <c r="AB13" s="1"/>
      <c r="AC13" s="977" t="s">
        <v>193</v>
      </c>
      <c r="AD13" s="978"/>
      <c r="AE13" s="979" t="s">
        <v>194</v>
      </c>
      <c r="AF13" s="979"/>
      <c r="AG13" s="952" t="s">
        <v>195</v>
      </c>
      <c r="AH13" s="953"/>
      <c r="AI13" s="953"/>
      <c r="AJ13" s="954"/>
      <c r="AK13" s="1"/>
      <c r="AL13" s="1"/>
    </row>
    <row r="14" spans="1:58">
      <c r="A14" s="1"/>
      <c r="B14" s="961">
        <v>0.375</v>
      </c>
      <c r="C14" s="962"/>
      <c r="D14" s="962">
        <v>0.39583333333333331</v>
      </c>
      <c r="E14" s="962"/>
      <c r="F14" s="963" t="s">
        <v>199</v>
      </c>
      <c r="G14" s="963"/>
      <c r="H14" s="963"/>
      <c r="I14" s="964"/>
      <c r="J14" s="25"/>
      <c r="K14" s="955">
        <f>IF($B14="","",$B14)</f>
        <v>0.375</v>
      </c>
      <c r="L14" s="980"/>
      <c r="M14" s="980">
        <f>IF($D14="","",$D14)</f>
        <v>0.39583333333333331</v>
      </c>
      <c r="N14" s="980"/>
      <c r="O14" s="959" t="str">
        <f>IF($F14="","",$F14)</f>
        <v>SPRINT RACE</v>
      </c>
      <c r="P14" s="959"/>
      <c r="Q14" s="959">
        <f>IF($D14="","",$D14)</f>
        <v>0.39583333333333331</v>
      </c>
      <c r="R14" s="960"/>
      <c r="T14" s="955">
        <f>IF($B14="","",$B14)</f>
        <v>0.375</v>
      </c>
      <c r="U14" s="980"/>
      <c r="V14" s="980">
        <f>IF($D14="","",$D14)</f>
        <v>0.39583333333333331</v>
      </c>
      <c r="W14" s="980"/>
      <c r="X14" s="959" t="str">
        <f>IF($F14="","",$F14)</f>
        <v>SPRINT RACE</v>
      </c>
      <c r="Y14" s="959"/>
      <c r="Z14" s="959">
        <f>IF($D14="","",$D14)</f>
        <v>0.39583333333333331</v>
      </c>
      <c r="AA14" s="960"/>
      <c r="AB14" s="1"/>
      <c r="AC14" s="955">
        <f>IF($B14="","",$B14)</f>
        <v>0.375</v>
      </c>
      <c r="AD14" s="980"/>
      <c r="AE14" s="980">
        <f>IF($D14="","",$D14)</f>
        <v>0.39583333333333331</v>
      </c>
      <c r="AF14" s="980"/>
      <c r="AG14" s="959" t="str">
        <f>IF($F14="","",$F14)</f>
        <v>SPRINT RACE</v>
      </c>
      <c r="AH14" s="959"/>
      <c r="AI14" s="959">
        <f>IF($D14="","",$D14)</f>
        <v>0.39583333333333331</v>
      </c>
      <c r="AJ14" s="960"/>
      <c r="AK14" s="1"/>
      <c r="AL14" s="1"/>
    </row>
    <row r="15" spans="1:58">
      <c r="A15" s="1"/>
      <c r="B15" s="971"/>
      <c r="C15" s="972"/>
      <c r="D15" s="972"/>
      <c r="E15" s="972"/>
      <c r="F15" s="973"/>
      <c r="G15" s="973"/>
      <c r="H15" s="973"/>
      <c r="I15" s="974"/>
      <c r="J15" s="25"/>
      <c r="K15" s="965" t="str">
        <f>IF($B15="","",$B15)</f>
        <v/>
      </c>
      <c r="L15" s="981"/>
      <c r="M15" s="981" t="str">
        <f>IF($D15="","",$D15)</f>
        <v/>
      </c>
      <c r="N15" s="981"/>
      <c r="O15" s="969" t="str">
        <f>IF($F15="","",$F15)</f>
        <v/>
      </c>
      <c r="P15" s="969"/>
      <c r="Q15" s="969" t="str">
        <f>IF($D15="","",$D15)</f>
        <v/>
      </c>
      <c r="R15" s="970"/>
      <c r="T15" s="965" t="str">
        <f>IF($B15="","",$B15)</f>
        <v/>
      </c>
      <c r="U15" s="981"/>
      <c r="V15" s="981" t="str">
        <f>IF($D15="","",$D15)</f>
        <v/>
      </c>
      <c r="W15" s="981"/>
      <c r="X15" s="969" t="str">
        <f>IF($F15="","",$F15)</f>
        <v/>
      </c>
      <c r="Y15" s="969"/>
      <c r="Z15" s="969" t="str">
        <f>IF($D15="","",$D15)</f>
        <v/>
      </c>
      <c r="AA15" s="970"/>
      <c r="AB15" s="1"/>
      <c r="AC15" s="965" t="str">
        <f>IF($B15="","",$B15)</f>
        <v/>
      </c>
      <c r="AD15" s="981"/>
      <c r="AE15" s="981" t="str">
        <f>IF($D15="","",$D15)</f>
        <v/>
      </c>
      <c r="AF15" s="981"/>
      <c r="AG15" s="969" t="str">
        <f>IF($F15="","",$F15)</f>
        <v/>
      </c>
      <c r="AH15" s="969"/>
      <c r="AI15" s="969" t="str">
        <f>IF($D15="","",$D15)</f>
        <v/>
      </c>
      <c r="AJ15" s="970"/>
      <c r="AK15" s="1"/>
      <c r="AL15" s="1"/>
    </row>
    <row r="16" spans="1:58" ht="5.25" customHeight="1">
      <c r="A16" s="1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T16" s="25"/>
      <c r="U16" s="25"/>
      <c r="V16" s="25"/>
      <c r="W16" s="25"/>
      <c r="X16" s="25"/>
      <c r="Y16" s="25"/>
      <c r="Z16" s="25"/>
      <c r="AA16" s="25"/>
      <c r="AB16" s="1"/>
      <c r="AC16" s="25"/>
      <c r="AD16" s="25"/>
      <c r="AE16" s="25"/>
      <c r="AF16" s="25"/>
      <c r="AG16" s="25"/>
      <c r="AH16" s="25"/>
      <c r="AI16" s="25"/>
      <c r="AJ16" s="25"/>
      <c r="AK16" s="1"/>
      <c r="AL16" s="1"/>
    </row>
    <row r="17" spans="1:38">
      <c r="A17" s="1"/>
      <c r="B17" s="941" t="s">
        <v>200</v>
      </c>
      <c r="C17" s="942"/>
      <c r="D17" s="942"/>
      <c r="E17" s="942"/>
      <c r="F17" s="942"/>
      <c r="G17" s="942"/>
      <c r="H17" s="942"/>
      <c r="I17" s="943"/>
      <c r="J17" s="25"/>
      <c r="K17" s="944" t="str">
        <f>$B$17</f>
        <v>DAY 3: SUNDAY 4TH</v>
      </c>
      <c r="L17" s="945"/>
      <c r="M17" s="945"/>
      <c r="N17" s="945"/>
      <c r="O17" s="945"/>
      <c r="P17" s="945"/>
      <c r="Q17" s="945"/>
      <c r="R17" s="946"/>
      <c r="T17" s="944" t="str">
        <f>$B$17</f>
        <v>DAY 3: SUNDAY 4TH</v>
      </c>
      <c r="U17" s="945"/>
      <c r="V17" s="945"/>
      <c r="W17" s="945"/>
      <c r="X17" s="945"/>
      <c r="Y17" s="945"/>
      <c r="Z17" s="945"/>
      <c r="AA17" s="946"/>
      <c r="AB17" s="1"/>
      <c r="AC17" s="944" t="str">
        <f>$B$17</f>
        <v>DAY 3: SUNDAY 4TH</v>
      </c>
      <c r="AD17" s="945"/>
      <c r="AE17" s="945"/>
      <c r="AF17" s="945"/>
      <c r="AG17" s="945"/>
      <c r="AH17" s="945"/>
      <c r="AI17" s="945"/>
      <c r="AJ17" s="946"/>
      <c r="AK17" s="1"/>
      <c r="AL17" s="1"/>
    </row>
    <row r="18" spans="1:38">
      <c r="A18" s="1"/>
      <c r="B18" s="977" t="s">
        <v>193</v>
      </c>
      <c r="C18" s="978"/>
      <c r="D18" s="952" t="s">
        <v>194</v>
      </c>
      <c r="E18" s="982"/>
      <c r="F18" s="979" t="s">
        <v>195</v>
      </c>
      <c r="G18" s="979"/>
      <c r="H18" s="979"/>
      <c r="I18" s="983"/>
      <c r="J18" s="25"/>
      <c r="K18" s="950" t="s">
        <v>193</v>
      </c>
      <c r="L18" s="951"/>
      <c r="M18" s="952" t="s">
        <v>194</v>
      </c>
      <c r="N18" s="953"/>
      <c r="O18" s="952" t="s">
        <v>195</v>
      </c>
      <c r="P18" s="953"/>
      <c r="Q18" s="953"/>
      <c r="R18" s="954"/>
      <c r="T18" s="950" t="s">
        <v>193</v>
      </c>
      <c r="U18" s="951"/>
      <c r="V18" s="952" t="s">
        <v>194</v>
      </c>
      <c r="W18" s="953"/>
      <c r="X18" s="952" t="s">
        <v>195</v>
      </c>
      <c r="Y18" s="953"/>
      <c r="Z18" s="953"/>
      <c r="AA18" s="954"/>
      <c r="AB18" s="1"/>
      <c r="AC18" s="950" t="s">
        <v>193</v>
      </c>
      <c r="AD18" s="951"/>
      <c r="AE18" s="952" t="s">
        <v>194</v>
      </c>
      <c r="AF18" s="953"/>
      <c r="AG18" s="952" t="s">
        <v>195</v>
      </c>
      <c r="AH18" s="953"/>
      <c r="AI18" s="953"/>
      <c r="AJ18" s="954"/>
      <c r="AK18" s="1"/>
      <c r="AL18" s="1"/>
    </row>
    <row r="19" spans="1:38">
      <c r="A19" s="1"/>
      <c r="B19" s="971">
        <v>0.5</v>
      </c>
      <c r="C19" s="972"/>
      <c r="D19" s="972">
        <v>0.52083333333333337</v>
      </c>
      <c r="E19" s="972"/>
      <c r="F19" s="973" t="s">
        <v>201</v>
      </c>
      <c r="G19" s="973"/>
      <c r="H19" s="973"/>
      <c r="I19" s="974"/>
      <c r="J19" s="25"/>
      <c r="K19" s="965">
        <f>IF($B19="","",$B19)</f>
        <v>0.5</v>
      </c>
      <c r="L19" s="981"/>
      <c r="M19" s="981">
        <f>IF($D19="","",$D19)</f>
        <v>0.52083333333333337</v>
      </c>
      <c r="N19" s="981"/>
      <c r="O19" s="969" t="str">
        <f>IF($F19="","",$F19)</f>
        <v>FEATURE RACE</v>
      </c>
      <c r="P19" s="969"/>
      <c r="Q19" s="969"/>
      <c r="R19" s="970"/>
      <c r="T19" s="965">
        <f>IF($B19="","",$B19)</f>
        <v>0.5</v>
      </c>
      <c r="U19" s="981"/>
      <c r="V19" s="981">
        <f>IF($D19="","",$D19)</f>
        <v>0.52083333333333337</v>
      </c>
      <c r="W19" s="981"/>
      <c r="X19" s="969" t="str">
        <f>IF($F19="","",$F19)</f>
        <v>FEATURE RACE</v>
      </c>
      <c r="Y19" s="969"/>
      <c r="Z19" s="969"/>
      <c r="AA19" s="970"/>
      <c r="AB19" s="1"/>
      <c r="AC19" s="965">
        <f>IF($B19="","",$B19)</f>
        <v>0.5</v>
      </c>
      <c r="AD19" s="981"/>
      <c r="AE19" s="981">
        <f>IF($D19="","",$D19)</f>
        <v>0.52083333333333337</v>
      </c>
      <c r="AF19" s="981"/>
      <c r="AG19" s="969" t="str">
        <f>IF($F19="","",$F19)</f>
        <v>FEATURE RACE</v>
      </c>
      <c r="AH19" s="969"/>
      <c r="AI19" s="969"/>
      <c r="AJ19" s="970"/>
      <c r="AK19" s="1"/>
      <c r="AL19" s="1"/>
    </row>
    <row r="20" spans="1:38">
      <c r="A20" s="1"/>
      <c r="B20" s="26"/>
      <c r="C20" s="26"/>
      <c r="D20" s="26"/>
      <c r="E20" s="26"/>
      <c r="F20" s="27"/>
      <c r="G20" s="27"/>
      <c r="H20" s="27"/>
      <c r="I20" s="27"/>
      <c r="J20" s="25"/>
      <c r="K20" s="25"/>
      <c r="L20" s="25"/>
      <c r="M20" s="25"/>
      <c r="N20" s="25"/>
      <c r="O20" s="1"/>
      <c r="P20" s="1"/>
      <c r="Q20" s="1"/>
      <c r="R20" s="1"/>
      <c r="T20" s="1"/>
      <c r="U20" s="1"/>
      <c r="V20" s="1"/>
      <c r="W20" s="1"/>
      <c r="X20" s="1"/>
      <c r="Y20" s="1"/>
      <c r="Z20" s="1"/>
      <c r="AA20" s="1"/>
      <c r="AB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>
      <c r="A21" s="1"/>
      <c r="B21" s="1"/>
      <c r="C21" s="1"/>
      <c r="D21" s="1"/>
      <c r="E21" s="1"/>
      <c r="F21" s="1"/>
      <c r="G21" s="1"/>
      <c r="H21" s="1"/>
      <c r="I21" s="1"/>
      <c r="J21" s="25"/>
      <c r="K21" s="1"/>
      <c r="L21" s="1"/>
      <c r="M21" s="1"/>
      <c r="N21" s="1"/>
      <c r="O21" s="1"/>
      <c r="P21" s="1"/>
      <c r="Q21" s="1"/>
      <c r="R21" s="1"/>
      <c r="T21" s="1"/>
      <c r="U21" s="1"/>
      <c r="V21" s="1"/>
      <c r="W21" s="1"/>
      <c r="X21" s="1"/>
      <c r="Y21" s="1"/>
      <c r="Z21" s="1"/>
      <c r="AA21" s="1"/>
      <c r="AB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1:38" ht="20.25" customHeight="1">
      <c r="A22" s="1"/>
      <c r="B22" s="1"/>
      <c r="C22" s="1"/>
      <c r="D22" s="1"/>
      <c r="E22" s="1"/>
      <c r="F22" s="1"/>
      <c r="G22" s="1"/>
      <c r="H22" s="1"/>
      <c r="I22" s="1"/>
      <c r="J22" s="25"/>
      <c r="K22" s="1"/>
      <c r="L22" s="1"/>
      <c r="M22" s="1"/>
      <c r="N22" s="1"/>
      <c r="O22" s="1"/>
      <c r="P22" s="1"/>
      <c r="Q22" s="1"/>
      <c r="R22" s="1"/>
      <c r="T22" s="1"/>
      <c r="U22" s="1"/>
      <c r="V22" s="1"/>
      <c r="W22" s="1"/>
      <c r="X22" s="1"/>
      <c r="Y22" s="1"/>
      <c r="Z22" s="1"/>
      <c r="AA22" s="1"/>
      <c r="AB22" s="1"/>
      <c r="AD22" s="1"/>
      <c r="AE22" s="1"/>
      <c r="AF22" s="1"/>
      <c r="AG22" s="1"/>
      <c r="AH22" s="1"/>
      <c r="AI22" s="1"/>
      <c r="AJ22" s="1"/>
      <c r="AK22" s="1"/>
      <c r="AL22" s="1"/>
    </row>
    <row r="23" spans="1:38">
      <c r="A23" s="4"/>
      <c r="B23" s="936" t="s">
        <v>5</v>
      </c>
      <c r="C23" s="937"/>
      <c r="D23" s="938" t="str">
        <f>IF($D$3="","",$D$3)</f>
        <v>Melbourne</v>
      </c>
      <c r="E23" s="939"/>
      <c r="F23" s="939"/>
      <c r="G23" s="939"/>
      <c r="H23" s="939"/>
      <c r="I23" s="940"/>
      <c r="J23" s="25"/>
      <c r="K23" s="936" t="s">
        <v>5</v>
      </c>
      <c r="L23" s="937"/>
      <c r="M23" s="938" t="str">
        <f>IF($D$3="","",$D$3)</f>
        <v>Melbourne</v>
      </c>
      <c r="N23" s="939"/>
      <c r="O23" s="939"/>
      <c r="P23" s="939"/>
      <c r="Q23" s="939"/>
      <c r="R23" s="940"/>
      <c r="T23" s="936" t="s">
        <v>5</v>
      </c>
      <c r="U23" s="937"/>
      <c r="V23" s="938" t="str">
        <f>IF($D$3="","",$D$3)</f>
        <v>Melbourne</v>
      </c>
      <c r="W23" s="939"/>
      <c r="X23" s="939"/>
      <c r="Y23" s="939"/>
      <c r="Z23" s="939"/>
      <c r="AA23" s="940"/>
      <c r="AB23" s="1"/>
      <c r="AC23" s="936" t="s">
        <v>5</v>
      </c>
      <c r="AD23" s="937"/>
      <c r="AE23" s="938" t="str">
        <f>IF($D$3="","",$D$3)</f>
        <v>Melbourne</v>
      </c>
      <c r="AF23" s="939"/>
      <c r="AG23" s="939"/>
      <c r="AH23" s="939"/>
      <c r="AI23" s="939"/>
      <c r="AJ23" s="940"/>
      <c r="AK23" s="1"/>
      <c r="AL23" s="1"/>
    </row>
    <row r="24" spans="1:38">
      <c r="A24" s="1"/>
      <c r="B24" s="1"/>
      <c r="C24" s="1"/>
      <c r="D24" s="1"/>
      <c r="E24" s="1"/>
      <c r="F24" s="1"/>
      <c r="G24" s="1"/>
      <c r="H24" s="1"/>
      <c r="I24" s="20"/>
      <c r="J24" s="25"/>
      <c r="K24" s="1"/>
      <c r="L24" s="1"/>
      <c r="M24" s="1"/>
      <c r="N24" s="1"/>
      <c r="O24" s="1"/>
      <c r="P24" s="1"/>
      <c r="Q24" s="1"/>
      <c r="R24" s="20"/>
      <c r="T24" s="1"/>
      <c r="U24" s="1"/>
      <c r="V24" s="1"/>
      <c r="W24" s="1"/>
      <c r="X24" s="1"/>
      <c r="Y24" s="1"/>
      <c r="Z24" s="1"/>
      <c r="AA24" s="20"/>
      <c r="AB24" s="1"/>
      <c r="AD24" s="1"/>
      <c r="AE24" s="1"/>
      <c r="AF24" s="1"/>
      <c r="AG24" s="1"/>
      <c r="AH24" s="1"/>
      <c r="AI24" s="1"/>
      <c r="AJ24" s="20"/>
      <c r="AK24" s="1"/>
      <c r="AL24" s="1"/>
    </row>
    <row r="25" spans="1:38">
      <c r="A25" s="1"/>
      <c r="B25" s="944" t="str">
        <f>$B$5</f>
        <v>DAY 1: FRIDAY 2ND</v>
      </c>
      <c r="C25" s="945"/>
      <c r="D25" s="945"/>
      <c r="E25" s="945"/>
      <c r="F25" s="945"/>
      <c r="G25" s="945"/>
      <c r="H25" s="945"/>
      <c r="I25" s="946"/>
      <c r="J25" s="25"/>
      <c r="K25" s="944" t="str">
        <f>$B$5</f>
        <v>DAY 1: FRIDAY 2ND</v>
      </c>
      <c r="L25" s="945"/>
      <c r="M25" s="945"/>
      <c r="N25" s="945"/>
      <c r="O25" s="945"/>
      <c r="P25" s="945"/>
      <c r="Q25" s="945"/>
      <c r="R25" s="946"/>
      <c r="T25" s="944" t="str">
        <f>$B$5</f>
        <v>DAY 1: FRIDAY 2ND</v>
      </c>
      <c r="U25" s="945"/>
      <c r="V25" s="945"/>
      <c r="W25" s="945"/>
      <c r="X25" s="945"/>
      <c r="Y25" s="945"/>
      <c r="Z25" s="945"/>
      <c r="AA25" s="946"/>
      <c r="AB25" s="1"/>
      <c r="AC25" s="944" t="str">
        <f>$B$5</f>
        <v>DAY 1: FRIDAY 2ND</v>
      </c>
      <c r="AD25" s="945"/>
      <c r="AE25" s="945"/>
      <c r="AF25" s="945"/>
      <c r="AG25" s="945"/>
      <c r="AH25" s="945"/>
      <c r="AI25" s="945"/>
      <c r="AJ25" s="946"/>
      <c r="AK25" s="1"/>
      <c r="AL25" s="1"/>
    </row>
    <row r="26" spans="1:38">
      <c r="A26" s="1"/>
      <c r="B26" s="950" t="s">
        <v>193</v>
      </c>
      <c r="C26" s="951"/>
      <c r="D26" s="952" t="s">
        <v>194</v>
      </c>
      <c r="E26" s="953"/>
      <c r="F26" s="952" t="s">
        <v>195</v>
      </c>
      <c r="G26" s="953"/>
      <c r="H26" s="953"/>
      <c r="I26" s="954"/>
      <c r="J26" s="25"/>
      <c r="K26" s="950" t="s">
        <v>193</v>
      </c>
      <c r="L26" s="951"/>
      <c r="M26" s="952" t="s">
        <v>194</v>
      </c>
      <c r="N26" s="953"/>
      <c r="O26" s="952" t="s">
        <v>195</v>
      </c>
      <c r="P26" s="953"/>
      <c r="Q26" s="953"/>
      <c r="R26" s="954"/>
      <c r="T26" s="950" t="s">
        <v>193</v>
      </c>
      <c r="U26" s="951"/>
      <c r="V26" s="952" t="s">
        <v>194</v>
      </c>
      <c r="W26" s="953"/>
      <c r="X26" s="952" t="s">
        <v>195</v>
      </c>
      <c r="Y26" s="953"/>
      <c r="Z26" s="953"/>
      <c r="AA26" s="954"/>
      <c r="AB26" s="1"/>
      <c r="AC26" s="950" t="s">
        <v>193</v>
      </c>
      <c r="AD26" s="951"/>
      <c r="AE26" s="952" t="s">
        <v>194</v>
      </c>
      <c r="AF26" s="953"/>
      <c r="AG26" s="952" t="s">
        <v>195</v>
      </c>
      <c r="AH26" s="953"/>
      <c r="AI26" s="953"/>
      <c r="AJ26" s="954"/>
      <c r="AK26" s="1"/>
      <c r="AL26" s="1"/>
    </row>
    <row r="27" spans="1:38">
      <c r="A27" s="1"/>
      <c r="B27" s="955">
        <f>IF($B7="","",$B7)</f>
        <v>0.375</v>
      </c>
      <c r="C27" s="956"/>
      <c r="D27" s="957">
        <f>IF($D7="","",$D7)</f>
        <v>0.40277777777777773</v>
      </c>
      <c r="E27" s="958"/>
      <c r="F27" s="959" t="str">
        <f>IF($F7="","",$F7)</f>
        <v>FREE PRACTICE</v>
      </c>
      <c r="G27" s="959"/>
      <c r="H27" s="959"/>
      <c r="I27" s="960"/>
      <c r="J27" s="25"/>
      <c r="K27" s="955">
        <f>IF($B7="","",$B7)</f>
        <v>0.375</v>
      </c>
      <c r="L27" s="956"/>
      <c r="M27" s="957">
        <f>IF($D7="","",$D7)</f>
        <v>0.40277777777777773</v>
      </c>
      <c r="N27" s="958"/>
      <c r="O27" s="959" t="str">
        <f>IF($F7="","",$F7)</f>
        <v>FREE PRACTICE</v>
      </c>
      <c r="P27" s="959"/>
      <c r="Q27" s="959"/>
      <c r="R27" s="960"/>
      <c r="T27" s="955">
        <f>IF($B7="","",$B7)</f>
        <v>0.375</v>
      </c>
      <c r="U27" s="956"/>
      <c r="V27" s="957">
        <f>IF($D7="","",$D7)</f>
        <v>0.40277777777777773</v>
      </c>
      <c r="W27" s="958"/>
      <c r="X27" s="959" t="str">
        <f>IF($F7="","",$F7)</f>
        <v>FREE PRACTICE</v>
      </c>
      <c r="Y27" s="959"/>
      <c r="Z27" s="959"/>
      <c r="AA27" s="960"/>
      <c r="AB27" s="1"/>
      <c r="AC27" s="955">
        <f>IF($B7="","",$B7)</f>
        <v>0.375</v>
      </c>
      <c r="AD27" s="956"/>
      <c r="AE27" s="957">
        <f>IF($D7="","",$D7)</f>
        <v>0.40277777777777773</v>
      </c>
      <c r="AF27" s="958"/>
      <c r="AG27" s="959" t="str">
        <f>IF($F7="","",$F7)</f>
        <v>FREE PRACTICE</v>
      </c>
      <c r="AH27" s="959"/>
      <c r="AI27" s="959"/>
      <c r="AJ27" s="960"/>
      <c r="AK27" s="1"/>
      <c r="AL27" s="1"/>
    </row>
    <row r="28" spans="1:38">
      <c r="A28" s="1"/>
      <c r="B28" s="955">
        <f>IF($B8="","",$B8)</f>
        <v>0.45833333333333298</v>
      </c>
      <c r="C28" s="956"/>
      <c r="D28" s="957">
        <f>IF($D8="","",$D8)</f>
        <v>0.4861111111111111</v>
      </c>
      <c r="E28" s="958"/>
      <c r="F28" s="959" t="str">
        <f>IF($F8="","",$F8)</f>
        <v>QUALIFYING</v>
      </c>
      <c r="G28" s="959"/>
      <c r="H28" s="959"/>
      <c r="I28" s="960"/>
      <c r="J28" s="25"/>
      <c r="K28" s="955">
        <f>IF($B8="","",$B8)</f>
        <v>0.45833333333333298</v>
      </c>
      <c r="L28" s="956"/>
      <c r="M28" s="957">
        <f>IF($D8="","",$D8)</f>
        <v>0.4861111111111111</v>
      </c>
      <c r="N28" s="958"/>
      <c r="O28" s="959" t="str">
        <f>IF($F8="","",$F8)</f>
        <v>QUALIFYING</v>
      </c>
      <c r="P28" s="959"/>
      <c r="Q28" s="959"/>
      <c r="R28" s="960"/>
      <c r="T28" s="955">
        <f>IF($B8="","",$B8)</f>
        <v>0.45833333333333298</v>
      </c>
      <c r="U28" s="956"/>
      <c r="V28" s="957">
        <f>IF($D8="","",$D8)</f>
        <v>0.4861111111111111</v>
      </c>
      <c r="W28" s="958"/>
      <c r="X28" s="959" t="str">
        <f>IF($F8="","",$F8)</f>
        <v>QUALIFYING</v>
      </c>
      <c r="Y28" s="959"/>
      <c r="Z28" s="959"/>
      <c r="AA28" s="960"/>
      <c r="AB28" s="1"/>
      <c r="AC28" s="955">
        <f>IF($B8="","",$B8)</f>
        <v>0.45833333333333298</v>
      </c>
      <c r="AD28" s="956"/>
      <c r="AE28" s="957">
        <f>IF($D8="","",$D8)</f>
        <v>0.4861111111111111</v>
      </c>
      <c r="AF28" s="958"/>
      <c r="AG28" s="959" t="str">
        <f>IF($F8="","",$F8)</f>
        <v>QUALIFYING</v>
      </c>
      <c r="AH28" s="959"/>
      <c r="AI28" s="959"/>
      <c r="AJ28" s="960"/>
      <c r="AK28" s="1"/>
      <c r="AL28" s="1"/>
    </row>
    <row r="29" spans="1:38">
      <c r="A29" s="1"/>
      <c r="B29" s="955" t="str">
        <f>IF($B9="","",$B9)</f>
        <v/>
      </c>
      <c r="C29" s="956"/>
      <c r="D29" s="957" t="str">
        <f>IF($D9="","",$D9)</f>
        <v/>
      </c>
      <c r="E29" s="958"/>
      <c r="F29" s="959" t="str">
        <f>IF($F9="","",$F9)</f>
        <v/>
      </c>
      <c r="G29" s="959"/>
      <c r="H29" s="959"/>
      <c r="I29" s="960"/>
      <c r="J29" s="25"/>
      <c r="K29" s="955" t="str">
        <f>IF($B9="","",$B9)</f>
        <v/>
      </c>
      <c r="L29" s="956"/>
      <c r="M29" s="957" t="str">
        <f>IF($D9="","",$D9)</f>
        <v/>
      </c>
      <c r="N29" s="958"/>
      <c r="O29" s="959" t="str">
        <f>IF($F9="","",$F9)</f>
        <v/>
      </c>
      <c r="P29" s="959"/>
      <c r="Q29" s="959"/>
      <c r="R29" s="960"/>
      <c r="T29" s="955" t="str">
        <f>IF($B9="","",$B9)</f>
        <v/>
      </c>
      <c r="U29" s="956"/>
      <c r="V29" s="957" t="str">
        <f>IF($D9="","",$D9)</f>
        <v/>
      </c>
      <c r="W29" s="958"/>
      <c r="X29" s="959" t="str">
        <f>IF($F9="","",$F9)</f>
        <v/>
      </c>
      <c r="Y29" s="959"/>
      <c r="Z29" s="959"/>
      <c r="AA29" s="960"/>
      <c r="AB29" s="1"/>
      <c r="AC29" s="955" t="str">
        <f>IF($B9="","",$B9)</f>
        <v/>
      </c>
      <c r="AD29" s="956"/>
      <c r="AE29" s="957" t="str">
        <f>IF($D9="","",$D9)</f>
        <v/>
      </c>
      <c r="AF29" s="958"/>
      <c r="AG29" s="959" t="str">
        <f>IF($F9="","",$F9)</f>
        <v/>
      </c>
      <c r="AH29" s="959"/>
      <c r="AI29" s="959"/>
      <c r="AJ29" s="960"/>
      <c r="AK29" s="1"/>
      <c r="AL29" s="1"/>
    </row>
    <row r="30" spans="1:38">
      <c r="A30" s="1"/>
      <c r="B30" s="965" t="str">
        <f>IF($B10="","",$B10)</f>
        <v/>
      </c>
      <c r="C30" s="966"/>
      <c r="D30" s="967" t="str">
        <f>IF($D10="","",$D10)</f>
        <v/>
      </c>
      <c r="E30" s="968"/>
      <c r="F30" s="969" t="str">
        <f>IF($F10="","",$F10)</f>
        <v/>
      </c>
      <c r="G30" s="969"/>
      <c r="H30" s="969"/>
      <c r="I30" s="970"/>
      <c r="J30" s="25"/>
      <c r="K30" s="965" t="str">
        <f>IF($B10="","",$B10)</f>
        <v/>
      </c>
      <c r="L30" s="966"/>
      <c r="M30" s="967" t="str">
        <f>IF($D10="","",$D10)</f>
        <v/>
      </c>
      <c r="N30" s="968"/>
      <c r="O30" s="969" t="str">
        <f>IF($F10="","",$F10)</f>
        <v/>
      </c>
      <c r="P30" s="969"/>
      <c r="Q30" s="969"/>
      <c r="R30" s="970"/>
      <c r="T30" s="965" t="str">
        <f>IF($B10="","",$B10)</f>
        <v/>
      </c>
      <c r="U30" s="966"/>
      <c r="V30" s="967" t="str">
        <f>IF($D10="","",$D10)</f>
        <v/>
      </c>
      <c r="W30" s="968"/>
      <c r="X30" s="969" t="str">
        <f>IF($F10="","",$F10)</f>
        <v/>
      </c>
      <c r="Y30" s="969"/>
      <c r="Z30" s="969"/>
      <c r="AA30" s="970"/>
      <c r="AB30" s="1"/>
      <c r="AC30" s="965" t="str">
        <f>IF($B10="","",$B10)</f>
        <v/>
      </c>
      <c r="AD30" s="966"/>
      <c r="AE30" s="967" t="str">
        <f>IF($D10="","",$D10)</f>
        <v/>
      </c>
      <c r="AF30" s="968"/>
      <c r="AG30" s="969" t="str">
        <f>IF($F10="","",$F10)</f>
        <v/>
      </c>
      <c r="AH30" s="969"/>
      <c r="AI30" s="969"/>
      <c r="AJ30" s="970"/>
      <c r="AK30" s="1"/>
      <c r="AL30" s="1"/>
    </row>
    <row r="31" spans="1:38" ht="5.25" customHeight="1">
      <c r="A31" s="1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T31" s="25"/>
      <c r="U31" s="25"/>
      <c r="V31" s="25"/>
      <c r="W31" s="25"/>
      <c r="X31" s="25"/>
      <c r="Y31" s="25"/>
      <c r="Z31" s="25"/>
      <c r="AA31" s="25"/>
      <c r="AB31" s="1"/>
      <c r="AC31" s="25"/>
      <c r="AD31" s="25"/>
      <c r="AE31" s="25"/>
      <c r="AF31" s="25"/>
      <c r="AG31" s="25"/>
      <c r="AH31" s="25"/>
      <c r="AI31" s="25"/>
      <c r="AJ31" s="25"/>
      <c r="AK31" s="1"/>
      <c r="AL31" s="1"/>
    </row>
    <row r="32" spans="1:38">
      <c r="A32" s="1"/>
      <c r="B32" s="944" t="str">
        <f>$B$12</f>
        <v>DAY 2: SATURDAY 3RD</v>
      </c>
      <c r="C32" s="945"/>
      <c r="D32" s="945"/>
      <c r="E32" s="945"/>
      <c r="F32" s="945"/>
      <c r="G32" s="945"/>
      <c r="H32" s="945"/>
      <c r="I32" s="946"/>
      <c r="J32" s="25"/>
      <c r="K32" s="944" t="str">
        <f>$B$12</f>
        <v>DAY 2: SATURDAY 3RD</v>
      </c>
      <c r="L32" s="945"/>
      <c r="M32" s="945"/>
      <c r="N32" s="945"/>
      <c r="O32" s="945"/>
      <c r="P32" s="945"/>
      <c r="Q32" s="945"/>
      <c r="R32" s="946"/>
      <c r="T32" s="944" t="str">
        <f>$B$12</f>
        <v>DAY 2: SATURDAY 3RD</v>
      </c>
      <c r="U32" s="945"/>
      <c r="V32" s="945"/>
      <c r="W32" s="945"/>
      <c r="X32" s="945"/>
      <c r="Y32" s="945"/>
      <c r="Z32" s="945"/>
      <c r="AA32" s="946"/>
      <c r="AB32" s="1"/>
      <c r="AC32" s="944" t="str">
        <f>$B$12</f>
        <v>DAY 2: SATURDAY 3RD</v>
      </c>
      <c r="AD32" s="945"/>
      <c r="AE32" s="945"/>
      <c r="AF32" s="945"/>
      <c r="AG32" s="945"/>
      <c r="AH32" s="945"/>
      <c r="AI32" s="945"/>
      <c r="AJ32" s="946"/>
      <c r="AK32" s="1"/>
      <c r="AL32" s="1"/>
    </row>
    <row r="33" spans="1:38">
      <c r="A33" s="1"/>
      <c r="B33" s="977" t="s">
        <v>193</v>
      </c>
      <c r="C33" s="978"/>
      <c r="D33" s="979" t="s">
        <v>194</v>
      </c>
      <c r="E33" s="979"/>
      <c r="F33" s="952" t="s">
        <v>195</v>
      </c>
      <c r="G33" s="953"/>
      <c r="H33" s="953"/>
      <c r="I33" s="954"/>
      <c r="J33" s="25"/>
      <c r="K33" s="977" t="s">
        <v>193</v>
      </c>
      <c r="L33" s="978"/>
      <c r="M33" s="979" t="s">
        <v>194</v>
      </c>
      <c r="N33" s="979"/>
      <c r="O33" s="952" t="s">
        <v>195</v>
      </c>
      <c r="P33" s="953"/>
      <c r="Q33" s="953"/>
      <c r="R33" s="954"/>
      <c r="T33" s="977" t="s">
        <v>193</v>
      </c>
      <c r="U33" s="978"/>
      <c r="V33" s="979" t="s">
        <v>194</v>
      </c>
      <c r="W33" s="979"/>
      <c r="X33" s="952" t="s">
        <v>195</v>
      </c>
      <c r="Y33" s="953"/>
      <c r="Z33" s="953"/>
      <c r="AA33" s="954"/>
      <c r="AB33" s="1"/>
      <c r="AC33" s="977" t="s">
        <v>193</v>
      </c>
      <c r="AD33" s="978"/>
      <c r="AE33" s="979" t="s">
        <v>194</v>
      </c>
      <c r="AF33" s="979"/>
      <c r="AG33" s="952" t="s">
        <v>195</v>
      </c>
      <c r="AH33" s="953"/>
      <c r="AI33" s="953"/>
      <c r="AJ33" s="954"/>
      <c r="AK33" s="1"/>
      <c r="AL33" s="1"/>
    </row>
    <row r="34" spans="1:38">
      <c r="A34" s="1"/>
      <c r="B34" s="955">
        <f>IF($B14="","",$B14)</f>
        <v>0.375</v>
      </c>
      <c r="C34" s="980"/>
      <c r="D34" s="980">
        <f>IF($D14="","",$D14)</f>
        <v>0.39583333333333331</v>
      </c>
      <c r="E34" s="980"/>
      <c r="F34" s="959" t="str">
        <f>IF($F14="","",$F14)</f>
        <v>SPRINT RACE</v>
      </c>
      <c r="G34" s="959"/>
      <c r="H34" s="959">
        <f>IF($D34="","",$D34)</f>
        <v>0.39583333333333331</v>
      </c>
      <c r="I34" s="960"/>
      <c r="J34" s="25"/>
      <c r="K34" s="955">
        <f>IF($B14="","",$B14)</f>
        <v>0.375</v>
      </c>
      <c r="L34" s="980"/>
      <c r="M34" s="980">
        <f>IF($D14="","",$D14)</f>
        <v>0.39583333333333331</v>
      </c>
      <c r="N34" s="980"/>
      <c r="O34" s="959" t="str">
        <f>IF($F14="","",$F14)</f>
        <v>SPRINT RACE</v>
      </c>
      <c r="P34" s="959"/>
      <c r="Q34" s="959">
        <f>IF($D34="","",$D34)</f>
        <v>0.39583333333333331</v>
      </c>
      <c r="R34" s="960"/>
      <c r="T34" s="955">
        <f>IF($B14="","",$B14)</f>
        <v>0.375</v>
      </c>
      <c r="U34" s="980"/>
      <c r="V34" s="980">
        <f>IF($D14="","",$D14)</f>
        <v>0.39583333333333331</v>
      </c>
      <c r="W34" s="980"/>
      <c r="X34" s="959" t="str">
        <f>IF($F14="","",$F14)</f>
        <v>SPRINT RACE</v>
      </c>
      <c r="Y34" s="959"/>
      <c r="Z34" s="959">
        <f>IF($D34="","",$D34)</f>
        <v>0.39583333333333331</v>
      </c>
      <c r="AA34" s="960"/>
      <c r="AB34" s="1"/>
      <c r="AC34" s="955">
        <f>IF($B14="","",$B14)</f>
        <v>0.375</v>
      </c>
      <c r="AD34" s="980"/>
      <c r="AE34" s="980">
        <f>IF($D14="","",$D14)</f>
        <v>0.39583333333333331</v>
      </c>
      <c r="AF34" s="980"/>
      <c r="AG34" s="959" t="str">
        <f>IF($F14="","",$F14)</f>
        <v>SPRINT RACE</v>
      </c>
      <c r="AH34" s="959"/>
      <c r="AI34" s="959">
        <f>IF($D34="","",$D34)</f>
        <v>0.39583333333333331</v>
      </c>
      <c r="AJ34" s="960"/>
      <c r="AK34" s="1"/>
      <c r="AL34" s="1"/>
    </row>
    <row r="35" spans="1:38">
      <c r="A35" s="1"/>
      <c r="B35" s="965" t="str">
        <f>IF($B15="","",$B15)</f>
        <v/>
      </c>
      <c r="C35" s="981"/>
      <c r="D35" s="981" t="str">
        <f>IF($D15="","",$D15)</f>
        <v/>
      </c>
      <c r="E35" s="981"/>
      <c r="F35" s="969" t="str">
        <f>IF($F15="","",$F15)</f>
        <v/>
      </c>
      <c r="G35" s="969"/>
      <c r="H35" s="969" t="str">
        <f>IF($D35="","",$D35)</f>
        <v/>
      </c>
      <c r="I35" s="970"/>
      <c r="J35" s="25"/>
      <c r="K35" s="965" t="str">
        <f>IF($B15="","",$B15)</f>
        <v/>
      </c>
      <c r="L35" s="981"/>
      <c r="M35" s="981" t="str">
        <f>IF($D15="","",$D15)</f>
        <v/>
      </c>
      <c r="N35" s="981"/>
      <c r="O35" s="969" t="str">
        <f>IF($F15="","",$F15)</f>
        <v/>
      </c>
      <c r="P35" s="969"/>
      <c r="Q35" s="969" t="str">
        <f>IF($D35="","",$D35)</f>
        <v/>
      </c>
      <c r="R35" s="970"/>
      <c r="T35" s="965" t="str">
        <f>IF($B15="","",$B15)</f>
        <v/>
      </c>
      <c r="U35" s="981"/>
      <c r="V35" s="981" t="str">
        <f>IF($D15="","",$D15)</f>
        <v/>
      </c>
      <c r="W35" s="981"/>
      <c r="X35" s="969" t="str">
        <f>IF($F15="","",$F15)</f>
        <v/>
      </c>
      <c r="Y35" s="969"/>
      <c r="Z35" s="969" t="str">
        <f>IF($D35="","",$D35)</f>
        <v/>
      </c>
      <c r="AA35" s="970"/>
      <c r="AB35" s="1"/>
      <c r="AC35" s="965" t="str">
        <f>IF($B15="","",$B15)</f>
        <v/>
      </c>
      <c r="AD35" s="981"/>
      <c r="AE35" s="981" t="str">
        <f>IF($D15="","",$D15)</f>
        <v/>
      </c>
      <c r="AF35" s="981"/>
      <c r="AG35" s="969" t="str">
        <f>IF($F15="","",$F15)</f>
        <v/>
      </c>
      <c r="AH35" s="969"/>
      <c r="AI35" s="969" t="str">
        <f>IF($D35="","",$D35)</f>
        <v/>
      </c>
      <c r="AJ35" s="970"/>
      <c r="AK35" s="1"/>
      <c r="AL35" s="1"/>
    </row>
    <row r="36" spans="1:38" ht="5.25" customHeight="1">
      <c r="A36" s="1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T36" s="25"/>
      <c r="U36" s="25"/>
      <c r="V36" s="25"/>
      <c r="W36" s="25"/>
      <c r="X36" s="25"/>
      <c r="Y36" s="25"/>
      <c r="Z36" s="25"/>
      <c r="AA36" s="25"/>
      <c r="AB36" s="1"/>
      <c r="AC36" s="25"/>
      <c r="AD36" s="25"/>
      <c r="AE36" s="25"/>
      <c r="AF36" s="25"/>
      <c r="AG36" s="25"/>
      <c r="AH36" s="25"/>
      <c r="AI36" s="25"/>
      <c r="AJ36" s="25"/>
      <c r="AK36" s="1"/>
      <c r="AL36" s="1"/>
    </row>
    <row r="37" spans="1:38">
      <c r="A37" s="1"/>
      <c r="B37" s="944" t="str">
        <f>$B$17</f>
        <v>DAY 3: SUNDAY 4TH</v>
      </c>
      <c r="C37" s="945"/>
      <c r="D37" s="945"/>
      <c r="E37" s="945"/>
      <c r="F37" s="945"/>
      <c r="G37" s="945"/>
      <c r="H37" s="945"/>
      <c r="I37" s="946"/>
      <c r="J37" s="25"/>
      <c r="K37" s="944" t="str">
        <f>$B$17</f>
        <v>DAY 3: SUNDAY 4TH</v>
      </c>
      <c r="L37" s="945"/>
      <c r="M37" s="945"/>
      <c r="N37" s="945"/>
      <c r="O37" s="945"/>
      <c r="P37" s="945"/>
      <c r="Q37" s="945"/>
      <c r="R37" s="946"/>
      <c r="T37" s="944" t="str">
        <f>$B$17</f>
        <v>DAY 3: SUNDAY 4TH</v>
      </c>
      <c r="U37" s="945"/>
      <c r="V37" s="945"/>
      <c r="W37" s="945"/>
      <c r="X37" s="945"/>
      <c r="Y37" s="945"/>
      <c r="Z37" s="945"/>
      <c r="AA37" s="946"/>
      <c r="AB37" s="1"/>
      <c r="AC37" s="944" t="str">
        <f>$B$17</f>
        <v>DAY 3: SUNDAY 4TH</v>
      </c>
      <c r="AD37" s="945"/>
      <c r="AE37" s="945"/>
      <c r="AF37" s="945"/>
      <c r="AG37" s="945"/>
      <c r="AH37" s="945"/>
      <c r="AI37" s="945"/>
      <c r="AJ37" s="946"/>
      <c r="AK37" s="1"/>
      <c r="AL37" s="1"/>
    </row>
    <row r="38" spans="1:38">
      <c r="A38" s="1"/>
      <c r="B38" s="950" t="s">
        <v>193</v>
      </c>
      <c r="C38" s="951"/>
      <c r="D38" s="952" t="s">
        <v>194</v>
      </c>
      <c r="E38" s="953"/>
      <c r="F38" s="952" t="s">
        <v>195</v>
      </c>
      <c r="G38" s="953"/>
      <c r="H38" s="953"/>
      <c r="I38" s="954"/>
      <c r="J38" s="25"/>
      <c r="K38" s="950" t="s">
        <v>193</v>
      </c>
      <c r="L38" s="951"/>
      <c r="M38" s="952" t="s">
        <v>194</v>
      </c>
      <c r="N38" s="953"/>
      <c r="O38" s="952" t="s">
        <v>195</v>
      </c>
      <c r="P38" s="953"/>
      <c r="Q38" s="953"/>
      <c r="R38" s="954"/>
      <c r="T38" s="950" t="s">
        <v>193</v>
      </c>
      <c r="U38" s="951"/>
      <c r="V38" s="952" t="s">
        <v>194</v>
      </c>
      <c r="W38" s="953"/>
      <c r="X38" s="952" t="s">
        <v>195</v>
      </c>
      <c r="Y38" s="953"/>
      <c r="Z38" s="953"/>
      <c r="AA38" s="954"/>
      <c r="AB38" s="1"/>
      <c r="AC38" s="950" t="s">
        <v>193</v>
      </c>
      <c r="AD38" s="951"/>
      <c r="AE38" s="952" t="s">
        <v>194</v>
      </c>
      <c r="AF38" s="953"/>
      <c r="AG38" s="952" t="s">
        <v>195</v>
      </c>
      <c r="AH38" s="953"/>
      <c r="AI38" s="953"/>
      <c r="AJ38" s="954"/>
      <c r="AK38" s="1"/>
      <c r="AL38" s="1"/>
    </row>
    <row r="39" spans="1:38">
      <c r="A39" s="1"/>
      <c r="B39" s="965">
        <f>IF($B19="","",$B19)</f>
        <v>0.5</v>
      </c>
      <c r="C39" s="981"/>
      <c r="D39" s="981">
        <f>IF($D19="","",$D19)</f>
        <v>0.52083333333333337</v>
      </c>
      <c r="E39" s="981"/>
      <c r="F39" s="969" t="str">
        <f>IF($F19="","",$F19)</f>
        <v>FEATURE RACE</v>
      </c>
      <c r="G39" s="969"/>
      <c r="H39" s="969">
        <f>IF($D19="","",$D19)</f>
        <v>0.52083333333333337</v>
      </c>
      <c r="I39" s="970"/>
      <c r="J39" s="1"/>
      <c r="K39" s="965">
        <f>IF($B19="","",$B19)</f>
        <v>0.5</v>
      </c>
      <c r="L39" s="981"/>
      <c r="M39" s="981">
        <f>IF($D19="","",$D19)</f>
        <v>0.52083333333333337</v>
      </c>
      <c r="N39" s="981"/>
      <c r="O39" s="969" t="str">
        <f>IF($F19="","",$F19)</f>
        <v>FEATURE RACE</v>
      </c>
      <c r="P39" s="969"/>
      <c r="Q39" s="969">
        <f>IF($D19="","",$D19)</f>
        <v>0.52083333333333337</v>
      </c>
      <c r="R39" s="970"/>
      <c r="T39" s="965">
        <f>IF($B19="","",$B19)</f>
        <v>0.5</v>
      </c>
      <c r="U39" s="981"/>
      <c r="V39" s="981">
        <f>IF($D19="","",$D19)</f>
        <v>0.52083333333333337</v>
      </c>
      <c r="W39" s="981"/>
      <c r="X39" s="969" t="str">
        <f>IF($F19="","",$F19)</f>
        <v>FEATURE RACE</v>
      </c>
      <c r="Y39" s="969"/>
      <c r="Z39" s="969">
        <f>IF($D19="","",$D19)</f>
        <v>0.52083333333333337</v>
      </c>
      <c r="AA39" s="970"/>
      <c r="AB39" s="1"/>
      <c r="AC39" s="965">
        <f>IF($B19="","",$B19)</f>
        <v>0.5</v>
      </c>
      <c r="AD39" s="981"/>
      <c r="AE39" s="981">
        <f>IF($D19="","",$D19)</f>
        <v>0.52083333333333337</v>
      </c>
      <c r="AF39" s="981"/>
      <c r="AG39" s="969" t="str">
        <f>IF($F19="","",$F19)</f>
        <v>FEATURE RACE</v>
      </c>
      <c r="AH39" s="969"/>
      <c r="AI39" s="969">
        <f>IF($D19="","",$D19)</f>
        <v>0.52083333333333337</v>
      </c>
      <c r="AJ39" s="970"/>
      <c r="AK39" s="1"/>
      <c r="AL39" s="1"/>
    </row>
    <row r="40" spans="1:38">
      <c r="A40" s="1"/>
      <c r="B40" s="28"/>
      <c r="C40" s="28"/>
      <c r="D40" s="28"/>
      <c r="E40" s="28"/>
      <c r="F40" s="29"/>
      <c r="G40" s="29"/>
      <c r="H40" s="29"/>
      <c r="I40" s="29"/>
      <c r="J40" s="1"/>
      <c r="K40" s="1"/>
      <c r="L40" s="25"/>
      <c r="M40" s="30"/>
      <c r="N40" s="1"/>
      <c r="O40" s="1"/>
      <c r="P40" s="1"/>
      <c r="Q40" s="1"/>
      <c r="R40" s="1"/>
      <c r="T40" s="1"/>
      <c r="U40" s="1"/>
      <c r="V40" s="1"/>
      <c r="W40" s="1"/>
      <c r="X40" s="1"/>
      <c r="Y40" s="1"/>
      <c r="Z40" s="1"/>
      <c r="AA40" s="1"/>
      <c r="AB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38" ht="6.75" customHeight="1">
      <c r="A41" s="1"/>
      <c r="B41" s="13"/>
      <c r="C41" s="13"/>
      <c r="D41" s="13"/>
      <c r="E41" s="13"/>
      <c r="F41" s="13"/>
      <c r="G41" s="13"/>
      <c r="H41" s="13"/>
      <c r="I41" s="1"/>
      <c r="J41" s="1"/>
      <c r="K41" s="1"/>
      <c r="L41" s="1"/>
      <c r="M41" s="1"/>
      <c r="N41" s="1"/>
      <c r="O41" s="1"/>
      <c r="P41" s="1"/>
      <c r="Q41" s="1"/>
      <c r="R41" s="1"/>
      <c r="T41" s="1"/>
      <c r="U41" s="1"/>
      <c r="V41" s="1"/>
      <c r="W41" s="1"/>
      <c r="X41" s="1"/>
      <c r="Y41" s="1"/>
      <c r="Z41" s="1"/>
      <c r="AA41" s="1"/>
      <c r="AB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1:38" ht="88.5" customHeight="1">
      <c r="B42" s="13"/>
      <c r="C42" s="13"/>
      <c r="D42" s="13"/>
      <c r="E42" s="13"/>
      <c r="F42" s="13"/>
      <c r="G42" s="13"/>
      <c r="H42" s="13"/>
      <c r="L42" s="1"/>
      <c r="M42" s="1"/>
    </row>
    <row r="43" spans="1:38">
      <c r="B43" s="14"/>
      <c r="C43" s="14"/>
      <c r="D43" s="14"/>
      <c r="E43" s="14"/>
      <c r="F43" s="14"/>
      <c r="G43" s="14"/>
      <c r="H43" s="14"/>
    </row>
    <row r="44" spans="1:38">
      <c r="B44" s="14"/>
      <c r="C44" s="14"/>
      <c r="D44" s="14"/>
      <c r="E44" s="14"/>
      <c r="F44" s="14"/>
      <c r="G44" s="14"/>
      <c r="H44" s="14"/>
    </row>
    <row r="45" spans="1:38">
      <c r="B45" s="14"/>
      <c r="C45" s="14"/>
      <c r="D45" s="14"/>
      <c r="E45" s="14"/>
      <c r="F45" s="14"/>
      <c r="G45" s="14"/>
      <c r="H45" s="14"/>
    </row>
    <row r="46" spans="1:38">
      <c r="B46" s="14"/>
      <c r="C46" s="14"/>
      <c r="D46" s="14"/>
      <c r="E46" s="14"/>
      <c r="F46" s="14"/>
      <c r="G46" s="14"/>
      <c r="H46" s="14"/>
    </row>
    <row r="47" spans="1:38">
      <c r="B47" s="14"/>
      <c r="C47" s="14"/>
      <c r="D47" s="14"/>
      <c r="E47" s="14"/>
      <c r="F47" s="14"/>
      <c r="G47" s="14"/>
      <c r="H47" s="14"/>
    </row>
    <row r="48" spans="1:38">
      <c r="B48" s="14"/>
      <c r="C48" s="14"/>
      <c r="D48" s="14"/>
      <c r="E48" s="14"/>
      <c r="F48" s="14"/>
      <c r="G48" s="14"/>
      <c r="H48" s="14"/>
    </row>
    <row r="49" spans="2:8">
      <c r="B49" s="14"/>
      <c r="C49" s="14"/>
      <c r="D49" s="14"/>
      <c r="E49" s="14"/>
      <c r="F49" s="14"/>
      <c r="G49" s="14"/>
      <c r="H49" s="14"/>
    </row>
    <row r="50" spans="2:8">
      <c r="B50" s="14"/>
      <c r="C50" s="14"/>
      <c r="D50" s="14"/>
      <c r="E50" s="14"/>
      <c r="F50" s="14"/>
      <c r="G50" s="14"/>
      <c r="H50" s="14"/>
    </row>
    <row r="51" spans="2:8">
      <c r="B51" s="14"/>
      <c r="C51" s="14"/>
      <c r="D51" s="14"/>
      <c r="E51" s="14"/>
      <c r="F51" s="14"/>
      <c r="G51" s="14"/>
      <c r="H51" s="14"/>
    </row>
    <row r="52" spans="2:8">
      <c r="B52" s="14"/>
      <c r="C52" s="14"/>
      <c r="D52" s="14"/>
      <c r="E52" s="14"/>
      <c r="F52" s="14"/>
      <c r="G52" s="14"/>
      <c r="H52" s="14"/>
    </row>
    <row r="53" spans="2:8">
      <c r="B53" s="14"/>
      <c r="C53" s="14"/>
      <c r="D53" s="14"/>
      <c r="E53" s="14"/>
      <c r="F53" s="14"/>
      <c r="G53" s="14"/>
      <c r="H53" s="14"/>
    </row>
    <row r="54" spans="2:8">
      <c r="B54" s="14"/>
      <c r="C54" s="14"/>
      <c r="D54" s="14"/>
      <c r="E54" s="14"/>
      <c r="F54" s="14"/>
      <c r="G54" s="14"/>
      <c r="H54" s="14"/>
    </row>
    <row r="55" spans="2:8">
      <c r="B55" s="14"/>
      <c r="C55" s="14"/>
      <c r="D55" s="14"/>
      <c r="E55" s="14"/>
      <c r="F55" s="14"/>
      <c r="G55" s="14"/>
      <c r="H55" s="14"/>
    </row>
    <row r="56" spans="2:8">
      <c r="B56" s="14"/>
      <c r="C56" s="14"/>
      <c r="D56" s="14"/>
      <c r="E56" s="14"/>
      <c r="F56" s="14"/>
      <c r="G56" s="14"/>
      <c r="H56" s="14"/>
    </row>
    <row r="57" spans="2:8">
      <c r="B57" s="14"/>
      <c r="C57" s="14"/>
      <c r="D57" s="14"/>
      <c r="E57" s="14"/>
      <c r="F57" s="14"/>
      <c r="G57" s="14"/>
      <c r="H57" s="14"/>
    </row>
    <row r="58" spans="2:8">
      <c r="B58" s="14"/>
      <c r="C58" s="14"/>
      <c r="D58" s="14"/>
      <c r="E58" s="14"/>
      <c r="F58" s="14"/>
      <c r="G58" s="14"/>
      <c r="H58" s="14"/>
    </row>
    <row r="59" spans="2:8">
      <c r="B59" s="14"/>
      <c r="C59" s="14"/>
      <c r="D59" s="14"/>
      <c r="E59" s="14"/>
      <c r="F59" s="14"/>
      <c r="G59" s="14"/>
      <c r="H59" s="14"/>
    </row>
  </sheetData>
  <sheetProtection algorithmName="SHA-512" hashValue="JQIv+ItZwncbVPmHf90aIXp3rmiY3whiOB38E0Wh8W9sMOEcYubfMwlibPNg5QJR/2FU+rUlTc3ksbyypozxrQ==" saltValue="wGXP+3scgA9ITaPWm99qhA==" spinCount="100000" sheet="1" objects="1" scenarios="1"/>
  <mergeCells count="280">
    <mergeCell ref="T39:U39"/>
    <mergeCell ref="V39:W39"/>
    <mergeCell ref="X39:AA39"/>
    <mergeCell ref="AC39:AD39"/>
    <mergeCell ref="AE39:AF39"/>
    <mergeCell ref="AG39:AJ39"/>
    <mergeCell ref="B39:C39"/>
    <mergeCell ref="D39:E39"/>
    <mergeCell ref="F39:I39"/>
    <mergeCell ref="K39:L39"/>
    <mergeCell ref="M39:N39"/>
    <mergeCell ref="O39:R39"/>
    <mergeCell ref="T38:U38"/>
    <mergeCell ref="V38:W38"/>
    <mergeCell ref="X38:AA38"/>
    <mergeCell ref="AC38:AD38"/>
    <mergeCell ref="AE38:AF38"/>
    <mergeCell ref="AG38:AJ38"/>
    <mergeCell ref="B37:I37"/>
    <mergeCell ref="K37:R37"/>
    <mergeCell ref="T37:AA37"/>
    <mergeCell ref="AC37:AJ37"/>
    <mergeCell ref="B38:C38"/>
    <mergeCell ref="D38:E38"/>
    <mergeCell ref="F38:I38"/>
    <mergeCell ref="K38:L38"/>
    <mergeCell ref="M38:N38"/>
    <mergeCell ref="O38:R38"/>
    <mergeCell ref="T35:U35"/>
    <mergeCell ref="V35:W35"/>
    <mergeCell ref="X35:AA35"/>
    <mergeCell ref="AC35:AD35"/>
    <mergeCell ref="AE35:AF35"/>
    <mergeCell ref="AG35:AJ35"/>
    <mergeCell ref="B35:C35"/>
    <mergeCell ref="D35:E35"/>
    <mergeCell ref="F35:I35"/>
    <mergeCell ref="K35:L35"/>
    <mergeCell ref="M35:N35"/>
    <mergeCell ref="O35:R35"/>
    <mergeCell ref="T34:U34"/>
    <mergeCell ref="V34:W34"/>
    <mergeCell ref="X34:AA34"/>
    <mergeCell ref="AC34:AD34"/>
    <mergeCell ref="AE34:AF34"/>
    <mergeCell ref="AG34:AJ34"/>
    <mergeCell ref="B34:C34"/>
    <mergeCell ref="D34:E34"/>
    <mergeCell ref="F34:I34"/>
    <mergeCell ref="K34:L34"/>
    <mergeCell ref="M34:N34"/>
    <mergeCell ref="O34:R34"/>
    <mergeCell ref="T33:U33"/>
    <mergeCell ref="V33:W33"/>
    <mergeCell ref="X33:AA33"/>
    <mergeCell ref="AC33:AD33"/>
    <mergeCell ref="AE33:AF33"/>
    <mergeCell ref="AG33:AJ33"/>
    <mergeCell ref="B32:I32"/>
    <mergeCell ref="K32:R32"/>
    <mergeCell ref="T32:AA32"/>
    <mergeCell ref="AC32:AJ32"/>
    <mergeCell ref="B33:C33"/>
    <mergeCell ref="D33:E33"/>
    <mergeCell ref="F33:I33"/>
    <mergeCell ref="K33:L33"/>
    <mergeCell ref="M33:N33"/>
    <mergeCell ref="O33:R33"/>
    <mergeCell ref="T30:U30"/>
    <mergeCell ref="V30:W30"/>
    <mergeCell ref="X30:AA30"/>
    <mergeCell ref="AC30:AD30"/>
    <mergeCell ref="AE30:AF30"/>
    <mergeCell ref="AG30:AJ30"/>
    <mergeCell ref="B30:C30"/>
    <mergeCell ref="D30:E30"/>
    <mergeCell ref="F30:I30"/>
    <mergeCell ref="K30:L30"/>
    <mergeCell ref="M30:N30"/>
    <mergeCell ref="O30:R30"/>
    <mergeCell ref="T29:U29"/>
    <mergeCell ref="V29:W29"/>
    <mergeCell ref="X29:AA29"/>
    <mergeCell ref="AC29:AD29"/>
    <mergeCell ref="AE29:AF29"/>
    <mergeCell ref="AG29:AJ29"/>
    <mergeCell ref="B29:C29"/>
    <mergeCell ref="D29:E29"/>
    <mergeCell ref="F29:I29"/>
    <mergeCell ref="K29:L29"/>
    <mergeCell ref="M29:N29"/>
    <mergeCell ref="O29:R29"/>
    <mergeCell ref="T28:U28"/>
    <mergeCell ref="V28:W28"/>
    <mergeCell ref="X28:AA28"/>
    <mergeCell ref="AC28:AD28"/>
    <mergeCell ref="AE28:AF28"/>
    <mergeCell ref="AG28:AJ28"/>
    <mergeCell ref="B28:C28"/>
    <mergeCell ref="D28:E28"/>
    <mergeCell ref="F28:I28"/>
    <mergeCell ref="K28:L28"/>
    <mergeCell ref="M28:N28"/>
    <mergeCell ref="O28:R28"/>
    <mergeCell ref="T27:U27"/>
    <mergeCell ref="V27:W27"/>
    <mergeCell ref="X27:AA27"/>
    <mergeCell ref="AC27:AD27"/>
    <mergeCell ref="AE27:AF27"/>
    <mergeCell ref="AG27:AJ27"/>
    <mergeCell ref="B27:C27"/>
    <mergeCell ref="D27:E27"/>
    <mergeCell ref="F27:I27"/>
    <mergeCell ref="K27:L27"/>
    <mergeCell ref="M27:N27"/>
    <mergeCell ref="O27:R27"/>
    <mergeCell ref="T26:U26"/>
    <mergeCell ref="V26:W26"/>
    <mergeCell ref="X26:AA26"/>
    <mergeCell ref="AC26:AD26"/>
    <mergeCell ref="AE26:AF26"/>
    <mergeCell ref="AG26:AJ26"/>
    <mergeCell ref="B26:C26"/>
    <mergeCell ref="D26:E26"/>
    <mergeCell ref="F26:I26"/>
    <mergeCell ref="K26:L26"/>
    <mergeCell ref="M26:N26"/>
    <mergeCell ref="O26:R26"/>
    <mergeCell ref="AC23:AD23"/>
    <mergeCell ref="AE23:AJ23"/>
    <mergeCell ref="B25:I25"/>
    <mergeCell ref="K25:R25"/>
    <mergeCell ref="T25:AA25"/>
    <mergeCell ref="AC25:AJ25"/>
    <mergeCell ref="B23:C23"/>
    <mergeCell ref="D23:I23"/>
    <mergeCell ref="K23:L23"/>
    <mergeCell ref="M23:R23"/>
    <mergeCell ref="T23:U23"/>
    <mergeCell ref="V23:AA23"/>
    <mergeCell ref="T19:U19"/>
    <mergeCell ref="V19:W19"/>
    <mergeCell ref="X19:AA19"/>
    <mergeCell ref="AC19:AD19"/>
    <mergeCell ref="AE19:AF19"/>
    <mergeCell ref="AG19:AJ19"/>
    <mergeCell ref="B19:C19"/>
    <mergeCell ref="D19:E19"/>
    <mergeCell ref="F19:I19"/>
    <mergeCell ref="K19:L19"/>
    <mergeCell ref="M19:N19"/>
    <mergeCell ref="O19:R19"/>
    <mergeCell ref="T18:U18"/>
    <mergeCell ref="V18:W18"/>
    <mergeCell ref="X18:AA18"/>
    <mergeCell ref="AC18:AD18"/>
    <mergeCell ref="AE18:AF18"/>
    <mergeCell ref="AG18:AJ18"/>
    <mergeCell ref="B17:I17"/>
    <mergeCell ref="K17:R17"/>
    <mergeCell ref="T17:AA17"/>
    <mergeCell ref="AC17:AJ17"/>
    <mergeCell ref="B18:C18"/>
    <mergeCell ref="D18:E18"/>
    <mergeCell ref="F18:I18"/>
    <mergeCell ref="K18:L18"/>
    <mergeCell ref="M18:N18"/>
    <mergeCell ref="O18:R18"/>
    <mergeCell ref="T15:U15"/>
    <mergeCell ref="V15:W15"/>
    <mergeCell ref="X15:AA15"/>
    <mergeCell ref="AC15:AD15"/>
    <mergeCell ref="AE15:AF15"/>
    <mergeCell ref="AG15:AJ15"/>
    <mergeCell ref="B15:C15"/>
    <mergeCell ref="D15:E15"/>
    <mergeCell ref="F15:I15"/>
    <mergeCell ref="K15:L15"/>
    <mergeCell ref="M15:N15"/>
    <mergeCell ref="O15:R15"/>
    <mergeCell ref="T14:U14"/>
    <mergeCell ref="V14:W14"/>
    <mergeCell ref="X14:AA14"/>
    <mergeCell ref="AC14:AD14"/>
    <mergeCell ref="AE14:AF14"/>
    <mergeCell ref="AG14:AJ14"/>
    <mergeCell ref="B14:C14"/>
    <mergeCell ref="D14:E14"/>
    <mergeCell ref="F14:I14"/>
    <mergeCell ref="K14:L14"/>
    <mergeCell ref="M14:N14"/>
    <mergeCell ref="O14:R14"/>
    <mergeCell ref="T13:U13"/>
    <mergeCell ref="V13:W13"/>
    <mergeCell ref="X13:AA13"/>
    <mergeCell ref="AC13:AD13"/>
    <mergeCell ref="AE13:AF13"/>
    <mergeCell ref="AG13:AJ13"/>
    <mergeCell ref="B12:I12"/>
    <mergeCell ref="K12:R12"/>
    <mergeCell ref="T12:AA12"/>
    <mergeCell ref="AC12:AJ12"/>
    <mergeCell ref="B13:C13"/>
    <mergeCell ref="D13:E13"/>
    <mergeCell ref="F13:I13"/>
    <mergeCell ref="K13:L13"/>
    <mergeCell ref="M13:N13"/>
    <mergeCell ref="O13:R13"/>
    <mergeCell ref="T10:U10"/>
    <mergeCell ref="V10:W10"/>
    <mergeCell ref="X10:AA10"/>
    <mergeCell ref="AC10:AD10"/>
    <mergeCell ref="AE10:AF10"/>
    <mergeCell ref="AG10:AJ10"/>
    <mergeCell ref="B10:C10"/>
    <mergeCell ref="D10:E10"/>
    <mergeCell ref="F10:I10"/>
    <mergeCell ref="K10:L10"/>
    <mergeCell ref="M10:N10"/>
    <mergeCell ref="O10:R10"/>
    <mergeCell ref="T9:U9"/>
    <mergeCell ref="V9:W9"/>
    <mergeCell ref="X9:AA9"/>
    <mergeCell ref="AC9:AD9"/>
    <mergeCell ref="AE9:AF9"/>
    <mergeCell ref="AG9:AJ9"/>
    <mergeCell ref="B9:C9"/>
    <mergeCell ref="D9:E9"/>
    <mergeCell ref="F9:I9"/>
    <mergeCell ref="K9:L9"/>
    <mergeCell ref="M9:N9"/>
    <mergeCell ref="O9:R9"/>
    <mergeCell ref="T8:U8"/>
    <mergeCell ref="V8:W8"/>
    <mergeCell ref="X8:AA8"/>
    <mergeCell ref="AC8:AD8"/>
    <mergeCell ref="AE8:AF8"/>
    <mergeCell ref="AG8:AJ8"/>
    <mergeCell ref="B8:C8"/>
    <mergeCell ref="D8:E8"/>
    <mergeCell ref="F8:I8"/>
    <mergeCell ref="K8:L8"/>
    <mergeCell ref="M8:N8"/>
    <mergeCell ref="O8:R8"/>
    <mergeCell ref="T7:U7"/>
    <mergeCell ref="V7:W7"/>
    <mergeCell ref="X7:AA7"/>
    <mergeCell ref="AC7:AD7"/>
    <mergeCell ref="AE7:AF7"/>
    <mergeCell ref="AG7:AJ7"/>
    <mergeCell ref="B7:C7"/>
    <mergeCell ref="D7:E7"/>
    <mergeCell ref="F7:I7"/>
    <mergeCell ref="K7:L7"/>
    <mergeCell ref="M7:N7"/>
    <mergeCell ref="O7:R7"/>
    <mergeCell ref="T6:U6"/>
    <mergeCell ref="V6:W6"/>
    <mergeCell ref="X6:AA6"/>
    <mergeCell ref="AC6:AD6"/>
    <mergeCell ref="AE6:AF6"/>
    <mergeCell ref="AG6:AJ6"/>
    <mergeCell ref="B6:C6"/>
    <mergeCell ref="D6:E6"/>
    <mergeCell ref="F6:I6"/>
    <mergeCell ref="K6:L6"/>
    <mergeCell ref="M6:N6"/>
    <mergeCell ref="O6:R6"/>
    <mergeCell ref="AC3:AD3"/>
    <mergeCell ref="AE3:AJ3"/>
    <mergeCell ref="B5:I5"/>
    <mergeCell ref="K5:R5"/>
    <mergeCell ref="T5:AA5"/>
    <mergeCell ref="AC5:AJ5"/>
    <mergeCell ref="B3:C3"/>
    <mergeCell ref="D3:I3"/>
    <mergeCell ref="K3:L3"/>
    <mergeCell ref="M3:R3"/>
    <mergeCell ref="T3:U3"/>
    <mergeCell ref="V3:AA3"/>
  </mergeCells>
  <printOptions horizontalCentered="1" verticalCentered="1"/>
  <pageMargins left="0.39370078740157483" right="0.39370078740157483" top="0.23622047244094491" bottom="0.23622047244094491" header="0.31496062992125984" footer="0.31496062992125984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828F5-A244-4C4B-985B-A3CCBA10373C}">
  <sheetPr codeName="Sheet20">
    <tabColor rgb="FF00B0F0"/>
    <pageSetUpPr fitToPage="1"/>
  </sheetPr>
  <dimension ref="A1:DE363"/>
  <sheetViews>
    <sheetView showGridLines="0" tabSelected="1" zoomScaleNormal="100" workbookViewId="0">
      <pane ySplit="7" topLeftCell="A27" activePane="bottomLeft" state="frozen"/>
      <selection pane="bottomLeft" activeCell="B35" sqref="B35:D35"/>
    </sheetView>
  </sheetViews>
  <sheetFormatPr defaultColWidth="4.7109375" defaultRowHeight="16.899999999999999"/>
  <cols>
    <col min="1" max="1" width="0.7109375" style="140" customWidth="1"/>
    <col min="2" max="3" width="3.7109375" style="140" customWidth="1"/>
    <col min="4" max="4" width="1.42578125" style="140" customWidth="1"/>
    <col min="5" max="6" width="3.7109375" style="140" customWidth="1"/>
    <col min="7" max="7" width="1.42578125" style="140" customWidth="1"/>
    <col min="8" max="8" width="3.7109375" style="140" customWidth="1"/>
    <col min="9" max="9" width="4.7109375" style="140" customWidth="1"/>
    <col min="10" max="13" width="3.7109375" style="140" customWidth="1"/>
    <col min="14" max="14" width="5.140625" style="140" customWidth="1"/>
    <col min="15" max="15" width="6.28515625" style="140" customWidth="1"/>
    <col min="16" max="16" width="9.28515625" style="140" customWidth="1"/>
    <col min="17" max="17" width="6.42578125" style="140" customWidth="1"/>
    <col min="18" max="18" width="7.42578125" style="140" customWidth="1"/>
    <col min="19" max="19" width="25.28515625" style="140" customWidth="1"/>
    <col min="20" max="26" width="3.7109375" style="140" customWidth="1"/>
    <col min="27" max="27" width="10.7109375" style="140" customWidth="1"/>
    <col min="28" max="28" width="0.7109375" style="139" customWidth="1"/>
    <col min="29" max="32" width="10.7109375" style="140" customWidth="1"/>
    <col min="33" max="33" width="21.140625" style="140" customWidth="1"/>
    <col min="34" max="34" width="4" style="141" customWidth="1"/>
    <col min="35" max="35" width="4.140625" style="143" customWidth="1"/>
    <col min="36" max="36" width="4.7109375" style="140" customWidth="1"/>
    <col min="37" max="16384" width="4.7109375" style="140"/>
  </cols>
  <sheetData>
    <row r="1" spans="1:48" ht="6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I1" s="142" t="s">
        <v>202</v>
      </c>
    </row>
    <row r="2" spans="1:48" ht="56.25" customHeight="1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H2" s="324" t="s">
        <v>203</v>
      </c>
      <c r="AI2" s="324"/>
      <c r="AJ2" s="324"/>
      <c r="AK2" s="324"/>
      <c r="AL2" s="324"/>
      <c r="AM2" s="324"/>
      <c r="AN2" s="324"/>
      <c r="AO2" s="324"/>
      <c r="AP2" s="324"/>
      <c r="AQ2" s="324"/>
      <c r="AR2" s="324"/>
    </row>
    <row r="3" spans="1:48" ht="24.75" customHeight="1">
      <c r="A3" s="139"/>
      <c r="B3" s="325" t="s">
        <v>204</v>
      </c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R3" s="326" t="s">
        <v>205</v>
      </c>
      <c r="S3" s="326"/>
      <c r="T3" s="326"/>
      <c r="U3" s="326"/>
      <c r="V3" s="326"/>
      <c r="W3" s="326"/>
      <c r="X3" s="326"/>
      <c r="Y3" s="326"/>
      <c r="Z3" s="326"/>
      <c r="AA3" s="326"/>
      <c r="AH3" s="327" t="s">
        <v>206</v>
      </c>
      <c r="AI3" s="328"/>
      <c r="AJ3" s="328"/>
      <c r="AK3" s="328"/>
      <c r="AL3" s="328"/>
      <c r="AM3" s="328"/>
      <c r="AN3" s="328"/>
      <c r="AO3" s="328"/>
      <c r="AP3" s="328"/>
      <c r="AQ3" s="328"/>
      <c r="AR3" s="328"/>
    </row>
    <row r="4" spans="1:48" ht="24.75" customHeight="1">
      <c r="A4" s="139"/>
      <c r="B4" s="329" t="s">
        <v>207</v>
      </c>
      <c r="C4" s="329"/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R4" s="330" t="s">
        <v>208</v>
      </c>
      <c r="S4" s="330"/>
      <c r="T4" s="330"/>
      <c r="U4" s="330"/>
      <c r="V4" s="330"/>
      <c r="W4" s="330"/>
      <c r="X4" s="330"/>
      <c r="Y4" s="330"/>
      <c r="Z4" s="330"/>
      <c r="AA4" s="330"/>
      <c r="AH4" s="328"/>
      <c r="AI4" s="328"/>
      <c r="AJ4" s="328"/>
      <c r="AK4" s="328"/>
      <c r="AL4" s="328"/>
      <c r="AM4" s="328"/>
      <c r="AN4" s="328"/>
      <c r="AO4" s="328"/>
      <c r="AP4" s="328"/>
      <c r="AQ4" s="328"/>
      <c r="AR4" s="328"/>
    </row>
    <row r="5" spans="1:48" ht="24.75" customHeight="1">
      <c r="A5" s="139"/>
      <c r="B5" s="331" t="s">
        <v>209</v>
      </c>
      <c r="C5" s="331"/>
      <c r="D5" s="331"/>
      <c r="E5" s="331"/>
      <c r="F5" s="331"/>
      <c r="G5" s="331"/>
      <c r="H5" s="331"/>
      <c r="I5" s="331"/>
      <c r="J5" s="331"/>
      <c r="K5" s="331"/>
      <c r="L5" s="331"/>
      <c r="M5" s="331"/>
      <c r="N5" s="331"/>
      <c r="O5" s="331"/>
      <c r="P5" s="331"/>
      <c r="Q5" s="139"/>
      <c r="R5" s="332" t="s">
        <v>210</v>
      </c>
      <c r="S5" s="332"/>
      <c r="T5" s="332"/>
      <c r="U5" s="332"/>
      <c r="V5" s="332"/>
      <c r="W5" s="332"/>
      <c r="X5" s="332"/>
      <c r="Y5" s="332"/>
      <c r="Z5" s="332"/>
      <c r="AA5" s="332"/>
      <c r="AH5" s="328"/>
      <c r="AI5" s="328"/>
      <c r="AJ5" s="328"/>
      <c r="AK5" s="328"/>
      <c r="AL5" s="328"/>
      <c r="AM5" s="328"/>
      <c r="AN5" s="328"/>
      <c r="AO5" s="328"/>
      <c r="AP5" s="328"/>
      <c r="AQ5" s="328"/>
      <c r="AR5" s="328"/>
    </row>
    <row r="6" spans="1:48" ht="24.75" customHeight="1">
      <c r="A6" s="139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H6" s="328"/>
      <c r="AI6" s="328"/>
      <c r="AJ6" s="328"/>
      <c r="AK6" s="328"/>
      <c r="AL6" s="328"/>
      <c r="AM6" s="328"/>
      <c r="AN6" s="328"/>
      <c r="AO6" s="328"/>
      <c r="AP6" s="328"/>
      <c r="AQ6" s="328"/>
      <c r="AR6" s="328"/>
    </row>
    <row r="7" spans="1:48" s="149" customFormat="1">
      <c r="A7" s="145"/>
      <c r="B7" s="321" t="s">
        <v>3</v>
      </c>
      <c r="C7" s="321"/>
      <c r="D7" s="321"/>
      <c r="E7" s="322" t="s">
        <v>4</v>
      </c>
      <c r="F7" s="322"/>
      <c r="G7" s="322"/>
      <c r="H7" s="322"/>
      <c r="I7" s="146"/>
      <c r="J7" s="321" t="s">
        <v>5</v>
      </c>
      <c r="K7" s="321"/>
      <c r="L7" s="321"/>
      <c r="M7" s="321"/>
      <c r="N7" s="322" t="s">
        <v>21</v>
      </c>
      <c r="O7" s="322"/>
      <c r="P7" s="322"/>
      <c r="Q7" s="322"/>
      <c r="R7" s="146"/>
      <c r="S7" s="321" t="s">
        <v>10</v>
      </c>
      <c r="T7" s="321"/>
      <c r="U7" s="321"/>
      <c r="V7" s="321"/>
      <c r="W7" s="323" t="s">
        <v>211</v>
      </c>
      <c r="X7" s="322"/>
      <c r="Y7" s="322"/>
      <c r="Z7" s="322"/>
      <c r="AA7" s="322"/>
      <c r="AB7" s="147"/>
      <c r="AC7" s="148"/>
      <c r="AD7" s="148"/>
      <c r="AI7" s="150"/>
    </row>
    <row r="8" spans="1:48" ht="5.25" customHeight="1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39"/>
      <c r="AA8" s="139"/>
      <c r="AC8" s="151"/>
      <c r="AD8" s="152"/>
      <c r="AE8" s="152"/>
      <c r="AF8" s="152"/>
      <c r="AG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52"/>
      <c r="AV8" s="152"/>
    </row>
    <row r="9" spans="1:48" s="154" customFormat="1" ht="15" customHeight="1">
      <c r="A9" s="153"/>
      <c r="B9" s="415" t="s">
        <v>212</v>
      </c>
      <c r="C9" s="416"/>
      <c r="D9" s="416"/>
      <c r="E9" s="407"/>
      <c r="F9" s="407"/>
      <c r="G9" s="407"/>
      <c r="H9" s="299"/>
      <c r="I9" s="299"/>
      <c r="J9" s="407" t="s">
        <v>213</v>
      </c>
      <c r="K9" s="407"/>
      <c r="L9" s="407"/>
      <c r="M9" s="407"/>
      <c r="N9" s="407"/>
      <c r="O9" s="407"/>
      <c r="P9" s="407"/>
      <c r="Q9" s="407"/>
      <c r="R9" s="407"/>
      <c r="S9" s="407"/>
      <c r="T9" s="417"/>
      <c r="U9" s="417"/>
      <c r="V9" s="417"/>
      <c r="W9" s="417"/>
      <c r="X9" s="417"/>
      <c r="Y9" s="417"/>
      <c r="Z9" s="417"/>
      <c r="AA9" s="418"/>
      <c r="AB9" s="153"/>
      <c r="AF9" s="155"/>
      <c r="AG9" s="186"/>
      <c r="AI9" s="156"/>
    </row>
    <row r="10" spans="1:48" s="154" customFormat="1" ht="15" customHeight="1">
      <c r="A10" s="153"/>
      <c r="B10" s="301" t="s">
        <v>193</v>
      </c>
      <c r="C10" s="302"/>
      <c r="D10" s="302"/>
      <c r="E10" s="302" t="s">
        <v>194</v>
      </c>
      <c r="F10" s="302"/>
      <c r="G10" s="302"/>
      <c r="H10" s="303" t="s">
        <v>214</v>
      </c>
      <c r="I10" s="304"/>
      <c r="J10" s="305" t="s">
        <v>215</v>
      </c>
      <c r="K10" s="306"/>
      <c r="L10" s="306"/>
      <c r="M10" s="306"/>
      <c r="N10" s="306"/>
      <c r="O10" s="306"/>
      <c r="P10" s="306"/>
      <c r="Q10" s="306"/>
      <c r="R10" s="306"/>
      <c r="S10" s="136" t="s">
        <v>216</v>
      </c>
      <c r="T10" s="419" t="s">
        <v>217</v>
      </c>
      <c r="U10" s="420"/>
      <c r="V10" s="420"/>
      <c r="W10" s="420"/>
      <c r="X10" s="420"/>
      <c r="Y10" s="420"/>
      <c r="Z10" s="420"/>
      <c r="AA10" s="421"/>
      <c r="AB10" s="153"/>
      <c r="AF10" s="155"/>
      <c r="AG10" s="186"/>
      <c r="AI10" s="156"/>
    </row>
    <row r="11" spans="1:48" s="154" customFormat="1" ht="15" customHeight="1">
      <c r="A11" s="153"/>
      <c r="B11" s="283">
        <v>0.33333333333333331</v>
      </c>
      <c r="C11" s="284"/>
      <c r="D11" s="285"/>
      <c r="E11" s="286"/>
      <c r="F11" s="284"/>
      <c r="G11" s="287"/>
      <c r="H11" s="288"/>
      <c r="I11" s="289"/>
      <c r="J11" s="290" t="s">
        <v>218</v>
      </c>
      <c r="K11" s="291"/>
      <c r="L11" s="291"/>
      <c r="M11" s="291"/>
      <c r="N11" s="291"/>
      <c r="O11" s="291"/>
      <c r="P11" s="291"/>
      <c r="Q11" s="291"/>
      <c r="R11" s="291"/>
      <c r="S11" s="137"/>
      <c r="T11" s="292"/>
      <c r="U11" s="293"/>
      <c r="V11" s="293"/>
      <c r="W11" s="293"/>
      <c r="X11" s="293"/>
      <c r="Y11" s="293"/>
      <c r="Z11" s="293"/>
      <c r="AA11" s="294"/>
      <c r="AB11" s="153"/>
      <c r="AF11" s="155"/>
      <c r="AG11" s="186"/>
      <c r="AI11" s="156"/>
    </row>
    <row r="12" spans="1:48" s="154" customFormat="1" ht="15" customHeight="1">
      <c r="A12" s="153"/>
      <c r="B12" s="283">
        <v>0.35416666666666669</v>
      </c>
      <c r="C12" s="284"/>
      <c r="D12" s="285"/>
      <c r="E12" s="286"/>
      <c r="F12" s="284"/>
      <c r="G12" s="287"/>
      <c r="H12" s="288" t="str">
        <f>IF(E12="","",IF(E12-B12&lt;0,"24:00"-(B12-E12),E12-B12))</f>
        <v/>
      </c>
      <c r="I12" s="289"/>
      <c r="J12" s="290" t="s">
        <v>219</v>
      </c>
      <c r="K12" s="291"/>
      <c r="L12" s="291"/>
      <c r="M12" s="291"/>
      <c r="N12" s="291"/>
      <c r="O12" s="291"/>
      <c r="P12" s="291"/>
      <c r="Q12" s="291"/>
      <c r="R12" s="291"/>
      <c r="S12" s="137"/>
      <c r="T12" s="296"/>
      <c r="U12" s="297"/>
      <c r="V12" s="297"/>
      <c r="W12" s="297"/>
      <c r="X12" s="297"/>
      <c r="Y12" s="297"/>
      <c r="Z12" s="297"/>
      <c r="AA12" s="298"/>
      <c r="AB12" s="153"/>
      <c r="AF12" s="155"/>
      <c r="AG12" s="186"/>
      <c r="AI12" s="156"/>
    </row>
    <row r="13" spans="1:48" s="154" customFormat="1" ht="15" customHeight="1">
      <c r="A13" s="153"/>
      <c r="B13" s="283">
        <v>0.375</v>
      </c>
      <c r="C13" s="284"/>
      <c r="D13" s="285"/>
      <c r="E13" s="286"/>
      <c r="F13" s="284"/>
      <c r="G13" s="287"/>
      <c r="H13" s="288" t="str">
        <f>IF(E13="","",IF(E13-B13&lt;0,"24:00"-(B13-E13),E13-B13))</f>
        <v/>
      </c>
      <c r="I13" s="289"/>
      <c r="J13" s="290" t="s">
        <v>220</v>
      </c>
      <c r="K13" s="291"/>
      <c r="L13" s="291"/>
      <c r="M13" s="291"/>
      <c r="N13" s="291"/>
      <c r="O13" s="291"/>
      <c r="P13" s="291"/>
      <c r="Q13" s="291"/>
      <c r="R13" s="291"/>
      <c r="S13" s="137"/>
      <c r="T13" s="296"/>
      <c r="U13" s="297"/>
      <c r="V13" s="297"/>
      <c r="W13" s="297"/>
      <c r="X13" s="297"/>
      <c r="Y13" s="297"/>
      <c r="Z13" s="297"/>
      <c r="AA13" s="298"/>
      <c r="AB13" s="153"/>
      <c r="AF13" s="155"/>
      <c r="AG13" s="186"/>
      <c r="AI13" s="156"/>
    </row>
    <row r="14" spans="1:48" s="154" customFormat="1" ht="15" customHeight="1">
      <c r="A14" s="153"/>
      <c r="B14" s="283">
        <v>0.5</v>
      </c>
      <c r="C14" s="284"/>
      <c r="D14" s="285"/>
      <c r="E14" s="286"/>
      <c r="F14" s="284"/>
      <c r="G14" s="287"/>
      <c r="H14" s="288">
        <f>SUM(E14-B14)</f>
        <v>-0.5</v>
      </c>
      <c r="I14" s="289"/>
      <c r="J14" s="290" t="s">
        <v>221</v>
      </c>
      <c r="K14" s="291"/>
      <c r="L14" s="291"/>
      <c r="M14" s="291"/>
      <c r="N14" s="291"/>
      <c r="O14" s="291"/>
      <c r="P14" s="291"/>
      <c r="Q14" s="291"/>
      <c r="R14" s="291"/>
      <c r="S14" s="137"/>
      <c r="T14" s="292" t="s">
        <v>222</v>
      </c>
      <c r="U14" s="293"/>
      <c r="V14" s="293"/>
      <c r="W14" s="293"/>
      <c r="X14" s="293"/>
      <c r="Y14" s="293"/>
      <c r="Z14" s="293"/>
      <c r="AA14" s="294"/>
      <c r="AB14" s="153"/>
      <c r="AF14" s="155"/>
      <c r="AG14" s="186"/>
      <c r="AI14" s="156"/>
    </row>
    <row r="15" spans="1:48" s="154" customFormat="1" ht="15" customHeight="1">
      <c r="A15" s="153"/>
      <c r="B15" s="283">
        <v>0.58333333333333337</v>
      </c>
      <c r="C15" s="284"/>
      <c r="D15" s="285"/>
      <c r="E15" s="286"/>
      <c r="F15" s="284"/>
      <c r="G15" s="287"/>
      <c r="H15" s="288" t="str">
        <f>IF(E15="","",IF(E15-B15&lt;0,"24:00"-(B15-E15),E15-B15))</f>
        <v/>
      </c>
      <c r="I15" s="289"/>
      <c r="J15" s="290" t="s">
        <v>223</v>
      </c>
      <c r="K15" s="291"/>
      <c r="L15" s="291"/>
      <c r="M15" s="291"/>
      <c r="N15" s="291"/>
      <c r="O15" s="291"/>
      <c r="P15" s="291"/>
      <c r="Q15" s="291"/>
      <c r="R15" s="291"/>
      <c r="S15" s="137"/>
      <c r="T15" s="296"/>
      <c r="U15" s="293"/>
      <c r="V15" s="293"/>
      <c r="W15" s="293"/>
      <c r="X15" s="293"/>
      <c r="Y15" s="293"/>
      <c r="Z15" s="293"/>
      <c r="AA15" s="294"/>
      <c r="AB15" s="153"/>
      <c r="AF15" s="155"/>
      <c r="AG15" s="186"/>
      <c r="AI15" s="156"/>
    </row>
    <row r="16" spans="1:48" s="154" customFormat="1" ht="15" customHeight="1">
      <c r="A16" s="153"/>
      <c r="B16" s="283" t="s">
        <v>53</v>
      </c>
      <c r="C16" s="284"/>
      <c r="D16" s="285"/>
      <c r="E16" s="286"/>
      <c r="F16" s="284"/>
      <c r="G16" s="287"/>
      <c r="H16" s="288"/>
      <c r="I16" s="289"/>
      <c r="J16" s="290" t="s">
        <v>224</v>
      </c>
      <c r="K16" s="291"/>
      <c r="L16" s="291"/>
      <c r="M16" s="291"/>
      <c r="N16" s="291"/>
      <c r="O16" s="291"/>
      <c r="P16" s="291"/>
      <c r="Q16" s="291"/>
      <c r="R16" s="295"/>
      <c r="S16" s="137"/>
      <c r="T16" s="296"/>
      <c r="U16" s="297"/>
      <c r="V16" s="297"/>
      <c r="W16" s="297"/>
      <c r="X16" s="297"/>
      <c r="Y16" s="297"/>
      <c r="Z16" s="297"/>
      <c r="AA16" s="298"/>
      <c r="AB16" s="153"/>
      <c r="AF16" s="155"/>
      <c r="AG16" s="186"/>
      <c r="AI16" s="156"/>
    </row>
    <row r="17" spans="1:49" s="154" customFormat="1" ht="15" customHeight="1">
      <c r="A17" s="153"/>
      <c r="B17" s="415" t="s">
        <v>212</v>
      </c>
      <c r="C17" s="416"/>
      <c r="D17" s="416"/>
      <c r="E17" s="407"/>
      <c r="F17" s="407"/>
      <c r="G17" s="407"/>
      <c r="H17" s="299"/>
      <c r="I17" s="299"/>
      <c r="J17" s="407" t="s">
        <v>225</v>
      </c>
      <c r="K17" s="407"/>
      <c r="L17" s="407"/>
      <c r="M17" s="407"/>
      <c r="N17" s="407"/>
      <c r="O17" s="407"/>
      <c r="P17" s="407"/>
      <c r="Q17" s="407"/>
      <c r="R17" s="407"/>
      <c r="S17" s="407"/>
      <c r="T17" s="417"/>
      <c r="U17" s="417"/>
      <c r="V17" s="417"/>
      <c r="W17" s="417"/>
      <c r="X17" s="417"/>
      <c r="Y17" s="417"/>
      <c r="Z17" s="417"/>
      <c r="AA17" s="418"/>
      <c r="AB17" s="153"/>
      <c r="AF17" s="155"/>
      <c r="AG17" s="186"/>
      <c r="AI17" s="156"/>
    </row>
    <row r="18" spans="1:49" s="154" customFormat="1" ht="15" customHeight="1">
      <c r="A18" s="153"/>
      <c r="B18" s="301" t="s">
        <v>193</v>
      </c>
      <c r="C18" s="302"/>
      <c r="D18" s="302"/>
      <c r="E18" s="302" t="s">
        <v>194</v>
      </c>
      <c r="F18" s="302"/>
      <c r="G18" s="302"/>
      <c r="H18" s="303" t="s">
        <v>214</v>
      </c>
      <c r="I18" s="304"/>
      <c r="J18" s="305" t="s">
        <v>215</v>
      </c>
      <c r="K18" s="306"/>
      <c r="L18" s="306"/>
      <c r="M18" s="306"/>
      <c r="N18" s="306"/>
      <c r="O18" s="306"/>
      <c r="P18" s="306"/>
      <c r="Q18" s="306"/>
      <c r="R18" s="306"/>
      <c r="S18" s="136" t="s">
        <v>216</v>
      </c>
      <c r="T18" s="419" t="s">
        <v>217</v>
      </c>
      <c r="U18" s="425"/>
      <c r="V18" s="425"/>
      <c r="W18" s="425"/>
      <c r="X18" s="425"/>
      <c r="Y18" s="425"/>
      <c r="Z18" s="425"/>
      <c r="AA18" s="426"/>
      <c r="AB18" s="153"/>
      <c r="AF18" s="155"/>
      <c r="AG18" s="186"/>
      <c r="AI18" s="156"/>
    </row>
    <row r="19" spans="1:49" customFormat="1" ht="15" customHeight="1">
      <c r="B19" s="283">
        <v>0.33333333333333331</v>
      </c>
      <c r="C19" s="284"/>
      <c r="D19" s="285"/>
      <c r="E19" s="286"/>
      <c r="F19" s="284"/>
      <c r="G19" s="287"/>
      <c r="H19" s="288" t="str">
        <f>IF(E19="","",IF(E19-B19&lt;0,"24:00"-(B19-E19),E19-B19))</f>
        <v/>
      </c>
      <c r="I19" s="289"/>
      <c r="J19" s="290" t="s">
        <v>218</v>
      </c>
      <c r="K19" s="291"/>
      <c r="L19" s="291"/>
      <c r="M19" s="291"/>
      <c r="N19" s="291"/>
      <c r="O19" s="291"/>
      <c r="P19" s="291"/>
      <c r="Q19" s="291"/>
      <c r="R19" s="295"/>
      <c r="S19" s="137"/>
      <c r="T19" s="296"/>
      <c r="U19" s="297"/>
      <c r="V19" s="297"/>
      <c r="W19" s="297"/>
      <c r="X19" s="297"/>
      <c r="Y19" s="297"/>
      <c r="Z19" s="297"/>
      <c r="AA19" s="298"/>
      <c r="AB19" s="139"/>
      <c r="AC19" s="248"/>
      <c r="AD19" s="140"/>
      <c r="AE19" s="140"/>
      <c r="AF19" s="155"/>
      <c r="AG19" s="187"/>
      <c r="AM19" t="s">
        <v>13</v>
      </c>
    </row>
    <row r="20" spans="1:49" customFormat="1" ht="15" customHeight="1">
      <c r="B20" s="283">
        <v>0.35416666666666669</v>
      </c>
      <c r="C20" s="284"/>
      <c r="D20" s="285"/>
      <c r="E20" s="286"/>
      <c r="F20" s="284"/>
      <c r="G20" s="287"/>
      <c r="H20" s="288" t="str">
        <f>IF(E20="","",IF(E20-B20&lt;0,"24:00"-(B20-E20),E20-B20))</f>
        <v/>
      </c>
      <c r="I20" s="289"/>
      <c r="J20" s="290" t="s">
        <v>219</v>
      </c>
      <c r="K20" s="291"/>
      <c r="L20" s="291"/>
      <c r="M20" s="291"/>
      <c r="N20" s="291"/>
      <c r="O20" s="291"/>
      <c r="P20" s="291"/>
      <c r="Q20" s="291"/>
      <c r="R20" s="295"/>
      <c r="S20" s="137"/>
      <c r="T20" s="292"/>
      <c r="U20" s="293"/>
      <c r="V20" s="293"/>
      <c r="W20" s="293"/>
      <c r="X20" s="293"/>
      <c r="Y20" s="293"/>
      <c r="Z20" s="293"/>
      <c r="AA20" s="294"/>
      <c r="AB20" s="139"/>
      <c r="AC20" s="248"/>
      <c r="AD20" s="195"/>
      <c r="AE20" s="140"/>
      <c r="AF20" s="155"/>
      <c r="AG20" s="187" t="s">
        <v>202</v>
      </c>
      <c r="AL20" t="s">
        <v>13</v>
      </c>
    </row>
    <row r="21" spans="1:49" s="154" customFormat="1" ht="15" customHeight="1">
      <c r="A21" s="153"/>
      <c r="B21" s="283">
        <v>0.5</v>
      </c>
      <c r="C21" s="284"/>
      <c r="D21" s="285"/>
      <c r="E21" s="286">
        <v>0.625</v>
      </c>
      <c r="F21" s="284"/>
      <c r="G21" s="287"/>
      <c r="H21" s="288">
        <f t="shared" ref="H21:H22" si="0">IF(E21="","",IF(E21-B21&lt;0,"24:00"-(B21-E21),E21-B21))</f>
        <v>0.125</v>
      </c>
      <c r="I21" s="289"/>
      <c r="J21" s="290" t="s">
        <v>221</v>
      </c>
      <c r="K21" s="291"/>
      <c r="L21" s="291"/>
      <c r="M21" s="291"/>
      <c r="N21" s="291"/>
      <c r="O21" s="291"/>
      <c r="P21" s="291"/>
      <c r="Q21" s="291"/>
      <c r="R21" s="295"/>
      <c r="S21" s="137" t="s">
        <v>226</v>
      </c>
      <c r="T21" s="296"/>
      <c r="U21" s="297"/>
      <c r="V21" s="297"/>
      <c r="W21" s="297"/>
      <c r="X21" s="297"/>
      <c r="Y21" s="297"/>
      <c r="Z21" s="297"/>
      <c r="AA21" s="298"/>
      <c r="AB21" s="153"/>
      <c r="AC21" s="258" t="s">
        <v>13</v>
      </c>
      <c r="AD21" s="195"/>
      <c r="AF21" s="155"/>
      <c r="AG21" s="187" t="s">
        <v>202</v>
      </c>
      <c r="AI21" s="156"/>
      <c r="AP21" s="194"/>
      <c r="AW21" s="154" t="s">
        <v>13</v>
      </c>
    </row>
    <row r="22" spans="1:49" s="154" customFormat="1" ht="15" customHeight="1">
      <c r="A22" s="153"/>
      <c r="B22" s="283" t="s">
        <v>53</v>
      </c>
      <c r="C22" s="284"/>
      <c r="D22" s="285"/>
      <c r="E22" s="286"/>
      <c r="F22" s="284"/>
      <c r="G22" s="287"/>
      <c r="H22" s="288" t="str">
        <f t="shared" si="0"/>
        <v/>
      </c>
      <c r="I22" s="289"/>
      <c r="J22" s="290" t="s">
        <v>224</v>
      </c>
      <c r="K22" s="291"/>
      <c r="L22" s="291"/>
      <c r="M22" s="291"/>
      <c r="N22" s="291"/>
      <c r="O22" s="291"/>
      <c r="P22" s="291"/>
      <c r="Q22" s="291"/>
      <c r="R22" s="295"/>
      <c r="S22" s="137"/>
      <c r="T22" s="296"/>
      <c r="U22" s="297"/>
      <c r="V22" s="297"/>
      <c r="W22" s="297"/>
      <c r="X22" s="297"/>
      <c r="Y22" s="297"/>
      <c r="Z22" s="297"/>
      <c r="AA22" s="298"/>
      <c r="AB22" s="153"/>
      <c r="AC22" s="258"/>
      <c r="AF22" s="155"/>
      <c r="AG22" s="187"/>
      <c r="AI22" s="156"/>
      <c r="AN22" s="154" t="s">
        <v>13</v>
      </c>
    </row>
    <row r="23" spans="1:49" customFormat="1" ht="15" customHeight="1">
      <c r="B23" s="415" t="s">
        <v>212</v>
      </c>
      <c r="C23" s="416"/>
      <c r="D23" s="416"/>
      <c r="E23" s="407"/>
      <c r="F23" s="407"/>
      <c r="G23" s="407"/>
      <c r="H23" s="299"/>
      <c r="I23" s="299"/>
      <c r="J23" s="407" t="s">
        <v>227</v>
      </c>
      <c r="K23" s="407"/>
      <c r="L23" s="407"/>
      <c r="M23" s="407"/>
      <c r="N23" s="407"/>
      <c r="O23" s="407"/>
      <c r="P23" s="407"/>
      <c r="Q23" s="407"/>
      <c r="R23" s="407"/>
      <c r="S23" s="407"/>
      <c r="T23" s="445"/>
      <c r="U23" s="445"/>
      <c r="V23" s="445"/>
      <c r="W23" s="445"/>
      <c r="X23" s="445"/>
      <c r="Y23" s="445"/>
      <c r="Z23" s="445"/>
      <c r="AA23" s="446"/>
      <c r="AB23" s="139"/>
      <c r="AC23" s="140"/>
      <c r="AD23" s="140"/>
      <c r="AE23" s="140"/>
      <c r="AF23" s="155"/>
      <c r="AG23" s="183"/>
    </row>
    <row r="24" spans="1:49" customFormat="1" ht="15" customHeight="1">
      <c r="B24" s="301" t="s">
        <v>193</v>
      </c>
      <c r="C24" s="302"/>
      <c r="D24" s="302"/>
      <c r="E24" s="302" t="s">
        <v>194</v>
      </c>
      <c r="F24" s="302"/>
      <c r="G24" s="302"/>
      <c r="H24" s="303" t="s">
        <v>214</v>
      </c>
      <c r="I24" s="304"/>
      <c r="J24" s="305" t="s">
        <v>215</v>
      </c>
      <c r="K24" s="306"/>
      <c r="L24" s="306"/>
      <c r="M24" s="306"/>
      <c r="N24" s="306"/>
      <c r="O24" s="306"/>
      <c r="P24" s="306"/>
      <c r="Q24" s="306"/>
      <c r="R24" s="306"/>
      <c r="S24" s="136" t="s">
        <v>216</v>
      </c>
      <c r="T24" s="419" t="s">
        <v>217</v>
      </c>
      <c r="U24" s="425"/>
      <c r="V24" s="425"/>
      <c r="W24" s="425"/>
      <c r="X24" s="425"/>
      <c r="Y24" s="425"/>
      <c r="Z24" s="425"/>
      <c r="AA24" s="426"/>
      <c r="AB24" s="139"/>
      <c r="AC24" s="140"/>
      <c r="AD24" s="140"/>
      <c r="AE24" s="140"/>
      <c r="AF24" s="155"/>
      <c r="AG24" s="189"/>
      <c r="AP24" t="s">
        <v>13</v>
      </c>
    </row>
    <row r="25" spans="1:49" customFormat="1" ht="15" customHeight="1">
      <c r="B25" s="283">
        <v>0.27083333333333331</v>
      </c>
      <c r="C25" s="284"/>
      <c r="D25" s="285"/>
      <c r="E25" s="286"/>
      <c r="F25" s="284"/>
      <c r="G25" s="287"/>
      <c r="H25" s="288" t="str">
        <f>IF(E25="","",IF(E25-B25&lt;0,"24:00"-(B25-E25),E25-B25))</f>
        <v/>
      </c>
      <c r="I25" s="289"/>
      <c r="J25" s="290" t="s">
        <v>218</v>
      </c>
      <c r="K25" s="291"/>
      <c r="L25" s="291"/>
      <c r="M25" s="291"/>
      <c r="N25" s="291"/>
      <c r="O25" s="291"/>
      <c r="P25" s="291"/>
      <c r="Q25" s="291"/>
      <c r="R25" s="295"/>
      <c r="S25" s="137"/>
      <c r="T25" s="296"/>
      <c r="U25" s="297"/>
      <c r="V25" s="297"/>
      <c r="W25" s="297"/>
      <c r="X25" s="297"/>
      <c r="Y25" s="297"/>
      <c r="Z25" s="297"/>
      <c r="AA25" s="298"/>
      <c r="AB25" s="139"/>
      <c r="AC25" s="140"/>
      <c r="AD25" s="140"/>
      <c r="AE25" s="140"/>
      <c r="AF25" s="155"/>
      <c r="AG25" s="187"/>
      <c r="AM25" t="s">
        <v>13</v>
      </c>
    </row>
    <row r="26" spans="1:49" customFormat="1" ht="15" customHeight="1">
      <c r="B26" s="283">
        <v>0.3125</v>
      </c>
      <c r="C26" s="284"/>
      <c r="D26" s="285"/>
      <c r="E26" s="286"/>
      <c r="F26" s="284"/>
      <c r="G26" s="287"/>
      <c r="H26" s="288" t="str">
        <f>IF(E26="","",IF(E26-B26&lt;0,"24:00"-(B26-E26),E26-B26))</f>
        <v/>
      </c>
      <c r="I26" s="289"/>
      <c r="J26" s="290" t="s">
        <v>219</v>
      </c>
      <c r="K26" s="291"/>
      <c r="L26" s="291"/>
      <c r="M26" s="291"/>
      <c r="N26" s="291"/>
      <c r="O26" s="291"/>
      <c r="P26" s="291"/>
      <c r="Q26" s="291"/>
      <c r="R26" s="295"/>
      <c r="S26" s="137"/>
      <c r="T26" s="292"/>
      <c r="U26" s="293"/>
      <c r="V26" s="293"/>
      <c r="W26" s="293"/>
      <c r="X26" s="293"/>
      <c r="Y26" s="293"/>
      <c r="Z26" s="293"/>
      <c r="AA26" s="294"/>
      <c r="AB26" s="139"/>
      <c r="AC26" s="140"/>
      <c r="AD26" s="195"/>
      <c r="AE26" s="140"/>
      <c r="AF26" s="155"/>
      <c r="AG26" s="187" t="s">
        <v>202</v>
      </c>
      <c r="AL26" t="s">
        <v>13</v>
      </c>
    </row>
    <row r="27" spans="1:49" ht="15" customHeight="1">
      <c r="A27" s="139"/>
      <c r="B27" s="283">
        <v>0.33333333333333331</v>
      </c>
      <c r="C27" s="284"/>
      <c r="D27" s="285"/>
      <c r="E27" s="286"/>
      <c r="F27" s="284"/>
      <c r="G27" s="287"/>
      <c r="H27" s="288" t="str">
        <f>IF(E27="","",IF(E27-B27&lt;0,"24:00"-(B27-E27),E27-B27))</f>
        <v/>
      </c>
      <c r="I27" s="289"/>
      <c r="J27" s="290" t="s">
        <v>228</v>
      </c>
      <c r="K27" s="291"/>
      <c r="L27" s="291"/>
      <c r="M27" s="291"/>
      <c r="N27" s="291"/>
      <c r="O27" s="291"/>
      <c r="P27" s="291"/>
      <c r="Q27" s="291"/>
      <c r="R27" s="295"/>
      <c r="S27" s="137"/>
      <c r="T27" s="296"/>
      <c r="U27" s="297"/>
      <c r="V27" s="297"/>
      <c r="W27" s="297"/>
      <c r="X27" s="297"/>
      <c r="Y27" s="297"/>
      <c r="Z27" s="297"/>
      <c r="AA27" s="298"/>
      <c r="AB27" s="153"/>
      <c r="AC27" s="154"/>
      <c r="AD27" s="195"/>
      <c r="AE27" s="154"/>
      <c r="AF27" s="155"/>
      <c r="AG27" s="187" t="s">
        <v>202</v>
      </c>
      <c r="AM27" s="140" t="s">
        <v>13</v>
      </c>
      <c r="AQ27" s="140" t="s">
        <v>13</v>
      </c>
    </row>
    <row r="28" spans="1:49" ht="15" customHeight="1">
      <c r="A28" s="139"/>
      <c r="B28" s="344">
        <v>0.36458333333333331</v>
      </c>
      <c r="C28" s="345"/>
      <c r="D28" s="346"/>
      <c r="E28" s="347"/>
      <c r="F28" s="345"/>
      <c r="G28" s="348"/>
      <c r="H28" s="349" t="str">
        <f>IF(E28="","",IF(E28-B28&lt;0,"24:00"-(B28-E28),E28-B28))</f>
        <v/>
      </c>
      <c r="I28" s="350"/>
      <c r="J28" s="373" t="s">
        <v>229</v>
      </c>
      <c r="K28" s="374"/>
      <c r="L28" s="374"/>
      <c r="M28" s="374"/>
      <c r="N28" s="374"/>
      <c r="O28" s="374"/>
      <c r="P28" s="374"/>
      <c r="Q28" s="374"/>
      <c r="R28" s="375"/>
      <c r="S28" s="198"/>
      <c r="T28" s="358"/>
      <c r="U28" s="359"/>
      <c r="V28" s="359"/>
      <c r="W28" s="359"/>
      <c r="X28" s="359"/>
      <c r="Y28" s="359"/>
      <c r="Z28" s="359"/>
      <c r="AA28" s="360"/>
      <c r="AB28" s="153"/>
      <c r="AC28" s="154"/>
      <c r="AD28" s="195"/>
      <c r="AE28" s="154"/>
      <c r="AF28" s="155"/>
      <c r="AG28" s="187" t="s">
        <v>202</v>
      </c>
    </row>
    <row r="29" spans="1:49" ht="15" customHeight="1">
      <c r="A29" s="139"/>
      <c r="B29" s="453">
        <v>0.36805555555555558</v>
      </c>
      <c r="C29" s="454"/>
      <c r="D29" s="455"/>
      <c r="E29" s="456"/>
      <c r="F29" s="454"/>
      <c r="G29" s="457"/>
      <c r="H29" s="381" t="str">
        <f t="shared" ref="H29" si="1">IF(E29="","",IF(E29-B29&lt;0,"24:00"-(B29-E29),E29-B29))</f>
        <v/>
      </c>
      <c r="I29" s="382"/>
      <c r="J29" s="458" t="s">
        <v>230</v>
      </c>
      <c r="K29" s="459"/>
      <c r="L29" s="459"/>
      <c r="M29" s="459"/>
      <c r="N29" s="459"/>
      <c r="O29" s="459"/>
      <c r="P29" s="459"/>
      <c r="Q29" s="459"/>
      <c r="R29" s="460"/>
      <c r="S29" s="161"/>
      <c r="T29" s="450" t="s">
        <v>209</v>
      </c>
      <c r="U29" s="451"/>
      <c r="V29" s="451"/>
      <c r="W29" s="451"/>
      <c r="X29" s="451"/>
      <c r="Y29" s="451"/>
      <c r="Z29" s="451"/>
      <c r="AA29" s="452"/>
      <c r="AB29" s="153"/>
      <c r="AC29" s="154"/>
      <c r="AD29" s="195"/>
      <c r="AE29" s="154"/>
      <c r="AF29" s="155"/>
      <c r="AG29" s="187"/>
    </row>
    <row r="30" spans="1:49" s="154" customFormat="1" ht="15" customHeight="1">
      <c r="A30" s="153"/>
      <c r="B30" s="283">
        <v>0.375</v>
      </c>
      <c r="C30" s="284"/>
      <c r="D30" s="285"/>
      <c r="E30" s="286">
        <v>0.48958333333333331</v>
      </c>
      <c r="F30" s="284"/>
      <c r="G30" s="287"/>
      <c r="H30" s="288">
        <f>E30-B30</f>
        <v>0.11458333333333331</v>
      </c>
      <c r="I30" s="289"/>
      <c r="J30" s="290" t="s">
        <v>231</v>
      </c>
      <c r="K30" s="291"/>
      <c r="L30" s="291"/>
      <c r="M30" s="291"/>
      <c r="N30" s="291"/>
      <c r="O30" s="291"/>
      <c r="P30" s="291"/>
      <c r="Q30" s="291"/>
      <c r="R30" s="295"/>
      <c r="S30" s="137"/>
      <c r="T30" s="447" t="s">
        <v>232</v>
      </c>
      <c r="U30" s="448"/>
      <c r="V30" s="448"/>
      <c r="W30" s="448"/>
      <c r="X30" s="448"/>
      <c r="Y30" s="448"/>
      <c r="Z30" s="448"/>
      <c r="AA30" s="449"/>
      <c r="AB30" s="153"/>
      <c r="AD30" s="195"/>
      <c r="AF30" s="155"/>
      <c r="AG30" s="187" t="s">
        <v>202</v>
      </c>
      <c r="AI30" s="156"/>
      <c r="AL30" s="154" t="s">
        <v>13</v>
      </c>
      <c r="AM30" s="154" t="s">
        <v>13</v>
      </c>
    </row>
    <row r="31" spans="1:49" s="154" customFormat="1" ht="15" customHeight="1">
      <c r="A31" s="153"/>
      <c r="B31" s="462">
        <v>0.40972222222222221</v>
      </c>
      <c r="C31" s="463"/>
      <c r="D31" s="464"/>
      <c r="E31" s="465">
        <v>0.43055555555555558</v>
      </c>
      <c r="F31" s="463"/>
      <c r="G31" s="466"/>
      <c r="H31" s="288">
        <f t="shared" ref="H31" si="2">IF(E31="","",IF(E31-B31&lt;0,"24:00"-(B31-E31),E31-B31))</f>
        <v>2.083333333333337E-2</v>
      </c>
      <c r="I31" s="289"/>
      <c r="J31" s="290" t="s">
        <v>233</v>
      </c>
      <c r="K31" s="291"/>
      <c r="L31" s="291"/>
      <c r="M31" s="291"/>
      <c r="N31" s="291"/>
      <c r="O31" s="291"/>
      <c r="P31" s="291"/>
      <c r="Q31" s="291"/>
      <c r="R31" s="295"/>
      <c r="S31" s="137"/>
      <c r="T31" s="273"/>
      <c r="U31" s="274"/>
      <c r="V31" s="274"/>
      <c r="W31" s="274"/>
      <c r="X31" s="274"/>
      <c r="Y31" s="274"/>
      <c r="Z31" s="274"/>
      <c r="AA31" s="275"/>
      <c r="AB31" s="153"/>
      <c r="AD31" s="195"/>
      <c r="AF31" s="155"/>
      <c r="AG31" s="187"/>
      <c r="AI31" s="156"/>
      <c r="AP31" s="194"/>
    </row>
    <row r="32" spans="1:49" s="154" customFormat="1" ht="15" customHeight="1">
      <c r="A32" s="153"/>
      <c r="B32" s="309">
        <v>0.41666666666666669</v>
      </c>
      <c r="C32" s="310"/>
      <c r="D32" s="311"/>
      <c r="E32" s="315"/>
      <c r="F32" s="310"/>
      <c r="G32" s="316"/>
      <c r="H32" s="317" t="str">
        <f t="shared" ref="H32:H46" si="3">IF(E32="","",IF(E32-B32&lt;0,"24:00"-(B32-E32),E32-B32))</f>
        <v/>
      </c>
      <c r="I32" s="318"/>
      <c r="J32" s="319" t="s">
        <v>234</v>
      </c>
      <c r="K32" s="320"/>
      <c r="L32" s="320"/>
      <c r="M32" s="320"/>
      <c r="N32" s="320"/>
      <c r="O32" s="320"/>
      <c r="P32" s="320"/>
      <c r="Q32" s="320"/>
      <c r="R32" s="461"/>
      <c r="S32" s="159"/>
      <c r="T32" s="386" t="s">
        <v>235</v>
      </c>
      <c r="U32" s="387"/>
      <c r="V32" s="387"/>
      <c r="W32" s="387"/>
      <c r="X32" s="387"/>
      <c r="Y32" s="387"/>
      <c r="Z32" s="387"/>
      <c r="AA32" s="388"/>
      <c r="AB32" s="153"/>
      <c r="AD32" s="195"/>
      <c r="AF32" s="155"/>
      <c r="AG32" s="187"/>
      <c r="AI32" s="156"/>
      <c r="AR32" s="154" t="s">
        <v>13</v>
      </c>
    </row>
    <row r="33" spans="1:49" s="154" customFormat="1" ht="15" customHeight="1">
      <c r="A33" s="153"/>
      <c r="B33" s="283">
        <v>0.41666666666666669</v>
      </c>
      <c r="C33" s="284"/>
      <c r="D33" s="285"/>
      <c r="E33" s="286">
        <v>0.66666666666666663</v>
      </c>
      <c r="F33" s="284"/>
      <c r="G33" s="287"/>
      <c r="H33" s="288">
        <f t="shared" si="3"/>
        <v>0.24999999999999994</v>
      </c>
      <c r="I33" s="289"/>
      <c r="J33" s="290" t="s">
        <v>236</v>
      </c>
      <c r="K33" s="291"/>
      <c r="L33" s="291"/>
      <c r="M33" s="291"/>
      <c r="N33" s="291"/>
      <c r="O33" s="291"/>
      <c r="P33" s="291"/>
      <c r="Q33" s="291"/>
      <c r="R33" s="295"/>
      <c r="S33" s="137" t="s">
        <v>237</v>
      </c>
      <c r="T33" s="292" t="s">
        <v>238</v>
      </c>
      <c r="U33" s="293"/>
      <c r="V33" s="293"/>
      <c r="W33" s="293"/>
      <c r="X33" s="293"/>
      <c r="Y33" s="293"/>
      <c r="Z33" s="293"/>
      <c r="AA33" s="294"/>
      <c r="AB33" s="153"/>
      <c r="AD33" s="195"/>
      <c r="AF33" s="155"/>
      <c r="AG33" s="187"/>
      <c r="AI33" s="156"/>
      <c r="AP33" s="154" t="s">
        <v>13</v>
      </c>
    </row>
    <row r="34" spans="1:49" s="154" customFormat="1" ht="15" customHeight="1">
      <c r="A34" s="153"/>
      <c r="B34" s="467">
        <v>0.4513888888888889</v>
      </c>
      <c r="C34" s="468"/>
      <c r="D34" s="469"/>
      <c r="E34" s="470"/>
      <c r="F34" s="471"/>
      <c r="G34" s="472"/>
      <c r="H34" s="288"/>
      <c r="I34" s="289"/>
      <c r="J34" s="290" t="s">
        <v>239</v>
      </c>
      <c r="K34" s="291"/>
      <c r="L34" s="291"/>
      <c r="M34" s="291"/>
      <c r="N34" s="291"/>
      <c r="O34" s="291"/>
      <c r="P34" s="291"/>
      <c r="Q34" s="291"/>
      <c r="R34" s="295"/>
      <c r="S34" s="137"/>
      <c r="T34" s="296" t="s">
        <v>240</v>
      </c>
      <c r="U34" s="297"/>
      <c r="V34" s="297"/>
      <c r="W34" s="297"/>
      <c r="X34" s="297"/>
      <c r="Y34" s="297"/>
      <c r="Z34" s="297"/>
      <c r="AA34" s="298"/>
      <c r="AB34" s="153"/>
      <c r="AD34" s="195"/>
      <c r="AF34" s="155"/>
      <c r="AG34" s="187"/>
      <c r="AI34" s="156"/>
    </row>
    <row r="35" spans="1:49" s="154" customFormat="1" ht="15" customHeight="1">
      <c r="A35" s="153"/>
      <c r="B35" s="283">
        <v>0.47916666666666669</v>
      </c>
      <c r="C35" s="284"/>
      <c r="D35" s="285"/>
      <c r="E35" s="286">
        <v>0.60416666666666663</v>
      </c>
      <c r="F35" s="284"/>
      <c r="G35" s="287"/>
      <c r="H35" s="288">
        <f t="shared" si="3"/>
        <v>0.12499999999999994</v>
      </c>
      <c r="I35" s="289"/>
      <c r="J35" s="290" t="s">
        <v>221</v>
      </c>
      <c r="K35" s="291"/>
      <c r="L35" s="291"/>
      <c r="M35" s="291"/>
      <c r="N35" s="291"/>
      <c r="O35" s="291"/>
      <c r="P35" s="291"/>
      <c r="Q35" s="291"/>
      <c r="R35" s="295"/>
      <c r="S35" s="137" t="s">
        <v>226</v>
      </c>
      <c r="T35" s="296" t="s">
        <v>241</v>
      </c>
      <c r="U35" s="297"/>
      <c r="V35" s="297"/>
      <c r="W35" s="297"/>
      <c r="X35" s="297"/>
      <c r="Y35" s="297"/>
      <c r="Z35" s="297"/>
      <c r="AA35" s="298"/>
      <c r="AB35" s="153"/>
      <c r="AC35" s="154" t="s">
        <v>13</v>
      </c>
      <c r="AD35" s="195"/>
      <c r="AF35" s="155"/>
      <c r="AG35" s="187" t="s">
        <v>202</v>
      </c>
      <c r="AI35" s="156"/>
      <c r="AP35" s="194"/>
      <c r="AW35" s="154" t="s">
        <v>13</v>
      </c>
    </row>
    <row r="36" spans="1:49" s="154" customFormat="1" ht="15" customHeight="1">
      <c r="A36" s="153"/>
      <c r="B36" s="467">
        <v>0.4861111111111111</v>
      </c>
      <c r="C36" s="468"/>
      <c r="D36" s="469"/>
      <c r="E36" s="470"/>
      <c r="F36" s="471"/>
      <c r="G36" s="472"/>
      <c r="H36" s="288" t="str">
        <f t="shared" si="3"/>
        <v/>
      </c>
      <c r="I36" s="289"/>
      <c r="J36" s="290" t="s">
        <v>242</v>
      </c>
      <c r="K36" s="291"/>
      <c r="L36" s="291"/>
      <c r="M36" s="291"/>
      <c r="N36" s="291"/>
      <c r="O36" s="291"/>
      <c r="P36" s="291"/>
      <c r="Q36" s="291"/>
      <c r="R36" s="295"/>
      <c r="S36" s="137"/>
      <c r="T36" s="296" t="s">
        <v>243</v>
      </c>
      <c r="U36" s="297"/>
      <c r="V36" s="297"/>
      <c r="W36" s="297"/>
      <c r="X36" s="297"/>
      <c r="Y36" s="297"/>
      <c r="Z36" s="297"/>
      <c r="AA36" s="298"/>
      <c r="AB36" s="153"/>
      <c r="AD36" s="195"/>
      <c r="AF36" s="155"/>
      <c r="AG36" s="187"/>
      <c r="AI36" s="156"/>
      <c r="AM36" s="154" t="s">
        <v>13</v>
      </c>
    </row>
    <row r="37" spans="1:49" s="154" customFormat="1" ht="15" customHeight="1">
      <c r="A37" s="153"/>
      <c r="B37" s="283">
        <v>0.52083333333333337</v>
      </c>
      <c r="C37" s="284"/>
      <c r="D37" s="285"/>
      <c r="E37" s="286">
        <v>0.5625</v>
      </c>
      <c r="F37" s="284"/>
      <c r="G37" s="287"/>
      <c r="H37" s="288">
        <f t="shared" si="3"/>
        <v>4.166666666666663E-2</v>
      </c>
      <c r="I37" s="289"/>
      <c r="J37" s="290" t="s">
        <v>244</v>
      </c>
      <c r="K37" s="291"/>
      <c r="L37" s="291"/>
      <c r="M37" s="291"/>
      <c r="N37" s="291"/>
      <c r="O37" s="291"/>
      <c r="P37" s="291"/>
      <c r="Q37" s="291"/>
      <c r="R37" s="295"/>
      <c r="S37" s="137"/>
      <c r="T37" s="296"/>
      <c r="U37" s="297"/>
      <c r="V37" s="297"/>
      <c r="W37" s="297"/>
      <c r="X37" s="297"/>
      <c r="Y37" s="297"/>
      <c r="Z37" s="297"/>
      <c r="AA37" s="298"/>
      <c r="AB37" s="153"/>
      <c r="AC37" s="154" t="s">
        <v>13</v>
      </c>
      <c r="AD37" s="195"/>
      <c r="AF37" s="155"/>
      <c r="AG37" s="187" t="s">
        <v>202</v>
      </c>
      <c r="AI37" s="156"/>
      <c r="AP37" s="194"/>
      <c r="AW37" s="154" t="s">
        <v>13</v>
      </c>
    </row>
    <row r="38" spans="1:49" s="154" customFormat="1" ht="15" customHeight="1">
      <c r="A38" s="153"/>
      <c r="B38" s="309" t="s">
        <v>53</v>
      </c>
      <c r="C38" s="310"/>
      <c r="D38" s="311"/>
      <c r="E38" s="315"/>
      <c r="F38" s="310"/>
      <c r="G38" s="316"/>
      <c r="H38" s="288" t="str">
        <f t="shared" si="3"/>
        <v/>
      </c>
      <c r="I38" s="289"/>
      <c r="J38" s="319" t="s">
        <v>245</v>
      </c>
      <c r="K38" s="320"/>
      <c r="L38" s="320"/>
      <c r="M38" s="320"/>
      <c r="N38" s="320"/>
      <c r="O38" s="320"/>
      <c r="P38" s="320"/>
      <c r="Q38" s="320"/>
      <c r="R38" s="461"/>
      <c r="S38" s="159"/>
      <c r="T38" s="386"/>
      <c r="U38" s="387"/>
      <c r="V38" s="387"/>
      <c r="W38" s="387"/>
      <c r="X38" s="387"/>
      <c r="Y38" s="387"/>
      <c r="Z38" s="387"/>
      <c r="AA38" s="388"/>
      <c r="AB38" s="153"/>
      <c r="AD38" s="195"/>
      <c r="AF38" s="155" t="s">
        <v>13</v>
      </c>
      <c r="AG38" s="187" t="s">
        <v>202</v>
      </c>
      <c r="AI38" s="156"/>
      <c r="AP38" s="154" t="s">
        <v>13</v>
      </c>
    </row>
    <row r="39" spans="1:49" s="154" customFormat="1" ht="15" customHeight="1">
      <c r="A39" s="153"/>
      <c r="B39" s="283">
        <v>0.58333333333333337</v>
      </c>
      <c r="C39" s="284"/>
      <c r="D39" s="285"/>
      <c r="E39" s="286">
        <v>0.625</v>
      </c>
      <c r="F39" s="284"/>
      <c r="G39" s="287"/>
      <c r="H39" s="288">
        <f t="shared" si="3"/>
        <v>4.166666666666663E-2</v>
      </c>
      <c r="I39" s="289"/>
      <c r="J39" s="290" t="s">
        <v>246</v>
      </c>
      <c r="K39" s="291"/>
      <c r="L39" s="291"/>
      <c r="M39" s="291"/>
      <c r="N39" s="291"/>
      <c r="O39" s="291"/>
      <c r="P39" s="291"/>
      <c r="Q39" s="291"/>
      <c r="R39" s="295"/>
      <c r="S39" s="137"/>
      <c r="T39" s="296" t="s">
        <v>247</v>
      </c>
      <c r="U39" s="297"/>
      <c r="V39" s="297"/>
      <c r="W39" s="297"/>
      <c r="X39" s="297"/>
      <c r="Y39" s="297"/>
      <c r="Z39" s="297"/>
      <c r="AA39" s="298"/>
      <c r="AB39" s="153"/>
      <c r="AD39" s="195"/>
      <c r="AF39" s="155"/>
      <c r="AG39" s="187" t="s">
        <v>202</v>
      </c>
      <c r="AI39" s="156"/>
    </row>
    <row r="40" spans="1:49" s="154" customFormat="1" ht="15" customHeight="1">
      <c r="A40" s="153"/>
      <c r="B40" s="283">
        <v>0.66666666666666663</v>
      </c>
      <c r="C40" s="284"/>
      <c r="D40" s="285"/>
      <c r="E40" s="286"/>
      <c r="F40" s="284"/>
      <c r="G40" s="287"/>
      <c r="H40" s="288" t="str">
        <f t="shared" si="3"/>
        <v/>
      </c>
      <c r="I40" s="289"/>
      <c r="J40" s="290" t="s">
        <v>248</v>
      </c>
      <c r="K40" s="291"/>
      <c r="L40" s="291"/>
      <c r="M40" s="291"/>
      <c r="N40" s="291"/>
      <c r="O40" s="291"/>
      <c r="P40" s="291"/>
      <c r="Q40" s="291"/>
      <c r="R40" s="291"/>
      <c r="S40" s="137"/>
      <c r="T40" s="296" t="s">
        <v>249</v>
      </c>
      <c r="U40" s="297"/>
      <c r="V40" s="297"/>
      <c r="W40" s="297"/>
      <c r="X40" s="297"/>
      <c r="Y40" s="297"/>
      <c r="Z40" s="297"/>
      <c r="AA40" s="298"/>
      <c r="AB40" s="153"/>
      <c r="AD40" s="195"/>
      <c r="AF40" s="155"/>
      <c r="AG40" s="187" t="s">
        <v>202</v>
      </c>
      <c r="AI40" s="156"/>
    </row>
    <row r="41" spans="1:49" s="154" customFormat="1" ht="15" customHeight="1">
      <c r="A41" s="153"/>
      <c r="B41" s="283">
        <v>0.67708333333333337</v>
      </c>
      <c r="C41" s="284"/>
      <c r="D41" s="285"/>
      <c r="E41" s="286"/>
      <c r="F41" s="284"/>
      <c r="G41" s="287"/>
      <c r="H41" s="288" t="str">
        <f t="shared" si="3"/>
        <v/>
      </c>
      <c r="I41" s="289"/>
      <c r="J41" s="290" t="s">
        <v>250</v>
      </c>
      <c r="K41" s="291"/>
      <c r="L41" s="291"/>
      <c r="M41" s="291"/>
      <c r="N41" s="291"/>
      <c r="O41" s="291"/>
      <c r="P41" s="291"/>
      <c r="Q41" s="291"/>
      <c r="R41" s="295"/>
      <c r="S41" s="137"/>
      <c r="T41" s="296" t="s">
        <v>251</v>
      </c>
      <c r="U41" s="297"/>
      <c r="V41" s="297"/>
      <c r="W41" s="297"/>
      <c r="X41" s="297"/>
      <c r="Y41" s="297"/>
      <c r="Z41" s="297"/>
      <c r="AA41" s="298"/>
      <c r="AB41" s="153"/>
      <c r="AD41" s="195"/>
      <c r="AF41" s="155"/>
      <c r="AG41" s="187" t="s">
        <v>202</v>
      </c>
      <c r="AI41" s="156"/>
    </row>
    <row r="42" spans="1:49" s="154" customFormat="1" ht="15" customHeight="1">
      <c r="A42" s="153"/>
      <c r="B42" s="283">
        <v>0.6875</v>
      </c>
      <c r="C42" s="284"/>
      <c r="D42" s="285"/>
      <c r="E42" s="286"/>
      <c r="F42" s="284"/>
      <c r="G42" s="287"/>
      <c r="H42" s="288"/>
      <c r="I42" s="289"/>
      <c r="J42" s="290" t="s">
        <v>252</v>
      </c>
      <c r="K42" s="291"/>
      <c r="L42" s="291"/>
      <c r="M42" s="291"/>
      <c r="N42" s="291"/>
      <c r="O42" s="291"/>
      <c r="P42" s="291"/>
      <c r="Q42" s="291"/>
      <c r="R42" s="295"/>
      <c r="S42" s="137" t="s">
        <v>253</v>
      </c>
      <c r="T42" s="296" t="s">
        <v>240</v>
      </c>
      <c r="U42" s="297"/>
      <c r="V42" s="297"/>
      <c r="W42" s="297"/>
      <c r="X42" s="297"/>
      <c r="Y42" s="297"/>
      <c r="Z42" s="297"/>
      <c r="AA42" s="298"/>
      <c r="AB42" s="153"/>
      <c r="AD42" s="195"/>
      <c r="AF42" s="155"/>
      <c r="AG42" s="187" t="s">
        <v>202</v>
      </c>
      <c r="AI42" s="156"/>
    </row>
    <row r="43" spans="1:49" s="154" customFormat="1" ht="15" customHeight="1">
      <c r="A43" s="153"/>
      <c r="B43" s="283">
        <v>0.70833333333333337</v>
      </c>
      <c r="C43" s="284"/>
      <c r="D43" s="285"/>
      <c r="E43" s="286">
        <v>0.72916666666666663</v>
      </c>
      <c r="F43" s="284"/>
      <c r="G43" s="287"/>
      <c r="H43" s="288">
        <f t="shared" si="3"/>
        <v>2.0833333333333259E-2</v>
      </c>
      <c r="I43" s="289"/>
      <c r="J43" s="290" t="s">
        <v>254</v>
      </c>
      <c r="K43" s="291"/>
      <c r="L43" s="291"/>
      <c r="M43" s="291"/>
      <c r="N43" s="291"/>
      <c r="O43" s="291"/>
      <c r="P43" s="291"/>
      <c r="Q43" s="291"/>
      <c r="R43" s="295"/>
      <c r="S43" s="279"/>
      <c r="T43" s="292" t="s">
        <v>255</v>
      </c>
      <c r="U43" s="293"/>
      <c r="V43" s="293"/>
      <c r="W43" s="293"/>
      <c r="X43" s="293"/>
      <c r="Y43" s="293"/>
      <c r="Z43" s="293"/>
      <c r="AA43" s="294"/>
      <c r="AB43" s="153"/>
      <c r="AD43" s="195"/>
      <c r="AF43" s="155"/>
      <c r="AG43" s="187" t="s">
        <v>202</v>
      </c>
      <c r="AI43" s="156"/>
      <c r="AO43" s="154" t="s">
        <v>13</v>
      </c>
    </row>
    <row r="44" spans="1:49" s="154" customFormat="1" ht="15" customHeight="1">
      <c r="A44" s="153"/>
      <c r="B44" s="283">
        <v>0.73958333333333337</v>
      </c>
      <c r="C44" s="284"/>
      <c r="D44" s="285"/>
      <c r="E44" s="286"/>
      <c r="F44" s="284"/>
      <c r="G44" s="287"/>
      <c r="H44" s="288" t="str">
        <f t="shared" si="3"/>
        <v/>
      </c>
      <c r="I44" s="289"/>
      <c r="J44" s="290" t="s">
        <v>256</v>
      </c>
      <c r="K44" s="291"/>
      <c r="L44" s="291"/>
      <c r="M44" s="291"/>
      <c r="N44" s="291"/>
      <c r="O44" s="291"/>
      <c r="P44" s="291"/>
      <c r="Q44" s="291"/>
      <c r="R44" s="295"/>
      <c r="S44" s="138"/>
      <c r="T44" s="370" t="s">
        <v>257</v>
      </c>
      <c r="U44" s="371"/>
      <c r="V44" s="371"/>
      <c r="W44" s="371"/>
      <c r="X44" s="371"/>
      <c r="Y44" s="371"/>
      <c r="Z44" s="371"/>
      <c r="AA44" s="372"/>
      <c r="AB44" s="153"/>
      <c r="AD44" s="195"/>
      <c r="AF44" s="155"/>
      <c r="AG44" s="187"/>
      <c r="AI44" s="156"/>
    </row>
    <row r="45" spans="1:49" s="154" customFormat="1" ht="15" customHeight="1">
      <c r="A45" s="153"/>
      <c r="B45" s="309" t="s">
        <v>53</v>
      </c>
      <c r="C45" s="310"/>
      <c r="D45" s="311"/>
      <c r="E45" s="315"/>
      <c r="F45" s="310"/>
      <c r="G45" s="316"/>
      <c r="H45" s="288" t="str">
        <f t="shared" si="3"/>
        <v/>
      </c>
      <c r="I45" s="289"/>
      <c r="J45" s="473" t="s">
        <v>258</v>
      </c>
      <c r="K45" s="474"/>
      <c r="L45" s="474"/>
      <c r="M45" s="474"/>
      <c r="N45" s="474"/>
      <c r="O45" s="474"/>
      <c r="P45" s="474"/>
      <c r="Q45" s="474"/>
      <c r="R45" s="475"/>
      <c r="S45" s="160"/>
      <c r="T45" s="392"/>
      <c r="U45" s="393"/>
      <c r="V45" s="393"/>
      <c r="W45" s="393"/>
      <c r="X45" s="393"/>
      <c r="Y45" s="393"/>
      <c r="Z45" s="393"/>
      <c r="AA45" s="394"/>
      <c r="AB45" s="153"/>
      <c r="AD45" s="195"/>
      <c r="AF45" s="155"/>
      <c r="AG45" s="187" t="s">
        <v>202</v>
      </c>
      <c r="AI45" s="156"/>
      <c r="AL45" s="154" t="s">
        <v>13</v>
      </c>
    </row>
    <row r="46" spans="1:49" s="154" customFormat="1" ht="15" customHeight="1">
      <c r="A46" s="153"/>
      <c r="B46" s="283">
        <v>0.8125</v>
      </c>
      <c r="C46" s="284"/>
      <c r="D46" s="285"/>
      <c r="E46" s="286"/>
      <c r="F46" s="284"/>
      <c r="G46" s="287"/>
      <c r="H46" s="288" t="str">
        <f t="shared" si="3"/>
        <v/>
      </c>
      <c r="I46" s="289"/>
      <c r="J46" s="290" t="s">
        <v>224</v>
      </c>
      <c r="K46" s="291"/>
      <c r="L46" s="291"/>
      <c r="M46" s="291"/>
      <c r="N46" s="291"/>
      <c r="O46" s="291"/>
      <c r="P46" s="291"/>
      <c r="Q46" s="291"/>
      <c r="R46" s="295"/>
      <c r="S46" s="137"/>
      <c r="T46" s="296" t="s">
        <v>251</v>
      </c>
      <c r="U46" s="297"/>
      <c r="V46" s="297"/>
      <c r="W46" s="297"/>
      <c r="X46" s="297"/>
      <c r="Y46" s="297"/>
      <c r="Z46" s="297"/>
      <c r="AA46" s="298"/>
      <c r="AB46" s="153"/>
      <c r="AF46" s="155"/>
      <c r="AG46" s="187"/>
      <c r="AI46" s="156"/>
      <c r="AN46" s="154" t="s">
        <v>13</v>
      </c>
    </row>
    <row r="47" spans="1:49" s="154" customFormat="1" ht="15" customHeight="1">
      <c r="A47" s="153"/>
      <c r="B47" s="337" t="s">
        <v>212</v>
      </c>
      <c r="C47" s="338"/>
      <c r="D47" s="338"/>
      <c r="E47" s="300"/>
      <c r="F47" s="300"/>
      <c r="G47" s="300"/>
      <c r="H47" s="299"/>
      <c r="I47" s="299"/>
      <c r="J47" s="300" t="s">
        <v>259</v>
      </c>
      <c r="K47" s="300"/>
      <c r="L47" s="300"/>
      <c r="M47" s="300"/>
      <c r="N47" s="300"/>
      <c r="O47" s="300"/>
      <c r="P47" s="300"/>
      <c r="Q47" s="300"/>
      <c r="R47" s="300"/>
      <c r="S47" s="300"/>
      <c r="T47" s="445"/>
      <c r="U47" s="445"/>
      <c r="V47" s="445"/>
      <c r="W47" s="445"/>
      <c r="X47" s="445"/>
      <c r="Y47" s="445"/>
      <c r="Z47" s="445"/>
      <c r="AA47" s="446"/>
      <c r="AB47" s="153"/>
      <c r="AF47" s="155"/>
      <c r="AG47" s="183"/>
      <c r="AI47" s="156"/>
      <c r="AO47" s="154" t="s">
        <v>13</v>
      </c>
    </row>
    <row r="48" spans="1:49" s="154" customFormat="1" ht="15" customHeight="1">
      <c r="A48" s="153"/>
      <c r="B48" s="301" t="s">
        <v>193</v>
      </c>
      <c r="C48" s="302"/>
      <c r="D48" s="302"/>
      <c r="E48" s="302" t="s">
        <v>194</v>
      </c>
      <c r="F48" s="302"/>
      <c r="G48" s="302"/>
      <c r="H48" s="303" t="s">
        <v>214</v>
      </c>
      <c r="I48" s="304"/>
      <c r="J48" s="305" t="s">
        <v>215</v>
      </c>
      <c r="K48" s="306"/>
      <c r="L48" s="306"/>
      <c r="M48" s="306"/>
      <c r="N48" s="306"/>
      <c r="O48" s="306"/>
      <c r="P48" s="306"/>
      <c r="Q48" s="306"/>
      <c r="R48" s="306"/>
      <c r="S48" s="136" t="s">
        <v>216</v>
      </c>
      <c r="T48" s="419" t="s">
        <v>217</v>
      </c>
      <c r="U48" s="425"/>
      <c r="V48" s="425"/>
      <c r="W48" s="425"/>
      <c r="X48" s="425"/>
      <c r="Y48" s="425"/>
      <c r="Z48" s="425"/>
      <c r="AA48" s="426"/>
      <c r="AB48" s="139"/>
      <c r="AF48" s="155"/>
      <c r="AG48" s="189"/>
      <c r="AI48" s="156"/>
      <c r="AP48" s="154" t="s">
        <v>13</v>
      </c>
    </row>
    <row r="49" spans="1:109" s="154" customFormat="1" ht="15" customHeight="1">
      <c r="A49" s="153"/>
      <c r="B49" s="339">
        <v>0.25</v>
      </c>
      <c r="C49" s="340"/>
      <c r="D49" s="341"/>
      <c r="E49" s="342"/>
      <c r="F49" s="340"/>
      <c r="G49" s="343"/>
      <c r="H49" s="333" t="str">
        <f t="shared" ref="H49:H91" si="4">IF(E49="","",IF(E49-B49&lt;0,"24:00"-(B49-E49),E49-B49))</f>
        <v/>
      </c>
      <c r="I49" s="334"/>
      <c r="J49" s="335" t="s">
        <v>218</v>
      </c>
      <c r="K49" s="336"/>
      <c r="L49" s="336"/>
      <c r="M49" s="336"/>
      <c r="N49" s="336"/>
      <c r="O49" s="336"/>
      <c r="P49" s="336"/>
      <c r="Q49" s="336"/>
      <c r="R49" s="336"/>
      <c r="S49" s="164"/>
      <c r="T49" s="422"/>
      <c r="U49" s="423"/>
      <c r="V49" s="423"/>
      <c r="W49" s="423"/>
      <c r="X49" s="423"/>
      <c r="Y49" s="423"/>
      <c r="Z49" s="423"/>
      <c r="AA49" s="424"/>
      <c r="AB49" s="153"/>
      <c r="AC49" s="140"/>
      <c r="AD49" s="140"/>
      <c r="AE49" s="140"/>
      <c r="AF49" s="155"/>
      <c r="AG49" s="193"/>
      <c r="AI49" s="156"/>
    </row>
    <row r="50" spans="1:109" s="154" customFormat="1" ht="15" customHeight="1">
      <c r="A50" s="153"/>
      <c r="B50" s="283">
        <v>0.27083333333333331</v>
      </c>
      <c r="C50" s="284"/>
      <c r="D50" s="285"/>
      <c r="E50" s="286"/>
      <c r="F50" s="284"/>
      <c r="G50" s="287"/>
      <c r="H50" s="288" t="str">
        <f t="shared" si="4"/>
        <v/>
      </c>
      <c r="I50" s="289"/>
      <c r="J50" s="290" t="s">
        <v>219</v>
      </c>
      <c r="K50" s="291"/>
      <c r="L50" s="291"/>
      <c r="M50" s="291"/>
      <c r="N50" s="291"/>
      <c r="O50" s="291"/>
      <c r="P50" s="291"/>
      <c r="Q50" s="291"/>
      <c r="R50" s="291"/>
      <c r="S50" s="137"/>
      <c r="T50" s="296"/>
      <c r="U50" s="297"/>
      <c r="V50" s="297"/>
      <c r="W50" s="297"/>
      <c r="X50" s="297"/>
      <c r="Y50" s="297"/>
      <c r="Z50" s="297"/>
      <c r="AA50" s="298"/>
      <c r="AB50" s="153"/>
      <c r="AF50" s="155"/>
      <c r="AG50" s="186"/>
      <c r="AI50" s="156"/>
    </row>
    <row r="51" spans="1:109" s="154" customFormat="1" ht="15" customHeight="1">
      <c r="A51" s="153"/>
      <c r="B51" s="283">
        <v>0.29166666666666669</v>
      </c>
      <c r="C51" s="284"/>
      <c r="D51" s="285"/>
      <c r="E51" s="286"/>
      <c r="F51" s="284"/>
      <c r="G51" s="287"/>
      <c r="H51" s="288" t="str">
        <f t="shared" si="4"/>
        <v/>
      </c>
      <c r="I51" s="289"/>
      <c r="J51" s="290" t="s">
        <v>228</v>
      </c>
      <c r="K51" s="291"/>
      <c r="L51" s="291"/>
      <c r="M51" s="291"/>
      <c r="N51" s="291"/>
      <c r="O51" s="291"/>
      <c r="P51" s="291"/>
      <c r="Q51" s="291"/>
      <c r="R51" s="291"/>
      <c r="S51" s="137"/>
      <c r="T51" s="296"/>
      <c r="U51" s="297"/>
      <c r="V51" s="297"/>
      <c r="W51" s="297"/>
      <c r="X51" s="297"/>
      <c r="Y51" s="297"/>
      <c r="Z51" s="297"/>
      <c r="AA51" s="298"/>
      <c r="AB51" s="139"/>
      <c r="AD51" s="140"/>
      <c r="AE51" s="140"/>
      <c r="AF51" s="155"/>
      <c r="AG51" s="190" t="s">
        <v>202</v>
      </c>
      <c r="AI51" s="156"/>
    </row>
    <row r="52" spans="1:109" s="154" customFormat="1" ht="15" customHeight="1">
      <c r="A52" s="153"/>
      <c r="B52" s="283">
        <v>0.3125</v>
      </c>
      <c r="C52" s="284"/>
      <c r="D52" s="285"/>
      <c r="E52" s="286">
        <v>0.31944444444444442</v>
      </c>
      <c r="F52" s="284"/>
      <c r="G52" s="287"/>
      <c r="H52" s="288">
        <f>E52-B52</f>
        <v>6.9444444444444198E-3</v>
      </c>
      <c r="I52" s="289"/>
      <c r="J52" s="290" t="s">
        <v>223</v>
      </c>
      <c r="K52" s="291"/>
      <c r="L52" s="291"/>
      <c r="M52" s="291"/>
      <c r="N52" s="291"/>
      <c r="O52" s="291"/>
      <c r="P52" s="291"/>
      <c r="Q52" s="291"/>
      <c r="R52" s="295"/>
      <c r="S52" s="138" t="s">
        <v>260</v>
      </c>
      <c r="T52" s="296" t="s">
        <v>261</v>
      </c>
      <c r="U52" s="297"/>
      <c r="V52" s="297"/>
      <c r="W52" s="297"/>
      <c r="X52" s="297"/>
      <c r="Y52" s="297"/>
      <c r="Z52" s="297"/>
      <c r="AA52" s="298"/>
      <c r="AB52" s="153"/>
      <c r="AC52" s="281" t="s">
        <v>262</v>
      </c>
      <c r="AD52" s="282"/>
      <c r="AE52" s="282"/>
      <c r="AF52" s="155">
        <v>9.7222222222222224E-2</v>
      </c>
      <c r="AG52" s="184" t="s">
        <v>202</v>
      </c>
      <c r="AI52" s="156"/>
    </row>
    <row r="53" spans="1:109" s="154" customFormat="1" ht="15" customHeight="1">
      <c r="A53" s="153"/>
      <c r="B53" s="309" t="s">
        <v>53</v>
      </c>
      <c r="C53" s="310"/>
      <c r="D53" s="311"/>
      <c r="E53" s="315"/>
      <c r="F53" s="310"/>
      <c r="G53" s="316"/>
      <c r="H53" s="317" t="str">
        <f t="shared" ref="H53" si="5">IF(E53="","",IF(E53-B53&lt;0,"24:00"-(B53-E53),E53-B53))</f>
        <v/>
      </c>
      <c r="I53" s="318"/>
      <c r="J53" s="319" t="s">
        <v>258</v>
      </c>
      <c r="K53" s="320"/>
      <c r="L53" s="320"/>
      <c r="M53" s="320"/>
      <c r="N53" s="320"/>
      <c r="O53" s="320"/>
      <c r="P53" s="320"/>
      <c r="Q53" s="320"/>
      <c r="R53" s="320"/>
      <c r="S53" s="159"/>
      <c r="T53" s="366"/>
      <c r="U53" s="367"/>
      <c r="V53" s="367"/>
      <c r="W53" s="367"/>
      <c r="X53" s="367"/>
      <c r="Y53" s="367"/>
      <c r="Z53" s="367"/>
      <c r="AA53" s="368"/>
      <c r="AB53" s="139"/>
      <c r="AD53" s="140"/>
      <c r="AE53" s="140"/>
      <c r="AF53" s="155"/>
      <c r="AG53" s="191" t="s">
        <v>202</v>
      </c>
      <c r="AH53" s="141"/>
      <c r="AI53" s="156"/>
    </row>
    <row r="54" spans="1:109" ht="15" customHeight="1">
      <c r="A54" s="139"/>
      <c r="B54" s="283">
        <f t="shared" ref="B54:B66" si="6">$B$68-AF54</f>
        <v>0.31944444444444442</v>
      </c>
      <c r="C54" s="284"/>
      <c r="D54" s="285"/>
      <c r="E54" s="286">
        <v>0.3263888888888889</v>
      </c>
      <c r="F54" s="284"/>
      <c r="G54" s="287"/>
      <c r="H54" s="288">
        <f t="shared" si="4"/>
        <v>6.9444444444444753E-3</v>
      </c>
      <c r="I54" s="289"/>
      <c r="J54" s="290" t="s">
        <v>263</v>
      </c>
      <c r="K54" s="291"/>
      <c r="L54" s="291"/>
      <c r="M54" s="291"/>
      <c r="N54" s="291"/>
      <c r="O54" s="291"/>
      <c r="P54" s="291"/>
      <c r="Q54" s="291"/>
      <c r="R54" s="291"/>
      <c r="S54" s="137"/>
      <c r="T54" s="292"/>
      <c r="U54" s="293"/>
      <c r="V54" s="293"/>
      <c r="W54" s="293"/>
      <c r="X54" s="293"/>
      <c r="Y54" s="293"/>
      <c r="Z54" s="293"/>
      <c r="AA54" s="294"/>
      <c r="AC54" s="281" t="s">
        <v>262</v>
      </c>
      <c r="AD54" s="282"/>
      <c r="AE54" s="282"/>
      <c r="AF54" s="155">
        <v>0.10069444444444445</v>
      </c>
      <c r="AG54" s="187" t="s">
        <v>202</v>
      </c>
      <c r="AH54" s="154"/>
    </row>
    <row r="55" spans="1:109" s="139" customFormat="1" ht="15" customHeight="1">
      <c r="B55" s="283">
        <f t="shared" si="6"/>
        <v>0.3263888888888889</v>
      </c>
      <c r="C55" s="284"/>
      <c r="D55" s="285"/>
      <c r="E55" s="286"/>
      <c r="F55" s="284"/>
      <c r="G55" s="287"/>
      <c r="H55" s="288" t="str">
        <f t="shared" si="4"/>
        <v/>
      </c>
      <c r="I55" s="289"/>
      <c r="J55" s="290" t="s">
        <v>264</v>
      </c>
      <c r="K55" s="291"/>
      <c r="L55" s="291"/>
      <c r="M55" s="291"/>
      <c r="N55" s="291"/>
      <c r="O55" s="291"/>
      <c r="P55" s="291"/>
      <c r="Q55" s="291"/>
      <c r="R55" s="291"/>
      <c r="S55" s="137"/>
      <c r="T55" s="292"/>
      <c r="U55" s="293"/>
      <c r="V55" s="293"/>
      <c r="W55" s="293"/>
      <c r="X55" s="293"/>
      <c r="Y55" s="293"/>
      <c r="Z55" s="293"/>
      <c r="AA55" s="294"/>
      <c r="AB55" s="153"/>
      <c r="AC55" s="281" t="s">
        <v>262</v>
      </c>
      <c r="AD55" s="282"/>
      <c r="AE55" s="282"/>
      <c r="AF55" s="155">
        <v>9.375E-2</v>
      </c>
      <c r="AG55" s="187" t="s">
        <v>202</v>
      </c>
      <c r="AI55" s="143"/>
      <c r="AJ55" s="140"/>
      <c r="AK55" s="140"/>
      <c r="AL55" s="140"/>
      <c r="AM55" s="140" t="s">
        <v>13</v>
      </c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K55" s="140"/>
      <c r="CL55" s="140"/>
      <c r="CM55" s="140"/>
      <c r="CN55" s="140"/>
      <c r="CO55" s="140"/>
      <c r="CP55" s="140"/>
      <c r="CQ55" s="140"/>
      <c r="CR55" s="140"/>
      <c r="CS55" s="140"/>
      <c r="CT55" s="140"/>
      <c r="CU55" s="140"/>
      <c r="CV55" s="140"/>
      <c r="CW55" s="140"/>
      <c r="CX55" s="140"/>
      <c r="CY55" s="140"/>
      <c r="CZ55" s="140"/>
      <c r="DA55" s="140"/>
      <c r="DB55" s="140"/>
      <c r="DC55" s="140"/>
      <c r="DD55" s="140"/>
      <c r="DE55" s="140"/>
    </row>
    <row r="56" spans="1:109" s="139" customFormat="1" ht="15" customHeight="1">
      <c r="B56" s="283">
        <f t="shared" si="6"/>
        <v>0.33680555555555558</v>
      </c>
      <c r="C56" s="284"/>
      <c r="D56" s="285"/>
      <c r="E56" s="286"/>
      <c r="F56" s="284"/>
      <c r="G56" s="287"/>
      <c r="H56" s="288"/>
      <c r="I56" s="289"/>
      <c r="J56" s="307" t="s">
        <v>265</v>
      </c>
      <c r="K56" s="308"/>
      <c r="L56" s="308"/>
      <c r="M56" s="308"/>
      <c r="N56" s="308"/>
      <c r="O56" s="308"/>
      <c r="P56" s="308"/>
      <c r="Q56" s="308"/>
      <c r="R56" s="308"/>
      <c r="S56" s="138" t="s">
        <v>266</v>
      </c>
      <c r="T56" s="370" t="s">
        <v>267</v>
      </c>
      <c r="U56" s="371"/>
      <c r="V56" s="371"/>
      <c r="W56" s="371"/>
      <c r="X56" s="371"/>
      <c r="Y56" s="371"/>
      <c r="Z56" s="371"/>
      <c r="AA56" s="372"/>
      <c r="AB56" s="153"/>
      <c r="AC56" s="281" t="s">
        <v>262</v>
      </c>
      <c r="AD56" s="282"/>
      <c r="AE56" s="282"/>
      <c r="AF56" s="155">
        <v>8.3333333333333329E-2</v>
      </c>
      <c r="AG56" s="184" t="s">
        <v>202</v>
      </c>
      <c r="AH56" s="140"/>
      <c r="AI56" s="143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K56" s="140"/>
      <c r="CL56" s="140"/>
      <c r="CM56" s="140"/>
      <c r="CN56" s="140"/>
      <c r="CO56" s="140"/>
      <c r="CP56" s="140"/>
      <c r="CQ56" s="140"/>
      <c r="CR56" s="140"/>
      <c r="CS56" s="140"/>
      <c r="CT56" s="140"/>
      <c r="CU56" s="140"/>
      <c r="CV56" s="140"/>
      <c r="CW56" s="140"/>
      <c r="CX56" s="140"/>
      <c r="CY56" s="140"/>
      <c r="CZ56" s="140"/>
      <c r="DA56" s="140"/>
      <c r="DB56" s="140"/>
      <c r="DC56" s="140"/>
      <c r="DD56" s="140"/>
      <c r="DE56" s="140"/>
    </row>
    <row r="57" spans="1:109" s="139" customFormat="1">
      <c r="B57" s="283">
        <f t="shared" si="6"/>
        <v>0.35416666666666669</v>
      </c>
      <c r="C57" s="284"/>
      <c r="D57" s="285"/>
      <c r="E57" s="286">
        <v>0.3576388888888889</v>
      </c>
      <c r="F57" s="284"/>
      <c r="G57" s="287"/>
      <c r="H57" s="288">
        <f>IF(E57="","",IF(E57-B57&lt;0,"24:00"-(B57-E57),E57-B57))</f>
        <v>3.4722222222222099E-3</v>
      </c>
      <c r="I57" s="289"/>
      <c r="J57" s="290" t="s">
        <v>268</v>
      </c>
      <c r="K57" s="291"/>
      <c r="L57" s="291"/>
      <c r="M57" s="291"/>
      <c r="N57" s="291"/>
      <c r="O57" s="291"/>
      <c r="P57" s="291"/>
      <c r="Q57" s="291"/>
      <c r="R57" s="291"/>
      <c r="S57" s="137"/>
      <c r="T57" s="296"/>
      <c r="U57" s="297"/>
      <c r="V57" s="297"/>
      <c r="W57" s="297"/>
      <c r="X57" s="297"/>
      <c r="Y57" s="297"/>
      <c r="Z57" s="297"/>
      <c r="AA57" s="298"/>
      <c r="AB57" s="153"/>
      <c r="AC57" s="281" t="s">
        <v>262</v>
      </c>
      <c r="AD57" s="282"/>
      <c r="AE57" s="282"/>
      <c r="AF57" s="155">
        <v>6.5972222222222224E-2</v>
      </c>
      <c r="AG57" s="184"/>
      <c r="AH57" s="140"/>
      <c r="AI57" s="143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K57" s="140"/>
      <c r="CL57" s="140"/>
      <c r="CM57" s="140"/>
      <c r="CN57" s="140"/>
      <c r="CO57" s="140"/>
      <c r="CP57" s="140"/>
      <c r="CQ57" s="140"/>
      <c r="CR57" s="140"/>
      <c r="CS57" s="140"/>
      <c r="CT57" s="140"/>
      <c r="CU57" s="140"/>
      <c r="CV57" s="140"/>
      <c r="CW57" s="140"/>
      <c r="CX57" s="140"/>
      <c r="CY57" s="140"/>
      <c r="CZ57" s="140"/>
      <c r="DA57" s="140"/>
      <c r="DB57" s="140"/>
      <c r="DC57" s="140"/>
      <c r="DD57" s="140"/>
      <c r="DE57" s="140"/>
    </row>
    <row r="58" spans="1:109" s="139" customFormat="1" ht="15" customHeight="1">
      <c r="B58" s="283">
        <f t="shared" si="6"/>
        <v>0.3611111111111111</v>
      </c>
      <c r="C58" s="284"/>
      <c r="D58" s="285"/>
      <c r="E58" s="286"/>
      <c r="F58" s="284"/>
      <c r="G58" s="287"/>
      <c r="H58" s="288" t="str">
        <f>IF(E58="","",IF(E58-B58&lt;0,"24:00"-(B58-E58),E58-B58))</f>
        <v/>
      </c>
      <c r="I58" s="289"/>
      <c r="J58" s="290" t="s">
        <v>269</v>
      </c>
      <c r="K58" s="291"/>
      <c r="L58" s="291"/>
      <c r="M58" s="291"/>
      <c r="N58" s="291"/>
      <c r="O58" s="291"/>
      <c r="P58" s="291"/>
      <c r="Q58" s="291"/>
      <c r="R58" s="291"/>
      <c r="S58" s="137"/>
      <c r="T58" s="296"/>
      <c r="U58" s="297"/>
      <c r="V58" s="297"/>
      <c r="W58" s="297"/>
      <c r="X58" s="297"/>
      <c r="Y58" s="297"/>
      <c r="Z58" s="297"/>
      <c r="AA58" s="298"/>
      <c r="AB58" s="153"/>
      <c r="AC58" s="281" t="s">
        <v>262</v>
      </c>
      <c r="AD58" s="282"/>
      <c r="AE58" s="282"/>
      <c r="AF58" s="155">
        <v>5.9027777777777783E-2</v>
      </c>
      <c r="AG58" s="184" t="s">
        <v>202</v>
      </c>
      <c r="AH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K58" s="140"/>
      <c r="CL58" s="140"/>
      <c r="CM58" s="140"/>
      <c r="CN58" s="140"/>
      <c r="CO58" s="140"/>
      <c r="CP58" s="140"/>
      <c r="CQ58" s="140"/>
      <c r="CR58" s="140"/>
      <c r="CS58" s="140"/>
      <c r="CT58" s="140"/>
      <c r="CU58" s="140"/>
      <c r="CV58" s="140"/>
      <c r="CW58" s="140"/>
      <c r="CX58" s="140"/>
      <c r="CY58" s="140"/>
      <c r="CZ58" s="140"/>
      <c r="DA58" s="140"/>
      <c r="DB58" s="140"/>
      <c r="DC58" s="140"/>
      <c r="DD58" s="140"/>
      <c r="DE58" s="140"/>
    </row>
    <row r="59" spans="1:109" s="139" customFormat="1" ht="15" customHeight="1">
      <c r="B59" s="344">
        <f t="shared" si="6"/>
        <v>0.36458333333333337</v>
      </c>
      <c r="C59" s="345"/>
      <c r="D59" s="346"/>
      <c r="E59" s="347"/>
      <c r="F59" s="345"/>
      <c r="G59" s="348"/>
      <c r="H59" s="349" t="str">
        <f>IF(E59="","",IF(E59-B59&lt;0,"24:00"-(B59-E59),E59-B59))</f>
        <v/>
      </c>
      <c r="I59" s="350"/>
      <c r="J59" s="351" t="s">
        <v>270</v>
      </c>
      <c r="K59" s="352"/>
      <c r="L59" s="352"/>
      <c r="M59" s="352"/>
      <c r="N59" s="352"/>
      <c r="O59" s="352"/>
      <c r="P59" s="352"/>
      <c r="Q59" s="352"/>
      <c r="R59" s="352"/>
      <c r="S59" s="198"/>
      <c r="T59" s="353"/>
      <c r="U59" s="354"/>
      <c r="V59" s="354"/>
      <c r="W59" s="354"/>
      <c r="X59" s="354"/>
      <c r="Y59" s="354"/>
      <c r="Z59" s="354"/>
      <c r="AA59" s="355"/>
      <c r="AB59" s="153"/>
      <c r="AC59" s="281" t="s">
        <v>262</v>
      </c>
      <c r="AD59" s="282"/>
      <c r="AE59" s="282"/>
      <c r="AF59" s="155">
        <v>5.5555555555555552E-2</v>
      </c>
      <c r="AG59" s="184"/>
      <c r="AH59" s="140"/>
      <c r="AI59" s="143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140"/>
      <c r="BV59" s="140"/>
      <c r="BW59" s="140"/>
      <c r="BX59" s="140"/>
      <c r="BY59" s="140"/>
      <c r="BZ59" s="140"/>
      <c r="CA59" s="140"/>
      <c r="CB59" s="140"/>
      <c r="CC59" s="140"/>
      <c r="CD59" s="140"/>
      <c r="CE59" s="140"/>
      <c r="CF59" s="140"/>
      <c r="CG59" s="140"/>
      <c r="CH59" s="140"/>
      <c r="CI59" s="140"/>
      <c r="CJ59" s="140"/>
      <c r="CK59" s="140"/>
      <c r="CL59" s="140"/>
      <c r="CM59" s="140"/>
      <c r="CN59" s="140"/>
      <c r="CO59" s="140"/>
      <c r="CP59" s="140"/>
      <c r="CQ59" s="140"/>
      <c r="CR59" s="140"/>
      <c r="CS59" s="140"/>
      <c r="CT59" s="140"/>
      <c r="CU59" s="140"/>
      <c r="CV59" s="140"/>
      <c r="CW59" s="140"/>
      <c r="CX59" s="140"/>
      <c r="CY59" s="140"/>
      <c r="CZ59" s="140"/>
      <c r="DA59" s="140"/>
      <c r="DB59" s="140"/>
      <c r="DC59" s="140"/>
      <c r="DD59" s="140"/>
      <c r="DE59" s="140"/>
    </row>
    <row r="60" spans="1:109" s="139" customFormat="1" ht="15" customHeight="1">
      <c r="B60" s="283">
        <f t="shared" si="6"/>
        <v>0.36458333333333337</v>
      </c>
      <c r="C60" s="284"/>
      <c r="D60" s="285"/>
      <c r="E60" s="286"/>
      <c r="F60" s="284"/>
      <c r="G60" s="287"/>
      <c r="H60" s="288" t="str">
        <f>IF(E60="","",IF(E60-B60&lt;0,"24:00"-(B60-E60),E60-B60))</f>
        <v/>
      </c>
      <c r="I60" s="289"/>
      <c r="J60" s="290" t="s">
        <v>271</v>
      </c>
      <c r="K60" s="291"/>
      <c r="L60" s="291"/>
      <c r="M60" s="291"/>
      <c r="N60" s="291"/>
      <c r="O60" s="291"/>
      <c r="P60" s="291"/>
      <c r="Q60" s="291"/>
      <c r="R60" s="291"/>
      <c r="S60" s="137"/>
      <c r="T60" s="296"/>
      <c r="U60" s="297"/>
      <c r="V60" s="297"/>
      <c r="W60" s="297"/>
      <c r="X60" s="297"/>
      <c r="Y60" s="297"/>
      <c r="Z60" s="297"/>
      <c r="AA60" s="298"/>
      <c r="AB60" s="153"/>
      <c r="AC60" s="281" t="s">
        <v>262</v>
      </c>
      <c r="AD60" s="282"/>
      <c r="AE60" s="282"/>
      <c r="AF60" s="155">
        <v>5.5555555555555552E-2</v>
      </c>
      <c r="AG60" s="184"/>
      <c r="AH60" s="140"/>
      <c r="AI60" s="143"/>
      <c r="AJ60" s="140"/>
      <c r="AK60" s="140"/>
      <c r="AL60" s="140"/>
      <c r="AM60" s="140"/>
      <c r="AN60" s="140"/>
      <c r="AO60" s="140"/>
      <c r="AP60" s="140"/>
      <c r="AQ60" s="140"/>
      <c r="AR60" s="140" t="s">
        <v>13</v>
      </c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  <c r="CK60" s="140"/>
      <c r="CL60" s="140"/>
      <c r="CM60" s="140"/>
      <c r="CN60" s="140"/>
      <c r="CO60" s="140"/>
      <c r="CP60" s="140"/>
      <c r="CQ60" s="140"/>
      <c r="CR60" s="140"/>
      <c r="CS60" s="140"/>
      <c r="CT60" s="140"/>
      <c r="CU60" s="140"/>
      <c r="CV60" s="140"/>
      <c r="CW60" s="140"/>
      <c r="CX60" s="140"/>
      <c r="CY60" s="140"/>
      <c r="CZ60" s="140"/>
      <c r="DA60" s="140"/>
      <c r="DB60" s="140"/>
      <c r="DC60" s="140"/>
      <c r="DD60" s="140"/>
      <c r="DE60" s="140"/>
    </row>
    <row r="61" spans="1:109" s="139" customFormat="1" ht="15" customHeight="1">
      <c r="B61" s="283">
        <f t="shared" si="6"/>
        <v>0.37847222222222221</v>
      </c>
      <c r="C61" s="284"/>
      <c r="D61" s="285"/>
      <c r="E61" s="286"/>
      <c r="F61" s="284"/>
      <c r="G61" s="287"/>
      <c r="H61" s="288" t="str">
        <f>IF(E61="","",IF(E61-B61&lt;0,"24:00"-(B61-E61),E61-B61))</f>
        <v/>
      </c>
      <c r="I61" s="289"/>
      <c r="J61" s="319" t="s">
        <v>272</v>
      </c>
      <c r="K61" s="320"/>
      <c r="L61" s="320"/>
      <c r="M61" s="320"/>
      <c r="N61" s="320"/>
      <c r="O61" s="320"/>
      <c r="P61" s="320"/>
      <c r="Q61" s="320"/>
      <c r="R61" s="320"/>
      <c r="S61" s="137"/>
      <c r="T61" s="296"/>
      <c r="U61" s="297"/>
      <c r="V61" s="297"/>
      <c r="W61" s="297"/>
      <c r="X61" s="297"/>
      <c r="Y61" s="297"/>
      <c r="Z61" s="297"/>
      <c r="AA61" s="298"/>
      <c r="AB61" s="153"/>
      <c r="AC61" s="281" t="s">
        <v>262</v>
      </c>
      <c r="AD61" s="282"/>
      <c r="AE61" s="282"/>
      <c r="AF61" s="155">
        <v>4.1666666666666664E-2</v>
      </c>
      <c r="AG61" s="184"/>
      <c r="AH61" s="140"/>
      <c r="AI61" s="143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140"/>
      <c r="BP61" s="140"/>
      <c r="BQ61" s="140"/>
      <c r="BR61" s="140"/>
      <c r="BS61" s="140"/>
      <c r="BT61" s="140"/>
      <c r="BU61" s="140"/>
      <c r="BV61" s="140"/>
      <c r="BW61" s="140"/>
      <c r="BX61" s="140"/>
      <c r="BY61" s="140"/>
      <c r="BZ61" s="140"/>
      <c r="CA61" s="140"/>
      <c r="CB61" s="140"/>
      <c r="CC61" s="140"/>
      <c r="CD61" s="140"/>
      <c r="CE61" s="140"/>
      <c r="CF61" s="140"/>
      <c r="CG61" s="140"/>
      <c r="CH61" s="140"/>
      <c r="CI61" s="140"/>
      <c r="CJ61" s="140"/>
      <c r="CK61" s="140"/>
      <c r="CL61" s="140"/>
      <c r="CM61" s="140"/>
      <c r="CN61" s="140"/>
      <c r="CO61" s="140"/>
      <c r="CP61" s="140"/>
      <c r="CQ61" s="140"/>
      <c r="CR61" s="140"/>
      <c r="CS61" s="140"/>
      <c r="CT61" s="140"/>
      <c r="CU61" s="140"/>
      <c r="CV61" s="140"/>
      <c r="CW61" s="140"/>
      <c r="CX61" s="140"/>
      <c r="CY61" s="140"/>
      <c r="CZ61" s="140"/>
      <c r="DA61" s="140"/>
      <c r="DB61" s="140"/>
      <c r="DC61" s="140"/>
      <c r="DD61" s="140"/>
      <c r="DE61" s="140"/>
    </row>
    <row r="62" spans="1:109" s="139" customFormat="1" ht="15" customHeight="1">
      <c r="B62" s="283">
        <f t="shared" si="6"/>
        <v>0.3888888888888889</v>
      </c>
      <c r="C62" s="284"/>
      <c r="D62" s="285"/>
      <c r="E62" s="286">
        <v>0.3923611111111111</v>
      </c>
      <c r="F62" s="284"/>
      <c r="G62" s="287"/>
      <c r="H62" s="288">
        <f>E62-B62</f>
        <v>3.4722222222222099E-3</v>
      </c>
      <c r="I62" s="289"/>
      <c r="J62" s="290" t="s">
        <v>273</v>
      </c>
      <c r="K62" s="291"/>
      <c r="L62" s="291"/>
      <c r="M62" s="291"/>
      <c r="N62" s="291"/>
      <c r="O62" s="291"/>
      <c r="P62" s="291"/>
      <c r="Q62" s="291"/>
      <c r="R62" s="291"/>
      <c r="S62" s="137"/>
      <c r="T62" s="296"/>
      <c r="U62" s="297"/>
      <c r="V62" s="297"/>
      <c r="W62" s="297"/>
      <c r="X62" s="297"/>
      <c r="Y62" s="297"/>
      <c r="Z62" s="297"/>
      <c r="AA62" s="298"/>
      <c r="AB62" s="153"/>
      <c r="AC62" s="281" t="s">
        <v>262</v>
      </c>
      <c r="AD62" s="282"/>
      <c r="AE62" s="282"/>
      <c r="AF62" s="155">
        <v>3.125E-2</v>
      </c>
      <c r="AG62" s="184"/>
      <c r="AH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140"/>
      <c r="BP62" s="140"/>
      <c r="BQ62" s="140"/>
      <c r="BR62" s="140"/>
      <c r="BS62" s="140"/>
      <c r="BT62" s="140"/>
      <c r="BU62" s="140"/>
      <c r="BV62" s="140"/>
      <c r="BW62" s="140"/>
      <c r="BX62" s="140"/>
      <c r="BY62" s="140"/>
      <c r="BZ62" s="140"/>
      <c r="CA62" s="140"/>
      <c r="CB62" s="140"/>
      <c r="CC62" s="140"/>
      <c r="CD62" s="140"/>
      <c r="CE62" s="140"/>
      <c r="CF62" s="140"/>
      <c r="CG62" s="140"/>
      <c r="CH62" s="140"/>
      <c r="CI62" s="140"/>
      <c r="CJ62" s="140"/>
      <c r="CK62" s="140"/>
      <c r="CL62" s="140"/>
      <c r="CM62" s="140"/>
      <c r="CN62" s="140"/>
      <c r="CO62" s="140"/>
      <c r="CP62" s="140"/>
      <c r="CQ62" s="140"/>
      <c r="CR62" s="140"/>
      <c r="CS62" s="140"/>
      <c r="CT62" s="140"/>
      <c r="CU62" s="140"/>
      <c r="CV62" s="140"/>
      <c r="CW62" s="140"/>
      <c r="CX62" s="140"/>
      <c r="CY62" s="140"/>
      <c r="CZ62" s="140"/>
      <c r="DA62" s="140"/>
      <c r="DB62" s="140"/>
      <c r="DC62" s="140"/>
      <c r="DD62" s="140"/>
      <c r="DE62" s="140"/>
    </row>
    <row r="63" spans="1:109" s="139" customFormat="1" ht="15" customHeight="1">
      <c r="B63" s="283">
        <f t="shared" si="6"/>
        <v>0.39583333333333331</v>
      </c>
      <c r="C63" s="284"/>
      <c r="D63" s="285"/>
      <c r="E63" s="286"/>
      <c r="F63" s="284"/>
      <c r="G63" s="287"/>
      <c r="H63" s="288" t="str">
        <f t="shared" ref="H63" si="7">IF(E63="","",IF(E63-B63&lt;0,"24:00"-(B63-E63),E63-B63))</f>
        <v/>
      </c>
      <c r="I63" s="289"/>
      <c r="J63" s="290" t="s">
        <v>274</v>
      </c>
      <c r="K63" s="291"/>
      <c r="L63" s="291"/>
      <c r="M63" s="291"/>
      <c r="N63" s="291"/>
      <c r="O63" s="291"/>
      <c r="P63" s="291"/>
      <c r="Q63" s="291"/>
      <c r="R63" s="291"/>
      <c r="S63" s="137"/>
      <c r="T63" s="292"/>
      <c r="U63" s="293"/>
      <c r="V63" s="293"/>
      <c r="W63" s="293"/>
      <c r="X63" s="293"/>
      <c r="Y63" s="293"/>
      <c r="Z63" s="293"/>
      <c r="AA63" s="294"/>
      <c r="AB63" s="153"/>
      <c r="AC63" s="281" t="s">
        <v>262</v>
      </c>
      <c r="AD63" s="282"/>
      <c r="AE63" s="282"/>
      <c r="AF63" s="155">
        <v>2.4305555555555556E-2</v>
      </c>
      <c r="AG63" s="186" t="s">
        <v>202</v>
      </c>
      <c r="AH63" s="154"/>
      <c r="AI63" s="202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140"/>
      <c r="BP63" s="140"/>
      <c r="BQ63" s="140"/>
      <c r="BR63" s="140"/>
      <c r="BS63" s="140"/>
      <c r="BT63" s="140"/>
      <c r="BU63" s="140"/>
      <c r="BV63" s="140"/>
      <c r="BW63" s="140"/>
      <c r="BX63" s="140"/>
      <c r="BY63" s="140"/>
      <c r="BZ63" s="140"/>
      <c r="CA63" s="140"/>
      <c r="CB63" s="140"/>
      <c r="CC63" s="140"/>
      <c r="CD63" s="140"/>
      <c r="CE63" s="140"/>
      <c r="CF63" s="140"/>
      <c r="CG63" s="140"/>
      <c r="CH63" s="140"/>
      <c r="CI63" s="140"/>
      <c r="CJ63" s="140"/>
      <c r="CK63" s="140"/>
      <c r="CL63" s="140"/>
      <c r="CM63" s="140"/>
      <c r="CN63" s="140"/>
      <c r="CO63" s="140"/>
      <c r="CP63" s="140"/>
      <c r="CQ63" s="140"/>
      <c r="CR63" s="140"/>
      <c r="CS63" s="140"/>
      <c r="CT63" s="140"/>
      <c r="CU63" s="140"/>
      <c r="CV63" s="140"/>
      <c r="CW63" s="140"/>
      <c r="CX63" s="140"/>
      <c r="CY63" s="140"/>
      <c r="CZ63" s="140"/>
      <c r="DA63" s="140"/>
      <c r="DB63" s="140"/>
      <c r="DC63" s="140"/>
      <c r="DD63" s="140"/>
      <c r="DE63" s="140"/>
    </row>
    <row r="64" spans="1:109" s="154" customFormat="1" ht="16.149999999999999">
      <c r="A64" s="153"/>
      <c r="B64" s="283">
        <f t="shared" si="6"/>
        <v>0.39930555555555558</v>
      </c>
      <c r="C64" s="284"/>
      <c r="D64" s="285"/>
      <c r="E64" s="286"/>
      <c r="F64" s="284"/>
      <c r="G64" s="287"/>
      <c r="H64" s="288" t="str">
        <f t="shared" si="4"/>
        <v/>
      </c>
      <c r="I64" s="289"/>
      <c r="J64" s="290" t="s">
        <v>275</v>
      </c>
      <c r="K64" s="291"/>
      <c r="L64" s="291"/>
      <c r="M64" s="291"/>
      <c r="N64" s="291"/>
      <c r="O64" s="291"/>
      <c r="P64" s="291"/>
      <c r="Q64" s="291"/>
      <c r="R64" s="291"/>
      <c r="S64" s="137"/>
      <c r="T64" s="292"/>
      <c r="U64" s="293"/>
      <c r="V64" s="293"/>
      <c r="W64" s="293"/>
      <c r="X64" s="293"/>
      <c r="Y64" s="293"/>
      <c r="Z64" s="293"/>
      <c r="AA64" s="294"/>
      <c r="AB64" s="153"/>
      <c r="AC64" s="281" t="s">
        <v>262</v>
      </c>
      <c r="AD64" s="282"/>
      <c r="AE64" s="282"/>
      <c r="AF64" s="155">
        <v>2.0833333333333332E-2</v>
      </c>
      <c r="AG64" s="187" t="s">
        <v>202</v>
      </c>
      <c r="AI64" s="156"/>
      <c r="AV64" s="154" t="s">
        <v>13</v>
      </c>
    </row>
    <row r="65" spans="1:109" s="154" customFormat="1" ht="15" customHeight="1">
      <c r="A65" s="153"/>
      <c r="B65" s="344">
        <f t="shared" si="6"/>
        <v>0.40277777777777779</v>
      </c>
      <c r="C65" s="345"/>
      <c r="D65" s="346"/>
      <c r="E65" s="347"/>
      <c r="F65" s="345"/>
      <c r="G65" s="348"/>
      <c r="H65" s="349" t="str">
        <f t="shared" si="4"/>
        <v/>
      </c>
      <c r="I65" s="350"/>
      <c r="J65" s="356" t="s">
        <v>276</v>
      </c>
      <c r="K65" s="357"/>
      <c r="L65" s="357"/>
      <c r="M65" s="357"/>
      <c r="N65" s="357"/>
      <c r="O65" s="357"/>
      <c r="P65" s="357"/>
      <c r="Q65" s="357"/>
      <c r="R65" s="357"/>
      <c r="S65" s="198"/>
      <c r="T65" s="358"/>
      <c r="U65" s="359"/>
      <c r="V65" s="359"/>
      <c r="W65" s="359"/>
      <c r="X65" s="359"/>
      <c r="Y65" s="359"/>
      <c r="Z65" s="359"/>
      <c r="AA65" s="360"/>
      <c r="AB65" s="153"/>
      <c r="AC65" s="281" t="s">
        <v>262</v>
      </c>
      <c r="AD65" s="282"/>
      <c r="AE65" s="282"/>
      <c r="AF65" s="155">
        <v>1.7361111111111112E-2</v>
      </c>
      <c r="AG65" s="187" t="s">
        <v>202</v>
      </c>
      <c r="AH65" s="140"/>
      <c r="AI65" s="156"/>
    </row>
    <row r="66" spans="1:109" s="154" customFormat="1" ht="15" customHeight="1">
      <c r="A66" s="153"/>
      <c r="B66" s="283">
        <f t="shared" si="6"/>
        <v>0.40625</v>
      </c>
      <c r="C66" s="284"/>
      <c r="D66" s="285"/>
      <c r="E66" s="286"/>
      <c r="F66" s="284"/>
      <c r="G66" s="287"/>
      <c r="H66" s="288" t="str">
        <f t="shared" si="4"/>
        <v/>
      </c>
      <c r="I66" s="289"/>
      <c r="J66" s="290" t="s">
        <v>277</v>
      </c>
      <c r="K66" s="291"/>
      <c r="L66" s="291"/>
      <c r="M66" s="291"/>
      <c r="N66" s="291"/>
      <c r="O66" s="291"/>
      <c r="P66" s="291"/>
      <c r="Q66" s="291"/>
      <c r="R66" s="291"/>
      <c r="S66" s="137"/>
      <c r="T66" s="292"/>
      <c r="U66" s="293"/>
      <c r="V66" s="293"/>
      <c r="W66" s="293"/>
      <c r="X66" s="293"/>
      <c r="Y66" s="293"/>
      <c r="Z66" s="293"/>
      <c r="AA66" s="294"/>
      <c r="AB66" s="153"/>
      <c r="AC66" s="281" t="s">
        <v>262</v>
      </c>
      <c r="AD66" s="282"/>
      <c r="AE66" s="282"/>
      <c r="AF66" s="155">
        <v>1.3888888888888888E-2</v>
      </c>
      <c r="AG66" s="187" t="s">
        <v>202</v>
      </c>
      <c r="AH66" s="140"/>
    </row>
    <row r="67" spans="1:109" s="154" customFormat="1" ht="15" customHeight="1">
      <c r="A67" s="153"/>
      <c r="B67" s="283">
        <f>$B$68-AF67</f>
        <v>0.41319444444444448</v>
      </c>
      <c r="C67" s="284"/>
      <c r="D67" s="285"/>
      <c r="E67" s="286"/>
      <c r="F67" s="284"/>
      <c r="G67" s="287"/>
      <c r="H67" s="288" t="str">
        <f t="shared" si="4"/>
        <v/>
      </c>
      <c r="I67" s="289"/>
      <c r="J67" s="290" t="s">
        <v>278</v>
      </c>
      <c r="K67" s="291"/>
      <c r="L67" s="291"/>
      <c r="M67" s="291"/>
      <c r="N67" s="291"/>
      <c r="O67" s="291"/>
      <c r="P67" s="291"/>
      <c r="Q67" s="291"/>
      <c r="R67" s="291"/>
      <c r="S67" s="137"/>
      <c r="T67" s="292"/>
      <c r="U67" s="293"/>
      <c r="V67" s="293"/>
      <c r="W67" s="293"/>
      <c r="X67" s="293"/>
      <c r="Y67" s="293"/>
      <c r="Z67" s="293"/>
      <c r="AA67" s="294"/>
      <c r="AB67" s="153"/>
      <c r="AC67" s="281" t="s">
        <v>262</v>
      </c>
      <c r="AD67" s="282"/>
      <c r="AE67" s="282"/>
      <c r="AF67" s="155">
        <v>6.9444444444444441E-3</v>
      </c>
      <c r="AG67" s="187" t="s">
        <v>202</v>
      </c>
      <c r="AH67" s="140"/>
      <c r="AQ67" s="154" t="s">
        <v>13</v>
      </c>
    </row>
    <row r="68" spans="1:109" s="154" customFormat="1" ht="15" customHeight="1">
      <c r="A68" s="153"/>
      <c r="B68" s="283">
        <v>0.4201388888888889</v>
      </c>
      <c r="C68" s="284"/>
      <c r="D68" s="285"/>
      <c r="E68" s="286">
        <v>0.4513888888888889</v>
      </c>
      <c r="F68" s="284"/>
      <c r="G68" s="287"/>
      <c r="H68" s="288">
        <f t="shared" si="4"/>
        <v>3.125E-2</v>
      </c>
      <c r="I68" s="289"/>
      <c r="J68" s="290" t="s">
        <v>279</v>
      </c>
      <c r="K68" s="291"/>
      <c r="L68" s="291"/>
      <c r="M68" s="291"/>
      <c r="N68" s="291"/>
      <c r="O68" s="291"/>
      <c r="P68" s="291"/>
      <c r="Q68" s="291"/>
      <c r="R68" s="291"/>
      <c r="S68" s="137"/>
      <c r="T68" s="292"/>
      <c r="U68" s="293"/>
      <c r="V68" s="293"/>
      <c r="W68" s="293"/>
      <c r="X68" s="293"/>
      <c r="Y68" s="293"/>
      <c r="Z68" s="293"/>
      <c r="AA68" s="294"/>
      <c r="AB68" s="153"/>
      <c r="AF68" s="155"/>
      <c r="AG68" s="187" t="s">
        <v>202</v>
      </c>
      <c r="AH68" s="140"/>
    </row>
    <row r="69" spans="1:109" s="154" customFormat="1" ht="15" customHeight="1">
      <c r="A69" s="153"/>
      <c r="B69" s="283">
        <v>0.47222222222222221</v>
      </c>
      <c r="C69" s="284"/>
      <c r="D69" s="285"/>
      <c r="E69" s="286"/>
      <c r="F69" s="284"/>
      <c r="G69" s="287"/>
      <c r="H69" s="288"/>
      <c r="I69" s="289"/>
      <c r="J69" s="290" t="s">
        <v>280</v>
      </c>
      <c r="K69" s="291"/>
      <c r="L69" s="291"/>
      <c r="M69" s="291"/>
      <c r="N69" s="291"/>
      <c r="O69" s="291"/>
      <c r="P69" s="291"/>
      <c r="Q69" s="291"/>
      <c r="R69" s="291"/>
      <c r="S69" s="138" t="s">
        <v>266</v>
      </c>
      <c r="T69" s="370" t="s">
        <v>267</v>
      </c>
      <c r="U69" s="371"/>
      <c r="V69" s="371"/>
      <c r="W69" s="371"/>
      <c r="X69" s="371"/>
      <c r="Y69" s="371"/>
      <c r="Z69" s="371"/>
      <c r="AA69" s="372"/>
      <c r="AB69" s="153"/>
      <c r="AF69" s="155"/>
      <c r="AG69" s="184" t="s">
        <v>202</v>
      </c>
      <c r="AH69" s="140"/>
    </row>
    <row r="70" spans="1:109" s="154" customFormat="1" ht="15" customHeight="1">
      <c r="A70" s="153"/>
      <c r="B70" s="283">
        <v>0.47916666666666669</v>
      </c>
      <c r="C70" s="284"/>
      <c r="D70" s="285"/>
      <c r="E70" s="286">
        <v>0.60416666666666663</v>
      </c>
      <c r="F70" s="284"/>
      <c r="G70" s="287"/>
      <c r="H70" s="288">
        <f t="shared" si="4"/>
        <v>0.12499999999999994</v>
      </c>
      <c r="I70" s="289"/>
      <c r="J70" s="290" t="s">
        <v>221</v>
      </c>
      <c r="K70" s="291"/>
      <c r="L70" s="291"/>
      <c r="M70" s="291"/>
      <c r="N70" s="291"/>
      <c r="O70" s="291"/>
      <c r="P70" s="291"/>
      <c r="Q70" s="291"/>
      <c r="R70" s="291"/>
      <c r="S70" s="137"/>
      <c r="T70" s="292"/>
      <c r="U70" s="293"/>
      <c r="V70" s="293"/>
      <c r="W70" s="293"/>
      <c r="X70" s="293"/>
      <c r="Y70" s="293"/>
      <c r="Z70" s="293"/>
      <c r="AA70" s="294"/>
      <c r="AB70" s="153"/>
      <c r="AF70" s="155"/>
      <c r="AG70" s="184" t="s">
        <v>202</v>
      </c>
      <c r="AR70" s="154" t="s">
        <v>13</v>
      </c>
    </row>
    <row r="71" spans="1:109" s="154" customFormat="1" ht="15" customHeight="1">
      <c r="A71" s="153"/>
      <c r="B71" s="309" t="s">
        <v>53</v>
      </c>
      <c r="C71" s="310"/>
      <c r="D71" s="311"/>
      <c r="E71" s="286"/>
      <c r="F71" s="284"/>
      <c r="G71" s="287"/>
      <c r="H71" s="288"/>
      <c r="I71" s="289"/>
      <c r="J71" s="290" t="s">
        <v>281</v>
      </c>
      <c r="K71" s="291"/>
      <c r="L71" s="291"/>
      <c r="M71" s="291"/>
      <c r="N71" s="291"/>
      <c r="O71" s="291"/>
      <c r="P71" s="291"/>
      <c r="Q71" s="291"/>
      <c r="R71" s="291"/>
      <c r="S71" s="137"/>
      <c r="T71" s="292"/>
      <c r="U71" s="293"/>
      <c r="V71" s="293"/>
      <c r="W71" s="293"/>
      <c r="X71" s="293"/>
      <c r="Y71" s="293"/>
      <c r="Z71" s="293"/>
      <c r="AA71" s="294"/>
      <c r="AB71" s="153"/>
      <c r="AC71" s="281"/>
      <c r="AD71" s="282"/>
      <c r="AE71" s="282"/>
      <c r="AF71" s="155"/>
      <c r="AG71" s="187" t="s">
        <v>202</v>
      </c>
      <c r="AI71" s="156"/>
    </row>
    <row r="72" spans="1:109" s="154" customFormat="1" ht="15" customHeight="1">
      <c r="A72" s="153"/>
      <c r="B72" s="283">
        <f t="shared" ref="B72:B82" si="8">$B$84-AF72</f>
        <v>0.50694444444444442</v>
      </c>
      <c r="C72" s="284"/>
      <c r="D72" s="285"/>
      <c r="E72" s="286"/>
      <c r="F72" s="284"/>
      <c r="G72" s="287"/>
      <c r="H72" s="288" t="str">
        <f>IF(E72="","",IF(E72-B72&lt;0,"24:00"-(B72-E72),E72-B72))</f>
        <v/>
      </c>
      <c r="I72" s="289"/>
      <c r="J72" s="290" t="s">
        <v>282</v>
      </c>
      <c r="K72" s="291"/>
      <c r="L72" s="291"/>
      <c r="M72" s="291"/>
      <c r="N72" s="291"/>
      <c r="O72" s="291"/>
      <c r="P72" s="291"/>
      <c r="Q72" s="291"/>
      <c r="R72" s="291"/>
      <c r="S72" s="137"/>
      <c r="T72" s="292"/>
      <c r="U72" s="293"/>
      <c r="V72" s="293"/>
      <c r="W72" s="293"/>
      <c r="X72" s="293"/>
      <c r="Y72" s="293"/>
      <c r="Z72" s="293"/>
      <c r="AA72" s="294"/>
      <c r="AB72" s="153"/>
      <c r="AC72" s="281" t="s">
        <v>262</v>
      </c>
      <c r="AD72" s="282"/>
      <c r="AE72" s="282"/>
      <c r="AF72" s="155">
        <v>7.6388888888888895E-2</v>
      </c>
      <c r="AG72" s="187" t="s">
        <v>202</v>
      </c>
      <c r="AI72" s="156"/>
    </row>
    <row r="73" spans="1:109" s="154" customFormat="1" ht="15" customHeight="1">
      <c r="A73" s="153"/>
      <c r="B73" s="283">
        <f t="shared" si="8"/>
        <v>0.51388888888888895</v>
      </c>
      <c r="C73" s="284"/>
      <c r="D73" s="285"/>
      <c r="E73" s="286">
        <v>0.51736111111111116</v>
      </c>
      <c r="F73" s="284"/>
      <c r="G73" s="287"/>
      <c r="H73" s="288">
        <f t="shared" si="4"/>
        <v>3.4722222222222099E-3</v>
      </c>
      <c r="I73" s="289"/>
      <c r="J73" s="290" t="s">
        <v>283</v>
      </c>
      <c r="K73" s="291"/>
      <c r="L73" s="291"/>
      <c r="M73" s="291"/>
      <c r="N73" s="291"/>
      <c r="O73" s="291"/>
      <c r="P73" s="291"/>
      <c r="Q73" s="291"/>
      <c r="R73" s="291"/>
      <c r="S73" s="137"/>
      <c r="T73" s="292"/>
      <c r="U73" s="293"/>
      <c r="V73" s="293"/>
      <c r="W73" s="293"/>
      <c r="X73" s="293"/>
      <c r="Y73" s="293"/>
      <c r="Z73" s="293"/>
      <c r="AA73" s="294"/>
      <c r="AB73" s="153"/>
      <c r="AC73" s="281" t="s">
        <v>262</v>
      </c>
      <c r="AD73" s="282"/>
      <c r="AE73" s="282"/>
      <c r="AF73" s="155">
        <v>6.9444444444444434E-2</v>
      </c>
      <c r="AG73" s="187" t="s">
        <v>202</v>
      </c>
      <c r="AI73" s="156"/>
    </row>
    <row r="74" spans="1:109" s="139" customFormat="1" ht="15" customHeight="1">
      <c r="B74" s="283">
        <f t="shared" si="8"/>
        <v>0.52430555555555558</v>
      </c>
      <c r="C74" s="284"/>
      <c r="D74" s="285"/>
      <c r="E74" s="286"/>
      <c r="F74" s="284"/>
      <c r="G74" s="287"/>
      <c r="H74" s="288" t="str">
        <f>IF(E74="","",IF(E74-B74&lt;0,"24:00"-(B74-E74),E74-B74))</f>
        <v/>
      </c>
      <c r="I74" s="289"/>
      <c r="J74" s="290" t="s">
        <v>269</v>
      </c>
      <c r="K74" s="291"/>
      <c r="L74" s="291"/>
      <c r="M74" s="291"/>
      <c r="N74" s="291"/>
      <c r="O74" s="291"/>
      <c r="P74" s="291"/>
      <c r="Q74" s="291"/>
      <c r="R74" s="291"/>
      <c r="S74" s="137"/>
      <c r="T74" s="296"/>
      <c r="U74" s="297"/>
      <c r="V74" s="297"/>
      <c r="W74" s="297"/>
      <c r="X74" s="297"/>
      <c r="Y74" s="297"/>
      <c r="Z74" s="297"/>
      <c r="AA74" s="298"/>
      <c r="AB74" s="153"/>
      <c r="AC74" s="281" t="s">
        <v>262</v>
      </c>
      <c r="AD74" s="282"/>
      <c r="AE74" s="282"/>
      <c r="AF74" s="155">
        <v>5.9027777777777783E-2</v>
      </c>
      <c r="AG74" s="184" t="s">
        <v>202</v>
      </c>
      <c r="AH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140"/>
      <c r="BP74" s="140"/>
      <c r="BQ74" s="140"/>
      <c r="BR74" s="140"/>
      <c r="BS74" s="140"/>
      <c r="BT74" s="140"/>
      <c r="BU74" s="140"/>
      <c r="BV74" s="140"/>
      <c r="BW74" s="140"/>
      <c r="BX74" s="140"/>
      <c r="BY74" s="140"/>
      <c r="BZ74" s="140"/>
      <c r="CA74" s="140"/>
      <c r="CB74" s="140"/>
      <c r="CC74" s="140"/>
      <c r="CD74" s="140"/>
      <c r="CE74" s="140"/>
      <c r="CF74" s="140"/>
      <c r="CG74" s="140"/>
      <c r="CH74" s="140"/>
      <c r="CI74" s="140"/>
      <c r="CJ74" s="140"/>
      <c r="CK74" s="140"/>
      <c r="CL74" s="140"/>
      <c r="CM74" s="140"/>
      <c r="CN74" s="140"/>
      <c r="CO74" s="140"/>
      <c r="CP74" s="140"/>
      <c r="CQ74" s="140"/>
      <c r="CR74" s="140"/>
      <c r="CS74" s="140"/>
      <c r="CT74" s="140"/>
      <c r="CU74" s="140"/>
      <c r="CV74" s="140"/>
      <c r="CW74" s="140"/>
      <c r="CX74" s="140"/>
      <c r="CY74" s="140"/>
      <c r="CZ74" s="140"/>
      <c r="DA74" s="140"/>
      <c r="DB74" s="140"/>
      <c r="DC74" s="140"/>
      <c r="DD74" s="140"/>
      <c r="DE74" s="140"/>
    </row>
    <row r="75" spans="1:109" s="139" customFormat="1" ht="15" customHeight="1">
      <c r="B75" s="283">
        <f t="shared" si="8"/>
        <v>0.52777777777777779</v>
      </c>
      <c r="C75" s="284"/>
      <c r="D75" s="285"/>
      <c r="E75" s="286"/>
      <c r="F75" s="284"/>
      <c r="G75" s="287"/>
      <c r="H75" s="364" t="str">
        <f>IF(E75="","",IF(E75-B75&lt;0,"24:00"-(B75-E75),E75-B75))</f>
        <v/>
      </c>
      <c r="I75" s="365"/>
      <c r="J75" s="290" t="s">
        <v>271</v>
      </c>
      <c r="K75" s="291"/>
      <c r="L75" s="291"/>
      <c r="M75" s="291"/>
      <c r="N75" s="291"/>
      <c r="O75" s="291"/>
      <c r="P75" s="291"/>
      <c r="Q75" s="291"/>
      <c r="R75" s="291"/>
      <c r="S75" s="199"/>
      <c r="T75" s="361"/>
      <c r="U75" s="362"/>
      <c r="V75" s="362"/>
      <c r="W75" s="362"/>
      <c r="X75" s="362"/>
      <c r="Y75" s="362"/>
      <c r="Z75" s="362"/>
      <c r="AA75" s="363"/>
      <c r="AB75" s="153"/>
      <c r="AC75" s="281" t="s">
        <v>262</v>
      </c>
      <c r="AD75" s="282"/>
      <c r="AE75" s="282"/>
      <c r="AF75" s="155">
        <v>5.5555555555555552E-2</v>
      </c>
      <c r="AG75" s="184"/>
      <c r="AH75" s="140"/>
      <c r="AI75" s="143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140"/>
      <c r="BP75" s="140"/>
      <c r="BQ75" s="140"/>
      <c r="BR75" s="140"/>
      <c r="BS75" s="140"/>
      <c r="BT75" s="140"/>
      <c r="BU75" s="140"/>
      <c r="BV75" s="140"/>
      <c r="BW75" s="140"/>
      <c r="BX75" s="140"/>
      <c r="BY75" s="140"/>
      <c r="BZ75" s="140"/>
      <c r="CA75" s="140"/>
      <c r="CB75" s="140"/>
      <c r="CC75" s="140"/>
      <c r="CD75" s="140"/>
      <c r="CE75" s="140"/>
      <c r="CF75" s="140"/>
      <c r="CG75" s="140"/>
      <c r="CH75" s="140"/>
      <c r="CI75" s="140"/>
      <c r="CJ75" s="140"/>
      <c r="CK75" s="140"/>
      <c r="CL75" s="140"/>
      <c r="CM75" s="140"/>
      <c r="CN75" s="140"/>
      <c r="CO75" s="140"/>
      <c r="CP75" s="140"/>
      <c r="CQ75" s="140"/>
      <c r="CR75" s="140"/>
      <c r="CS75" s="140"/>
      <c r="CT75" s="140"/>
      <c r="CU75" s="140"/>
      <c r="CV75" s="140"/>
      <c r="CW75" s="140"/>
      <c r="CX75" s="140"/>
      <c r="CY75" s="140"/>
      <c r="CZ75" s="140"/>
      <c r="DA75" s="140"/>
      <c r="DB75" s="140"/>
      <c r="DC75" s="140"/>
      <c r="DD75" s="140"/>
      <c r="DE75" s="140"/>
    </row>
    <row r="76" spans="1:109" s="154" customFormat="1" ht="15" customHeight="1">
      <c r="A76" s="153"/>
      <c r="B76" s="283">
        <f t="shared" si="8"/>
        <v>0.53819444444444453</v>
      </c>
      <c r="C76" s="284"/>
      <c r="D76" s="285"/>
      <c r="E76" s="286"/>
      <c r="F76" s="284"/>
      <c r="G76" s="287"/>
      <c r="H76" s="288" t="str">
        <f t="shared" si="4"/>
        <v/>
      </c>
      <c r="I76" s="289"/>
      <c r="J76" s="290" t="s">
        <v>284</v>
      </c>
      <c r="K76" s="291"/>
      <c r="L76" s="291"/>
      <c r="M76" s="291"/>
      <c r="N76" s="291"/>
      <c r="O76" s="291"/>
      <c r="P76" s="291"/>
      <c r="Q76" s="291"/>
      <c r="R76" s="291"/>
      <c r="S76" s="138"/>
      <c r="T76" s="370" t="s">
        <v>267</v>
      </c>
      <c r="U76" s="371"/>
      <c r="V76" s="371"/>
      <c r="W76" s="371"/>
      <c r="X76" s="371"/>
      <c r="Y76" s="371"/>
      <c r="Z76" s="371"/>
      <c r="AA76" s="372"/>
      <c r="AB76" s="153"/>
      <c r="AC76" s="281" t="s">
        <v>262</v>
      </c>
      <c r="AD76" s="282"/>
      <c r="AE76" s="282"/>
      <c r="AF76" s="155">
        <v>4.5138888888888888E-2</v>
      </c>
      <c r="AG76" s="184" t="s">
        <v>202</v>
      </c>
      <c r="AI76" s="156"/>
      <c r="AO76" s="154" t="s">
        <v>13</v>
      </c>
      <c r="AP76" s="154" t="s">
        <v>13</v>
      </c>
    </row>
    <row r="77" spans="1:109" s="139" customFormat="1" ht="15" customHeight="1">
      <c r="B77" s="283">
        <f t="shared" si="8"/>
        <v>0.54166666666666674</v>
      </c>
      <c r="C77" s="284"/>
      <c r="D77" s="285"/>
      <c r="E77" s="286"/>
      <c r="F77" s="284"/>
      <c r="G77" s="287"/>
      <c r="H77" s="288" t="str">
        <f>IF(E77="","",IF(E77-B77&lt;0,"24:00"-(B77-E77),E77-B77))</f>
        <v/>
      </c>
      <c r="I77" s="289"/>
      <c r="J77" s="319" t="s">
        <v>272</v>
      </c>
      <c r="K77" s="320"/>
      <c r="L77" s="320"/>
      <c r="M77" s="320"/>
      <c r="N77" s="320"/>
      <c r="O77" s="320"/>
      <c r="P77" s="320"/>
      <c r="Q77" s="320"/>
      <c r="R77" s="320"/>
      <c r="S77" s="137"/>
      <c r="T77" s="296"/>
      <c r="U77" s="297"/>
      <c r="V77" s="297"/>
      <c r="W77" s="297"/>
      <c r="X77" s="297"/>
      <c r="Y77" s="297"/>
      <c r="Z77" s="297"/>
      <c r="AA77" s="298"/>
      <c r="AB77" s="153"/>
      <c r="AC77" s="281" t="s">
        <v>262</v>
      </c>
      <c r="AD77" s="282"/>
      <c r="AE77" s="282"/>
      <c r="AF77" s="155">
        <v>4.1666666666666664E-2</v>
      </c>
      <c r="AG77" s="184"/>
      <c r="AH77" s="140"/>
      <c r="AI77" s="143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140"/>
      <c r="BP77" s="140"/>
      <c r="BQ77" s="140"/>
      <c r="BR77" s="140"/>
      <c r="BS77" s="140"/>
      <c r="BT77" s="140"/>
      <c r="BU77" s="140"/>
      <c r="BV77" s="140"/>
      <c r="BW77" s="140"/>
      <c r="BX77" s="140"/>
      <c r="BY77" s="140"/>
      <c r="BZ77" s="140"/>
      <c r="CA77" s="140"/>
      <c r="CB77" s="140"/>
      <c r="CC77" s="140"/>
      <c r="CD77" s="140"/>
      <c r="CE77" s="140"/>
      <c r="CF77" s="140"/>
      <c r="CG77" s="140"/>
      <c r="CH77" s="140"/>
      <c r="CI77" s="140"/>
      <c r="CJ77" s="140"/>
      <c r="CK77" s="140"/>
      <c r="CL77" s="140"/>
      <c r="CM77" s="140"/>
      <c r="CN77" s="140"/>
      <c r="CO77" s="140"/>
      <c r="CP77" s="140"/>
      <c r="CQ77" s="140"/>
      <c r="CR77" s="140"/>
      <c r="CS77" s="140"/>
      <c r="CT77" s="140"/>
      <c r="CU77" s="140"/>
      <c r="CV77" s="140"/>
      <c r="CW77" s="140"/>
      <c r="CX77" s="140"/>
      <c r="CY77" s="140"/>
      <c r="CZ77" s="140"/>
      <c r="DA77" s="140"/>
      <c r="DB77" s="140"/>
      <c r="DC77" s="140"/>
      <c r="DD77" s="140"/>
      <c r="DE77" s="140"/>
    </row>
    <row r="78" spans="1:109" s="154" customFormat="1" ht="15" customHeight="1">
      <c r="A78" s="153"/>
      <c r="B78" s="283">
        <f t="shared" si="8"/>
        <v>0.55902777777777779</v>
      </c>
      <c r="C78" s="284"/>
      <c r="D78" s="285"/>
      <c r="E78" s="286"/>
      <c r="F78" s="284"/>
      <c r="G78" s="287"/>
      <c r="H78" s="288"/>
      <c r="I78" s="289"/>
      <c r="J78" s="290" t="s">
        <v>274</v>
      </c>
      <c r="K78" s="291"/>
      <c r="L78" s="291"/>
      <c r="M78" s="291"/>
      <c r="N78" s="291"/>
      <c r="O78" s="291"/>
      <c r="P78" s="291"/>
      <c r="Q78" s="291"/>
      <c r="R78" s="291"/>
      <c r="S78" s="137"/>
      <c r="T78" s="292"/>
      <c r="U78" s="293"/>
      <c r="V78" s="293"/>
      <c r="W78" s="293"/>
      <c r="X78" s="293"/>
      <c r="Y78" s="293"/>
      <c r="Z78" s="293"/>
      <c r="AA78" s="294"/>
      <c r="AB78" s="153"/>
      <c r="AC78" s="281" t="s">
        <v>262</v>
      </c>
      <c r="AD78" s="282"/>
      <c r="AE78" s="282"/>
      <c r="AF78" s="155">
        <v>2.4305555555555556E-2</v>
      </c>
      <c r="AG78" s="187" t="s">
        <v>202</v>
      </c>
      <c r="AI78" s="156"/>
      <c r="AS78" s="154" t="s">
        <v>13</v>
      </c>
    </row>
    <row r="79" spans="1:109" s="154" customFormat="1" ht="15" customHeight="1">
      <c r="A79" s="153"/>
      <c r="B79" s="283">
        <f t="shared" si="8"/>
        <v>0.55902777777777779</v>
      </c>
      <c r="C79" s="284"/>
      <c r="D79" s="285"/>
      <c r="E79" s="286">
        <v>0.5625</v>
      </c>
      <c r="F79" s="284"/>
      <c r="G79" s="287"/>
      <c r="H79" s="288">
        <f>E79-B79</f>
        <v>3.4722222222222099E-3</v>
      </c>
      <c r="I79" s="289"/>
      <c r="J79" s="290" t="s">
        <v>273</v>
      </c>
      <c r="K79" s="291"/>
      <c r="L79" s="291"/>
      <c r="M79" s="291"/>
      <c r="N79" s="291"/>
      <c r="O79" s="291"/>
      <c r="P79" s="291"/>
      <c r="Q79" s="291"/>
      <c r="R79" s="291"/>
      <c r="S79" s="137"/>
      <c r="T79" s="296"/>
      <c r="U79" s="297"/>
      <c r="V79" s="297"/>
      <c r="W79" s="297"/>
      <c r="X79" s="297"/>
      <c r="Y79" s="297"/>
      <c r="Z79" s="297"/>
      <c r="AA79" s="298"/>
      <c r="AB79" s="153"/>
      <c r="AC79" s="281" t="s">
        <v>262</v>
      </c>
      <c r="AD79" s="282"/>
      <c r="AE79" s="282"/>
      <c r="AF79" s="155">
        <v>2.4305555555555556E-2</v>
      </c>
      <c r="AG79" s="186" t="s">
        <v>202</v>
      </c>
      <c r="AI79" s="156"/>
      <c r="AP79" s="154" t="s">
        <v>13</v>
      </c>
    </row>
    <row r="80" spans="1:109" s="154" customFormat="1" ht="15" customHeight="1">
      <c r="A80" s="153"/>
      <c r="B80" s="283">
        <f t="shared" si="8"/>
        <v>0.5625</v>
      </c>
      <c r="C80" s="284"/>
      <c r="D80" s="285"/>
      <c r="E80" s="286"/>
      <c r="F80" s="284"/>
      <c r="G80" s="287"/>
      <c r="H80" s="288" t="str">
        <f t="shared" si="4"/>
        <v/>
      </c>
      <c r="I80" s="289"/>
      <c r="J80" s="290" t="s">
        <v>285</v>
      </c>
      <c r="K80" s="291"/>
      <c r="L80" s="291"/>
      <c r="M80" s="291"/>
      <c r="N80" s="291"/>
      <c r="O80" s="291"/>
      <c r="P80" s="291"/>
      <c r="Q80" s="291"/>
      <c r="R80" s="291"/>
      <c r="S80" s="137"/>
      <c r="T80" s="296"/>
      <c r="U80" s="297"/>
      <c r="V80" s="297"/>
      <c r="W80" s="297"/>
      <c r="X80" s="297"/>
      <c r="Y80" s="297"/>
      <c r="Z80" s="297"/>
      <c r="AA80" s="298"/>
      <c r="AB80" s="139"/>
      <c r="AC80" s="281" t="s">
        <v>262</v>
      </c>
      <c r="AD80" s="282"/>
      <c r="AE80" s="282"/>
      <c r="AF80" s="155">
        <v>2.0833333333333332E-2</v>
      </c>
      <c r="AG80" s="187" t="s">
        <v>202</v>
      </c>
      <c r="AI80" s="156"/>
    </row>
    <row r="81" spans="1:42" s="154" customFormat="1" ht="15" customHeight="1">
      <c r="A81" s="153"/>
      <c r="B81" s="344">
        <f t="shared" si="8"/>
        <v>0.56597222222222221</v>
      </c>
      <c r="C81" s="345"/>
      <c r="D81" s="346"/>
      <c r="E81" s="347"/>
      <c r="F81" s="345"/>
      <c r="G81" s="348"/>
      <c r="H81" s="349" t="str">
        <f t="shared" si="4"/>
        <v/>
      </c>
      <c r="I81" s="350"/>
      <c r="J81" s="356" t="s">
        <v>276</v>
      </c>
      <c r="K81" s="357"/>
      <c r="L81" s="357"/>
      <c r="M81" s="357"/>
      <c r="N81" s="357"/>
      <c r="O81" s="357"/>
      <c r="P81" s="357"/>
      <c r="Q81" s="357"/>
      <c r="R81" s="357"/>
      <c r="S81" s="198" t="s">
        <v>13</v>
      </c>
      <c r="T81" s="358"/>
      <c r="U81" s="359"/>
      <c r="V81" s="359"/>
      <c r="W81" s="359"/>
      <c r="X81" s="359"/>
      <c r="Y81" s="359"/>
      <c r="Z81" s="359"/>
      <c r="AA81" s="360"/>
      <c r="AB81" s="139"/>
      <c r="AC81" s="281" t="s">
        <v>262</v>
      </c>
      <c r="AD81" s="282"/>
      <c r="AE81" s="282"/>
      <c r="AF81" s="155">
        <v>1.7361111111111112E-2</v>
      </c>
      <c r="AG81" s="187" t="s">
        <v>202</v>
      </c>
      <c r="AI81" s="156"/>
    </row>
    <row r="82" spans="1:42" s="154" customFormat="1" ht="15" customHeight="1">
      <c r="A82" s="153"/>
      <c r="B82" s="283">
        <f t="shared" si="8"/>
        <v>0.56944444444444453</v>
      </c>
      <c r="C82" s="284"/>
      <c r="D82" s="285"/>
      <c r="E82" s="286"/>
      <c r="F82" s="284"/>
      <c r="G82" s="287"/>
      <c r="H82" s="288" t="str">
        <f t="shared" si="4"/>
        <v/>
      </c>
      <c r="I82" s="289"/>
      <c r="J82" s="290" t="s">
        <v>277</v>
      </c>
      <c r="K82" s="291"/>
      <c r="L82" s="291"/>
      <c r="M82" s="291"/>
      <c r="N82" s="291"/>
      <c r="O82" s="291"/>
      <c r="P82" s="291"/>
      <c r="Q82" s="291"/>
      <c r="R82" s="291"/>
      <c r="S82" s="137"/>
      <c r="T82" s="292"/>
      <c r="U82" s="293"/>
      <c r="V82" s="293"/>
      <c r="W82" s="293"/>
      <c r="X82" s="293"/>
      <c r="Y82" s="293"/>
      <c r="Z82" s="293"/>
      <c r="AA82" s="294"/>
      <c r="AB82" s="139"/>
      <c r="AC82" s="281" t="s">
        <v>262</v>
      </c>
      <c r="AD82" s="282"/>
      <c r="AE82" s="282"/>
      <c r="AF82" s="155">
        <v>1.3888888888888888E-2</v>
      </c>
      <c r="AG82" s="187" t="s">
        <v>202</v>
      </c>
      <c r="AI82" s="156"/>
      <c r="AN82" s="154" t="s">
        <v>13</v>
      </c>
      <c r="AP82" s="154" t="s">
        <v>13</v>
      </c>
    </row>
    <row r="83" spans="1:42" s="154" customFormat="1" ht="15" customHeight="1">
      <c r="A83" s="153"/>
      <c r="B83" s="283">
        <f>$B$84-AF83</f>
        <v>0.57638888888888895</v>
      </c>
      <c r="C83" s="284"/>
      <c r="D83" s="285"/>
      <c r="E83" s="286"/>
      <c r="F83" s="284"/>
      <c r="G83" s="287"/>
      <c r="H83" s="288" t="str">
        <f>IF(E83="","",IF(E83-B83&lt;0,"24:00"-(B83-E83),E83-B83))</f>
        <v/>
      </c>
      <c r="I83" s="289"/>
      <c r="J83" s="290" t="s">
        <v>286</v>
      </c>
      <c r="K83" s="291"/>
      <c r="L83" s="291"/>
      <c r="M83" s="291"/>
      <c r="N83" s="291"/>
      <c r="O83" s="291"/>
      <c r="P83" s="291"/>
      <c r="Q83" s="291"/>
      <c r="R83" s="291"/>
      <c r="S83" s="137"/>
      <c r="T83" s="292"/>
      <c r="U83" s="293"/>
      <c r="V83" s="293"/>
      <c r="W83" s="293"/>
      <c r="X83" s="293"/>
      <c r="Y83" s="293"/>
      <c r="Z83" s="293"/>
      <c r="AA83" s="294"/>
      <c r="AB83" s="139"/>
      <c r="AC83" s="281" t="s">
        <v>262</v>
      </c>
      <c r="AD83" s="282"/>
      <c r="AE83" s="282"/>
      <c r="AF83" s="155">
        <v>6.9444444444444441E-3</v>
      </c>
      <c r="AG83" s="184" t="s">
        <v>202</v>
      </c>
      <c r="AI83" s="156"/>
    </row>
    <row r="84" spans="1:42" s="154" customFormat="1" ht="15" customHeight="1">
      <c r="A84" s="153"/>
      <c r="B84" s="283">
        <v>0.58333333333333337</v>
      </c>
      <c r="C84" s="284"/>
      <c r="D84" s="285"/>
      <c r="E84" s="286">
        <v>0.60416666666666663</v>
      </c>
      <c r="F84" s="284"/>
      <c r="G84" s="287"/>
      <c r="H84" s="288">
        <f>IF(E84="","",IF(E84-B84&lt;0,"24:00"-(B84-E84),E84-B84))</f>
        <v>2.0833333333333259E-2</v>
      </c>
      <c r="I84" s="289"/>
      <c r="J84" s="290" t="s">
        <v>287</v>
      </c>
      <c r="K84" s="291"/>
      <c r="L84" s="291"/>
      <c r="M84" s="291"/>
      <c r="N84" s="291"/>
      <c r="O84" s="291"/>
      <c r="P84" s="291"/>
      <c r="Q84" s="291"/>
      <c r="R84" s="291"/>
      <c r="S84" s="137"/>
      <c r="T84" s="296"/>
      <c r="U84" s="297"/>
      <c r="V84" s="297"/>
      <c r="W84" s="297"/>
      <c r="X84" s="297"/>
      <c r="Y84" s="297"/>
      <c r="Z84" s="297"/>
      <c r="AA84" s="298"/>
      <c r="AB84" s="139"/>
      <c r="AC84" s="140"/>
      <c r="AD84" s="140"/>
      <c r="AE84" s="140" t="s">
        <v>13</v>
      </c>
      <c r="AF84" s="155"/>
      <c r="AG84" s="186" t="s">
        <v>202</v>
      </c>
      <c r="AI84" s="156"/>
    </row>
    <row r="85" spans="1:42" s="154" customFormat="1" ht="15" customHeight="1">
      <c r="A85" s="153"/>
      <c r="B85" s="283">
        <v>0.625</v>
      </c>
      <c r="C85" s="284"/>
      <c r="D85" s="285"/>
      <c r="E85" s="286"/>
      <c r="F85" s="284"/>
      <c r="G85" s="287"/>
      <c r="H85" s="288"/>
      <c r="I85" s="289"/>
      <c r="J85" s="290" t="s">
        <v>280</v>
      </c>
      <c r="K85" s="291"/>
      <c r="L85" s="291"/>
      <c r="M85" s="291"/>
      <c r="N85" s="291"/>
      <c r="O85" s="291"/>
      <c r="P85" s="291"/>
      <c r="Q85" s="291"/>
      <c r="R85" s="291"/>
      <c r="S85" s="138"/>
      <c r="T85" s="370"/>
      <c r="U85" s="371"/>
      <c r="V85" s="371"/>
      <c r="W85" s="371"/>
      <c r="X85" s="371"/>
      <c r="Y85" s="371"/>
      <c r="Z85" s="371"/>
      <c r="AA85" s="372"/>
      <c r="AB85" s="139"/>
      <c r="AC85" s="140"/>
      <c r="AD85" s="140"/>
      <c r="AE85" s="140"/>
      <c r="AF85" s="155"/>
      <c r="AG85" s="187" t="s">
        <v>202</v>
      </c>
      <c r="AI85" s="156"/>
    </row>
    <row r="86" spans="1:42" ht="15" customHeight="1">
      <c r="A86" s="139"/>
      <c r="B86" s="283">
        <v>0.64583333333333337</v>
      </c>
      <c r="C86" s="284"/>
      <c r="D86" s="285"/>
      <c r="E86" s="286"/>
      <c r="F86" s="284"/>
      <c r="G86" s="287"/>
      <c r="H86" s="288" t="str">
        <f t="shared" ref="H86" si="9">IF(E86="","",IF(E86-B86&lt;0,"24:00"-(B86-E86),E86-B86))</f>
        <v/>
      </c>
      <c r="I86" s="289"/>
      <c r="J86" s="429" t="s">
        <v>288</v>
      </c>
      <c r="K86" s="430"/>
      <c r="L86" s="430"/>
      <c r="M86" s="430"/>
      <c r="N86" s="430"/>
      <c r="O86" s="430"/>
      <c r="P86" s="430"/>
      <c r="Q86" s="430"/>
      <c r="R86" s="430"/>
      <c r="S86" s="137" t="s">
        <v>53</v>
      </c>
      <c r="T86" s="292" t="s">
        <v>289</v>
      </c>
      <c r="U86" s="293"/>
      <c r="V86" s="293"/>
      <c r="W86" s="293"/>
      <c r="X86" s="293"/>
      <c r="Y86" s="293"/>
      <c r="Z86" s="293"/>
      <c r="AA86" s="294"/>
      <c r="AB86" s="153"/>
      <c r="AC86" s="154"/>
      <c r="AD86" s="154"/>
      <c r="AE86" s="154"/>
      <c r="AF86" s="155"/>
      <c r="AG86" s="187"/>
    </row>
    <row r="87" spans="1:42" ht="15" customHeight="1">
      <c r="A87" s="139"/>
      <c r="B87" s="283">
        <v>0.64583333333333337</v>
      </c>
      <c r="C87" s="284"/>
      <c r="D87" s="285"/>
      <c r="E87" s="286">
        <v>0.66666666666666663</v>
      </c>
      <c r="F87" s="284"/>
      <c r="G87" s="287"/>
      <c r="H87" s="288">
        <f t="shared" ref="H87:H88" si="10">IF(E87="","",IF(E87-B87&lt;0,"24:00"-(B87-E87),E87-B87))</f>
        <v>2.0833333333333259E-2</v>
      </c>
      <c r="I87" s="289"/>
      <c r="J87" s="290" t="s">
        <v>290</v>
      </c>
      <c r="K87" s="291"/>
      <c r="L87" s="291"/>
      <c r="M87" s="291"/>
      <c r="N87" s="291"/>
      <c r="O87" s="291"/>
      <c r="P87" s="291"/>
      <c r="Q87" s="291"/>
      <c r="R87" s="291"/>
      <c r="S87" s="137" t="s">
        <v>291</v>
      </c>
      <c r="T87" s="292" t="s">
        <v>292</v>
      </c>
      <c r="U87" s="293"/>
      <c r="V87" s="293"/>
      <c r="W87" s="293"/>
      <c r="X87" s="293"/>
      <c r="Y87" s="293"/>
      <c r="Z87" s="293"/>
      <c r="AA87" s="294"/>
      <c r="AB87" s="153"/>
      <c r="AC87" s="154"/>
      <c r="AD87" s="154"/>
      <c r="AE87" s="154"/>
      <c r="AF87" s="155"/>
      <c r="AG87" s="187"/>
    </row>
    <row r="88" spans="1:42" s="154" customFormat="1" ht="15" customHeight="1">
      <c r="A88" s="153"/>
      <c r="B88" s="283">
        <v>0.79166666666666663</v>
      </c>
      <c r="C88" s="284"/>
      <c r="D88" s="285"/>
      <c r="E88" s="286"/>
      <c r="F88" s="284"/>
      <c r="G88" s="287"/>
      <c r="H88" s="288" t="str">
        <f t="shared" si="10"/>
        <v/>
      </c>
      <c r="I88" s="289"/>
      <c r="J88" s="290" t="s">
        <v>256</v>
      </c>
      <c r="K88" s="291"/>
      <c r="L88" s="291"/>
      <c r="M88" s="291"/>
      <c r="N88" s="291"/>
      <c r="O88" s="291"/>
      <c r="P88" s="291"/>
      <c r="Q88" s="291"/>
      <c r="R88" s="295"/>
      <c r="S88" s="138"/>
      <c r="T88" s="370" t="s">
        <v>257</v>
      </c>
      <c r="U88" s="371"/>
      <c r="V88" s="371"/>
      <c r="W88" s="371"/>
      <c r="X88" s="371"/>
      <c r="Y88" s="371"/>
      <c r="Z88" s="371"/>
      <c r="AA88" s="372"/>
      <c r="AB88" s="153"/>
      <c r="AD88" s="195"/>
      <c r="AF88" s="155"/>
      <c r="AG88" s="187"/>
      <c r="AI88" s="156"/>
    </row>
    <row r="89" spans="1:42" ht="15" customHeight="1">
      <c r="A89" s="139"/>
      <c r="B89" s="309" t="s">
        <v>53</v>
      </c>
      <c r="C89" s="310"/>
      <c r="D89" s="311"/>
      <c r="E89" s="315"/>
      <c r="F89" s="310"/>
      <c r="G89" s="316"/>
      <c r="H89" s="317" t="str">
        <f t="shared" si="4"/>
        <v/>
      </c>
      <c r="I89" s="318"/>
      <c r="J89" s="319" t="s">
        <v>293</v>
      </c>
      <c r="K89" s="320"/>
      <c r="L89" s="320"/>
      <c r="M89" s="320"/>
      <c r="N89" s="320"/>
      <c r="O89" s="320"/>
      <c r="P89" s="320"/>
      <c r="Q89" s="320"/>
      <c r="R89" s="320"/>
      <c r="S89" s="137"/>
      <c r="T89" s="292"/>
      <c r="U89" s="293"/>
      <c r="V89" s="293"/>
      <c r="W89" s="293"/>
      <c r="X89" s="293"/>
      <c r="Y89" s="293"/>
      <c r="Z89" s="293"/>
      <c r="AA89" s="294"/>
      <c r="AB89" s="153"/>
      <c r="AC89" s="154"/>
      <c r="AD89" s="154"/>
      <c r="AE89" s="154"/>
      <c r="AF89" s="155"/>
      <c r="AG89" s="187" t="s">
        <v>202</v>
      </c>
      <c r="AH89" s="154"/>
    </row>
    <row r="90" spans="1:42" ht="15" customHeight="1">
      <c r="A90" s="139"/>
      <c r="B90" s="283" t="s">
        <v>53</v>
      </c>
      <c r="C90" s="284"/>
      <c r="D90" s="285"/>
      <c r="E90" s="286"/>
      <c r="F90" s="284"/>
      <c r="G90" s="287"/>
      <c r="H90" s="288"/>
      <c r="I90" s="289"/>
      <c r="J90" s="290" t="s">
        <v>224</v>
      </c>
      <c r="K90" s="291"/>
      <c r="L90" s="291"/>
      <c r="M90" s="291"/>
      <c r="N90" s="291"/>
      <c r="O90" s="291"/>
      <c r="P90" s="291"/>
      <c r="Q90" s="291"/>
      <c r="R90" s="295"/>
      <c r="S90" s="137"/>
      <c r="T90" s="296" t="s">
        <v>251</v>
      </c>
      <c r="U90" s="297"/>
      <c r="V90" s="297"/>
      <c r="W90" s="297"/>
      <c r="X90" s="297"/>
      <c r="Y90" s="297"/>
      <c r="Z90" s="297"/>
      <c r="AA90" s="298"/>
      <c r="AB90" s="153"/>
      <c r="AC90" s="154"/>
      <c r="AD90" s="154"/>
      <c r="AE90" s="154"/>
      <c r="AF90" s="155"/>
      <c r="AG90" s="187" t="s">
        <v>202</v>
      </c>
    </row>
    <row r="91" spans="1:42" s="154" customFormat="1" ht="15" customHeight="1">
      <c r="A91" s="153"/>
      <c r="B91" s="376" t="s">
        <v>53</v>
      </c>
      <c r="C91" s="377"/>
      <c r="D91" s="378"/>
      <c r="E91" s="379"/>
      <c r="F91" s="377"/>
      <c r="G91" s="380"/>
      <c r="H91" s="381" t="str">
        <f t="shared" si="4"/>
        <v/>
      </c>
      <c r="I91" s="382"/>
      <c r="J91" s="427" t="s">
        <v>294</v>
      </c>
      <c r="K91" s="428"/>
      <c r="L91" s="428"/>
      <c r="M91" s="428"/>
      <c r="N91" s="428"/>
      <c r="O91" s="428"/>
      <c r="P91" s="428"/>
      <c r="Q91" s="428"/>
      <c r="R91" s="428"/>
      <c r="S91" s="169"/>
      <c r="T91" s="442"/>
      <c r="U91" s="443"/>
      <c r="V91" s="443"/>
      <c r="W91" s="443"/>
      <c r="X91" s="443"/>
      <c r="Y91" s="443"/>
      <c r="Z91" s="443"/>
      <c r="AA91" s="444"/>
      <c r="AB91" s="153"/>
      <c r="AF91" s="155"/>
      <c r="AG91" s="187"/>
      <c r="AI91" s="156"/>
    </row>
    <row r="92" spans="1:42" s="154" customFormat="1" ht="15" customHeight="1">
      <c r="A92" s="153"/>
      <c r="B92" s="312" t="s">
        <v>295</v>
      </c>
      <c r="C92" s="313"/>
      <c r="D92" s="313"/>
      <c r="E92" s="314"/>
      <c r="F92" s="314"/>
      <c r="G92" s="314"/>
      <c r="H92" s="314"/>
      <c r="I92" s="314"/>
      <c r="J92" s="314" t="s">
        <v>296</v>
      </c>
      <c r="K92" s="314"/>
      <c r="L92" s="314"/>
      <c r="M92" s="314"/>
      <c r="N92" s="314"/>
      <c r="O92" s="314"/>
      <c r="P92" s="314"/>
      <c r="Q92" s="314"/>
      <c r="R92" s="314"/>
      <c r="S92" s="314"/>
      <c r="T92" s="439"/>
      <c r="U92" s="439"/>
      <c r="V92" s="439"/>
      <c r="W92" s="439"/>
      <c r="X92" s="439"/>
      <c r="Y92" s="439"/>
      <c r="Z92" s="439"/>
      <c r="AA92" s="440"/>
      <c r="AB92" s="153"/>
      <c r="AF92" s="155"/>
      <c r="AG92" s="183"/>
      <c r="AI92" s="156"/>
    </row>
    <row r="93" spans="1:42" s="154" customFormat="1" ht="15" customHeight="1">
      <c r="A93" s="153"/>
      <c r="B93" s="301" t="s">
        <v>193</v>
      </c>
      <c r="C93" s="302"/>
      <c r="D93" s="302"/>
      <c r="E93" s="302" t="s">
        <v>194</v>
      </c>
      <c r="F93" s="302"/>
      <c r="G93" s="302"/>
      <c r="H93" s="303" t="s">
        <v>214</v>
      </c>
      <c r="I93" s="304"/>
      <c r="J93" s="305" t="s">
        <v>215</v>
      </c>
      <c r="K93" s="306"/>
      <c r="L93" s="306"/>
      <c r="M93" s="306"/>
      <c r="N93" s="306"/>
      <c r="O93" s="306"/>
      <c r="P93" s="306"/>
      <c r="Q93" s="306"/>
      <c r="R93" s="306"/>
      <c r="S93" s="136" t="s">
        <v>216</v>
      </c>
      <c r="T93" s="419" t="s">
        <v>217</v>
      </c>
      <c r="U93" s="425"/>
      <c r="V93" s="425"/>
      <c r="W93" s="425"/>
      <c r="X93" s="425"/>
      <c r="Y93" s="425"/>
      <c r="Z93" s="425"/>
      <c r="AA93" s="426"/>
      <c r="AB93" s="153"/>
      <c r="AF93" s="155"/>
      <c r="AG93" s="189"/>
      <c r="AI93" s="156"/>
    </row>
    <row r="94" spans="1:42" s="154" customFormat="1" ht="15" customHeight="1">
      <c r="A94" s="153"/>
      <c r="B94" s="339">
        <v>0.35416666666666669</v>
      </c>
      <c r="C94" s="340"/>
      <c r="D94" s="341"/>
      <c r="E94" s="342"/>
      <c r="F94" s="340"/>
      <c r="G94" s="343"/>
      <c r="H94" s="333" t="str">
        <f t="shared" ref="H94:H120" si="11">IF(E94="","",IF(E94-B94&lt;0,"24:00"-(B94-E94),E94-B94))</f>
        <v/>
      </c>
      <c r="I94" s="334"/>
      <c r="J94" s="335" t="s">
        <v>218</v>
      </c>
      <c r="K94" s="336"/>
      <c r="L94" s="336"/>
      <c r="M94" s="336"/>
      <c r="N94" s="336"/>
      <c r="O94" s="336"/>
      <c r="P94" s="336"/>
      <c r="Q94" s="336"/>
      <c r="R94" s="336"/>
      <c r="S94" s="164" t="s">
        <v>297</v>
      </c>
      <c r="T94" s="422" t="s">
        <v>298</v>
      </c>
      <c r="U94" s="423"/>
      <c r="V94" s="423"/>
      <c r="W94" s="423"/>
      <c r="X94" s="423"/>
      <c r="Y94" s="423"/>
      <c r="Z94" s="423"/>
      <c r="AA94" s="424"/>
      <c r="AB94" s="139"/>
      <c r="AF94" s="155"/>
      <c r="AG94" s="187"/>
      <c r="AI94" s="156"/>
    </row>
    <row r="95" spans="1:42" s="154" customFormat="1" ht="15" customHeight="1">
      <c r="A95" s="153"/>
      <c r="B95" s="283">
        <v>0.39583333333333331</v>
      </c>
      <c r="C95" s="284"/>
      <c r="D95" s="285"/>
      <c r="E95" s="286"/>
      <c r="F95" s="284"/>
      <c r="G95" s="287"/>
      <c r="H95" s="288" t="str">
        <f t="shared" si="11"/>
        <v/>
      </c>
      <c r="I95" s="289"/>
      <c r="J95" s="290" t="s">
        <v>219</v>
      </c>
      <c r="K95" s="291"/>
      <c r="L95" s="291"/>
      <c r="M95" s="291"/>
      <c r="N95" s="291"/>
      <c r="O95" s="291"/>
      <c r="P95" s="291"/>
      <c r="Q95" s="291"/>
      <c r="R95" s="291"/>
      <c r="S95" s="137"/>
      <c r="T95" s="296" t="s">
        <v>261</v>
      </c>
      <c r="U95" s="297"/>
      <c r="V95" s="297"/>
      <c r="W95" s="297"/>
      <c r="X95" s="297"/>
      <c r="Y95" s="297"/>
      <c r="Z95" s="297"/>
      <c r="AA95" s="298"/>
      <c r="AB95" s="139"/>
      <c r="AF95" s="155"/>
      <c r="AG95" s="187"/>
      <c r="AI95" s="156"/>
      <c r="AL95" s="154" t="s">
        <v>13</v>
      </c>
    </row>
    <row r="96" spans="1:42" s="154" customFormat="1" ht="15" customHeight="1">
      <c r="A96" s="153"/>
      <c r="B96" s="376" t="s">
        <v>53</v>
      </c>
      <c r="C96" s="377"/>
      <c r="D96" s="378"/>
      <c r="E96" s="379"/>
      <c r="F96" s="377"/>
      <c r="G96" s="380"/>
      <c r="H96" s="381" t="str">
        <f t="shared" ref="H96:H97" si="12">IF(E96="","",IF(E96-B96&lt;0,"24:00"-(B96-E96),E96-B96))</f>
        <v/>
      </c>
      <c r="I96" s="382"/>
      <c r="J96" s="427" t="s">
        <v>299</v>
      </c>
      <c r="K96" s="428"/>
      <c r="L96" s="428"/>
      <c r="M96" s="428"/>
      <c r="N96" s="428"/>
      <c r="O96" s="428"/>
      <c r="P96" s="428"/>
      <c r="Q96" s="428"/>
      <c r="R96" s="428"/>
      <c r="S96" s="169"/>
      <c r="T96" s="436"/>
      <c r="U96" s="437"/>
      <c r="V96" s="437"/>
      <c r="W96" s="437"/>
      <c r="X96" s="437"/>
      <c r="Y96" s="437"/>
      <c r="Z96" s="437"/>
      <c r="AA96" s="438"/>
      <c r="AB96" s="139"/>
      <c r="AF96" s="155"/>
      <c r="AG96" s="187"/>
      <c r="AI96" s="156"/>
    </row>
    <row r="97" spans="1:109" s="154" customFormat="1" ht="15" customHeight="1">
      <c r="A97" s="153"/>
      <c r="B97" s="283">
        <v>0.41666666666666669</v>
      </c>
      <c r="C97" s="284"/>
      <c r="D97" s="285"/>
      <c r="E97" s="286"/>
      <c r="F97" s="284"/>
      <c r="G97" s="287"/>
      <c r="H97" s="288" t="str">
        <f t="shared" si="12"/>
        <v/>
      </c>
      <c r="I97" s="289"/>
      <c r="J97" s="290" t="s">
        <v>228</v>
      </c>
      <c r="K97" s="291"/>
      <c r="L97" s="291"/>
      <c r="M97" s="291"/>
      <c r="N97" s="291"/>
      <c r="O97" s="291"/>
      <c r="P97" s="291"/>
      <c r="Q97" s="291"/>
      <c r="R97" s="291"/>
      <c r="S97" s="137"/>
      <c r="T97" s="292" t="s">
        <v>261</v>
      </c>
      <c r="U97" s="293"/>
      <c r="V97" s="293"/>
      <c r="W97" s="293"/>
      <c r="X97" s="293"/>
      <c r="Y97" s="293"/>
      <c r="Z97" s="293"/>
      <c r="AA97" s="294"/>
      <c r="AB97" s="153"/>
      <c r="AF97" s="155"/>
      <c r="AG97" s="187" t="s">
        <v>202</v>
      </c>
      <c r="AI97" s="156"/>
    </row>
    <row r="98" spans="1:109" ht="15" customHeight="1">
      <c r="A98" s="139"/>
      <c r="B98" s="283">
        <v>0.43055555555555558</v>
      </c>
      <c r="C98" s="284"/>
      <c r="D98" s="285"/>
      <c r="E98" s="286"/>
      <c r="F98" s="284"/>
      <c r="G98" s="287"/>
      <c r="H98" s="288"/>
      <c r="I98" s="289"/>
      <c r="J98" s="290" t="s">
        <v>250</v>
      </c>
      <c r="K98" s="291"/>
      <c r="L98" s="291"/>
      <c r="M98" s="291"/>
      <c r="N98" s="291"/>
      <c r="O98" s="291"/>
      <c r="P98" s="291"/>
      <c r="Q98" s="291"/>
      <c r="R98" s="291"/>
      <c r="S98" s="137"/>
      <c r="T98" s="296" t="s">
        <v>300</v>
      </c>
      <c r="U98" s="297"/>
      <c r="V98" s="297"/>
      <c r="W98" s="297"/>
      <c r="X98" s="297"/>
      <c r="Y98" s="297"/>
      <c r="Z98" s="297"/>
      <c r="AA98" s="298"/>
      <c r="AC98"/>
      <c r="AD98" s="195"/>
      <c r="AE98" s="154"/>
      <c r="AF98" s="155"/>
      <c r="AG98" s="192"/>
      <c r="AP98" s="140" t="s">
        <v>13</v>
      </c>
    </row>
    <row r="99" spans="1:109" s="139" customFormat="1" ht="15" customHeight="1">
      <c r="B99" s="283">
        <v>0.47916666666666669</v>
      </c>
      <c r="C99" s="284"/>
      <c r="D99" s="285"/>
      <c r="E99" s="286">
        <v>0.5625</v>
      </c>
      <c r="F99" s="284"/>
      <c r="G99" s="287"/>
      <c r="H99" s="288">
        <f t="shared" ref="H99" si="13">IF(E99="","",IF(E99-B99&lt;0,"24:00"-(B99-E99),E99-B99))</f>
        <v>8.3333333333333315E-2</v>
      </c>
      <c r="I99" s="289"/>
      <c r="J99" s="290" t="s">
        <v>221</v>
      </c>
      <c r="K99" s="291"/>
      <c r="L99" s="291"/>
      <c r="M99" s="291"/>
      <c r="N99" s="291"/>
      <c r="O99" s="291"/>
      <c r="P99" s="291"/>
      <c r="Q99" s="291"/>
      <c r="R99" s="291"/>
      <c r="S99" s="137" t="s">
        <v>226</v>
      </c>
      <c r="T99" s="292" t="s">
        <v>251</v>
      </c>
      <c r="U99" s="293"/>
      <c r="V99" s="293"/>
      <c r="W99" s="293"/>
      <c r="X99" s="293"/>
      <c r="Y99" s="293"/>
      <c r="Z99" s="293"/>
      <c r="AA99" s="294"/>
      <c r="AC99" s="140"/>
      <c r="AD99" s="140"/>
      <c r="AE99" s="140"/>
      <c r="AF99" s="155"/>
      <c r="AG99" s="187" t="s">
        <v>202</v>
      </c>
      <c r="AH99" s="154"/>
      <c r="AI99" s="143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140"/>
      <c r="BP99" s="140"/>
      <c r="BQ99" s="140"/>
      <c r="BR99" s="140"/>
      <c r="BS99" s="140"/>
      <c r="BT99" s="140"/>
      <c r="BU99" s="140"/>
      <c r="BV99" s="140"/>
      <c r="BW99" s="140"/>
      <c r="BX99" s="140"/>
      <c r="BY99" s="140"/>
      <c r="BZ99" s="140"/>
      <c r="CA99" s="140"/>
      <c r="CB99" s="140"/>
      <c r="CC99" s="140"/>
      <c r="CD99" s="140"/>
      <c r="CE99" s="140"/>
      <c r="CF99" s="140"/>
      <c r="CG99" s="140"/>
      <c r="CH99" s="140"/>
      <c r="CI99" s="140"/>
      <c r="CJ99" s="140"/>
      <c r="CK99" s="140"/>
      <c r="CL99" s="140"/>
      <c r="CM99" s="140"/>
      <c r="CN99" s="140"/>
      <c r="CO99" s="140"/>
      <c r="CP99" s="140"/>
      <c r="CQ99" s="140"/>
      <c r="CR99" s="140"/>
      <c r="CS99" s="140"/>
      <c r="CT99" s="140"/>
      <c r="CU99" s="140"/>
      <c r="CV99" s="140"/>
      <c r="CW99" s="140"/>
      <c r="CX99" s="140"/>
      <c r="CY99" s="140"/>
      <c r="CZ99" s="140"/>
      <c r="DA99" s="140"/>
      <c r="DB99" s="140"/>
      <c r="DC99" s="140"/>
      <c r="DD99" s="140"/>
      <c r="DE99" s="140"/>
    </row>
    <row r="100" spans="1:109" s="154" customFormat="1" ht="15" customHeight="1">
      <c r="A100" s="153"/>
      <c r="B100" s="309" t="s">
        <v>53</v>
      </c>
      <c r="C100" s="310"/>
      <c r="D100" s="311"/>
      <c r="E100" s="315"/>
      <c r="F100" s="310"/>
      <c r="G100" s="316"/>
      <c r="H100" s="317" t="str">
        <f t="shared" ref="H100" si="14">IF(E100="","",IF(E100-B100&lt;0,"24:00"-(B100-E100),E100-B100))</f>
        <v/>
      </c>
      <c r="I100" s="318"/>
      <c r="J100" s="319" t="s">
        <v>258</v>
      </c>
      <c r="K100" s="320"/>
      <c r="L100" s="320"/>
      <c r="M100" s="320"/>
      <c r="N100" s="320"/>
      <c r="O100" s="320"/>
      <c r="P100" s="320"/>
      <c r="Q100" s="320"/>
      <c r="R100" s="320"/>
      <c r="S100" s="159"/>
      <c r="T100" s="366"/>
      <c r="U100" s="367"/>
      <c r="V100" s="367"/>
      <c r="W100" s="367"/>
      <c r="X100" s="367"/>
      <c r="Y100" s="367"/>
      <c r="Z100" s="367"/>
      <c r="AA100" s="368"/>
      <c r="AB100" s="153"/>
      <c r="AC100" s="162"/>
      <c r="AD100" s="163"/>
      <c r="AE100" s="163"/>
      <c r="AF100" s="155"/>
      <c r="AG100" s="187" t="s">
        <v>202</v>
      </c>
      <c r="AI100" s="156"/>
    </row>
    <row r="101" spans="1:109" s="154" customFormat="1" ht="15" customHeight="1">
      <c r="A101" s="153"/>
      <c r="B101" s="283">
        <f t="shared" ref="B101:B114" si="15">$B$116-AF101</f>
        <v>0.4826388888888889</v>
      </c>
      <c r="C101" s="284"/>
      <c r="D101" s="285"/>
      <c r="E101" s="286">
        <v>0.48958333333333331</v>
      </c>
      <c r="F101" s="284"/>
      <c r="G101" s="287"/>
      <c r="H101" s="288">
        <f t="shared" si="11"/>
        <v>6.9444444444444198E-3</v>
      </c>
      <c r="I101" s="289"/>
      <c r="J101" s="290" t="s">
        <v>263</v>
      </c>
      <c r="K101" s="291"/>
      <c r="L101" s="291"/>
      <c r="M101" s="291"/>
      <c r="N101" s="291"/>
      <c r="O101" s="291"/>
      <c r="P101" s="291"/>
      <c r="Q101" s="291"/>
      <c r="R101" s="291"/>
      <c r="S101" s="137"/>
      <c r="T101" s="292"/>
      <c r="U101" s="293"/>
      <c r="V101" s="293"/>
      <c r="W101" s="293"/>
      <c r="X101" s="293"/>
      <c r="Y101" s="293"/>
      <c r="Z101" s="293"/>
      <c r="AA101" s="294"/>
      <c r="AB101" s="153"/>
      <c r="AC101" s="281" t="s">
        <v>262</v>
      </c>
      <c r="AD101" s="282"/>
      <c r="AE101" s="282"/>
      <c r="AF101" s="155">
        <v>0.1076388888888889</v>
      </c>
      <c r="AG101" s="187" t="s">
        <v>202</v>
      </c>
      <c r="AI101" s="156"/>
    </row>
    <row r="102" spans="1:109" s="154" customFormat="1" ht="15" customHeight="1">
      <c r="A102" s="153"/>
      <c r="B102" s="344">
        <v>0.49652777777777779</v>
      </c>
      <c r="C102" s="345"/>
      <c r="D102" s="346"/>
      <c r="E102" s="347"/>
      <c r="F102" s="345"/>
      <c r="G102" s="348"/>
      <c r="H102" s="349" t="str">
        <f t="shared" ref="H102" si="16">IF(E102="","",IF(E102-B102&lt;0,"24:00"-(B102-E102),E102-B102))</f>
        <v/>
      </c>
      <c r="I102" s="350"/>
      <c r="J102" s="373" t="s">
        <v>264</v>
      </c>
      <c r="K102" s="374"/>
      <c r="L102" s="374"/>
      <c r="M102" s="374"/>
      <c r="N102" s="374"/>
      <c r="O102" s="374"/>
      <c r="P102" s="374"/>
      <c r="Q102" s="374"/>
      <c r="R102" s="375"/>
      <c r="S102" s="198"/>
      <c r="T102" s="358"/>
      <c r="U102" s="359"/>
      <c r="V102" s="359"/>
      <c r="W102" s="359"/>
      <c r="X102" s="359"/>
      <c r="Y102" s="359"/>
      <c r="Z102" s="359"/>
      <c r="AA102" s="360"/>
      <c r="AB102" s="153"/>
      <c r="AC102" s="281" t="s">
        <v>262</v>
      </c>
      <c r="AD102" s="282"/>
      <c r="AE102" s="282"/>
      <c r="AF102" s="155">
        <v>9.375E-2</v>
      </c>
      <c r="AG102" s="187" t="s">
        <v>202</v>
      </c>
      <c r="AI102" s="156"/>
    </row>
    <row r="103" spans="1:109" s="154" customFormat="1" ht="15" customHeight="1">
      <c r="A103" s="153"/>
      <c r="B103" s="283">
        <f t="shared" si="15"/>
        <v>0.49652777777777779</v>
      </c>
      <c r="C103" s="284"/>
      <c r="D103" s="285"/>
      <c r="E103" s="286"/>
      <c r="F103" s="284"/>
      <c r="G103" s="287"/>
      <c r="H103" s="288" t="str">
        <f>IF(E103="","",IF(E103-B103&lt;0,"24:00"-(B103-E103),E103-B103))</f>
        <v/>
      </c>
      <c r="I103" s="289"/>
      <c r="J103" s="290" t="s">
        <v>282</v>
      </c>
      <c r="K103" s="291"/>
      <c r="L103" s="291"/>
      <c r="M103" s="291"/>
      <c r="N103" s="291"/>
      <c r="O103" s="291"/>
      <c r="P103" s="291"/>
      <c r="Q103" s="291"/>
      <c r="R103" s="291"/>
      <c r="S103" s="137"/>
      <c r="T103" s="292"/>
      <c r="U103" s="293"/>
      <c r="V103" s="293"/>
      <c r="W103" s="293"/>
      <c r="X103" s="293"/>
      <c r="Y103" s="293"/>
      <c r="Z103" s="293"/>
      <c r="AA103" s="294"/>
      <c r="AB103" s="153"/>
      <c r="AC103" s="281" t="s">
        <v>262</v>
      </c>
      <c r="AD103" s="282"/>
      <c r="AE103" s="282"/>
      <c r="AF103" s="155">
        <v>9.375E-2</v>
      </c>
      <c r="AG103" s="187" t="s">
        <v>202</v>
      </c>
      <c r="AI103" s="156"/>
    </row>
    <row r="104" spans="1:109" s="154" customFormat="1" ht="15" customHeight="1">
      <c r="A104" s="153"/>
      <c r="B104" s="283">
        <f t="shared" si="15"/>
        <v>0.50694444444444442</v>
      </c>
      <c r="C104" s="284"/>
      <c r="D104" s="285"/>
      <c r="E104" s="286"/>
      <c r="F104" s="284"/>
      <c r="G104" s="287"/>
      <c r="H104" s="288"/>
      <c r="I104" s="289"/>
      <c r="J104" s="307" t="s">
        <v>301</v>
      </c>
      <c r="K104" s="308"/>
      <c r="L104" s="308"/>
      <c r="M104" s="308"/>
      <c r="N104" s="308"/>
      <c r="O104" s="308"/>
      <c r="P104" s="308"/>
      <c r="Q104" s="308"/>
      <c r="R104" s="369"/>
      <c r="S104" s="138" t="s">
        <v>266</v>
      </c>
      <c r="T104" s="370" t="s">
        <v>267</v>
      </c>
      <c r="U104" s="371"/>
      <c r="V104" s="371"/>
      <c r="W104" s="371"/>
      <c r="X104" s="371"/>
      <c r="Y104" s="371"/>
      <c r="Z104" s="371"/>
      <c r="AA104" s="372"/>
      <c r="AB104" s="139"/>
      <c r="AC104" s="281" t="s">
        <v>262</v>
      </c>
      <c r="AD104" s="282"/>
      <c r="AE104" s="282"/>
      <c r="AF104" s="155">
        <v>8.3333333333333329E-2</v>
      </c>
      <c r="AG104" s="187" t="s">
        <v>202</v>
      </c>
      <c r="AH104" s="141"/>
      <c r="AI104" s="156"/>
      <c r="AQ104" s="154" t="s">
        <v>13</v>
      </c>
    </row>
    <row r="105" spans="1:109" s="154" customFormat="1" ht="15" customHeight="1">
      <c r="A105" s="153"/>
      <c r="B105" s="283">
        <f t="shared" si="15"/>
        <v>0.51736111111111116</v>
      </c>
      <c r="C105" s="284"/>
      <c r="D105" s="285"/>
      <c r="E105" s="286">
        <v>0.52083333333333337</v>
      </c>
      <c r="F105" s="284"/>
      <c r="G105" s="287"/>
      <c r="H105" s="288">
        <f t="shared" ref="H105" si="17">IF(E105="","",IF(E105-B105&lt;0,"24:00"-(B105-E105),E105-B105))</f>
        <v>3.4722222222222099E-3</v>
      </c>
      <c r="I105" s="289"/>
      <c r="J105" s="290" t="s">
        <v>268</v>
      </c>
      <c r="K105" s="291"/>
      <c r="L105" s="291"/>
      <c r="M105" s="291"/>
      <c r="N105" s="291"/>
      <c r="O105" s="291"/>
      <c r="P105" s="291"/>
      <c r="Q105" s="291"/>
      <c r="R105" s="291"/>
      <c r="S105" s="137"/>
      <c r="T105" s="292"/>
      <c r="U105" s="293"/>
      <c r="V105" s="293"/>
      <c r="W105" s="293"/>
      <c r="X105" s="293"/>
      <c r="Y105" s="293"/>
      <c r="Z105" s="293"/>
      <c r="AA105" s="294"/>
      <c r="AB105" s="153"/>
      <c r="AC105" s="281" t="s">
        <v>262</v>
      </c>
      <c r="AD105" s="282"/>
      <c r="AE105" s="282"/>
      <c r="AF105" s="155">
        <v>7.2916666666666671E-2</v>
      </c>
      <c r="AG105" s="187" t="s">
        <v>202</v>
      </c>
      <c r="AI105" s="156"/>
    </row>
    <row r="106" spans="1:109" s="154" customFormat="1" ht="15" customHeight="1">
      <c r="A106" s="153"/>
      <c r="B106" s="283">
        <f t="shared" si="15"/>
        <v>0.52430555555555558</v>
      </c>
      <c r="C106" s="284"/>
      <c r="D106" s="285"/>
      <c r="E106" s="286"/>
      <c r="F106" s="284"/>
      <c r="G106" s="287"/>
      <c r="H106" s="288" t="str">
        <f t="shared" si="11"/>
        <v/>
      </c>
      <c r="I106" s="289"/>
      <c r="J106" s="290" t="s">
        <v>302</v>
      </c>
      <c r="K106" s="291"/>
      <c r="L106" s="291"/>
      <c r="M106" s="291"/>
      <c r="N106" s="291"/>
      <c r="O106" s="291"/>
      <c r="P106" s="291"/>
      <c r="Q106" s="291"/>
      <c r="R106" s="291"/>
      <c r="S106" s="137"/>
      <c r="T106" s="292"/>
      <c r="U106" s="293"/>
      <c r="V106" s="293"/>
      <c r="W106" s="293"/>
      <c r="X106" s="293"/>
      <c r="Y106" s="293"/>
      <c r="Z106" s="293"/>
      <c r="AA106" s="294"/>
      <c r="AB106" s="153"/>
      <c r="AC106" s="281" t="s">
        <v>262</v>
      </c>
      <c r="AD106" s="282"/>
      <c r="AE106" s="282"/>
      <c r="AF106" s="155">
        <v>6.5972222222222224E-2</v>
      </c>
      <c r="AG106" s="187" t="s">
        <v>202</v>
      </c>
      <c r="AI106" s="156"/>
    </row>
    <row r="107" spans="1:109" s="139" customFormat="1" ht="15" customHeight="1">
      <c r="B107" s="344">
        <f t="shared" si="15"/>
        <v>0.52777777777777779</v>
      </c>
      <c r="C107" s="345"/>
      <c r="D107" s="346"/>
      <c r="E107" s="347"/>
      <c r="F107" s="345"/>
      <c r="G107" s="348"/>
      <c r="H107" s="349" t="str">
        <f>IF(E107="","",IF(E107-B107&lt;0,"24:00"-(B107-E107),E107-B107))</f>
        <v/>
      </c>
      <c r="I107" s="350"/>
      <c r="J107" s="351" t="s">
        <v>270</v>
      </c>
      <c r="K107" s="352"/>
      <c r="L107" s="352"/>
      <c r="M107" s="352"/>
      <c r="N107" s="352"/>
      <c r="O107" s="352"/>
      <c r="P107" s="352"/>
      <c r="Q107" s="352"/>
      <c r="R107" s="352"/>
      <c r="S107" s="198"/>
      <c r="T107" s="353"/>
      <c r="U107" s="354"/>
      <c r="V107" s="354"/>
      <c r="W107" s="354"/>
      <c r="X107" s="354"/>
      <c r="Y107" s="354"/>
      <c r="Z107" s="354"/>
      <c r="AA107" s="355"/>
      <c r="AB107" s="153"/>
      <c r="AC107" s="281" t="s">
        <v>262</v>
      </c>
      <c r="AD107" s="282"/>
      <c r="AE107" s="282"/>
      <c r="AF107" s="155">
        <v>6.25E-2</v>
      </c>
      <c r="AG107" s="184"/>
      <c r="AH107" s="140"/>
      <c r="AI107" s="143"/>
      <c r="AJ107" s="140"/>
      <c r="AK107" s="140"/>
      <c r="AL107" s="140"/>
      <c r="AM107" s="140"/>
      <c r="AN107" s="140"/>
      <c r="AO107" s="140"/>
      <c r="AP107" s="140"/>
      <c r="AQ107" s="140"/>
      <c r="AR107" s="140"/>
      <c r="AS107" s="140"/>
      <c r="AT107" s="140"/>
      <c r="AU107" s="140"/>
      <c r="AV107" s="140"/>
      <c r="AW107" s="140"/>
      <c r="AX107" s="140"/>
      <c r="AY107" s="140"/>
      <c r="AZ107" s="140"/>
      <c r="BA107" s="140"/>
      <c r="BB107" s="140"/>
      <c r="BC107" s="140"/>
      <c r="BD107" s="140"/>
      <c r="BE107" s="140"/>
      <c r="BF107" s="140"/>
      <c r="BG107" s="140"/>
      <c r="BH107" s="140"/>
      <c r="BI107" s="140"/>
      <c r="BJ107" s="140"/>
      <c r="BK107" s="140"/>
      <c r="BL107" s="140"/>
      <c r="BM107" s="140"/>
      <c r="BN107" s="140"/>
      <c r="BO107" s="140"/>
      <c r="BP107" s="140"/>
      <c r="BQ107" s="140"/>
      <c r="BR107" s="140"/>
      <c r="BS107" s="140"/>
      <c r="BT107" s="140"/>
      <c r="BU107" s="140"/>
      <c r="BV107" s="140"/>
      <c r="BW107" s="140"/>
      <c r="BX107" s="140"/>
      <c r="BY107" s="140"/>
      <c r="BZ107" s="140"/>
      <c r="CA107" s="140"/>
      <c r="CB107" s="140"/>
      <c r="CC107" s="140"/>
      <c r="CD107" s="140"/>
      <c r="CE107" s="140"/>
      <c r="CF107" s="140"/>
      <c r="CG107" s="140"/>
      <c r="CH107" s="140"/>
      <c r="CI107" s="140"/>
      <c r="CJ107" s="140"/>
      <c r="CK107" s="140"/>
      <c r="CL107" s="140"/>
      <c r="CM107" s="140"/>
      <c r="CN107" s="140"/>
      <c r="CO107" s="140"/>
      <c r="CP107" s="140"/>
      <c r="CQ107" s="140"/>
      <c r="CR107" s="140"/>
      <c r="CS107" s="140"/>
      <c r="CT107" s="140"/>
      <c r="CU107" s="140"/>
      <c r="CV107" s="140"/>
      <c r="CW107" s="140"/>
      <c r="CX107" s="140"/>
      <c r="CY107" s="140"/>
      <c r="CZ107" s="140"/>
      <c r="DA107" s="140"/>
      <c r="DB107" s="140"/>
      <c r="DC107" s="140"/>
      <c r="DD107" s="140"/>
      <c r="DE107" s="140"/>
    </row>
    <row r="108" spans="1:109" s="154" customFormat="1" ht="15" customHeight="1">
      <c r="A108" s="153"/>
      <c r="B108" s="283">
        <f t="shared" si="15"/>
        <v>0.53472222222222221</v>
      </c>
      <c r="C108" s="284"/>
      <c r="D108" s="285"/>
      <c r="E108" s="286"/>
      <c r="F108" s="284"/>
      <c r="G108" s="287"/>
      <c r="H108" s="288" t="str">
        <f t="shared" ref="H108:H110" si="18">IF(E108="","",IF(E108-B108&lt;0,"24:00"-(B108-E108),E108-B108))</f>
        <v/>
      </c>
      <c r="I108" s="289"/>
      <c r="J108" s="290" t="s">
        <v>271</v>
      </c>
      <c r="K108" s="291"/>
      <c r="L108" s="291"/>
      <c r="M108" s="291"/>
      <c r="N108" s="291"/>
      <c r="O108" s="291"/>
      <c r="P108" s="291"/>
      <c r="Q108" s="291"/>
      <c r="R108" s="291"/>
      <c r="S108" s="137"/>
      <c r="T108" s="292"/>
      <c r="U108" s="293"/>
      <c r="V108" s="293"/>
      <c r="W108" s="293"/>
      <c r="X108" s="293"/>
      <c r="Y108" s="293"/>
      <c r="Z108" s="293"/>
      <c r="AA108" s="294"/>
      <c r="AB108" s="153"/>
      <c r="AC108" s="281" t="s">
        <v>262</v>
      </c>
      <c r="AD108" s="282"/>
      <c r="AE108" s="282"/>
      <c r="AF108" s="155">
        <v>5.5555555555555552E-2</v>
      </c>
      <c r="AG108" s="187" t="s">
        <v>202</v>
      </c>
      <c r="AI108" s="156"/>
    </row>
    <row r="109" spans="1:109" s="154" customFormat="1" ht="15" customHeight="1">
      <c r="A109" s="153"/>
      <c r="B109" s="283">
        <f t="shared" si="15"/>
        <v>0.54861111111111116</v>
      </c>
      <c r="C109" s="284"/>
      <c r="D109" s="285"/>
      <c r="E109" s="286">
        <v>0.55208333333333337</v>
      </c>
      <c r="F109" s="284"/>
      <c r="G109" s="287"/>
      <c r="H109" s="288">
        <f t="shared" si="18"/>
        <v>3.4722222222222099E-3</v>
      </c>
      <c r="I109" s="289"/>
      <c r="J109" s="290" t="s">
        <v>273</v>
      </c>
      <c r="K109" s="291"/>
      <c r="L109" s="291"/>
      <c r="M109" s="291"/>
      <c r="N109" s="291"/>
      <c r="O109" s="291"/>
      <c r="P109" s="291"/>
      <c r="Q109" s="291"/>
      <c r="R109" s="291"/>
      <c r="S109" s="137"/>
      <c r="T109" s="296"/>
      <c r="U109" s="297"/>
      <c r="V109" s="297"/>
      <c r="W109" s="297"/>
      <c r="X109" s="297"/>
      <c r="Y109" s="297"/>
      <c r="Z109" s="297"/>
      <c r="AA109" s="298"/>
      <c r="AB109" s="153"/>
      <c r="AC109" s="281" t="s">
        <v>262</v>
      </c>
      <c r="AD109" s="282"/>
      <c r="AE109" s="282"/>
      <c r="AF109" s="155">
        <v>4.1666666666666664E-2</v>
      </c>
      <c r="AG109" s="186" t="s">
        <v>202</v>
      </c>
      <c r="AI109" s="156"/>
      <c r="AP109" s="154" t="s">
        <v>13</v>
      </c>
    </row>
    <row r="110" spans="1:109" ht="15" customHeight="1">
      <c r="A110" s="139"/>
      <c r="B110" s="283">
        <f t="shared" si="15"/>
        <v>0.55555555555555558</v>
      </c>
      <c r="C110" s="284"/>
      <c r="D110" s="285"/>
      <c r="E110" s="286"/>
      <c r="F110" s="284"/>
      <c r="G110" s="287"/>
      <c r="H110" s="288" t="str">
        <f t="shared" si="18"/>
        <v/>
      </c>
      <c r="I110" s="289"/>
      <c r="J110" s="290" t="s">
        <v>274</v>
      </c>
      <c r="K110" s="291"/>
      <c r="L110" s="291"/>
      <c r="M110" s="291"/>
      <c r="N110" s="291"/>
      <c r="O110" s="291"/>
      <c r="P110" s="291"/>
      <c r="Q110" s="291"/>
      <c r="R110" s="291"/>
      <c r="S110" s="137"/>
      <c r="T110" s="292"/>
      <c r="U110" s="293"/>
      <c r="V110" s="293"/>
      <c r="W110" s="293"/>
      <c r="X110" s="293"/>
      <c r="Y110" s="293"/>
      <c r="Z110" s="293"/>
      <c r="AA110" s="294"/>
      <c r="AB110" s="153"/>
      <c r="AC110" s="281" t="s">
        <v>262</v>
      </c>
      <c r="AD110" s="282"/>
      <c r="AE110" s="282"/>
      <c r="AF110" s="155">
        <v>3.4722222222222224E-2</v>
      </c>
      <c r="AG110" s="187" t="s">
        <v>202</v>
      </c>
    </row>
    <row r="111" spans="1:109" s="154" customFormat="1" ht="15" customHeight="1">
      <c r="A111" s="153"/>
      <c r="B111" s="283">
        <f t="shared" si="15"/>
        <v>0.55902777777777779</v>
      </c>
      <c r="C111" s="284"/>
      <c r="D111" s="285"/>
      <c r="E111" s="286"/>
      <c r="F111" s="284"/>
      <c r="G111" s="287"/>
      <c r="H111" s="288" t="str">
        <f t="shared" si="11"/>
        <v/>
      </c>
      <c r="I111" s="289"/>
      <c r="J111" s="290" t="s">
        <v>303</v>
      </c>
      <c r="K111" s="291"/>
      <c r="L111" s="291"/>
      <c r="M111" s="291"/>
      <c r="N111" s="291"/>
      <c r="O111" s="291"/>
      <c r="P111" s="291"/>
      <c r="Q111" s="291"/>
      <c r="R111" s="291"/>
      <c r="S111" s="137"/>
      <c r="T111" s="292"/>
      <c r="U111" s="293"/>
      <c r="V111" s="293"/>
      <c r="W111" s="293"/>
      <c r="X111" s="293"/>
      <c r="Y111" s="293"/>
      <c r="Z111" s="293"/>
      <c r="AA111" s="294"/>
      <c r="AB111" s="153"/>
      <c r="AC111" s="281" t="s">
        <v>262</v>
      </c>
      <c r="AD111" s="282"/>
      <c r="AE111" s="282"/>
      <c r="AF111" s="155">
        <v>3.125E-2</v>
      </c>
      <c r="AG111" s="187" t="s">
        <v>202</v>
      </c>
      <c r="AI111" s="156"/>
      <c r="AO111" s="154" t="s">
        <v>13</v>
      </c>
    </row>
    <row r="112" spans="1:109" ht="15" customHeight="1">
      <c r="A112" s="139"/>
      <c r="B112" s="344">
        <f t="shared" si="15"/>
        <v>0.55902777777777779</v>
      </c>
      <c r="C112" s="345"/>
      <c r="D112" s="346"/>
      <c r="E112" s="347"/>
      <c r="F112" s="345"/>
      <c r="G112" s="348"/>
      <c r="H112" s="349" t="str">
        <f t="shared" si="11"/>
        <v/>
      </c>
      <c r="I112" s="350"/>
      <c r="J112" s="356" t="s">
        <v>276</v>
      </c>
      <c r="K112" s="357"/>
      <c r="L112" s="357"/>
      <c r="M112" s="357"/>
      <c r="N112" s="357"/>
      <c r="O112" s="357"/>
      <c r="P112" s="357"/>
      <c r="Q112" s="357"/>
      <c r="R112" s="357"/>
      <c r="S112" s="201"/>
      <c r="T112" s="383"/>
      <c r="U112" s="384"/>
      <c r="V112" s="384"/>
      <c r="W112" s="384"/>
      <c r="X112" s="384"/>
      <c r="Y112" s="384"/>
      <c r="Z112" s="384"/>
      <c r="AA112" s="385"/>
      <c r="AC112" s="281" t="s">
        <v>262</v>
      </c>
      <c r="AD112" s="282"/>
      <c r="AE112" s="282"/>
      <c r="AF112" s="155">
        <v>3.125E-2</v>
      </c>
      <c r="AG112" s="187" t="s">
        <v>202</v>
      </c>
      <c r="AH112" s="154"/>
    </row>
    <row r="113" spans="1:44" s="154" customFormat="1" ht="15" customHeight="1">
      <c r="A113" s="153"/>
      <c r="B113" s="283">
        <f t="shared" si="15"/>
        <v>0.56597222222222221</v>
      </c>
      <c r="C113" s="284"/>
      <c r="D113" s="285"/>
      <c r="E113" s="286"/>
      <c r="F113" s="284"/>
      <c r="G113" s="287"/>
      <c r="H113" s="288" t="str">
        <f t="shared" si="11"/>
        <v/>
      </c>
      <c r="I113" s="289"/>
      <c r="J113" s="290" t="s">
        <v>277</v>
      </c>
      <c r="K113" s="291"/>
      <c r="L113" s="291"/>
      <c r="M113" s="291"/>
      <c r="N113" s="291"/>
      <c r="O113" s="291"/>
      <c r="P113" s="291"/>
      <c r="Q113" s="291"/>
      <c r="R113" s="291"/>
      <c r="S113" s="137"/>
      <c r="T113" s="296"/>
      <c r="U113" s="297"/>
      <c r="V113" s="297"/>
      <c r="W113" s="297"/>
      <c r="X113" s="297"/>
      <c r="Y113" s="297"/>
      <c r="Z113" s="297"/>
      <c r="AA113" s="298"/>
      <c r="AB113" s="139"/>
      <c r="AC113" s="281" t="s">
        <v>262</v>
      </c>
      <c r="AD113" s="282"/>
      <c r="AE113" s="282"/>
      <c r="AF113" s="155">
        <v>2.4305555555555556E-2</v>
      </c>
      <c r="AG113" s="187" t="s">
        <v>202</v>
      </c>
      <c r="AI113" s="156"/>
    </row>
    <row r="114" spans="1:44" s="154" customFormat="1" ht="15" customHeight="1">
      <c r="A114" s="153"/>
      <c r="B114" s="283">
        <f t="shared" si="15"/>
        <v>0.57291666666666663</v>
      </c>
      <c r="C114" s="284"/>
      <c r="D114" s="285"/>
      <c r="E114" s="286"/>
      <c r="F114" s="284"/>
      <c r="G114" s="287"/>
      <c r="H114" s="288" t="str">
        <f t="shared" si="11"/>
        <v/>
      </c>
      <c r="I114" s="289"/>
      <c r="J114" s="290" t="s">
        <v>286</v>
      </c>
      <c r="K114" s="291"/>
      <c r="L114" s="291"/>
      <c r="M114" s="291"/>
      <c r="N114" s="291"/>
      <c r="O114" s="291"/>
      <c r="P114" s="291"/>
      <c r="Q114" s="291"/>
      <c r="R114" s="291"/>
      <c r="S114" s="137"/>
      <c r="T114" s="292"/>
      <c r="U114" s="293"/>
      <c r="V114" s="293"/>
      <c r="W114" s="293"/>
      <c r="X114" s="293"/>
      <c r="Y114" s="293"/>
      <c r="Z114" s="293"/>
      <c r="AA114" s="294"/>
      <c r="AB114" s="153"/>
      <c r="AC114" s="281" t="s">
        <v>262</v>
      </c>
      <c r="AD114" s="282"/>
      <c r="AE114" s="282"/>
      <c r="AF114" s="155">
        <v>1.7361111111111112E-2</v>
      </c>
      <c r="AG114" s="187" t="s">
        <v>202</v>
      </c>
      <c r="AI114" s="156"/>
    </row>
    <row r="115" spans="1:44" s="154" customFormat="1" ht="15" customHeight="1">
      <c r="A115" s="153"/>
      <c r="B115" s="283">
        <f>$B$116-AF115</f>
        <v>0.57986111111111116</v>
      </c>
      <c r="C115" s="284"/>
      <c r="D115" s="285"/>
      <c r="E115" s="286">
        <v>0.58333333333333337</v>
      </c>
      <c r="F115" s="284"/>
      <c r="G115" s="287"/>
      <c r="H115" s="288">
        <f t="shared" si="11"/>
        <v>3.4722222222222099E-3</v>
      </c>
      <c r="I115" s="289"/>
      <c r="J115" s="290" t="s">
        <v>304</v>
      </c>
      <c r="K115" s="291"/>
      <c r="L115" s="291"/>
      <c r="M115" s="291"/>
      <c r="N115" s="291"/>
      <c r="O115" s="291"/>
      <c r="P115" s="291"/>
      <c r="Q115" s="291"/>
      <c r="R115" s="291"/>
      <c r="S115" s="137"/>
      <c r="T115" s="292"/>
      <c r="U115" s="293"/>
      <c r="V115" s="293"/>
      <c r="W115" s="293"/>
      <c r="X115" s="293"/>
      <c r="Y115" s="293"/>
      <c r="Z115" s="293"/>
      <c r="AA115" s="294"/>
      <c r="AB115" s="153"/>
      <c r="AC115" s="281" t="s">
        <v>262</v>
      </c>
      <c r="AD115" s="282"/>
      <c r="AE115" s="282"/>
      <c r="AF115" s="155">
        <v>1.0416666666666666E-2</v>
      </c>
      <c r="AG115" s="187" t="s">
        <v>202</v>
      </c>
      <c r="AI115" s="156"/>
      <c r="AP115" s="154" t="s">
        <v>13</v>
      </c>
      <c r="AR115" s="154" t="s">
        <v>13</v>
      </c>
    </row>
    <row r="116" spans="1:44" s="154" customFormat="1" ht="15" customHeight="1">
      <c r="A116" s="153"/>
      <c r="B116" s="283">
        <v>0.59027777777777779</v>
      </c>
      <c r="C116" s="284"/>
      <c r="D116" s="285"/>
      <c r="E116" s="286">
        <v>0.625</v>
      </c>
      <c r="F116" s="284"/>
      <c r="G116" s="287"/>
      <c r="H116" s="288">
        <f t="shared" si="11"/>
        <v>3.472222222222221E-2</v>
      </c>
      <c r="I116" s="289"/>
      <c r="J116" s="290" t="s">
        <v>305</v>
      </c>
      <c r="K116" s="291"/>
      <c r="L116" s="291"/>
      <c r="M116" s="291"/>
      <c r="N116" s="291"/>
      <c r="O116" s="291"/>
      <c r="P116" s="291"/>
      <c r="Q116" s="291"/>
      <c r="R116" s="291"/>
      <c r="S116" s="137"/>
      <c r="T116" s="296"/>
      <c r="U116" s="297"/>
      <c r="V116" s="297"/>
      <c r="W116" s="297"/>
      <c r="X116" s="297"/>
      <c r="Y116" s="297"/>
      <c r="Z116" s="297"/>
      <c r="AA116" s="298"/>
      <c r="AB116" s="139"/>
      <c r="AC116" s="140"/>
      <c r="AD116" s="140"/>
      <c r="AE116" s="140"/>
      <c r="AF116" s="155"/>
      <c r="AG116" s="187" t="s">
        <v>202</v>
      </c>
      <c r="AH116" s="139"/>
      <c r="AI116" s="156"/>
    </row>
    <row r="117" spans="1:44" s="154" customFormat="1" ht="15" customHeight="1">
      <c r="A117" s="153"/>
      <c r="B117" s="283">
        <v>0.63888888888888884</v>
      </c>
      <c r="C117" s="284"/>
      <c r="D117" s="285"/>
      <c r="E117" s="286">
        <v>0.65972222222222221</v>
      </c>
      <c r="F117" s="284"/>
      <c r="G117" s="287"/>
      <c r="H117" s="288">
        <f t="shared" si="11"/>
        <v>2.083333333333337E-2</v>
      </c>
      <c r="I117" s="289"/>
      <c r="J117" s="290" t="s">
        <v>290</v>
      </c>
      <c r="K117" s="291"/>
      <c r="L117" s="291"/>
      <c r="M117" s="291"/>
      <c r="N117" s="291"/>
      <c r="O117" s="291"/>
      <c r="P117" s="291"/>
      <c r="Q117" s="291"/>
      <c r="R117" s="291"/>
      <c r="S117" s="137" t="s">
        <v>291</v>
      </c>
      <c r="T117" s="292" t="s">
        <v>306</v>
      </c>
      <c r="U117" s="293"/>
      <c r="V117" s="293"/>
      <c r="W117" s="293"/>
      <c r="X117" s="293"/>
      <c r="Y117" s="293"/>
      <c r="Z117" s="293"/>
      <c r="AA117" s="294"/>
      <c r="AB117" s="139"/>
      <c r="AC117" s="140"/>
      <c r="AD117" s="140"/>
      <c r="AE117" s="140"/>
      <c r="AF117" s="155"/>
      <c r="AG117" s="187"/>
      <c r="AH117" s="139"/>
      <c r="AI117" s="156"/>
    </row>
    <row r="118" spans="1:44" ht="15" customHeight="1">
      <c r="A118" s="139"/>
      <c r="B118" s="283">
        <v>0.64583333333333337</v>
      </c>
      <c r="C118" s="284"/>
      <c r="D118" s="285"/>
      <c r="E118" s="286"/>
      <c r="F118" s="284"/>
      <c r="G118" s="287"/>
      <c r="H118" s="288"/>
      <c r="I118" s="289"/>
      <c r="J118" s="290" t="s">
        <v>307</v>
      </c>
      <c r="K118" s="291"/>
      <c r="L118" s="291"/>
      <c r="M118" s="291"/>
      <c r="N118" s="291"/>
      <c r="O118" s="291"/>
      <c r="P118" s="291"/>
      <c r="Q118" s="291"/>
      <c r="R118" s="291"/>
      <c r="S118" s="138" t="s">
        <v>266</v>
      </c>
      <c r="T118" s="370" t="s">
        <v>267</v>
      </c>
      <c r="U118" s="371"/>
      <c r="V118" s="371"/>
      <c r="W118" s="371"/>
      <c r="X118" s="371"/>
      <c r="Y118" s="371"/>
      <c r="Z118" s="371"/>
      <c r="AA118" s="372"/>
      <c r="AF118" s="155"/>
      <c r="AG118" s="187" t="s">
        <v>202</v>
      </c>
    </row>
    <row r="119" spans="1:44" ht="15" customHeight="1">
      <c r="A119" s="139"/>
      <c r="B119" s="309" t="s">
        <v>53</v>
      </c>
      <c r="C119" s="310"/>
      <c r="D119" s="311"/>
      <c r="E119" s="315"/>
      <c r="F119" s="310"/>
      <c r="G119" s="316"/>
      <c r="H119" s="317" t="str">
        <f t="shared" si="11"/>
        <v/>
      </c>
      <c r="I119" s="318"/>
      <c r="J119" s="319" t="s">
        <v>293</v>
      </c>
      <c r="K119" s="320"/>
      <c r="L119" s="320"/>
      <c r="M119" s="320"/>
      <c r="N119" s="320"/>
      <c r="O119" s="320"/>
      <c r="P119" s="320"/>
      <c r="Q119" s="320"/>
      <c r="R119" s="320"/>
      <c r="S119" s="159"/>
      <c r="T119" s="366"/>
      <c r="U119" s="367"/>
      <c r="V119" s="367"/>
      <c r="W119" s="367"/>
      <c r="X119" s="367"/>
      <c r="Y119" s="367"/>
      <c r="Z119" s="367"/>
      <c r="AA119" s="368"/>
      <c r="AB119" s="153"/>
      <c r="AF119" s="155"/>
      <c r="AG119" s="187" t="s">
        <v>202</v>
      </c>
      <c r="AH119" s="154"/>
    </row>
    <row r="120" spans="1:44" s="154" customFormat="1" ht="15" customHeight="1">
      <c r="A120" s="153"/>
      <c r="B120" s="283">
        <v>0.75</v>
      </c>
      <c r="C120" s="284"/>
      <c r="D120" s="285"/>
      <c r="E120" s="286"/>
      <c r="F120" s="284"/>
      <c r="G120" s="287"/>
      <c r="H120" s="288" t="str">
        <f t="shared" si="11"/>
        <v/>
      </c>
      <c r="I120" s="289"/>
      <c r="J120" s="290" t="s">
        <v>256</v>
      </c>
      <c r="K120" s="291"/>
      <c r="L120" s="291"/>
      <c r="M120" s="291"/>
      <c r="N120" s="291"/>
      <c r="O120" s="291"/>
      <c r="P120" s="291"/>
      <c r="Q120" s="291"/>
      <c r="R120" s="295"/>
      <c r="S120" s="138" t="s">
        <v>266</v>
      </c>
      <c r="T120" s="370" t="s">
        <v>257</v>
      </c>
      <c r="U120" s="371"/>
      <c r="V120" s="371"/>
      <c r="W120" s="371"/>
      <c r="X120" s="371"/>
      <c r="Y120" s="371"/>
      <c r="Z120" s="371"/>
      <c r="AA120" s="372"/>
      <c r="AB120" s="153"/>
      <c r="AD120" s="195"/>
      <c r="AF120" s="155"/>
      <c r="AG120" s="187"/>
      <c r="AI120" s="156"/>
    </row>
    <row r="121" spans="1:44" s="154" customFormat="1" ht="15" customHeight="1">
      <c r="A121" s="153"/>
      <c r="B121" s="283" t="s">
        <v>53</v>
      </c>
      <c r="C121" s="284"/>
      <c r="D121" s="285"/>
      <c r="E121" s="286"/>
      <c r="F121" s="284"/>
      <c r="G121" s="287"/>
      <c r="H121" s="288" t="str">
        <f t="shared" ref="H121:H122" si="19">IF(E121="","",IF(E121-B121&lt;0,"24:00"-(B121-E121),E121-B121))</f>
        <v/>
      </c>
      <c r="I121" s="289"/>
      <c r="J121" s="290" t="s">
        <v>224</v>
      </c>
      <c r="K121" s="291"/>
      <c r="L121" s="291"/>
      <c r="M121" s="291"/>
      <c r="N121" s="291"/>
      <c r="O121" s="291"/>
      <c r="P121" s="291"/>
      <c r="Q121" s="291"/>
      <c r="R121" s="291"/>
      <c r="S121" s="137"/>
      <c r="T121" s="296" t="s">
        <v>251</v>
      </c>
      <c r="U121" s="297"/>
      <c r="V121" s="297"/>
      <c r="W121" s="297"/>
      <c r="X121" s="297"/>
      <c r="Y121" s="297"/>
      <c r="Z121" s="297"/>
      <c r="AA121" s="298"/>
      <c r="AB121" s="153"/>
      <c r="AC121" s="140"/>
      <c r="AD121" s="140"/>
      <c r="AE121" s="140"/>
      <c r="AF121" s="155"/>
      <c r="AG121" s="187"/>
      <c r="AI121" s="156"/>
    </row>
    <row r="122" spans="1:44" s="154" customFormat="1" ht="15" customHeight="1">
      <c r="A122" s="153"/>
      <c r="B122" s="376" t="s">
        <v>53</v>
      </c>
      <c r="C122" s="377"/>
      <c r="D122" s="378"/>
      <c r="E122" s="379"/>
      <c r="F122" s="377"/>
      <c r="G122" s="380"/>
      <c r="H122" s="381" t="str">
        <f t="shared" si="19"/>
        <v/>
      </c>
      <c r="I122" s="382"/>
      <c r="J122" s="427" t="s">
        <v>294</v>
      </c>
      <c r="K122" s="428"/>
      <c r="L122" s="428"/>
      <c r="M122" s="428"/>
      <c r="N122" s="428"/>
      <c r="O122" s="428"/>
      <c r="P122" s="428"/>
      <c r="Q122" s="428"/>
      <c r="R122" s="428"/>
      <c r="S122" s="169"/>
      <c r="T122" s="442"/>
      <c r="U122" s="443"/>
      <c r="V122" s="443"/>
      <c r="W122" s="443"/>
      <c r="X122" s="443"/>
      <c r="Y122" s="443"/>
      <c r="Z122" s="443"/>
      <c r="AA122" s="444"/>
      <c r="AB122" s="153"/>
      <c r="AC122" s="140"/>
      <c r="AD122" s="140"/>
      <c r="AE122" s="140"/>
      <c r="AF122" s="155"/>
      <c r="AG122" s="187"/>
      <c r="AI122" s="156"/>
      <c r="AQ122" s="158"/>
    </row>
    <row r="123" spans="1:44" s="154" customFormat="1" ht="15" customHeight="1">
      <c r="A123" s="153"/>
      <c r="B123" s="312" t="s">
        <v>212</v>
      </c>
      <c r="C123" s="313"/>
      <c r="D123" s="313"/>
      <c r="E123" s="314"/>
      <c r="F123" s="314"/>
      <c r="G123" s="314"/>
      <c r="H123" s="314"/>
      <c r="I123" s="314"/>
      <c r="J123" s="314" t="s">
        <v>308</v>
      </c>
      <c r="K123" s="314"/>
      <c r="L123" s="314"/>
      <c r="M123" s="314"/>
      <c r="N123" s="314"/>
      <c r="O123" s="314"/>
      <c r="P123" s="314"/>
      <c r="Q123" s="314"/>
      <c r="R123" s="314"/>
      <c r="S123" s="314"/>
      <c r="T123" s="439"/>
      <c r="U123" s="439"/>
      <c r="V123" s="439"/>
      <c r="W123" s="439"/>
      <c r="X123" s="439"/>
      <c r="Y123" s="439"/>
      <c r="Z123" s="439"/>
      <c r="AA123" s="440"/>
      <c r="AB123" s="153"/>
      <c r="AF123" s="155"/>
      <c r="AG123" s="183"/>
      <c r="AI123" s="156"/>
      <c r="AQ123" s="158"/>
    </row>
    <row r="124" spans="1:44" ht="15" customHeight="1">
      <c r="A124" s="139"/>
      <c r="B124" s="301" t="s">
        <v>193</v>
      </c>
      <c r="C124" s="302"/>
      <c r="D124" s="302"/>
      <c r="E124" s="302" t="s">
        <v>194</v>
      </c>
      <c r="F124" s="302"/>
      <c r="G124" s="302"/>
      <c r="H124" s="303" t="s">
        <v>214</v>
      </c>
      <c r="I124" s="304"/>
      <c r="J124" s="305" t="s">
        <v>215</v>
      </c>
      <c r="K124" s="306"/>
      <c r="L124" s="306"/>
      <c r="M124" s="306"/>
      <c r="N124" s="306"/>
      <c r="O124" s="306"/>
      <c r="P124" s="306"/>
      <c r="Q124" s="306"/>
      <c r="R124" s="306"/>
      <c r="S124" s="136" t="s">
        <v>216</v>
      </c>
      <c r="T124" s="419" t="s">
        <v>217</v>
      </c>
      <c r="U124" s="425"/>
      <c r="V124" s="425"/>
      <c r="W124" s="425"/>
      <c r="X124" s="425"/>
      <c r="Y124" s="425"/>
      <c r="Z124" s="425"/>
      <c r="AA124" s="426"/>
      <c r="AC124" s="154"/>
      <c r="AD124" s="154"/>
      <c r="AE124" s="154"/>
      <c r="AF124" s="155"/>
      <c r="AG124" s="189"/>
      <c r="AH124" s="154"/>
      <c r="AQ124" s="144"/>
    </row>
    <row r="125" spans="1:44" s="154" customFormat="1" ht="15" customHeight="1">
      <c r="A125" s="153"/>
      <c r="B125" s="339">
        <v>0.29166666666666669</v>
      </c>
      <c r="C125" s="340"/>
      <c r="D125" s="341"/>
      <c r="E125" s="342"/>
      <c r="F125" s="340"/>
      <c r="G125" s="343"/>
      <c r="H125" s="333" t="str">
        <f t="shared" ref="H125:H149" si="20">IF(E125="","",IF(E125-B125&lt;0,"24:00"-(B125-E125),E125-B125))</f>
        <v/>
      </c>
      <c r="I125" s="334"/>
      <c r="J125" s="431" t="s">
        <v>218</v>
      </c>
      <c r="K125" s="432"/>
      <c r="L125" s="432"/>
      <c r="M125" s="432"/>
      <c r="N125" s="432"/>
      <c r="O125" s="432"/>
      <c r="P125" s="432"/>
      <c r="Q125" s="432"/>
      <c r="R125" s="432"/>
      <c r="S125" s="164"/>
      <c r="T125" s="433"/>
      <c r="U125" s="434"/>
      <c r="V125" s="434"/>
      <c r="W125" s="434"/>
      <c r="X125" s="434"/>
      <c r="Y125" s="434"/>
      <c r="Z125" s="434"/>
      <c r="AA125" s="435"/>
      <c r="AB125" s="139"/>
      <c r="AF125" s="155"/>
      <c r="AG125" s="187"/>
      <c r="AI125" s="156"/>
      <c r="AQ125" s="158"/>
    </row>
    <row r="126" spans="1:44" s="154" customFormat="1" ht="15" customHeight="1">
      <c r="A126" s="153"/>
      <c r="B126" s="283">
        <v>0.34375</v>
      </c>
      <c r="C126" s="284"/>
      <c r="D126" s="285"/>
      <c r="E126" s="286"/>
      <c r="F126" s="284"/>
      <c r="G126" s="287"/>
      <c r="H126" s="288" t="str">
        <f t="shared" si="20"/>
        <v/>
      </c>
      <c r="I126" s="289"/>
      <c r="J126" s="290" t="s">
        <v>219</v>
      </c>
      <c r="K126" s="291"/>
      <c r="L126" s="291"/>
      <c r="M126" s="291"/>
      <c r="N126" s="291"/>
      <c r="O126" s="291"/>
      <c r="P126" s="291"/>
      <c r="Q126" s="291"/>
      <c r="R126" s="291"/>
      <c r="S126" s="137"/>
      <c r="T126" s="296"/>
      <c r="U126" s="297"/>
      <c r="V126" s="297"/>
      <c r="W126" s="297"/>
      <c r="X126" s="297"/>
      <c r="Y126" s="297"/>
      <c r="Z126" s="297"/>
      <c r="AA126" s="298"/>
      <c r="AB126" s="153"/>
      <c r="AF126" s="155"/>
      <c r="AG126" s="187"/>
      <c r="AI126" s="156"/>
      <c r="AO126" s="154" t="s">
        <v>13</v>
      </c>
      <c r="AQ126" s="158"/>
    </row>
    <row r="127" spans="1:44" s="154" customFormat="1" ht="15" customHeight="1">
      <c r="A127" s="153"/>
      <c r="B127" s="376" t="s">
        <v>53</v>
      </c>
      <c r="C127" s="377"/>
      <c r="D127" s="378"/>
      <c r="E127" s="379"/>
      <c r="F127" s="377"/>
      <c r="G127" s="380"/>
      <c r="H127" s="381" t="str">
        <f t="shared" si="20"/>
        <v/>
      </c>
      <c r="I127" s="382"/>
      <c r="J127" s="427" t="s">
        <v>299</v>
      </c>
      <c r="K127" s="428"/>
      <c r="L127" s="428"/>
      <c r="M127" s="428"/>
      <c r="N127" s="428"/>
      <c r="O127" s="428"/>
      <c r="P127" s="428"/>
      <c r="Q127" s="428"/>
      <c r="R127" s="428"/>
      <c r="S127" s="169"/>
      <c r="T127" s="436"/>
      <c r="U127" s="437"/>
      <c r="V127" s="437"/>
      <c r="W127" s="437"/>
      <c r="X127" s="437"/>
      <c r="Y127" s="437"/>
      <c r="Z127" s="437"/>
      <c r="AA127" s="438"/>
      <c r="AB127" s="139"/>
      <c r="AF127" s="155"/>
      <c r="AG127" s="187"/>
      <c r="AI127" s="156"/>
      <c r="AQ127" s="158"/>
    </row>
    <row r="128" spans="1:44" s="154" customFormat="1" ht="15" customHeight="1">
      <c r="A128" s="153"/>
      <c r="B128" s="283">
        <v>0.36458333333333331</v>
      </c>
      <c r="C128" s="284"/>
      <c r="D128" s="285"/>
      <c r="E128" s="286"/>
      <c r="F128" s="284"/>
      <c r="G128" s="287"/>
      <c r="H128" s="288" t="str">
        <f t="shared" si="20"/>
        <v/>
      </c>
      <c r="I128" s="289"/>
      <c r="J128" s="290" t="s">
        <v>228</v>
      </c>
      <c r="K128" s="291"/>
      <c r="L128" s="291"/>
      <c r="M128" s="291"/>
      <c r="N128" s="291"/>
      <c r="O128" s="291"/>
      <c r="P128" s="291"/>
      <c r="Q128" s="291"/>
      <c r="R128" s="291"/>
      <c r="S128" s="137"/>
      <c r="T128" s="296"/>
      <c r="U128" s="297"/>
      <c r="V128" s="297"/>
      <c r="W128" s="297"/>
      <c r="X128" s="297"/>
      <c r="Y128" s="297"/>
      <c r="Z128" s="297"/>
      <c r="AA128" s="298"/>
      <c r="AB128" s="153"/>
      <c r="AF128" s="155"/>
      <c r="AG128" s="187" t="s">
        <v>202</v>
      </c>
      <c r="AI128" s="156"/>
    </row>
    <row r="129" spans="1:109" ht="15" customHeight="1">
      <c r="A129" s="139"/>
      <c r="B129" s="283">
        <v>0.375</v>
      </c>
      <c r="C129" s="284"/>
      <c r="D129" s="285"/>
      <c r="E129" s="286"/>
      <c r="F129" s="284"/>
      <c r="G129" s="287"/>
      <c r="H129" s="288"/>
      <c r="I129" s="289"/>
      <c r="J129" s="290" t="s">
        <v>250</v>
      </c>
      <c r="K129" s="291"/>
      <c r="L129" s="291"/>
      <c r="M129" s="291"/>
      <c r="N129" s="291"/>
      <c r="O129" s="291"/>
      <c r="P129" s="291"/>
      <c r="Q129" s="291"/>
      <c r="R129" s="291"/>
      <c r="S129" s="137"/>
      <c r="T129" s="296"/>
      <c r="U129" s="297"/>
      <c r="V129" s="297"/>
      <c r="W129" s="297"/>
      <c r="X129" s="297"/>
      <c r="Y129" s="297"/>
      <c r="Z129" s="297"/>
      <c r="AA129" s="298"/>
      <c r="AC129"/>
      <c r="AD129" s="195"/>
      <c r="AE129" s="154"/>
      <c r="AF129" s="155"/>
      <c r="AG129" s="192"/>
      <c r="AP129" s="140" t="s">
        <v>13</v>
      </c>
    </row>
    <row r="130" spans="1:109" s="154" customFormat="1" ht="15" customHeight="1">
      <c r="A130" s="153"/>
      <c r="B130" s="283">
        <v>0.3888888888888889</v>
      </c>
      <c r="C130" s="284"/>
      <c r="D130" s="285"/>
      <c r="E130" s="286">
        <v>0.39583333333333331</v>
      </c>
      <c r="F130" s="284"/>
      <c r="G130" s="287"/>
      <c r="H130" s="288">
        <f>IF(E130="","",IF(E130-B130&lt;0,"24:00"-(B130-E130),E130-B130))</f>
        <v>6.9444444444444198E-3</v>
      </c>
      <c r="I130" s="289"/>
      <c r="J130" s="290" t="s">
        <v>223</v>
      </c>
      <c r="K130" s="291"/>
      <c r="L130" s="291"/>
      <c r="M130" s="291"/>
      <c r="N130" s="291"/>
      <c r="O130" s="291"/>
      <c r="P130" s="291"/>
      <c r="Q130" s="291"/>
      <c r="R130" s="295"/>
      <c r="S130" s="138" t="s">
        <v>260</v>
      </c>
      <c r="T130" s="296" t="s">
        <v>261</v>
      </c>
      <c r="U130" s="297"/>
      <c r="V130" s="297"/>
      <c r="W130" s="297"/>
      <c r="X130" s="297"/>
      <c r="Y130" s="297"/>
      <c r="Z130" s="297"/>
      <c r="AA130" s="298"/>
      <c r="AB130" s="153"/>
      <c r="AC130" s="281" t="s">
        <v>262</v>
      </c>
      <c r="AD130" s="282"/>
      <c r="AE130" s="282"/>
      <c r="AF130" s="155">
        <v>9.7222222222222224E-2</v>
      </c>
      <c r="AG130" s="184" t="s">
        <v>202</v>
      </c>
      <c r="AI130" s="156"/>
    </row>
    <row r="131" spans="1:109" s="154" customFormat="1" ht="15" customHeight="1">
      <c r="A131" s="153"/>
      <c r="B131" s="309" t="s">
        <v>53</v>
      </c>
      <c r="C131" s="310"/>
      <c r="D131" s="311"/>
      <c r="E131" s="315"/>
      <c r="F131" s="310"/>
      <c r="G131" s="316"/>
      <c r="H131" s="317" t="str">
        <f t="shared" si="20"/>
        <v/>
      </c>
      <c r="I131" s="318"/>
      <c r="J131" s="319" t="s">
        <v>258</v>
      </c>
      <c r="K131" s="320"/>
      <c r="L131" s="320"/>
      <c r="M131" s="320"/>
      <c r="N131" s="320"/>
      <c r="O131" s="320"/>
      <c r="P131" s="320"/>
      <c r="Q131" s="320"/>
      <c r="R131" s="320"/>
      <c r="S131" s="159"/>
      <c r="T131" s="366"/>
      <c r="U131" s="367"/>
      <c r="V131" s="367"/>
      <c r="W131" s="367"/>
      <c r="X131" s="367"/>
      <c r="Y131" s="367"/>
      <c r="Z131" s="367"/>
      <c r="AA131" s="368"/>
      <c r="AB131" s="153"/>
      <c r="AF131" s="155"/>
      <c r="AG131" s="187" t="s">
        <v>202</v>
      </c>
      <c r="AI131" s="156"/>
      <c r="AP131" s="154" t="s">
        <v>13</v>
      </c>
      <c r="AQ131" s="154" t="s">
        <v>13</v>
      </c>
      <c r="AR131" s="154" t="s">
        <v>13</v>
      </c>
    </row>
    <row r="132" spans="1:109" s="154" customFormat="1" ht="15" customHeight="1">
      <c r="A132" s="153"/>
      <c r="B132" s="283">
        <f t="shared" ref="B132:B146" si="21">$B$148-AF132</f>
        <v>0.39583333333333331</v>
      </c>
      <c r="C132" s="284"/>
      <c r="D132" s="285"/>
      <c r="E132" s="286">
        <v>0.375</v>
      </c>
      <c r="F132" s="284"/>
      <c r="G132" s="287"/>
      <c r="H132" s="288">
        <f t="shared" si="20"/>
        <v>0.97916666666666674</v>
      </c>
      <c r="I132" s="289"/>
      <c r="J132" s="290" t="s">
        <v>309</v>
      </c>
      <c r="K132" s="291"/>
      <c r="L132" s="291"/>
      <c r="M132" s="291"/>
      <c r="N132" s="291"/>
      <c r="O132" s="291"/>
      <c r="P132" s="291"/>
      <c r="Q132" s="291"/>
      <c r="R132" s="291"/>
      <c r="S132" s="137"/>
      <c r="T132" s="292"/>
      <c r="U132" s="293"/>
      <c r="V132" s="293"/>
      <c r="W132" s="293"/>
      <c r="X132" s="293"/>
      <c r="Y132" s="293"/>
      <c r="Z132" s="293"/>
      <c r="AA132" s="294"/>
      <c r="AB132" s="153"/>
      <c r="AC132" s="281" t="s">
        <v>262</v>
      </c>
      <c r="AD132" s="282"/>
      <c r="AE132" s="282"/>
      <c r="AF132" s="155">
        <v>0.1076388888888889</v>
      </c>
      <c r="AG132" s="187" t="s">
        <v>202</v>
      </c>
      <c r="AI132" s="156"/>
    </row>
    <row r="133" spans="1:109" s="154" customFormat="1">
      <c r="A133" s="153"/>
      <c r="B133" s="283">
        <f t="shared" si="21"/>
        <v>0.40972222222222221</v>
      </c>
      <c r="C133" s="284"/>
      <c r="D133" s="285"/>
      <c r="E133" s="286"/>
      <c r="F133" s="284"/>
      <c r="G133" s="287"/>
      <c r="H133" s="288" t="str">
        <f t="shared" si="20"/>
        <v/>
      </c>
      <c r="I133" s="289"/>
      <c r="J133" s="290" t="s">
        <v>264</v>
      </c>
      <c r="K133" s="291"/>
      <c r="L133" s="291"/>
      <c r="M133" s="291"/>
      <c r="N133" s="291"/>
      <c r="O133" s="291"/>
      <c r="P133" s="291"/>
      <c r="Q133" s="291"/>
      <c r="R133" s="291"/>
      <c r="S133" s="137"/>
      <c r="T133" s="292"/>
      <c r="U133" s="293"/>
      <c r="V133" s="293"/>
      <c r="W133" s="293"/>
      <c r="X133" s="293"/>
      <c r="Y133" s="293"/>
      <c r="Z133" s="293"/>
      <c r="AA133" s="294"/>
      <c r="AB133" s="139"/>
      <c r="AC133" s="281" t="s">
        <v>262</v>
      </c>
      <c r="AD133" s="282"/>
      <c r="AE133" s="282"/>
      <c r="AF133" s="155">
        <v>9.375E-2</v>
      </c>
      <c r="AG133" s="187" t="s">
        <v>202</v>
      </c>
      <c r="AI133" s="156"/>
      <c r="AP133" s="154" t="s">
        <v>13</v>
      </c>
    </row>
    <row r="134" spans="1:109" s="154" customFormat="1" ht="15" customHeight="1">
      <c r="A134" s="153"/>
      <c r="B134" s="283">
        <f t="shared" si="21"/>
        <v>0.4201388888888889</v>
      </c>
      <c r="C134" s="284"/>
      <c r="D134" s="285"/>
      <c r="E134" s="286"/>
      <c r="F134" s="284"/>
      <c r="G134" s="287"/>
      <c r="H134" s="288" t="str">
        <f t="shared" si="20"/>
        <v/>
      </c>
      <c r="I134" s="289"/>
      <c r="J134" s="307" t="s">
        <v>301</v>
      </c>
      <c r="K134" s="308"/>
      <c r="L134" s="308"/>
      <c r="M134" s="308"/>
      <c r="N134" s="308"/>
      <c r="O134" s="308"/>
      <c r="P134" s="308"/>
      <c r="Q134" s="308"/>
      <c r="R134" s="308"/>
      <c r="S134" s="138" t="s">
        <v>266</v>
      </c>
      <c r="T134" s="370" t="s">
        <v>267</v>
      </c>
      <c r="U134" s="371"/>
      <c r="V134" s="371"/>
      <c r="W134" s="371"/>
      <c r="X134" s="371"/>
      <c r="Y134" s="371"/>
      <c r="Z134" s="371"/>
      <c r="AA134" s="372"/>
      <c r="AB134" s="153"/>
      <c r="AC134" s="281" t="s">
        <v>262</v>
      </c>
      <c r="AD134" s="282"/>
      <c r="AE134" s="282"/>
      <c r="AF134" s="155">
        <v>8.3333333333333329E-2</v>
      </c>
      <c r="AG134" s="187" t="s">
        <v>202</v>
      </c>
      <c r="AI134" s="156"/>
    </row>
    <row r="135" spans="1:109" s="154" customFormat="1" ht="15" customHeight="1">
      <c r="A135" s="153"/>
      <c r="B135" s="283">
        <f t="shared" si="21"/>
        <v>0.4236111111111111</v>
      </c>
      <c r="C135" s="284"/>
      <c r="D135" s="285"/>
      <c r="E135" s="286">
        <v>0.39930555555555558</v>
      </c>
      <c r="F135" s="284"/>
      <c r="G135" s="287"/>
      <c r="H135" s="288">
        <f t="shared" ref="H135" si="22">IF(E135="","",IF(E135-B135&lt;0,"24:00"-(B135-E135),E135-B135))</f>
        <v>0.97569444444444442</v>
      </c>
      <c r="I135" s="289"/>
      <c r="J135" s="290" t="s">
        <v>268</v>
      </c>
      <c r="K135" s="291"/>
      <c r="L135" s="291"/>
      <c r="M135" s="291"/>
      <c r="N135" s="291"/>
      <c r="O135" s="291"/>
      <c r="P135" s="291"/>
      <c r="Q135" s="291"/>
      <c r="R135" s="291"/>
      <c r="S135" s="137"/>
      <c r="T135" s="296"/>
      <c r="U135" s="297"/>
      <c r="V135" s="297"/>
      <c r="W135" s="297"/>
      <c r="X135" s="297"/>
      <c r="Y135" s="297"/>
      <c r="Z135" s="297"/>
      <c r="AA135" s="298"/>
      <c r="AB135" s="153"/>
      <c r="AC135" s="281" t="s">
        <v>262</v>
      </c>
      <c r="AD135" s="282"/>
      <c r="AE135" s="282"/>
      <c r="AF135" s="155">
        <v>7.9861111111111105E-2</v>
      </c>
      <c r="AG135" s="187" t="s">
        <v>202</v>
      </c>
      <c r="AI135" s="156"/>
      <c r="AJ135" s="154" t="s">
        <v>13</v>
      </c>
      <c r="AQ135" s="154" t="s">
        <v>13</v>
      </c>
      <c r="AS135" s="154" t="s">
        <v>13</v>
      </c>
    </row>
    <row r="136" spans="1:109" s="154" customFormat="1" ht="15" customHeight="1">
      <c r="A136" s="153"/>
      <c r="B136" s="283">
        <f t="shared" si="21"/>
        <v>0.43055555555555552</v>
      </c>
      <c r="C136" s="284"/>
      <c r="D136" s="285"/>
      <c r="E136" s="286"/>
      <c r="F136" s="284"/>
      <c r="G136" s="287"/>
      <c r="H136" s="288" t="str">
        <f t="shared" si="20"/>
        <v/>
      </c>
      <c r="I136" s="289"/>
      <c r="J136" s="290" t="s">
        <v>302</v>
      </c>
      <c r="K136" s="291"/>
      <c r="L136" s="291"/>
      <c r="M136" s="291"/>
      <c r="N136" s="291"/>
      <c r="O136" s="291"/>
      <c r="P136" s="291"/>
      <c r="Q136" s="291"/>
      <c r="R136" s="291"/>
      <c r="S136" s="137"/>
      <c r="T136" s="296"/>
      <c r="U136" s="297"/>
      <c r="V136" s="297"/>
      <c r="W136" s="297"/>
      <c r="X136" s="297"/>
      <c r="Y136" s="297"/>
      <c r="Z136" s="297"/>
      <c r="AA136" s="298"/>
      <c r="AB136" s="153"/>
      <c r="AC136" s="281" t="s">
        <v>262</v>
      </c>
      <c r="AD136" s="282"/>
      <c r="AE136" s="282"/>
      <c r="AF136" s="155">
        <v>7.2916666666666671E-2</v>
      </c>
      <c r="AG136" s="187" t="s">
        <v>202</v>
      </c>
      <c r="AI136" s="156"/>
      <c r="AJ136" s="154" t="s">
        <v>13</v>
      </c>
      <c r="AQ136" s="154" t="s">
        <v>13</v>
      </c>
      <c r="AS136" s="154" t="s">
        <v>13</v>
      </c>
    </row>
    <row r="137" spans="1:109" s="139" customFormat="1" ht="15" customHeight="1">
      <c r="B137" s="344">
        <f t="shared" si="21"/>
        <v>0.43402777777777779</v>
      </c>
      <c r="C137" s="345"/>
      <c r="D137" s="346"/>
      <c r="E137" s="347"/>
      <c r="F137" s="345"/>
      <c r="G137" s="348"/>
      <c r="H137" s="349" t="str">
        <f>IF(E137="","",IF(E137-B137&lt;0,"24:00"-(B137-E137),E137-B137))</f>
        <v/>
      </c>
      <c r="I137" s="350"/>
      <c r="J137" s="351" t="s">
        <v>270</v>
      </c>
      <c r="K137" s="352"/>
      <c r="L137" s="352"/>
      <c r="M137" s="352"/>
      <c r="N137" s="352"/>
      <c r="O137" s="352"/>
      <c r="P137" s="352"/>
      <c r="Q137" s="352"/>
      <c r="R137" s="352"/>
      <c r="S137" s="198"/>
      <c r="T137" s="353"/>
      <c r="U137" s="354"/>
      <c r="V137" s="354"/>
      <c r="W137" s="354"/>
      <c r="X137" s="354"/>
      <c r="Y137" s="354"/>
      <c r="Z137" s="354"/>
      <c r="AA137" s="355"/>
      <c r="AB137" s="153"/>
      <c r="AC137" s="281" t="s">
        <v>262</v>
      </c>
      <c r="AD137" s="282"/>
      <c r="AE137" s="282"/>
      <c r="AF137" s="155">
        <v>6.9444444444444448E-2</v>
      </c>
      <c r="AG137" s="184"/>
      <c r="AH137" s="140"/>
      <c r="AI137" s="143"/>
      <c r="AJ137" s="140"/>
      <c r="AK137" s="140"/>
      <c r="AL137" s="140"/>
      <c r="AM137" s="140"/>
      <c r="AN137" s="140"/>
      <c r="AO137" s="140"/>
      <c r="AP137" s="140"/>
      <c r="AQ137" s="140"/>
      <c r="AR137" s="140"/>
      <c r="AS137" s="140"/>
      <c r="AT137" s="140"/>
      <c r="AU137" s="140"/>
      <c r="AV137" s="140"/>
      <c r="AW137" s="140"/>
      <c r="AX137" s="140"/>
      <c r="AY137" s="140"/>
      <c r="AZ137" s="140"/>
      <c r="BA137" s="140"/>
      <c r="BB137" s="140"/>
      <c r="BC137" s="140"/>
      <c r="BD137" s="140"/>
      <c r="BE137" s="140"/>
      <c r="BF137" s="140"/>
      <c r="BG137" s="140"/>
      <c r="BH137" s="140"/>
      <c r="BI137" s="140"/>
      <c r="BJ137" s="140"/>
      <c r="BK137" s="140"/>
      <c r="BL137" s="140"/>
      <c r="BM137" s="140"/>
      <c r="BN137" s="140"/>
      <c r="BO137" s="140"/>
      <c r="BP137" s="140"/>
      <c r="BQ137" s="140"/>
      <c r="BR137" s="140"/>
      <c r="BS137" s="140"/>
      <c r="BT137" s="140"/>
      <c r="BU137" s="140"/>
      <c r="BV137" s="140"/>
      <c r="BW137" s="140"/>
      <c r="BX137" s="140"/>
      <c r="BY137" s="140"/>
      <c r="BZ137" s="140"/>
      <c r="CA137" s="140"/>
      <c r="CB137" s="140"/>
      <c r="CC137" s="140"/>
      <c r="CD137" s="140"/>
      <c r="CE137" s="140"/>
      <c r="CF137" s="140"/>
      <c r="CG137" s="140"/>
      <c r="CH137" s="140"/>
      <c r="CI137" s="140"/>
      <c r="CJ137" s="140"/>
      <c r="CK137" s="140"/>
      <c r="CL137" s="140"/>
      <c r="CM137" s="140"/>
      <c r="CN137" s="140"/>
      <c r="CO137" s="140"/>
      <c r="CP137" s="140"/>
      <c r="CQ137" s="140"/>
      <c r="CR137" s="140"/>
      <c r="CS137" s="140"/>
      <c r="CT137" s="140"/>
      <c r="CU137" s="140"/>
      <c r="CV137" s="140"/>
      <c r="CW137" s="140"/>
      <c r="CX137" s="140"/>
      <c r="CY137" s="140"/>
      <c r="CZ137" s="140"/>
      <c r="DA137" s="140"/>
      <c r="DB137" s="140"/>
      <c r="DC137" s="140"/>
      <c r="DD137" s="140"/>
      <c r="DE137" s="140"/>
    </row>
    <row r="138" spans="1:109" s="154" customFormat="1" ht="15" customHeight="1">
      <c r="A138" s="153"/>
      <c r="B138" s="283">
        <f t="shared" si="21"/>
        <v>0.44097222222222221</v>
      </c>
      <c r="C138" s="284"/>
      <c r="D138" s="285"/>
      <c r="E138" s="286"/>
      <c r="F138" s="284"/>
      <c r="G138" s="287"/>
      <c r="H138" s="288" t="str">
        <f t="shared" ref="H138" si="23">IF(E138="","",IF(E138-B138&lt;0,"24:00"-(B138-E138),E138-B138))</f>
        <v/>
      </c>
      <c r="I138" s="289"/>
      <c r="J138" s="290" t="s">
        <v>271</v>
      </c>
      <c r="K138" s="291"/>
      <c r="L138" s="291"/>
      <c r="M138" s="291"/>
      <c r="N138" s="291"/>
      <c r="O138" s="291"/>
      <c r="P138" s="291"/>
      <c r="Q138" s="291"/>
      <c r="R138" s="295"/>
      <c r="S138" s="137"/>
      <c r="T138" s="292"/>
      <c r="U138" s="293"/>
      <c r="V138" s="293"/>
      <c r="W138" s="293"/>
      <c r="X138" s="293"/>
      <c r="Y138" s="293"/>
      <c r="Z138" s="293"/>
      <c r="AA138" s="294"/>
      <c r="AB138" s="139"/>
      <c r="AC138" s="281" t="s">
        <v>262</v>
      </c>
      <c r="AD138" s="282"/>
      <c r="AE138" s="282"/>
      <c r="AF138" s="155">
        <v>6.25E-2</v>
      </c>
      <c r="AG138" s="187" t="s">
        <v>202</v>
      </c>
      <c r="AI138" s="156"/>
    </row>
    <row r="139" spans="1:109" s="154" customFormat="1" ht="15" customHeight="1">
      <c r="A139" s="153"/>
      <c r="B139" s="283">
        <f t="shared" si="21"/>
        <v>0.46180555555555552</v>
      </c>
      <c r="C139" s="284"/>
      <c r="D139" s="285"/>
      <c r="E139" s="315"/>
      <c r="F139" s="310"/>
      <c r="G139" s="316"/>
      <c r="H139" s="317" t="str">
        <f t="shared" ref="H139" si="24">IF(E139="","",IF(E139-B139&lt;0,"24:00"-(B139-E139),E139-B139))</f>
        <v/>
      </c>
      <c r="I139" s="318"/>
      <c r="J139" s="319" t="s">
        <v>272</v>
      </c>
      <c r="K139" s="320"/>
      <c r="L139" s="320"/>
      <c r="M139" s="320"/>
      <c r="N139" s="320"/>
      <c r="O139" s="320"/>
      <c r="P139" s="320"/>
      <c r="Q139" s="320"/>
      <c r="R139" s="320"/>
      <c r="S139" s="159"/>
      <c r="T139" s="386"/>
      <c r="U139" s="387"/>
      <c r="V139" s="387"/>
      <c r="W139" s="387"/>
      <c r="X139" s="387"/>
      <c r="Y139" s="387"/>
      <c r="Z139" s="387"/>
      <c r="AA139" s="388"/>
      <c r="AB139" s="139"/>
      <c r="AC139" s="281" t="s">
        <v>262</v>
      </c>
      <c r="AD139" s="282"/>
      <c r="AE139" s="282"/>
      <c r="AF139" s="155">
        <v>4.1666666666666664E-2</v>
      </c>
      <c r="AG139" s="187" t="s">
        <v>202</v>
      </c>
      <c r="AI139" s="156"/>
    </row>
    <row r="140" spans="1:109" s="154" customFormat="1" ht="15" customHeight="1">
      <c r="A140" s="153"/>
      <c r="B140" s="283">
        <f t="shared" si="21"/>
        <v>0.46180555555555552</v>
      </c>
      <c r="C140" s="284"/>
      <c r="D140" s="285"/>
      <c r="E140" s="286">
        <v>0.4375</v>
      </c>
      <c r="F140" s="284"/>
      <c r="G140" s="287"/>
      <c r="H140" s="288">
        <f t="shared" ref="H140:H141" si="25">IF(E140="","",IF(E140-B140&lt;0,"24:00"-(B140-E140),E140-B140))</f>
        <v>0.97569444444444442</v>
      </c>
      <c r="I140" s="289"/>
      <c r="J140" s="290" t="s">
        <v>273</v>
      </c>
      <c r="K140" s="291"/>
      <c r="L140" s="291"/>
      <c r="M140" s="291"/>
      <c r="N140" s="291"/>
      <c r="O140" s="291"/>
      <c r="P140" s="291"/>
      <c r="Q140" s="291"/>
      <c r="R140" s="291"/>
      <c r="S140" s="137"/>
      <c r="T140" s="292"/>
      <c r="U140" s="293"/>
      <c r="V140" s="293"/>
      <c r="W140" s="293"/>
      <c r="X140" s="293"/>
      <c r="Y140" s="293"/>
      <c r="Z140" s="293"/>
      <c r="AA140" s="294"/>
      <c r="AB140" s="139"/>
      <c r="AC140" s="281" t="s">
        <v>262</v>
      </c>
      <c r="AD140" s="282"/>
      <c r="AE140" s="282"/>
      <c r="AF140" s="155">
        <v>4.1666666666666664E-2</v>
      </c>
      <c r="AG140" s="187" t="s">
        <v>202</v>
      </c>
      <c r="AI140" s="156"/>
    </row>
    <row r="141" spans="1:109" s="154" customFormat="1" ht="15" customHeight="1">
      <c r="A141" s="153"/>
      <c r="B141" s="283">
        <f t="shared" si="21"/>
        <v>0.46875</v>
      </c>
      <c r="C141" s="284"/>
      <c r="D141" s="285"/>
      <c r="E141" s="286"/>
      <c r="F141" s="284"/>
      <c r="G141" s="287"/>
      <c r="H141" s="288" t="str">
        <f t="shared" si="25"/>
        <v/>
      </c>
      <c r="I141" s="289"/>
      <c r="J141" s="290" t="s">
        <v>274</v>
      </c>
      <c r="K141" s="291"/>
      <c r="L141" s="291"/>
      <c r="M141" s="291"/>
      <c r="N141" s="291"/>
      <c r="O141" s="291"/>
      <c r="P141" s="291"/>
      <c r="Q141" s="291"/>
      <c r="R141" s="291"/>
      <c r="S141" s="137"/>
      <c r="T141" s="292"/>
      <c r="U141" s="293"/>
      <c r="V141" s="293"/>
      <c r="W141" s="293"/>
      <c r="X141" s="293"/>
      <c r="Y141" s="293"/>
      <c r="Z141" s="293"/>
      <c r="AA141" s="294"/>
      <c r="AB141" s="139"/>
      <c r="AC141" s="281" t="s">
        <v>262</v>
      </c>
      <c r="AD141" s="282"/>
      <c r="AE141" s="282"/>
      <c r="AF141" s="155">
        <v>3.4722222222222224E-2</v>
      </c>
      <c r="AG141" s="187" t="s">
        <v>202</v>
      </c>
      <c r="AI141" s="156"/>
    </row>
    <row r="142" spans="1:109" s="154" customFormat="1" ht="15" customHeight="1">
      <c r="A142" s="153"/>
      <c r="B142" s="283">
        <f t="shared" si="21"/>
        <v>0.47222222222222221</v>
      </c>
      <c r="C142" s="284"/>
      <c r="D142" s="285"/>
      <c r="E142" s="286"/>
      <c r="F142" s="284"/>
      <c r="G142" s="287"/>
      <c r="H142" s="288" t="str">
        <f t="shared" si="20"/>
        <v/>
      </c>
      <c r="I142" s="289"/>
      <c r="J142" s="290" t="s">
        <v>303</v>
      </c>
      <c r="K142" s="291"/>
      <c r="L142" s="291"/>
      <c r="M142" s="291"/>
      <c r="N142" s="291"/>
      <c r="O142" s="291"/>
      <c r="P142" s="291"/>
      <c r="Q142" s="291"/>
      <c r="R142" s="291"/>
      <c r="S142" s="137"/>
      <c r="T142" s="292"/>
      <c r="U142" s="293"/>
      <c r="V142" s="293"/>
      <c r="W142" s="293"/>
      <c r="X142" s="293"/>
      <c r="Y142" s="293"/>
      <c r="Z142" s="293"/>
      <c r="AA142" s="294"/>
      <c r="AB142" s="153"/>
      <c r="AC142" s="281" t="s">
        <v>262</v>
      </c>
      <c r="AD142" s="282"/>
      <c r="AE142" s="282"/>
      <c r="AF142" s="155">
        <v>3.125E-2</v>
      </c>
      <c r="AG142" s="187" t="s">
        <v>202</v>
      </c>
      <c r="AI142" s="156"/>
    </row>
    <row r="143" spans="1:109" s="154" customFormat="1" ht="15" customHeight="1">
      <c r="A143" s="153"/>
      <c r="B143" s="344">
        <f t="shared" si="21"/>
        <v>0.47569444444444442</v>
      </c>
      <c r="C143" s="345"/>
      <c r="D143" s="346"/>
      <c r="E143" s="347"/>
      <c r="F143" s="345"/>
      <c r="G143" s="348"/>
      <c r="H143" s="349" t="str">
        <f t="shared" si="20"/>
        <v/>
      </c>
      <c r="I143" s="350"/>
      <c r="J143" s="356" t="s">
        <v>276</v>
      </c>
      <c r="K143" s="357"/>
      <c r="L143" s="357"/>
      <c r="M143" s="357"/>
      <c r="N143" s="357"/>
      <c r="O143" s="357"/>
      <c r="P143" s="357"/>
      <c r="Q143" s="357"/>
      <c r="R143" s="357"/>
      <c r="S143" s="201"/>
      <c r="T143" s="389"/>
      <c r="U143" s="390"/>
      <c r="V143" s="390"/>
      <c r="W143" s="390"/>
      <c r="X143" s="390"/>
      <c r="Y143" s="390"/>
      <c r="Z143" s="390"/>
      <c r="AA143" s="391"/>
      <c r="AB143" s="153"/>
      <c r="AC143" s="281" t="s">
        <v>262</v>
      </c>
      <c r="AD143" s="282"/>
      <c r="AE143" s="282"/>
      <c r="AF143" s="155">
        <v>2.7777777777777776E-2</v>
      </c>
      <c r="AG143" s="187" t="s">
        <v>202</v>
      </c>
      <c r="AI143" s="156"/>
      <c r="AN143" s="154" t="s">
        <v>13</v>
      </c>
    </row>
    <row r="144" spans="1:109" s="154" customFormat="1" ht="15" customHeight="1">
      <c r="A144" s="153"/>
      <c r="B144" s="283">
        <f t="shared" si="21"/>
        <v>0.47916666666666663</v>
      </c>
      <c r="C144" s="284"/>
      <c r="D144" s="285"/>
      <c r="E144" s="286"/>
      <c r="F144" s="284"/>
      <c r="G144" s="287"/>
      <c r="H144" s="288" t="str">
        <f t="shared" si="20"/>
        <v/>
      </c>
      <c r="I144" s="289"/>
      <c r="J144" s="290" t="s">
        <v>277</v>
      </c>
      <c r="K144" s="291"/>
      <c r="L144" s="291"/>
      <c r="M144" s="291"/>
      <c r="N144" s="291"/>
      <c r="O144" s="291"/>
      <c r="P144" s="291"/>
      <c r="Q144" s="291"/>
      <c r="R144" s="291"/>
      <c r="S144" s="137"/>
      <c r="T144" s="292"/>
      <c r="U144" s="293"/>
      <c r="V144" s="293"/>
      <c r="W144" s="293"/>
      <c r="X144" s="293"/>
      <c r="Y144" s="293"/>
      <c r="Z144" s="293"/>
      <c r="AA144" s="294"/>
      <c r="AB144" s="139"/>
      <c r="AC144" s="281" t="s">
        <v>262</v>
      </c>
      <c r="AD144" s="282"/>
      <c r="AE144" s="282"/>
      <c r="AF144" s="155">
        <v>2.4305555555555556E-2</v>
      </c>
      <c r="AG144" s="187" t="s">
        <v>202</v>
      </c>
      <c r="AI144" s="156"/>
    </row>
    <row r="145" spans="1:109" s="154" customFormat="1" ht="15" customHeight="1">
      <c r="A145" s="153"/>
      <c r="B145" s="283">
        <f t="shared" si="21"/>
        <v>0.4861111111111111</v>
      </c>
      <c r="C145" s="284"/>
      <c r="D145" s="285"/>
      <c r="E145" s="286"/>
      <c r="F145" s="284"/>
      <c r="G145" s="287"/>
      <c r="H145" s="288" t="str">
        <f t="shared" si="20"/>
        <v/>
      </c>
      <c r="I145" s="289"/>
      <c r="J145" s="290" t="s">
        <v>286</v>
      </c>
      <c r="K145" s="291"/>
      <c r="L145" s="291"/>
      <c r="M145" s="291"/>
      <c r="N145" s="291"/>
      <c r="O145" s="291"/>
      <c r="P145" s="291"/>
      <c r="Q145" s="291"/>
      <c r="R145" s="291"/>
      <c r="S145" s="137" t="s">
        <v>13</v>
      </c>
      <c r="T145" s="296"/>
      <c r="U145" s="297"/>
      <c r="V145" s="297"/>
      <c r="W145" s="297"/>
      <c r="X145" s="297"/>
      <c r="Y145" s="297"/>
      <c r="Z145" s="297"/>
      <c r="AA145" s="298"/>
      <c r="AB145" s="153"/>
      <c r="AC145" s="281" t="s">
        <v>262</v>
      </c>
      <c r="AD145" s="282"/>
      <c r="AE145" s="282"/>
      <c r="AF145" s="155">
        <v>1.7361111111111112E-2</v>
      </c>
      <c r="AG145" s="187" t="s">
        <v>202</v>
      </c>
      <c r="AI145" s="156"/>
    </row>
    <row r="146" spans="1:109" s="154" customFormat="1" ht="15" customHeight="1">
      <c r="A146" s="153"/>
      <c r="B146" s="283">
        <f t="shared" si="21"/>
        <v>0.49305555555555552</v>
      </c>
      <c r="C146" s="284"/>
      <c r="D146" s="285"/>
      <c r="E146" s="286">
        <v>0.46875</v>
      </c>
      <c r="F146" s="284"/>
      <c r="G146" s="287"/>
      <c r="H146" s="288">
        <f t="shared" si="20"/>
        <v>0.97569444444444442</v>
      </c>
      <c r="I146" s="289"/>
      <c r="J146" s="290" t="s">
        <v>304</v>
      </c>
      <c r="K146" s="291"/>
      <c r="L146" s="291"/>
      <c r="M146" s="291"/>
      <c r="N146" s="291"/>
      <c r="O146" s="291"/>
      <c r="P146" s="291"/>
      <c r="Q146" s="291"/>
      <c r="R146" s="291"/>
      <c r="S146" s="137"/>
      <c r="T146" s="292"/>
      <c r="U146" s="293"/>
      <c r="V146" s="293"/>
      <c r="W146" s="293"/>
      <c r="X146" s="293"/>
      <c r="Y146" s="293"/>
      <c r="Z146" s="293"/>
      <c r="AA146" s="294"/>
      <c r="AB146" s="139"/>
      <c r="AC146" s="281" t="s">
        <v>262</v>
      </c>
      <c r="AD146" s="282"/>
      <c r="AE146" s="282"/>
      <c r="AF146" s="155">
        <v>1.0416666666666666E-2</v>
      </c>
      <c r="AG146" s="187" t="s">
        <v>202</v>
      </c>
      <c r="AH146" s="139"/>
      <c r="AI146" s="156"/>
      <c r="AQ146" s="154" t="s">
        <v>13</v>
      </c>
    </row>
    <row r="147" spans="1:109" ht="15" customHeight="1">
      <c r="A147" s="139"/>
      <c r="B147" s="283">
        <v>0.5</v>
      </c>
      <c r="C147" s="284"/>
      <c r="D147" s="285"/>
      <c r="E147" s="286">
        <v>0.625</v>
      </c>
      <c r="F147" s="284"/>
      <c r="G147" s="287"/>
      <c r="H147" s="288">
        <f>E147-B147</f>
        <v>0.125</v>
      </c>
      <c r="I147" s="289"/>
      <c r="J147" s="290" t="s">
        <v>221</v>
      </c>
      <c r="K147" s="291"/>
      <c r="L147" s="291"/>
      <c r="M147" s="291"/>
      <c r="N147" s="291"/>
      <c r="O147" s="291"/>
      <c r="P147" s="291"/>
      <c r="Q147" s="291"/>
      <c r="R147" s="291"/>
      <c r="S147" s="137" t="s">
        <v>226</v>
      </c>
      <c r="T147" s="292" t="s">
        <v>310</v>
      </c>
      <c r="U147" s="293"/>
      <c r="V147" s="293"/>
      <c r="W147" s="293"/>
      <c r="X147" s="293"/>
      <c r="Y147" s="293"/>
      <c r="Z147" s="293"/>
      <c r="AA147" s="294"/>
      <c r="AF147" s="155"/>
      <c r="AG147" s="187" t="s">
        <v>202</v>
      </c>
    </row>
    <row r="148" spans="1:109" s="154" customFormat="1" ht="15" customHeight="1">
      <c r="A148" s="153"/>
      <c r="B148" s="283">
        <v>0.50347222222222221</v>
      </c>
      <c r="C148" s="284"/>
      <c r="D148" s="285"/>
      <c r="E148" s="286">
        <v>0.54861111111111116</v>
      </c>
      <c r="F148" s="284"/>
      <c r="G148" s="287"/>
      <c r="H148" s="288">
        <f t="shared" si="20"/>
        <v>4.5138888888888951E-2</v>
      </c>
      <c r="I148" s="289"/>
      <c r="J148" s="290" t="s">
        <v>311</v>
      </c>
      <c r="K148" s="291"/>
      <c r="L148" s="291"/>
      <c r="M148" s="291"/>
      <c r="N148" s="291"/>
      <c r="O148" s="291"/>
      <c r="P148" s="291"/>
      <c r="Q148" s="291"/>
      <c r="R148" s="291"/>
      <c r="S148" s="137"/>
      <c r="T148" s="296"/>
      <c r="U148" s="297"/>
      <c r="V148" s="297"/>
      <c r="W148" s="297"/>
      <c r="X148" s="297"/>
      <c r="Y148" s="297"/>
      <c r="Z148" s="297"/>
      <c r="AA148" s="298"/>
      <c r="AB148" s="139"/>
      <c r="AC148" s="140"/>
      <c r="AD148" s="140"/>
      <c r="AE148" s="140"/>
      <c r="AF148" s="155"/>
      <c r="AG148" s="187" t="s">
        <v>202</v>
      </c>
      <c r="AH148" s="141"/>
      <c r="AI148" s="156"/>
    </row>
    <row r="149" spans="1:109" s="154" customFormat="1" ht="15" customHeight="1">
      <c r="A149" s="153"/>
      <c r="B149" s="283">
        <v>0.5625</v>
      </c>
      <c r="C149" s="284"/>
      <c r="D149" s="285"/>
      <c r="E149" s="286">
        <v>0.57986111111111116</v>
      </c>
      <c r="F149" s="284"/>
      <c r="G149" s="287"/>
      <c r="H149" s="288">
        <f t="shared" si="20"/>
        <v>1.736111111111116E-2</v>
      </c>
      <c r="I149" s="289"/>
      <c r="J149" s="290" t="s">
        <v>290</v>
      </c>
      <c r="K149" s="291"/>
      <c r="L149" s="291"/>
      <c r="M149" s="291"/>
      <c r="N149" s="291"/>
      <c r="O149" s="291"/>
      <c r="P149" s="291"/>
      <c r="Q149" s="291"/>
      <c r="R149" s="291"/>
      <c r="S149" s="137" t="s">
        <v>291</v>
      </c>
      <c r="T149" s="292" t="s">
        <v>306</v>
      </c>
      <c r="U149" s="293"/>
      <c r="V149" s="293"/>
      <c r="W149" s="293"/>
      <c r="X149" s="293"/>
      <c r="Y149" s="293"/>
      <c r="Z149" s="293"/>
      <c r="AA149" s="294"/>
      <c r="AB149" s="139"/>
      <c r="AC149" s="140"/>
      <c r="AD149" s="140"/>
      <c r="AE149" s="140"/>
      <c r="AF149" s="155"/>
      <c r="AG149" s="187"/>
      <c r="AH149" s="139"/>
      <c r="AI149" s="156"/>
    </row>
    <row r="150" spans="1:109" s="139" customFormat="1" ht="15" customHeight="1">
      <c r="B150" s="283">
        <v>0.56944444444444442</v>
      </c>
      <c r="C150" s="284"/>
      <c r="D150" s="285"/>
      <c r="E150" s="286"/>
      <c r="F150" s="284"/>
      <c r="G150" s="287"/>
      <c r="H150" s="288"/>
      <c r="I150" s="289"/>
      <c r="J150" s="290" t="s">
        <v>307</v>
      </c>
      <c r="K150" s="291"/>
      <c r="L150" s="291"/>
      <c r="M150" s="291"/>
      <c r="N150" s="291"/>
      <c r="O150" s="291"/>
      <c r="P150" s="291"/>
      <c r="Q150" s="291"/>
      <c r="R150" s="291"/>
      <c r="S150" s="138" t="s">
        <v>266</v>
      </c>
      <c r="T150" s="370" t="s">
        <v>267</v>
      </c>
      <c r="U150" s="371"/>
      <c r="V150" s="371"/>
      <c r="W150" s="371"/>
      <c r="X150" s="371"/>
      <c r="Y150" s="371"/>
      <c r="Z150" s="371"/>
      <c r="AA150" s="372"/>
      <c r="AC150" s="140"/>
      <c r="AD150" s="140"/>
      <c r="AE150" s="140"/>
      <c r="AF150" s="155"/>
      <c r="AG150" s="187" t="s">
        <v>202</v>
      </c>
      <c r="AH150" s="141"/>
      <c r="AI150" s="143"/>
      <c r="AJ150" s="140"/>
      <c r="AK150" s="140"/>
      <c r="AL150" s="140"/>
      <c r="AM150" s="140"/>
      <c r="AN150" s="140"/>
      <c r="AO150" s="140"/>
      <c r="AP150" s="140"/>
      <c r="AQ150" s="140"/>
      <c r="AR150" s="140"/>
      <c r="AS150" s="140"/>
      <c r="AT150" s="140"/>
      <c r="AU150" s="140"/>
      <c r="AV150" s="140"/>
      <c r="AW150" s="140"/>
      <c r="AX150" s="140"/>
      <c r="AY150" s="140"/>
      <c r="AZ150" s="140"/>
      <c r="BA150" s="140"/>
      <c r="BB150" s="140"/>
      <c r="BC150" s="140"/>
      <c r="BD150" s="140"/>
      <c r="BE150" s="140"/>
      <c r="BF150" s="140"/>
      <c r="BG150" s="140"/>
      <c r="BH150" s="140"/>
      <c r="BI150" s="140"/>
      <c r="BJ150" s="140"/>
      <c r="BK150" s="140"/>
      <c r="BL150" s="140"/>
      <c r="BM150" s="140"/>
      <c r="BN150" s="140"/>
      <c r="BO150" s="140"/>
      <c r="BP150" s="140"/>
      <c r="BQ150" s="140"/>
      <c r="BR150" s="140"/>
      <c r="BS150" s="140"/>
      <c r="BT150" s="140"/>
      <c r="BU150" s="140"/>
      <c r="BV150" s="140"/>
      <c r="BW150" s="140"/>
      <c r="BX150" s="140"/>
      <c r="BY150" s="140"/>
      <c r="BZ150" s="140"/>
      <c r="CA150" s="140"/>
      <c r="CB150" s="140"/>
      <c r="CC150" s="140"/>
      <c r="CD150" s="140"/>
      <c r="CE150" s="140"/>
      <c r="CF150" s="140"/>
      <c r="CG150" s="140"/>
      <c r="CH150" s="140"/>
      <c r="CI150" s="140"/>
      <c r="CJ150" s="140"/>
      <c r="CK150" s="140"/>
      <c r="CL150" s="140"/>
      <c r="CM150" s="140"/>
      <c r="CN150" s="140"/>
      <c r="CO150" s="140"/>
      <c r="CP150" s="140"/>
      <c r="CQ150" s="140"/>
      <c r="CR150" s="140"/>
      <c r="CS150" s="140"/>
      <c r="CT150" s="140"/>
      <c r="CU150" s="140"/>
      <c r="CV150" s="140"/>
      <c r="CW150" s="140"/>
      <c r="CX150" s="140"/>
      <c r="CY150" s="140"/>
      <c r="CZ150" s="140"/>
      <c r="DA150" s="140"/>
      <c r="DB150" s="140"/>
      <c r="DC150" s="140"/>
      <c r="DD150" s="140"/>
      <c r="DE150" s="140"/>
    </row>
    <row r="151" spans="1:109" ht="15" customHeight="1">
      <c r="A151" s="139"/>
      <c r="B151" s="309" t="s">
        <v>53</v>
      </c>
      <c r="C151" s="310"/>
      <c r="D151" s="311"/>
      <c r="E151" s="286"/>
      <c r="F151" s="284"/>
      <c r="G151" s="287"/>
      <c r="H151" s="288" t="str">
        <f>IF(E151="","",IF(E151-B151&lt;0,"24:00"-(B151-E151),E151-B151))</f>
        <v/>
      </c>
      <c r="I151" s="289"/>
      <c r="J151" s="441" t="s">
        <v>312</v>
      </c>
      <c r="K151" s="310"/>
      <c r="L151" s="310"/>
      <c r="M151" s="310"/>
      <c r="N151" s="310"/>
      <c r="O151" s="310"/>
      <c r="P151" s="310"/>
      <c r="Q151" s="310"/>
      <c r="R151" s="310"/>
      <c r="S151" s="200"/>
      <c r="T151" s="392"/>
      <c r="U151" s="393"/>
      <c r="V151" s="393"/>
      <c r="W151" s="393"/>
      <c r="X151" s="393"/>
      <c r="Y151" s="393"/>
      <c r="Z151" s="393"/>
      <c r="AA151" s="394"/>
      <c r="AB151" s="153"/>
      <c r="AF151" s="155"/>
      <c r="AG151" s="187"/>
    </row>
    <row r="152" spans="1:109" ht="15" customHeight="1">
      <c r="A152" s="139"/>
      <c r="B152" s="283" t="s">
        <v>313</v>
      </c>
      <c r="C152" s="284"/>
      <c r="D152" s="285"/>
      <c r="E152" s="286"/>
      <c r="F152" s="284"/>
      <c r="G152" s="287"/>
      <c r="H152" s="288"/>
      <c r="I152" s="289"/>
      <c r="J152" s="290" t="s">
        <v>314</v>
      </c>
      <c r="K152" s="291"/>
      <c r="L152" s="291"/>
      <c r="M152" s="291"/>
      <c r="N152" s="291"/>
      <c r="O152" s="291"/>
      <c r="P152" s="291"/>
      <c r="Q152" s="291"/>
      <c r="R152" s="295"/>
      <c r="S152" s="137"/>
      <c r="T152" s="292"/>
      <c r="U152" s="293"/>
      <c r="V152" s="293"/>
      <c r="W152" s="293"/>
      <c r="X152" s="293"/>
      <c r="Y152" s="293"/>
      <c r="Z152" s="293"/>
      <c r="AA152" s="294"/>
      <c r="AB152" s="153"/>
      <c r="AC152" s="281"/>
      <c r="AD152" s="282"/>
      <c r="AE152" s="282"/>
      <c r="AF152" s="155"/>
    </row>
    <row r="153" spans="1:109" ht="15" customHeight="1">
      <c r="A153" s="139"/>
      <c r="B153" s="283">
        <v>0.83333333333333337</v>
      </c>
      <c r="C153" s="284"/>
      <c r="D153" s="285"/>
      <c r="E153" s="286"/>
      <c r="F153" s="284"/>
      <c r="G153" s="287"/>
      <c r="H153" s="288" t="str">
        <f>IF(E153="","",IF(E153-B153&lt;0,"24:00"-(B153-E153),E153-B153))</f>
        <v/>
      </c>
      <c r="I153" s="289"/>
      <c r="J153" s="290" t="s">
        <v>224</v>
      </c>
      <c r="K153" s="291"/>
      <c r="L153" s="291"/>
      <c r="M153" s="291"/>
      <c r="N153" s="291"/>
      <c r="O153" s="291"/>
      <c r="P153" s="291"/>
      <c r="Q153" s="291"/>
      <c r="R153" s="291"/>
      <c r="S153" s="137"/>
      <c r="T153" s="292"/>
      <c r="U153" s="293"/>
      <c r="V153" s="293"/>
      <c r="W153" s="293"/>
      <c r="X153" s="293"/>
      <c r="Y153" s="293"/>
      <c r="Z153" s="293"/>
      <c r="AA153" s="294"/>
      <c r="AF153" s="155"/>
      <c r="AG153" s="187" t="s">
        <v>202</v>
      </c>
    </row>
    <row r="154" spans="1:109" ht="15" customHeight="1">
      <c r="A154" s="139"/>
      <c r="B154" s="395">
        <v>0.91666666666666663</v>
      </c>
      <c r="C154" s="396"/>
      <c r="D154" s="397"/>
      <c r="E154" s="398"/>
      <c r="F154" s="396"/>
      <c r="G154" s="399"/>
      <c r="H154" s="400"/>
      <c r="I154" s="401"/>
      <c r="J154" s="402" t="s">
        <v>315</v>
      </c>
      <c r="K154" s="403"/>
      <c r="L154" s="403"/>
      <c r="M154" s="403"/>
      <c r="N154" s="403"/>
      <c r="O154" s="403"/>
      <c r="P154" s="403"/>
      <c r="Q154" s="403"/>
      <c r="R154" s="403"/>
      <c r="S154" s="280"/>
      <c r="T154" s="404"/>
      <c r="U154" s="405"/>
      <c r="V154" s="405"/>
      <c r="W154" s="405"/>
      <c r="X154" s="405"/>
      <c r="Y154" s="405"/>
      <c r="Z154" s="405"/>
      <c r="AA154" s="406"/>
      <c r="AC154" s="281"/>
      <c r="AD154" s="282"/>
      <c r="AE154" s="282"/>
      <c r="AF154" s="155"/>
    </row>
    <row r="155" spans="1:109" ht="15" customHeight="1">
      <c r="A155" s="139"/>
      <c r="B155" s="283"/>
      <c r="C155" s="284"/>
      <c r="D155" s="285"/>
      <c r="E155" s="286"/>
      <c r="F155" s="284"/>
      <c r="G155" s="287"/>
      <c r="H155" s="288"/>
      <c r="I155" s="289"/>
      <c r="J155" s="290"/>
      <c r="K155" s="291"/>
      <c r="L155" s="291"/>
      <c r="M155" s="291"/>
      <c r="N155" s="291"/>
      <c r="O155" s="291"/>
      <c r="P155" s="291"/>
      <c r="Q155" s="291"/>
      <c r="R155" s="291"/>
      <c r="S155" s="137"/>
      <c r="T155" s="292"/>
      <c r="U155" s="293"/>
      <c r="V155" s="293"/>
      <c r="W155" s="293"/>
      <c r="X155" s="293"/>
      <c r="Y155" s="293"/>
      <c r="Z155" s="293"/>
      <c r="AA155" s="294"/>
      <c r="AB155" s="153"/>
      <c r="AC155" s="281"/>
      <c r="AD155" s="282"/>
      <c r="AE155" s="282"/>
      <c r="AF155" s="155"/>
    </row>
    <row r="156" spans="1:109" ht="15" customHeight="1">
      <c r="A156" s="139"/>
      <c r="B156" s="283"/>
      <c r="C156" s="284"/>
      <c r="D156" s="285"/>
      <c r="E156" s="286"/>
      <c r="F156" s="284"/>
      <c r="G156" s="287"/>
      <c r="H156" s="288"/>
      <c r="I156" s="289"/>
      <c r="J156" s="290"/>
      <c r="K156" s="291"/>
      <c r="L156" s="291"/>
      <c r="M156" s="291"/>
      <c r="N156" s="291"/>
      <c r="O156" s="291"/>
      <c r="P156" s="291"/>
      <c r="Q156" s="291"/>
      <c r="R156" s="291"/>
      <c r="S156" s="137"/>
      <c r="T156" s="292"/>
      <c r="U156" s="293"/>
      <c r="V156" s="293"/>
      <c r="W156" s="293"/>
      <c r="X156" s="293"/>
      <c r="Y156" s="293"/>
      <c r="Z156" s="293"/>
      <c r="AA156" s="294"/>
      <c r="AB156" s="153"/>
      <c r="AC156" s="281"/>
      <c r="AD156" s="282"/>
      <c r="AE156" s="282"/>
      <c r="AF156" s="155"/>
    </row>
    <row r="157" spans="1:109" ht="15" customHeight="1">
      <c r="A157" s="139"/>
      <c r="B157" s="283"/>
      <c r="C157" s="284"/>
      <c r="D157" s="285"/>
      <c r="E157" s="286"/>
      <c r="F157" s="284"/>
      <c r="G157" s="287"/>
      <c r="H157" s="288"/>
      <c r="I157" s="289"/>
      <c r="J157" s="290"/>
      <c r="K157" s="291"/>
      <c r="L157" s="291"/>
      <c r="M157" s="291"/>
      <c r="N157" s="291"/>
      <c r="O157" s="291"/>
      <c r="P157" s="291"/>
      <c r="Q157" s="291"/>
      <c r="R157" s="291"/>
      <c r="S157" s="137"/>
      <c r="T157" s="296"/>
      <c r="U157" s="297"/>
      <c r="V157" s="297"/>
      <c r="W157" s="297"/>
      <c r="X157" s="297"/>
      <c r="Y157" s="297"/>
      <c r="Z157" s="297"/>
      <c r="AA157" s="298"/>
      <c r="AF157" s="155"/>
    </row>
    <row r="158" spans="1:109" ht="15" customHeight="1">
      <c r="A158" s="139"/>
      <c r="B158" s="283"/>
      <c r="C158" s="284"/>
      <c r="D158" s="285"/>
      <c r="E158" s="286"/>
      <c r="F158" s="284"/>
      <c r="G158" s="287"/>
      <c r="H158" s="288"/>
      <c r="I158" s="289"/>
      <c r="J158" s="290"/>
      <c r="K158" s="291"/>
      <c r="L158" s="291"/>
      <c r="M158" s="291"/>
      <c r="N158" s="291"/>
      <c r="O158" s="291"/>
      <c r="P158" s="291"/>
      <c r="Q158" s="291"/>
      <c r="R158" s="291"/>
      <c r="S158" s="137"/>
      <c r="T158" s="292"/>
      <c r="U158" s="293"/>
      <c r="V158" s="293"/>
      <c r="W158" s="293"/>
      <c r="X158" s="293"/>
      <c r="Y158" s="293"/>
      <c r="Z158" s="293"/>
      <c r="AA158" s="294"/>
      <c r="AF158" s="155"/>
    </row>
    <row r="159" spans="1:109" ht="15" customHeight="1">
      <c r="A159" s="139"/>
      <c r="B159" s="283"/>
      <c r="C159" s="284"/>
      <c r="D159" s="285"/>
      <c r="E159" s="286"/>
      <c r="F159" s="284"/>
      <c r="G159" s="287"/>
      <c r="H159" s="288"/>
      <c r="I159" s="289"/>
      <c r="J159" s="290"/>
      <c r="K159" s="291"/>
      <c r="L159" s="291"/>
      <c r="M159" s="291"/>
      <c r="N159" s="291"/>
      <c r="O159" s="291"/>
      <c r="P159" s="291"/>
      <c r="Q159" s="291"/>
      <c r="R159" s="291"/>
      <c r="S159" s="137"/>
      <c r="T159" s="292"/>
      <c r="U159" s="293"/>
      <c r="V159" s="293"/>
      <c r="W159" s="293"/>
      <c r="X159" s="293"/>
      <c r="Y159" s="293"/>
      <c r="Z159" s="293"/>
      <c r="AA159" s="294"/>
      <c r="AF159" s="155"/>
    </row>
    <row r="160" spans="1:109" ht="15" customHeight="1">
      <c r="A160" s="139"/>
      <c r="B160" s="283"/>
      <c r="C160" s="284"/>
      <c r="D160" s="285"/>
      <c r="E160" s="286"/>
      <c r="F160" s="284"/>
      <c r="G160" s="287"/>
      <c r="H160" s="288"/>
      <c r="I160" s="289"/>
      <c r="J160" s="290"/>
      <c r="K160" s="291"/>
      <c r="L160" s="291"/>
      <c r="M160" s="291"/>
      <c r="N160" s="291"/>
      <c r="O160" s="291"/>
      <c r="P160" s="291"/>
      <c r="Q160" s="291"/>
      <c r="R160" s="291"/>
      <c r="S160" s="138"/>
      <c r="T160" s="370"/>
      <c r="U160" s="371"/>
      <c r="V160" s="371"/>
      <c r="W160" s="371"/>
      <c r="X160" s="371"/>
      <c r="Y160" s="371"/>
      <c r="Z160" s="371"/>
      <c r="AA160" s="372"/>
      <c r="AF160" s="155"/>
    </row>
    <row r="161" spans="1:109" ht="15" customHeight="1">
      <c r="A161" s="139"/>
      <c r="B161" s="283"/>
      <c r="C161" s="284"/>
      <c r="D161" s="285"/>
      <c r="E161" s="286"/>
      <c r="F161" s="284"/>
      <c r="G161" s="287"/>
      <c r="H161" s="288"/>
      <c r="I161" s="289"/>
      <c r="J161" s="290"/>
      <c r="K161" s="291"/>
      <c r="L161" s="291"/>
      <c r="M161" s="291"/>
      <c r="N161" s="291"/>
      <c r="O161" s="291"/>
      <c r="P161" s="291"/>
      <c r="Q161" s="291"/>
      <c r="R161" s="291"/>
      <c r="S161" s="137"/>
      <c r="T161" s="292"/>
      <c r="U161" s="293"/>
      <c r="V161" s="293"/>
      <c r="W161" s="293"/>
      <c r="X161" s="293"/>
      <c r="Y161" s="293"/>
      <c r="Z161" s="293"/>
      <c r="AA161" s="294"/>
      <c r="AF161" s="155"/>
    </row>
    <row r="162" spans="1:109" ht="15" customHeight="1">
      <c r="A162" s="139"/>
      <c r="B162" s="408"/>
      <c r="C162" s="409"/>
      <c r="D162" s="410"/>
      <c r="E162" s="411"/>
      <c r="F162" s="409"/>
      <c r="G162" s="412"/>
      <c r="H162" s="413"/>
      <c r="I162" s="414"/>
      <c r="J162" s="290"/>
      <c r="K162" s="291"/>
      <c r="L162" s="291"/>
      <c r="M162" s="291"/>
      <c r="N162" s="291"/>
      <c r="O162" s="291"/>
      <c r="P162" s="291"/>
      <c r="Q162" s="291"/>
      <c r="R162" s="291"/>
      <c r="S162" s="137"/>
      <c r="T162" s="292"/>
      <c r="U162" s="293"/>
      <c r="V162" s="293"/>
      <c r="W162" s="293"/>
      <c r="X162" s="293"/>
      <c r="Y162" s="293"/>
      <c r="Z162" s="293"/>
      <c r="AA162" s="294"/>
      <c r="AB162" s="153"/>
      <c r="AC162" s="154"/>
      <c r="AD162" s="154"/>
      <c r="AE162" s="154"/>
      <c r="AF162" s="155"/>
    </row>
    <row r="163" spans="1:109" ht="15" customHeight="1">
      <c r="A163" s="139"/>
      <c r="B163" s="283"/>
      <c r="C163" s="284"/>
      <c r="D163" s="285"/>
      <c r="E163" s="286"/>
      <c r="F163" s="284"/>
      <c r="G163" s="287"/>
      <c r="H163" s="288"/>
      <c r="I163" s="289"/>
      <c r="J163" s="290"/>
      <c r="K163" s="291"/>
      <c r="L163" s="291"/>
      <c r="M163" s="291"/>
      <c r="N163" s="291"/>
      <c r="O163" s="291"/>
      <c r="P163" s="291"/>
      <c r="Q163" s="291"/>
      <c r="R163" s="291"/>
      <c r="S163" s="137"/>
      <c r="T163" s="296"/>
      <c r="U163" s="297"/>
      <c r="V163" s="297"/>
      <c r="W163" s="297"/>
      <c r="X163" s="297"/>
      <c r="Y163" s="297"/>
      <c r="Z163" s="297"/>
      <c r="AA163" s="298"/>
      <c r="AB163" s="153"/>
      <c r="AC163" s="154"/>
      <c r="AD163" s="154"/>
      <c r="AE163" s="154"/>
      <c r="AF163" s="155"/>
    </row>
    <row r="164" spans="1:109" ht="15" customHeight="1">
      <c r="A164" s="139"/>
      <c r="B164" s="309"/>
      <c r="C164" s="310"/>
      <c r="D164" s="311"/>
      <c r="E164" s="315"/>
      <c r="F164" s="310"/>
      <c r="G164" s="316"/>
      <c r="H164" s="317"/>
      <c r="I164" s="318"/>
      <c r="J164" s="319"/>
      <c r="K164" s="320"/>
      <c r="L164" s="320"/>
      <c r="M164" s="320"/>
      <c r="N164" s="320"/>
      <c r="O164" s="320"/>
      <c r="P164" s="320"/>
      <c r="Q164" s="320"/>
      <c r="R164" s="320"/>
      <c r="S164" s="159"/>
      <c r="T164" s="366"/>
      <c r="U164" s="367"/>
      <c r="V164" s="367"/>
      <c r="W164" s="367"/>
      <c r="X164" s="367"/>
      <c r="Y164" s="367"/>
      <c r="Z164" s="367"/>
      <c r="AA164" s="368"/>
      <c r="AB164" s="153"/>
      <c r="AF164" s="155"/>
    </row>
    <row r="165" spans="1:109" ht="15" customHeight="1">
      <c r="A165" s="139"/>
      <c r="B165" s="283"/>
      <c r="C165" s="284"/>
      <c r="D165" s="285"/>
      <c r="E165" s="286"/>
      <c r="F165" s="284"/>
      <c r="G165" s="287"/>
      <c r="H165" s="288"/>
      <c r="I165" s="289"/>
      <c r="J165" s="290"/>
      <c r="K165" s="291"/>
      <c r="L165" s="291"/>
      <c r="M165" s="291"/>
      <c r="N165" s="291"/>
      <c r="O165" s="291"/>
      <c r="P165" s="291"/>
      <c r="Q165" s="291"/>
      <c r="R165" s="291"/>
      <c r="S165" s="137"/>
      <c r="T165" s="292"/>
      <c r="U165" s="293"/>
      <c r="V165" s="293"/>
      <c r="W165" s="293"/>
      <c r="X165" s="293"/>
      <c r="Y165" s="293"/>
      <c r="Z165" s="293"/>
      <c r="AA165" s="294"/>
      <c r="AB165" s="153"/>
      <c r="AF165" s="155"/>
    </row>
    <row r="166" spans="1:109" s="139" customFormat="1" ht="15" customHeight="1"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3"/>
      <c r="U166" s="143"/>
      <c r="V166" s="143"/>
      <c r="W166" s="143"/>
      <c r="X166" s="143"/>
      <c r="Y166" s="143"/>
      <c r="Z166" s="143"/>
      <c r="AA166" s="143"/>
      <c r="AC166" s="140"/>
      <c r="AD166" s="140"/>
      <c r="AE166" s="140"/>
      <c r="AF166" s="140"/>
      <c r="AG166" s="140"/>
      <c r="AH166" s="141"/>
      <c r="AI166" s="143"/>
      <c r="AJ166" s="140"/>
      <c r="AK166" s="140"/>
      <c r="AL166" s="140"/>
      <c r="AM166" s="140"/>
      <c r="AN166" s="140"/>
      <c r="AO166" s="140"/>
      <c r="AP166" s="140"/>
      <c r="AQ166" s="140"/>
      <c r="AR166" s="140"/>
      <c r="AS166" s="140"/>
      <c r="AT166" s="140"/>
      <c r="AU166" s="140"/>
      <c r="AV166" s="140"/>
      <c r="AW166" s="140"/>
      <c r="AX166" s="140"/>
      <c r="AY166" s="140"/>
      <c r="AZ166" s="140"/>
      <c r="BA166" s="140"/>
      <c r="BB166" s="140"/>
      <c r="BC166" s="140"/>
      <c r="BD166" s="140"/>
      <c r="BE166" s="140"/>
      <c r="BF166" s="140"/>
      <c r="BG166" s="140"/>
      <c r="BH166" s="140"/>
      <c r="BI166" s="140"/>
      <c r="BJ166" s="140"/>
      <c r="BK166" s="140"/>
      <c r="BL166" s="140"/>
      <c r="BM166" s="140"/>
      <c r="BN166" s="140"/>
      <c r="BO166" s="140"/>
      <c r="BP166" s="140"/>
      <c r="BQ166" s="140"/>
      <c r="BR166" s="140"/>
      <c r="BS166" s="140"/>
      <c r="BT166" s="140"/>
      <c r="BU166" s="140"/>
      <c r="BV166" s="140"/>
      <c r="BW166" s="140"/>
      <c r="BX166" s="140"/>
      <c r="BY166" s="140"/>
      <c r="BZ166" s="140"/>
      <c r="CA166" s="140"/>
      <c r="CB166" s="140"/>
      <c r="CC166" s="140"/>
      <c r="CD166" s="140"/>
      <c r="CE166" s="140"/>
      <c r="CF166" s="140"/>
      <c r="CG166" s="140"/>
      <c r="CH166" s="140"/>
      <c r="CI166" s="140"/>
      <c r="CJ166" s="140"/>
      <c r="CK166" s="140"/>
      <c r="CL166" s="140"/>
      <c r="CM166" s="140"/>
      <c r="CN166" s="140"/>
      <c r="CO166" s="140"/>
      <c r="CP166" s="140"/>
      <c r="CQ166" s="140"/>
      <c r="CR166" s="140"/>
      <c r="CS166" s="140"/>
      <c r="CT166" s="140"/>
      <c r="CU166" s="140"/>
      <c r="CV166" s="140"/>
      <c r="CW166" s="140"/>
      <c r="CX166" s="140"/>
      <c r="CY166" s="140"/>
      <c r="CZ166" s="140"/>
      <c r="DA166" s="140"/>
      <c r="DB166" s="140"/>
      <c r="DC166" s="140"/>
      <c r="DD166" s="140"/>
      <c r="DE166" s="140"/>
    </row>
    <row r="167" spans="1:109" s="139" customFormat="1" ht="15" customHeight="1"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3"/>
      <c r="U167" s="143"/>
      <c r="V167" s="143"/>
      <c r="W167" s="143"/>
      <c r="X167" s="143"/>
      <c r="Y167" s="143"/>
      <c r="Z167" s="143"/>
      <c r="AA167" s="143"/>
      <c r="AC167" s="140"/>
      <c r="AD167" s="140"/>
      <c r="AE167" s="140"/>
      <c r="AF167" s="140"/>
      <c r="AG167" s="140"/>
      <c r="AH167" s="141"/>
      <c r="AI167" s="143"/>
      <c r="AJ167" s="140"/>
      <c r="AK167" s="140"/>
      <c r="AL167" s="140"/>
      <c r="AM167" s="140"/>
      <c r="AN167" s="140"/>
      <c r="AO167" s="140"/>
      <c r="AP167" s="140"/>
      <c r="AQ167" s="140"/>
      <c r="AR167" s="140"/>
      <c r="AS167" s="140"/>
      <c r="AT167" s="140"/>
      <c r="AU167" s="140"/>
      <c r="AV167" s="140"/>
      <c r="AW167" s="140"/>
      <c r="AX167" s="140"/>
      <c r="AY167" s="140"/>
      <c r="AZ167" s="140"/>
      <c r="BA167" s="140"/>
      <c r="BB167" s="140"/>
      <c r="BC167" s="140"/>
      <c r="BD167" s="140"/>
      <c r="BE167" s="140"/>
      <c r="BF167" s="140"/>
      <c r="BG167" s="140"/>
      <c r="BH167" s="140"/>
      <c r="BI167" s="140"/>
      <c r="BJ167" s="140"/>
      <c r="BK167" s="140"/>
      <c r="BL167" s="140"/>
      <c r="BM167" s="140"/>
      <c r="BN167" s="140"/>
      <c r="BO167" s="140"/>
      <c r="BP167" s="140"/>
      <c r="BQ167" s="140"/>
      <c r="BR167" s="140"/>
      <c r="BS167" s="140"/>
      <c r="BT167" s="140"/>
      <c r="BU167" s="140"/>
      <c r="BV167" s="140"/>
      <c r="BW167" s="140"/>
      <c r="BX167" s="140"/>
      <c r="BY167" s="140"/>
      <c r="BZ167" s="140"/>
      <c r="CA167" s="140"/>
      <c r="CB167" s="140"/>
      <c r="CC167" s="140"/>
      <c r="CD167" s="140"/>
      <c r="CE167" s="140"/>
      <c r="CF167" s="140"/>
      <c r="CG167" s="140"/>
      <c r="CH167" s="140"/>
      <c r="CI167" s="140"/>
      <c r="CJ167" s="140"/>
      <c r="CK167" s="140"/>
      <c r="CL167" s="140"/>
      <c r="CM167" s="140"/>
      <c r="CN167" s="140"/>
      <c r="CO167" s="140"/>
      <c r="CP167" s="140"/>
      <c r="CQ167" s="140"/>
      <c r="CR167" s="140"/>
      <c r="CS167" s="140"/>
      <c r="CT167" s="140"/>
      <c r="CU167" s="140"/>
      <c r="CV167" s="140"/>
      <c r="CW167" s="140"/>
      <c r="CX167" s="140"/>
      <c r="CY167" s="140"/>
      <c r="CZ167" s="140"/>
      <c r="DA167" s="140"/>
      <c r="DB167" s="140"/>
      <c r="DC167" s="140"/>
      <c r="DD167" s="140"/>
      <c r="DE167" s="140"/>
    </row>
    <row r="168" spans="1:109" s="139" customFormat="1" ht="15" customHeight="1"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3"/>
      <c r="U168" s="143"/>
      <c r="V168" s="143"/>
      <c r="W168" s="143"/>
      <c r="X168" s="143"/>
      <c r="Y168" s="143"/>
      <c r="Z168" s="143"/>
      <c r="AA168" s="143"/>
      <c r="AC168" s="140"/>
      <c r="AD168" s="140"/>
      <c r="AE168" s="140"/>
      <c r="AF168" s="140"/>
      <c r="AG168" s="140"/>
      <c r="AH168" s="141"/>
      <c r="AI168" s="143"/>
      <c r="AJ168" s="140"/>
      <c r="AK168" s="140"/>
      <c r="AL168" s="140"/>
      <c r="AM168" s="140"/>
      <c r="AN168" s="140"/>
      <c r="AO168" s="140"/>
      <c r="AP168" s="140"/>
      <c r="AQ168" s="140"/>
      <c r="AR168" s="140"/>
      <c r="AS168" s="140"/>
      <c r="AT168" s="140"/>
      <c r="AU168" s="140"/>
      <c r="AV168" s="140"/>
      <c r="AW168" s="140"/>
      <c r="AX168" s="140"/>
      <c r="AY168" s="140"/>
      <c r="AZ168" s="140"/>
      <c r="BA168" s="140"/>
      <c r="BB168" s="140"/>
      <c r="BC168" s="140"/>
      <c r="BD168" s="140"/>
      <c r="BE168" s="140"/>
      <c r="BF168" s="140"/>
      <c r="BG168" s="140"/>
      <c r="BH168" s="140"/>
      <c r="BI168" s="140"/>
      <c r="BJ168" s="140"/>
      <c r="BK168" s="140"/>
      <c r="BL168" s="140"/>
      <c r="BM168" s="140"/>
      <c r="BN168" s="140"/>
      <c r="BO168" s="140"/>
      <c r="BP168" s="140"/>
      <c r="BQ168" s="140"/>
      <c r="BR168" s="140"/>
      <c r="BS168" s="140"/>
      <c r="BT168" s="140"/>
      <c r="BU168" s="140"/>
      <c r="BV168" s="140"/>
      <c r="BW168" s="140"/>
      <c r="BX168" s="140"/>
      <c r="BY168" s="140"/>
      <c r="BZ168" s="140"/>
      <c r="CA168" s="140"/>
      <c r="CB168" s="140"/>
      <c r="CC168" s="140"/>
      <c r="CD168" s="140"/>
      <c r="CE168" s="140"/>
      <c r="CF168" s="140"/>
      <c r="CG168" s="140"/>
      <c r="CH168" s="140"/>
      <c r="CI168" s="140"/>
      <c r="CJ168" s="140"/>
      <c r="CK168" s="140"/>
      <c r="CL168" s="140"/>
      <c r="CM168" s="140"/>
      <c r="CN168" s="140"/>
      <c r="CO168" s="140"/>
      <c r="CP168" s="140"/>
      <c r="CQ168" s="140"/>
      <c r="CR168" s="140"/>
      <c r="CS168" s="140"/>
      <c r="CT168" s="140"/>
      <c r="CU168" s="140"/>
      <c r="CV168" s="140"/>
      <c r="CW168" s="140"/>
      <c r="CX168" s="140"/>
      <c r="CY168" s="140"/>
      <c r="CZ168" s="140"/>
      <c r="DA168" s="140"/>
      <c r="DB168" s="140"/>
      <c r="DC168" s="140"/>
      <c r="DD168" s="140"/>
      <c r="DE168" s="140"/>
    </row>
    <row r="169" spans="1:109" s="139" customFormat="1" ht="15" customHeight="1"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3"/>
      <c r="U169" s="143"/>
      <c r="V169" s="143"/>
      <c r="W169" s="143"/>
      <c r="X169" s="143"/>
      <c r="Y169" s="143"/>
      <c r="Z169" s="143"/>
      <c r="AA169" s="143"/>
      <c r="AC169" s="140"/>
      <c r="AD169" s="140"/>
      <c r="AE169" s="140"/>
      <c r="AF169" s="140"/>
      <c r="AG169" s="140"/>
      <c r="AH169" s="141"/>
      <c r="AI169" s="143"/>
      <c r="AJ169" s="140"/>
      <c r="AK169" s="140"/>
      <c r="AL169" s="140"/>
      <c r="AM169" s="140"/>
      <c r="AN169" s="140"/>
      <c r="AO169" s="140"/>
      <c r="AP169" s="140"/>
      <c r="AQ169" s="140"/>
      <c r="AR169" s="140"/>
      <c r="AS169" s="140"/>
      <c r="AT169" s="140"/>
      <c r="AU169" s="140"/>
      <c r="AV169" s="140"/>
      <c r="AW169" s="140"/>
      <c r="AX169" s="140"/>
      <c r="AY169" s="140"/>
      <c r="AZ169" s="140"/>
      <c r="BA169" s="140"/>
      <c r="BB169" s="140"/>
      <c r="BC169" s="140"/>
      <c r="BD169" s="140"/>
      <c r="BE169" s="140"/>
      <c r="BF169" s="140"/>
      <c r="BG169" s="140"/>
      <c r="BH169" s="140"/>
      <c r="BI169" s="140"/>
      <c r="BJ169" s="140"/>
      <c r="BK169" s="140"/>
      <c r="BL169" s="140"/>
      <c r="BM169" s="140"/>
      <c r="BN169" s="140"/>
      <c r="BO169" s="140"/>
      <c r="BP169" s="140"/>
      <c r="BQ169" s="140"/>
      <c r="BR169" s="140"/>
      <c r="BS169" s="140"/>
      <c r="BT169" s="140"/>
      <c r="BU169" s="140"/>
      <c r="BV169" s="140"/>
      <c r="BW169" s="140"/>
      <c r="BX169" s="140"/>
      <c r="BY169" s="140"/>
      <c r="BZ169" s="140"/>
      <c r="CA169" s="140"/>
      <c r="CB169" s="140"/>
      <c r="CC169" s="140"/>
      <c r="CD169" s="140"/>
      <c r="CE169" s="140"/>
      <c r="CF169" s="140"/>
      <c r="CG169" s="140"/>
      <c r="CH169" s="140"/>
      <c r="CI169" s="140"/>
      <c r="CJ169" s="140"/>
      <c r="CK169" s="140"/>
      <c r="CL169" s="140"/>
      <c r="CM169" s="140"/>
      <c r="CN169" s="140"/>
      <c r="CO169" s="140"/>
      <c r="CP169" s="140"/>
      <c r="CQ169" s="140"/>
      <c r="CR169" s="140"/>
      <c r="CS169" s="140"/>
      <c r="CT169" s="140"/>
      <c r="CU169" s="140"/>
      <c r="CV169" s="140"/>
      <c r="CW169" s="140"/>
      <c r="CX169" s="140"/>
      <c r="CY169" s="140"/>
      <c r="CZ169" s="140"/>
      <c r="DA169" s="140"/>
      <c r="DB169" s="140"/>
      <c r="DC169" s="140"/>
      <c r="DD169" s="140"/>
      <c r="DE169" s="140"/>
    </row>
    <row r="170" spans="1:109" s="139" customFormat="1" ht="15" customHeight="1"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3"/>
      <c r="U170" s="143"/>
      <c r="V170" s="143"/>
      <c r="W170" s="143"/>
      <c r="X170" s="143"/>
      <c r="Y170" s="143"/>
      <c r="Z170" s="143"/>
      <c r="AA170" s="143"/>
      <c r="AC170" s="140"/>
      <c r="AD170" s="140"/>
      <c r="AE170" s="140"/>
      <c r="AF170" s="140"/>
      <c r="AG170" s="140"/>
      <c r="AH170" s="141"/>
      <c r="AI170" s="143"/>
      <c r="AJ170" s="140"/>
      <c r="AK170" s="140"/>
      <c r="AL170" s="140"/>
      <c r="AM170" s="140"/>
      <c r="AN170" s="140"/>
      <c r="AO170" s="140"/>
      <c r="AP170" s="140"/>
      <c r="AQ170" s="140"/>
      <c r="AR170" s="140"/>
      <c r="AS170" s="140"/>
      <c r="AT170" s="140"/>
      <c r="AU170" s="140"/>
      <c r="AV170" s="140"/>
      <c r="AW170" s="140"/>
      <c r="AX170" s="140"/>
      <c r="AY170" s="140"/>
      <c r="AZ170" s="140"/>
      <c r="BA170" s="140"/>
      <c r="BB170" s="140"/>
      <c r="BC170" s="140"/>
      <c r="BD170" s="140"/>
      <c r="BE170" s="140"/>
      <c r="BF170" s="140"/>
      <c r="BG170" s="140"/>
      <c r="BH170" s="140"/>
      <c r="BI170" s="140"/>
      <c r="BJ170" s="140"/>
      <c r="BK170" s="140"/>
      <c r="BL170" s="140"/>
      <c r="BM170" s="140"/>
      <c r="BN170" s="140"/>
      <c r="BO170" s="140"/>
      <c r="BP170" s="140"/>
      <c r="BQ170" s="140"/>
      <c r="BR170" s="140"/>
      <c r="BS170" s="140"/>
      <c r="BT170" s="140"/>
      <c r="BU170" s="140"/>
      <c r="BV170" s="140"/>
      <c r="BW170" s="140"/>
      <c r="BX170" s="140"/>
      <c r="BY170" s="140"/>
      <c r="BZ170" s="140"/>
      <c r="CA170" s="140"/>
      <c r="CB170" s="140"/>
      <c r="CC170" s="140"/>
      <c r="CD170" s="140"/>
      <c r="CE170" s="140"/>
      <c r="CF170" s="140"/>
      <c r="CG170" s="140"/>
      <c r="CH170" s="140"/>
      <c r="CI170" s="140"/>
      <c r="CJ170" s="140"/>
      <c r="CK170" s="140"/>
      <c r="CL170" s="140"/>
      <c r="CM170" s="140"/>
      <c r="CN170" s="140"/>
      <c r="CO170" s="140"/>
      <c r="CP170" s="140"/>
      <c r="CQ170" s="140"/>
      <c r="CR170" s="140"/>
      <c r="CS170" s="140"/>
      <c r="CT170" s="140"/>
      <c r="CU170" s="140"/>
      <c r="CV170" s="140"/>
      <c r="CW170" s="140"/>
      <c r="CX170" s="140"/>
      <c r="CY170" s="140"/>
      <c r="CZ170" s="140"/>
      <c r="DA170" s="140"/>
      <c r="DB170" s="140"/>
      <c r="DC170" s="140"/>
      <c r="DD170" s="140"/>
      <c r="DE170" s="140"/>
    </row>
    <row r="171" spans="1:109" s="139" customFormat="1" ht="15" customHeight="1"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3"/>
      <c r="U171" s="143"/>
      <c r="V171" s="143"/>
      <c r="W171" s="143"/>
      <c r="X171" s="143"/>
      <c r="Y171" s="143"/>
      <c r="Z171" s="143"/>
      <c r="AA171" s="143"/>
      <c r="AC171" s="140"/>
      <c r="AD171" s="140"/>
      <c r="AE171" s="140"/>
      <c r="AF171" s="140"/>
      <c r="AG171" s="140"/>
      <c r="AH171" s="141"/>
      <c r="AI171" s="143"/>
      <c r="AJ171" s="140"/>
      <c r="AK171" s="140"/>
      <c r="AL171" s="140"/>
      <c r="AM171" s="140"/>
      <c r="AN171" s="140"/>
      <c r="AO171" s="140"/>
      <c r="AP171" s="140"/>
      <c r="AQ171" s="140"/>
      <c r="AR171" s="140"/>
      <c r="AS171" s="140"/>
      <c r="AT171" s="140"/>
      <c r="AU171" s="140"/>
      <c r="AV171" s="140"/>
      <c r="AW171" s="140"/>
      <c r="AX171" s="140"/>
      <c r="AY171" s="140"/>
      <c r="AZ171" s="140"/>
      <c r="BA171" s="140"/>
      <c r="BB171" s="140"/>
      <c r="BC171" s="140"/>
      <c r="BD171" s="140"/>
      <c r="BE171" s="140"/>
      <c r="BF171" s="140"/>
      <c r="BG171" s="140"/>
      <c r="BH171" s="140"/>
      <c r="BI171" s="140"/>
      <c r="BJ171" s="140"/>
      <c r="BK171" s="140"/>
      <c r="BL171" s="140"/>
      <c r="BM171" s="140"/>
      <c r="BN171" s="140"/>
      <c r="BO171" s="140"/>
      <c r="BP171" s="140"/>
      <c r="BQ171" s="140"/>
      <c r="BR171" s="140"/>
      <c r="BS171" s="140"/>
      <c r="BT171" s="140"/>
      <c r="BU171" s="140"/>
      <c r="BV171" s="140"/>
      <c r="BW171" s="140"/>
      <c r="BX171" s="140"/>
      <c r="BY171" s="140"/>
      <c r="BZ171" s="140"/>
      <c r="CA171" s="140"/>
      <c r="CB171" s="140"/>
      <c r="CC171" s="140"/>
      <c r="CD171" s="140"/>
      <c r="CE171" s="140"/>
      <c r="CF171" s="140"/>
      <c r="CG171" s="140"/>
      <c r="CH171" s="140"/>
      <c r="CI171" s="140"/>
      <c r="CJ171" s="140"/>
      <c r="CK171" s="140"/>
      <c r="CL171" s="140"/>
      <c r="CM171" s="140"/>
      <c r="CN171" s="140"/>
      <c r="CO171" s="140"/>
      <c r="CP171" s="140"/>
      <c r="CQ171" s="140"/>
      <c r="CR171" s="140"/>
      <c r="CS171" s="140"/>
      <c r="CT171" s="140"/>
      <c r="CU171" s="140"/>
      <c r="CV171" s="140"/>
      <c r="CW171" s="140"/>
      <c r="CX171" s="140"/>
      <c r="CY171" s="140"/>
      <c r="CZ171" s="140"/>
      <c r="DA171" s="140"/>
      <c r="DB171" s="140"/>
      <c r="DC171" s="140"/>
      <c r="DD171" s="140"/>
      <c r="DE171" s="140"/>
    </row>
    <row r="172" spans="1:109" s="139" customFormat="1" ht="15" customHeight="1"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3"/>
      <c r="U172" s="143"/>
      <c r="V172" s="143"/>
      <c r="W172" s="143"/>
      <c r="X172" s="143"/>
      <c r="Y172" s="143"/>
      <c r="Z172" s="143"/>
      <c r="AA172" s="143"/>
      <c r="AC172" s="140"/>
      <c r="AD172" s="140"/>
      <c r="AE172" s="140"/>
      <c r="AF172" s="140"/>
      <c r="AG172" s="140"/>
      <c r="AH172" s="141"/>
      <c r="AI172" s="143"/>
      <c r="AJ172" s="140"/>
      <c r="AK172" s="140"/>
      <c r="AL172" s="140"/>
      <c r="AM172" s="140"/>
      <c r="AN172" s="140"/>
      <c r="AO172" s="140"/>
      <c r="AP172" s="140"/>
      <c r="AQ172" s="140"/>
      <c r="AR172" s="140"/>
      <c r="AS172" s="140"/>
      <c r="AT172" s="140"/>
      <c r="AU172" s="140"/>
      <c r="AV172" s="140"/>
      <c r="AW172" s="140"/>
      <c r="AX172" s="140"/>
      <c r="AY172" s="140"/>
      <c r="AZ172" s="140"/>
      <c r="BA172" s="140"/>
      <c r="BB172" s="140"/>
      <c r="BC172" s="140"/>
      <c r="BD172" s="140"/>
      <c r="BE172" s="140"/>
      <c r="BF172" s="140"/>
      <c r="BG172" s="140"/>
      <c r="BH172" s="140"/>
      <c r="BI172" s="140"/>
      <c r="BJ172" s="140"/>
      <c r="BK172" s="140"/>
      <c r="BL172" s="140"/>
      <c r="BM172" s="140"/>
      <c r="BN172" s="140"/>
      <c r="BO172" s="140"/>
      <c r="BP172" s="140"/>
      <c r="BQ172" s="140"/>
      <c r="BR172" s="140"/>
      <c r="BS172" s="140"/>
      <c r="BT172" s="140"/>
      <c r="BU172" s="140"/>
      <c r="BV172" s="140"/>
      <c r="BW172" s="140"/>
      <c r="BX172" s="140"/>
      <c r="BY172" s="140"/>
      <c r="BZ172" s="140"/>
      <c r="CA172" s="140"/>
      <c r="CB172" s="140"/>
      <c r="CC172" s="140"/>
      <c r="CD172" s="140"/>
      <c r="CE172" s="140"/>
      <c r="CF172" s="140"/>
      <c r="CG172" s="140"/>
      <c r="CH172" s="140"/>
      <c r="CI172" s="140"/>
      <c r="CJ172" s="140"/>
      <c r="CK172" s="140"/>
      <c r="CL172" s="140"/>
      <c r="CM172" s="140"/>
      <c r="CN172" s="140"/>
      <c r="CO172" s="140"/>
      <c r="CP172" s="140"/>
      <c r="CQ172" s="140"/>
      <c r="CR172" s="140"/>
      <c r="CS172" s="140"/>
      <c r="CT172" s="140"/>
      <c r="CU172" s="140"/>
      <c r="CV172" s="140"/>
      <c r="CW172" s="140"/>
      <c r="CX172" s="140"/>
      <c r="CY172" s="140"/>
      <c r="CZ172" s="140"/>
      <c r="DA172" s="140"/>
      <c r="DB172" s="140"/>
      <c r="DC172" s="140"/>
      <c r="DD172" s="140"/>
      <c r="DE172" s="140"/>
    </row>
    <row r="173" spans="1:109" s="139" customFormat="1" ht="15" customHeight="1"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3"/>
      <c r="U173" s="143"/>
      <c r="V173" s="143"/>
      <c r="W173" s="143"/>
      <c r="X173" s="143"/>
      <c r="Y173" s="143"/>
      <c r="Z173" s="143"/>
      <c r="AA173" s="143"/>
      <c r="AC173" s="140"/>
      <c r="AD173" s="140"/>
      <c r="AE173" s="140"/>
      <c r="AF173" s="140"/>
      <c r="AG173" s="140"/>
      <c r="AH173" s="141"/>
      <c r="AI173" s="143"/>
      <c r="AJ173" s="140"/>
      <c r="AK173" s="140"/>
      <c r="AL173" s="140"/>
      <c r="AM173" s="140"/>
      <c r="AN173" s="140"/>
      <c r="AO173" s="140"/>
      <c r="AP173" s="140"/>
      <c r="AQ173" s="140"/>
      <c r="AR173" s="140"/>
      <c r="AS173" s="140"/>
      <c r="AT173" s="140"/>
      <c r="AU173" s="140"/>
      <c r="AV173" s="140"/>
      <c r="AW173" s="140"/>
      <c r="AX173" s="140"/>
      <c r="AY173" s="140"/>
      <c r="AZ173" s="140"/>
      <c r="BA173" s="140"/>
      <c r="BB173" s="140"/>
      <c r="BC173" s="140"/>
      <c r="BD173" s="140"/>
      <c r="BE173" s="140"/>
      <c r="BF173" s="140"/>
      <c r="BG173" s="140"/>
      <c r="BH173" s="140"/>
      <c r="BI173" s="140"/>
      <c r="BJ173" s="140"/>
      <c r="BK173" s="140"/>
      <c r="BL173" s="140"/>
      <c r="BM173" s="140"/>
      <c r="BN173" s="140"/>
      <c r="BO173" s="140"/>
      <c r="BP173" s="140"/>
      <c r="BQ173" s="140"/>
      <c r="BR173" s="140"/>
      <c r="BS173" s="140"/>
      <c r="BT173" s="140"/>
      <c r="BU173" s="140"/>
      <c r="BV173" s="140"/>
      <c r="BW173" s="140"/>
      <c r="BX173" s="140"/>
      <c r="BY173" s="140"/>
      <c r="BZ173" s="140"/>
      <c r="CA173" s="140"/>
      <c r="CB173" s="140"/>
      <c r="CC173" s="140"/>
      <c r="CD173" s="140"/>
      <c r="CE173" s="140"/>
      <c r="CF173" s="140"/>
      <c r="CG173" s="140"/>
      <c r="CH173" s="140"/>
      <c r="CI173" s="140"/>
      <c r="CJ173" s="140"/>
      <c r="CK173" s="140"/>
      <c r="CL173" s="140"/>
      <c r="CM173" s="140"/>
      <c r="CN173" s="140"/>
      <c r="CO173" s="140"/>
      <c r="CP173" s="140"/>
      <c r="CQ173" s="140"/>
      <c r="CR173" s="140"/>
      <c r="CS173" s="140"/>
      <c r="CT173" s="140"/>
      <c r="CU173" s="140"/>
      <c r="CV173" s="140"/>
      <c r="CW173" s="140"/>
      <c r="CX173" s="140"/>
      <c r="CY173" s="140"/>
      <c r="CZ173" s="140"/>
      <c r="DA173" s="140"/>
      <c r="DB173" s="140"/>
      <c r="DC173" s="140"/>
      <c r="DD173" s="140"/>
      <c r="DE173" s="140"/>
    </row>
    <row r="174" spans="1:109" s="139" customFormat="1" ht="15" customHeight="1"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3"/>
      <c r="U174" s="143"/>
      <c r="V174" s="143"/>
      <c r="W174" s="143"/>
      <c r="X174" s="143"/>
      <c r="Y174" s="143"/>
      <c r="Z174" s="143"/>
      <c r="AA174" s="143"/>
      <c r="AC174" s="140"/>
      <c r="AD174" s="140"/>
      <c r="AE174" s="140"/>
      <c r="AF174" s="140"/>
      <c r="AG174" s="140"/>
      <c r="AH174" s="141"/>
      <c r="AI174" s="143"/>
      <c r="AJ174" s="140"/>
      <c r="AK174" s="140"/>
      <c r="AL174" s="140"/>
      <c r="AM174" s="140"/>
      <c r="AN174" s="140"/>
      <c r="AO174" s="140"/>
      <c r="AP174" s="140"/>
      <c r="AQ174" s="140"/>
      <c r="AR174" s="140"/>
      <c r="AS174" s="140"/>
      <c r="AT174" s="140"/>
      <c r="AU174" s="140"/>
      <c r="AV174" s="140"/>
      <c r="AW174" s="140"/>
      <c r="AX174" s="140"/>
      <c r="AY174" s="140"/>
      <c r="AZ174" s="140"/>
      <c r="BA174" s="140"/>
      <c r="BB174" s="140"/>
      <c r="BC174" s="140"/>
      <c r="BD174" s="140"/>
      <c r="BE174" s="140"/>
      <c r="BF174" s="140"/>
      <c r="BG174" s="140"/>
      <c r="BH174" s="140"/>
      <c r="BI174" s="140"/>
      <c r="BJ174" s="140"/>
      <c r="BK174" s="140"/>
      <c r="BL174" s="140"/>
      <c r="BM174" s="140"/>
      <c r="BN174" s="140"/>
      <c r="BO174" s="140"/>
      <c r="BP174" s="140"/>
      <c r="BQ174" s="140"/>
      <c r="BR174" s="140"/>
      <c r="BS174" s="140"/>
      <c r="BT174" s="140"/>
      <c r="BU174" s="140"/>
      <c r="BV174" s="140"/>
      <c r="BW174" s="140"/>
      <c r="BX174" s="140"/>
      <c r="BY174" s="140"/>
      <c r="BZ174" s="140"/>
      <c r="CA174" s="140"/>
      <c r="CB174" s="140"/>
      <c r="CC174" s="140"/>
      <c r="CD174" s="140"/>
      <c r="CE174" s="140"/>
      <c r="CF174" s="140"/>
      <c r="CG174" s="140"/>
      <c r="CH174" s="140"/>
      <c r="CI174" s="140"/>
      <c r="CJ174" s="140"/>
      <c r="CK174" s="140"/>
      <c r="CL174" s="140"/>
      <c r="CM174" s="140"/>
      <c r="CN174" s="140"/>
      <c r="CO174" s="140"/>
      <c r="CP174" s="140"/>
      <c r="CQ174" s="140"/>
      <c r="CR174" s="140"/>
      <c r="CS174" s="140"/>
      <c r="CT174" s="140"/>
      <c r="CU174" s="140"/>
      <c r="CV174" s="140"/>
      <c r="CW174" s="140"/>
      <c r="CX174" s="140"/>
      <c r="CY174" s="140"/>
      <c r="CZ174" s="140"/>
      <c r="DA174" s="140"/>
      <c r="DB174" s="140"/>
      <c r="DC174" s="140"/>
      <c r="DD174" s="140"/>
      <c r="DE174" s="140"/>
    </row>
    <row r="175" spans="1:109" s="139" customFormat="1" ht="15" customHeight="1"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3"/>
      <c r="U175" s="143"/>
      <c r="V175" s="143"/>
      <c r="W175" s="143"/>
      <c r="X175" s="143"/>
      <c r="Y175" s="143"/>
      <c r="Z175" s="143"/>
      <c r="AA175" s="143"/>
      <c r="AC175" s="140"/>
      <c r="AD175" s="140"/>
      <c r="AE175" s="140"/>
      <c r="AF175" s="140"/>
      <c r="AG175" s="140"/>
      <c r="AH175" s="141"/>
      <c r="AI175" s="143"/>
      <c r="AJ175" s="140"/>
      <c r="AK175" s="140"/>
      <c r="AL175" s="140"/>
      <c r="AM175" s="140"/>
      <c r="AN175" s="140"/>
      <c r="AO175" s="140"/>
      <c r="AP175" s="140"/>
      <c r="AQ175" s="140"/>
      <c r="AR175" s="140"/>
      <c r="AS175" s="140"/>
      <c r="AT175" s="140"/>
      <c r="AU175" s="140"/>
      <c r="AV175" s="140"/>
      <c r="AW175" s="140"/>
      <c r="AX175" s="140"/>
      <c r="AY175" s="140"/>
      <c r="AZ175" s="140"/>
      <c r="BA175" s="140"/>
      <c r="BB175" s="140"/>
      <c r="BC175" s="140"/>
      <c r="BD175" s="140"/>
      <c r="BE175" s="140"/>
      <c r="BF175" s="140"/>
      <c r="BG175" s="140"/>
      <c r="BH175" s="140"/>
      <c r="BI175" s="140"/>
      <c r="BJ175" s="140"/>
      <c r="BK175" s="140"/>
      <c r="BL175" s="140"/>
      <c r="BM175" s="140"/>
      <c r="BN175" s="140"/>
      <c r="BO175" s="140"/>
      <c r="BP175" s="140"/>
      <c r="BQ175" s="140"/>
      <c r="BR175" s="140"/>
      <c r="BS175" s="140"/>
      <c r="BT175" s="140"/>
      <c r="BU175" s="140"/>
      <c r="BV175" s="140"/>
      <c r="BW175" s="140"/>
      <c r="BX175" s="140"/>
      <c r="BY175" s="140"/>
      <c r="BZ175" s="140"/>
      <c r="CA175" s="140"/>
      <c r="CB175" s="140"/>
      <c r="CC175" s="140"/>
      <c r="CD175" s="140"/>
      <c r="CE175" s="140"/>
      <c r="CF175" s="140"/>
      <c r="CG175" s="140"/>
      <c r="CH175" s="140"/>
      <c r="CI175" s="140"/>
      <c r="CJ175" s="140"/>
      <c r="CK175" s="140"/>
      <c r="CL175" s="140"/>
      <c r="CM175" s="140"/>
      <c r="CN175" s="140"/>
      <c r="CO175" s="140"/>
      <c r="CP175" s="140"/>
      <c r="CQ175" s="140"/>
      <c r="CR175" s="140"/>
      <c r="CS175" s="140"/>
      <c r="CT175" s="140"/>
      <c r="CU175" s="140"/>
      <c r="CV175" s="140"/>
      <c r="CW175" s="140"/>
      <c r="CX175" s="140"/>
      <c r="CY175" s="140"/>
      <c r="CZ175" s="140"/>
      <c r="DA175" s="140"/>
      <c r="DB175" s="140"/>
      <c r="DC175" s="140"/>
      <c r="DD175" s="140"/>
      <c r="DE175" s="140"/>
    </row>
    <row r="176" spans="1:109" s="139" customFormat="1" ht="15" customHeight="1"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3"/>
      <c r="U176" s="143"/>
      <c r="V176" s="143"/>
      <c r="W176" s="143"/>
      <c r="X176" s="143"/>
      <c r="Y176" s="143"/>
      <c r="Z176" s="143"/>
      <c r="AA176" s="143"/>
      <c r="AC176" s="140"/>
      <c r="AD176" s="140"/>
      <c r="AE176" s="140"/>
      <c r="AF176" s="140"/>
      <c r="AG176" s="140"/>
      <c r="AH176" s="141"/>
      <c r="AI176" s="143"/>
      <c r="AJ176" s="140"/>
      <c r="AK176" s="140"/>
      <c r="AL176" s="140"/>
      <c r="AM176" s="140"/>
      <c r="AN176" s="140"/>
      <c r="AO176" s="140"/>
      <c r="AP176" s="140"/>
      <c r="AQ176" s="140"/>
      <c r="AR176" s="140"/>
      <c r="AS176" s="140"/>
      <c r="AT176" s="140"/>
      <c r="AU176" s="140"/>
      <c r="AV176" s="140"/>
      <c r="AW176" s="140"/>
      <c r="AX176" s="140"/>
      <c r="AY176" s="140"/>
      <c r="AZ176" s="140"/>
      <c r="BA176" s="140"/>
      <c r="BB176" s="140"/>
      <c r="BC176" s="140"/>
      <c r="BD176" s="140"/>
      <c r="BE176" s="140"/>
      <c r="BF176" s="140"/>
      <c r="BG176" s="140"/>
      <c r="BH176" s="140"/>
      <c r="BI176" s="140"/>
      <c r="BJ176" s="140"/>
      <c r="BK176" s="140"/>
      <c r="BL176" s="140"/>
      <c r="BM176" s="140"/>
      <c r="BN176" s="140"/>
      <c r="BO176" s="140"/>
      <c r="BP176" s="140"/>
      <c r="BQ176" s="140"/>
      <c r="BR176" s="140"/>
      <c r="BS176" s="140"/>
      <c r="BT176" s="140"/>
      <c r="BU176" s="140"/>
      <c r="BV176" s="140"/>
      <c r="BW176" s="140"/>
      <c r="BX176" s="140"/>
      <c r="BY176" s="140"/>
      <c r="BZ176" s="140"/>
      <c r="CA176" s="140"/>
      <c r="CB176" s="140"/>
      <c r="CC176" s="140"/>
      <c r="CD176" s="140"/>
      <c r="CE176" s="140"/>
      <c r="CF176" s="140"/>
      <c r="CG176" s="140"/>
      <c r="CH176" s="140"/>
      <c r="CI176" s="140"/>
      <c r="CJ176" s="140"/>
      <c r="CK176" s="140"/>
      <c r="CL176" s="140"/>
      <c r="CM176" s="140"/>
      <c r="CN176" s="140"/>
      <c r="CO176" s="140"/>
      <c r="CP176" s="140"/>
      <c r="CQ176" s="140"/>
      <c r="CR176" s="140"/>
      <c r="CS176" s="140"/>
      <c r="CT176" s="140"/>
      <c r="CU176" s="140"/>
      <c r="CV176" s="140"/>
      <c r="CW176" s="140"/>
      <c r="CX176" s="140"/>
      <c r="CY176" s="140"/>
      <c r="CZ176" s="140"/>
      <c r="DA176" s="140"/>
      <c r="DB176" s="140"/>
      <c r="DC176" s="140"/>
      <c r="DD176" s="140"/>
      <c r="DE176" s="140"/>
    </row>
    <row r="177" spans="1:109" s="139" customFormat="1" ht="15" customHeight="1"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3"/>
      <c r="U177" s="143"/>
      <c r="V177" s="143"/>
      <c r="W177" s="143"/>
      <c r="X177" s="143"/>
      <c r="Y177" s="143"/>
      <c r="Z177" s="143"/>
      <c r="AA177" s="143"/>
      <c r="AC177" s="140"/>
      <c r="AD177" s="140"/>
      <c r="AE177" s="140"/>
      <c r="AF177" s="140"/>
      <c r="AG177" s="140"/>
      <c r="AH177" s="141"/>
      <c r="AI177" s="143"/>
      <c r="AJ177" s="140"/>
      <c r="AK177" s="140"/>
      <c r="AL177" s="140"/>
      <c r="AM177" s="140"/>
      <c r="AN177" s="140"/>
      <c r="AO177" s="140"/>
      <c r="AP177" s="140"/>
      <c r="AQ177" s="140"/>
      <c r="AR177" s="140"/>
      <c r="AS177" s="140"/>
      <c r="AT177" s="140"/>
      <c r="AU177" s="140"/>
      <c r="AV177" s="140"/>
      <c r="AW177" s="140"/>
      <c r="AX177" s="140"/>
      <c r="AY177" s="140"/>
      <c r="AZ177" s="140"/>
      <c r="BA177" s="140"/>
      <c r="BB177" s="140"/>
      <c r="BC177" s="140"/>
      <c r="BD177" s="140"/>
      <c r="BE177" s="140"/>
      <c r="BF177" s="140"/>
      <c r="BG177" s="140"/>
      <c r="BH177" s="140"/>
      <c r="BI177" s="140"/>
      <c r="BJ177" s="140"/>
      <c r="BK177" s="140"/>
      <c r="BL177" s="140"/>
      <c r="BM177" s="140"/>
      <c r="BN177" s="140"/>
      <c r="BO177" s="140"/>
      <c r="BP177" s="140"/>
      <c r="BQ177" s="140"/>
      <c r="BR177" s="140"/>
      <c r="BS177" s="140"/>
      <c r="BT177" s="140"/>
      <c r="BU177" s="140"/>
      <c r="BV177" s="140"/>
      <c r="BW177" s="140"/>
      <c r="BX177" s="140"/>
      <c r="BY177" s="140"/>
      <c r="BZ177" s="140"/>
      <c r="CA177" s="140"/>
      <c r="CB177" s="140"/>
      <c r="CC177" s="140"/>
      <c r="CD177" s="140"/>
      <c r="CE177" s="140"/>
      <c r="CF177" s="140"/>
      <c r="CG177" s="140"/>
      <c r="CH177" s="140"/>
      <c r="CI177" s="140"/>
      <c r="CJ177" s="140"/>
      <c r="CK177" s="140"/>
      <c r="CL177" s="140"/>
      <c r="CM177" s="140"/>
      <c r="CN177" s="140"/>
      <c r="CO177" s="140"/>
      <c r="CP177" s="140"/>
      <c r="CQ177" s="140"/>
      <c r="CR177" s="140"/>
      <c r="CS177" s="140"/>
      <c r="CT177" s="140"/>
      <c r="CU177" s="140"/>
      <c r="CV177" s="140"/>
      <c r="CW177" s="140"/>
      <c r="CX177" s="140"/>
      <c r="CY177" s="140"/>
      <c r="CZ177" s="140"/>
      <c r="DA177" s="140"/>
      <c r="DB177" s="140"/>
      <c r="DC177" s="140"/>
      <c r="DD177" s="140"/>
      <c r="DE177" s="140"/>
    </row>
    <row r="178" spans="1:109" s="139" customFormat="1" ht="15" customHeight="1"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3"/>
      <c r="U178" s="143"/>
      <c r="V178" s="143"/>
      <c r="W178" s="143"/>
      <c r="X178" s="143"/>
      <c r="Y178" s="143"/>
      <c r="Z178" s="143"/>
      <c r="AA178" s="143"/>
      <c r="AC178" s="140"/>
      <c r="AD178" s="140"/>
      <c r="AE178" s="140"/>
      <c r="AF178" s="140"/>
      <c r="AG178" s="140"/>
      <c r="AH178" s="141"/>
      <c r="AI178" s="143"/>
      <c r="AJ178" s="140"/>
      <c r="AK178" s="140"/>
      <c r="AL178" s="140"/>
      <c r="AM178" s="140"/>
      <c r="AN178" s="140"/>
      <c r="AO178" s="140"/>
      <c r="AP178" s="140"/>
      <c r="AQ178" s="140"/>
      <c r="AR178" s="140"/>
      <c r="AS178" s="140"/>
      <c r="AT178" s="140"/>
      <c r="AU178" s="140"/>
      <c r="AV178" s="140"/>
      <c r="AW178" s="140"/>
      <c r="AX178" s="140"/>
      <c r="AY178" s="140"/>
      <c r="AZ178" s="140"/>
      <c r="BA178" s="140"/>
      <c r="BB178" s="140"/>
      <c r="BC178" s="140"/>
      <c r="BD178" s="140"/>
      <c r="BE178" s="140"/>
      <c r="BF178" s="140"/>
      <c r="BG178" s="140"/>
      <c r="BH178" s="140"/>
      <c r="BI178" s="140"/>
      <c r="BJ178" s="140"/>
      <c r="BK178" s="140"/>
      <c r="BL178" s="140"/>
      <c r="BM178" s="140"/>
      <c r="BN178" s="140"/>
      <c r="BO178" s="140"/>
      <c r="BP178" s="140"/>
      <c r="BQ178" s="140"/>
      <c r="BR178" s="140"/>
      <c r="BS178" s="140"/>
      <c r="BT178" s="140"/>
      <c r="BU178" s="140"/>
      <c r="BV178" s="140"/>
      <c r="BW178" s="140"/>
      <c r="BX178" s="140"/>
      <c r="BY178" s="140"/>
      <c r="BZ178" s="140"/>
      <c r="CA178" s="140"/>
      <c r="CB178" s="140"/>
      <c r="CC178" s="140"/>
      <c r="CD178" s="140"/>
      <c r="CE178" s="140"/>
      <c r="CF178" s="140"/>
      <c r="CG178" s="140"/>
      <c r="CH178" s="140"/>
      <c r="CI178" s="140"/>
      <c r="CJ178" s="140"/>
      <c r="CK178" s="140"/>
      <c r="CL178" s="140"/>
      <c r="CM178" s="140"/>
      <c r="CN178" s="140"/>
      <c r="CO178" s="140"/>
      <c r="CP178" s="140"/>
      <c r="CQ178" s="140"/>
      <c r="CR178" s="140"/>
      <c r="CS178" s="140"/>
      <c r="CT178" s="140"/>
      <c r="CU178" s="140"/>
      <c r="CV178" s="140"/>
      <c r="CW178" s="140"/>
      <c r="CX178" s="140"/>
      <c r="CY178" s="140"/>
      <c r="CZ178" s="140"/>
      <c r="DA178" s="140"/>
      <c r="DB178" s="140"/>
      <c r="DC178" s="140"/>
      <c r="DD178" s="140"/>
      <c r="DE178" s="140"/>
    </row>
    <row r="179" spans="1:109" s="139" customFormat="1" ht="15" customHeight="1"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3"/>
      <c r="U179" s="143"/>
      <c r="V179" s="143"/>
      <c r="W179" s="143"/>
      <c r="X179" s="143"/>
      <c r="Y179" s="143"/>
      <c r="Z179" s="143"/>
      <c r="AA179" s="143"/>
      <c r="AC179" s="140"/>
      <c r="AD179" s="140"/>
      <c r="AE179" s="140"/>
      <c r="AF179" s="140"/>
      <c r="AG179" s="140"/>
      <c r="AH179" s="141"/>
      <c r="AI179" s="143"/>
      <c r="AJ179" s="140"/>
      <c r="AK179" s="140"/>
      <c r="AL179" s="140"/>
      <c r="AM179" s="140"/>
      <c r="AN179" s="140"/>
      <c r="AO179" s="140"/>
      <c r="AP179" s="140"/>
      <c r="AQ179" s="140"/>
      <c r="AR179" s="140"/>
      <c r="AS179" s="140"/>
      <c r="AT179" s="140"/>
      <c r="AU179" s="140"/>
      <c r="AV179" s="140"/>
      <c r="AW179" s="140"/>
      <c r="AX179" s="140"/>
      <c r="AY179" s="140"/>
      <c r="AZ179" s="140"/>
      <c r="BA179" s="140"/>
      <c r="BB179" s="140"/>
      <c r="BC179" s="140"/>
      <c r="BD179" s="140"/>
      <c r="BE179" s="140"/>
      <c r="BF179" s="140"/>
      <c r="BG179" s="140"/>
      <c r="BH179" s="140"/>
      <c r="BI179" s="140"/>
      <c r="BJ179" s="140"/>
      <c r="BK179" s="140"/>
      <c r="BL179" s="140"/>
      <c r="BM179" s="140"/>
      <c r="BN179" s="140"/>
      <c r="BO179" s="140"/>
      <c r="BP179" s="140"/>
      <c r="BQ179" s="140"/>
      <c r="BR179" s="140"/>
      <c r="BS179" s="140"/>
      <c r="BT179" s="140"/>
      <c r="BU179" s="140"/>
      <c r="BV179" s="140"/>
      <c r="BW179" s="140"/>
      <c r="BX179" s="140"/>
      <c r="BY179" s="140"/>
      <c r="BZ179" s="140"/>
      <c r="CA179" s="140"/>
      <c r="CB179" s="140"/>
      <c r="CC179" s="140"/>
      <c r="CD179" s="140"/>
      <c r="CE179" s="140"/>
      <c r="CF179" s="140"/>
      <c r="CG179" s="140"/>
      <c r="CH179" s="140"/>
      <c r="CI179" s="140"/>
      <c r="CJ179" s="140"/>
      <c r="CK179" s="140"/>
      <c r="CL179" s="140"/>
      <c r="CM179" s="140"/>
      <c r="CN179" s="140"/>
      <c r="CO179" s="140"/>
      <c r="CP179" s="140"/>
      <c r="CQ179" s="140"/>
      <c r="CR179" s="140"/>
      <c r="CS179" s="140"/>
      <c r="CT179" s="140"/>
      <c r="CU179" s="140"/>
      <c r="CV179" s="140"/>
      <c r="CW179" s="140"/>
      <c r="CX179" s="140"/>
      <c r="CY179" s="140"/>
      <c r="CZ179" s="140"/>
      <c r="DA179" s="140"/>
      <c r="DB179" s="140"/>
      <c r="DC179" s="140"/>
      <c r="DD179" s="140"/>
      <c r="DE179" s="140"/>
    </row>
    <row r="180" spans="1:109" s="139" customFormat="1" ht="15" customHeight="1"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3"/>
      <c r="U180" s="143"/>
      <c r="V180" s="143"/>
      <c r="W180" s="143"/>
      <c r="X180" s="143"/>
      <c r="Y180" s="143"/>
      <c r="Z180" s="143"/>
      <c r="AA180" s="143"/>
      <c r="AC180" s="140"/>
      <c r="AD180" s="140"/>
      <c r="AE180" s="140"/>
      <c r="AF180" s="140"/>
      <c r="AG180" s="140"/>
      <c r="AH180" s="141"/>
      <c r="AI180" s="143"/>
      <c r="AJ180" s="140"/>
      <c r="AK180" s="140"/>
      <c r="AL180" s="140"/>
      <c r="AM180" s="140"/>
      <c r="AN180" s="140"/>
      <c r="AO180" s="140"/>
      <c r="AP180" s="140"/>
      <c r="AQ180" s="140"/>
      <c r="AR180" s="140"/>
      <c r="AS180" s="140"/>
      <c r="AT180" s="140"/>
      <c r="AU180" s="140"/>
      <c r="AV180" s="140"/>
      <c r="AW180" s="140"/>
      <c r="AX180" s="140"/>
      <c r="AY180" s="140"/>
      <c r="AZ180" s="140"/>
      <c r="BA180" s="140"/>
      <c r="BB180" s="140"/>
      <c r="BC180" s="140"/>
      <c r="BD180" s="140"/>
      <c r="BE180" s="140"/>
      <c r="BF180" s="140"/>
      <c r="BG180" s="140"/>
      <c r="BH180" s="140"/>
      <c r="BI180" s="140"/>
      <c r="BJ180" s="140"/>
      <c r="BK180" s="140"/>
      <c r="BL180" s="140"/>
      <c r="BM180" s="140"/>
      <c r="BN180" s="140"/>
      <c r="BO180" s="140"/>
      <c r="BP180" s="140"/>
      <c r="BQ180" s="140"/>
      <c r="BR180" s="140"/>
      <c r="BS180" s="140"/>
      <c r="BT180" s="140"/>
      <c r="BU180" s="140"/>
      <c r="BV180" s="140"/>
      <c r="BW180" s="140"/>
      <c r="BX180" s="140"/>
      <c r="BY180" s="140"/>
      <c r="BZ180" s="140"/>
      <c r="CA180" s="140"/>
      <c r="CB180" s="140"/>
      <c r="CC180" s="140"/>
      <c r="CD180" s="140"/>
      <c r="CE180" s="140"/>
      <c r="CF180" s="140"/>
      <c r="CG180" s="140"/>
      <c r="CH180" s="140"/>
      <c r="CI180" s="140"/>
      <c r="CJ180" s="140"/>
      <c r="CK180" s="140"/>
      <c r="CL180" s="140"/>
      <c r="CM180" s="140"/>
      <c r="CN180" s="140"/>
      <c r="CO180" s="140"/>
      <c r="CP180" s="140"/>
      <c r="CQ180" s="140"/>
      <c r="CR180" s="140"/>
      <c r="CS180" s="140"/>
      <c r="CT180" s="140"/>
      <c r="CU180" s="140"/>
      <c r="CV180" s="140"/>
      <c r="CW180" s="140"/>
      <c r="CX180" s="140"/>
      <c r="CY180" s="140"/>
      <c r="CZ180" s="140"/>
      <c r="DA180" s="140"/>
      <c r="DB180" s="140"/>
      <c r="DC180" s="140"/>
      <c r="DD180" s="140"/>
      <c r="DE180" s="140"/>
    </row>
    <row r="181" spans="1:109" s="139" customFormat="1" ht="15" customHeight="1"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3"/>
      <c r="U181" s="143"/>
      <c r="V181" s="143"/>
      <c r="W181" s="143"/>
      <c r="X181" s="143"/>
      <c r="Y181" s="143"/>
      <c r="Z181" s="143"/>
      <c r="AA181" s="143"/>
      <c r="AC181" s="140"/>
      <c r="AD181" s="140"/>
      <c r="AE181" s="140"/>
      <c r="AF181" s="140"/>
      <c r="AG181" s="140"/>
      <c r="AH181" s="141"/>
      <c r="AI181" s="143"/>
      <c r="AJ181" s="140"/>
      <c r="AK181" s="140"/>
      <c r="AL181" s="140"/>
      <c r="AM181" s="140"/>
      <c r="AN181" s="140"/>
      <c r="AO181" s="140"/>
      <c r="AP181" s="140"/>
      <c r="AQ181" s="140"/>
      <c r="AR181" s="140"/>
      <c r="AS181" s="140"/>
      <c r="AT181" s="140"/>
      <c r="AU181" s="140"/>
      <c r="AV181" s="140"/>
      <c r="AW181" s="140"/>
      <c r="AX181" s="140"/>
      <c r="AY181" s="140"/>
      <c r="AZ181" s="140"/>
      <c r="BA181" s="140"/>
      <c r="BB181" s="140"/>
      <c r="BC181" s="140"/>
      <c r="BD181" s="140"/>
      <c r="BE181" s="140"/>
      <c r="BF181" s="140"/>
      <c r="BG181" s="140"/>
      <c r="BH181" s="140"/>
      <c r="BI181" s="140"/>
      <c r="BJ181" s="140"/>
      <c r="BK181" s="140"/>
      <c r="BL181" s="140"/>
      <c r="BM181" s="140"/>
      <c r="BN181" s="140"/>
      <c r="BO181" s="140"/>
      <c r="BP181" s="140"/>
      <c r="BQ181" s="140"/>
      <c r="BR181" s="140"/>
      <c r="BS181" s="140"/>
      <c r="BT181" s="140"/>
      <c r="BU181" s="140"/>
      <c r="BV181" s="140"/>
      <c r="BW181" s="140"/>
      <c r="BX181" s="140"/>
      <c r="BY181" s="140"/>
      <c r="BZ181" s="140"/>
      <c r="CA181" s="140"/>
      <c r="CB181" s="140"/>
      <c r="CC181" s="140"/>
      <c r="CD181" s="140"/>
      <c r="CE181" s="140"/>
      <c r="CF181" s="140"/>
      <c r="CG181" s="140"/>
      <c r="CH181" s="140"/>
      <c r="CI181" s="140"/>
      <c r="CJ181" s="140"/>
      <c r="CK181" s="140"/>
      <c r="CL181" s="140"/>
      <c r="CM181" s="140"/>
      <c r="CN181" s="140"/>
      <c r="CO181" s="140"/>
      <c r="CP181" s="140"/>
      <c r="CQ181" s="140"/>
      <c r="CR181" s="140"/>
      <c r="CS181" s="140"/>
      <c r="CT181" s="140"/>
      <c r="CU181" s="140"/>
      <c r="CV181" s="140"/>
      <c r="CW181" s="140"/>
      <c r="CX181" s="140"/>
      <c r="CY181" s="140"/>
      <c r="CZ181" s="140"/>
      <c r="DA181" s="140"/>
      <c r="DB181" s="140"/>
      <c r="DC181" s="140"/>
      <c r="DD181" s="140"/>
      <c r="DE181" s="140"/>
    </row>
    <row r="182" spans="1:109" ht="15" customHeight="1">
      <c r="A182" s="139"/>
      <c r="T182" s="143"/>
      <c r="U182" s="143"/>
      <c r="V182" s="143"/>
      <c r="W182" s="143"/>
      <c r="X182" s="143"/>
      <c r="Y182" s="143"/>
      <c r="Z182" s="143"/>
      <c r="AA182" s="143"/>
    </row>
    <row r="183" spans="1:109" ht="15" customHeight="1">
      <c r="A183" s="139"/>
      <c r="T183" s="143"/>
      <c r="U183" s="143"/>
      <c r="V183" s="143"/>
      <c r="W183" s="143"/>
      <c r="X183" s="143"/>
      <c r="Y183" s="143"/>
      <c r="Z183" s="143"/>
      <c r="AA183" s="143"/>
    </row>
    <row r="184" spans="1:109" ht="15" customHeight="1">
      <c r="A184" s="139"/>
      <c r="T184" s="143"/>
      <c r="U184" s="143"/>
      <c r="V184" s="143"/>
      <c r="W184" s="143"/>
      <c r="X184" s="143"/>
      <c r="Y184" s="143"/>
      <c r="Z184" s="143"/>
      <c r="AA184" s="143"/>
    </row>
    <row r="185" spans="1:109" ht="15" customHeight="1">
      <c r="A185" s="139"/>
      <c r="T185" s="143"/>
      <c r="U185" s="143"/>
      <c r="V185" s="143"/>
      <c r="W185" s="143"/>
      <c r="X185" s="143"/>
      <c r="Y185" s="143"/>
      <c r="Z185" s="143"/>
      <c r="AA185" s="143"/>
    </row>
    <row r="186" spans="1:109" ht="15" customHeight="1">
      <c r="A186" s="139"/>
      <c r="T186" s="143"/>
      <c r="U186" s="143"/>
      <c r="V186" s="143"/>
      <c r="W186" s="143"/>
      <c r="X186" s="143"/>
      <c r="Y186" s="143"/>
      <c r="Z186" s="143"/>
      <c r="AA186" s="143"/>
    </row>
    <row r="187" spans="1:109" ht="15" customHeight="1">
      <c r="A187" s="139"/>
      <c r="T187" s="143"/>
      <c r="U187" s="143"/>
      <c r="V187" s="143"/>
      <c r="W187" s="143"/>
      <c r="X187" s="143"/>
      <c r="Y187" s="143"/>
      <c r="Z187" s="143"/>
      <c r="AA187" s="143"/>
    </row>
    <row r="188" spans="1:109" ht="15" customHeight="1">
      <c r="A188" s="139"/>
      <c r="T188" s="143"/>
      <c r="U188" s="143"/>
      <c r="V188" s="143"/>
      <c r="W188" s="143"/>
      <c r="X188" s="143"/>
      <c r="Y188" s="143"/>
      <c r="Z188" s="143"/>
      <c r="AA188" s="143"/>
    </row>
    <row r="189" spans="1:109" ht="15" customHeight="1">
      <c r="A189" s="139"/>
      <c r="T189" s="143"/>
      <c r="U189" s="143"/>
      <c r="V189" s="143"/>
      <c r="W189" s="143"/>
      <c r="X189" s="143"/>
      <c r="Y189" s="143"/>
      <c r="Z189" s="143"/>
      <c r="AA189" s="143"/>
    </row>
    <row r="190" spans="1:109" ht="15" customHeight="1">
      <c r="A190" s="139"/>
      <c r="T190" s="143"/>
      <c r="U190" s="143"/>
      <c r="V190" s="143"/>
      <c r="W190" s="143"/>
      <c r="X190" s="143"/>
      <c r="Y190" s="143"/>
      <c r="Z190" s="143"/>
      <c r="AA190" s="143"/>
    </row>
    <row r="191" spans="1:109" ht="15" customHeight="1">
      <c r="A191" s="139"/>
      <c r="T191" s="143"/>
      <c r="U191" s="143"/>
      <c r="V191" s="143"/>
      <c r="W191" s="143"/>
      <c r="X191" s="143"/>
      <c r="Y191" s="143"/>
      <c r="Z191" s="143"/>
      <c r="AA191" s="143"/>
    </row>
    <row r="192" spans="1:109" ht="15" customHeight="1">
      <c r="A192" s="139"/>
      <c r="T192" s="143"/>
      <c r="U192" s="143"/>
      <c r="V192" s="143"/>
      <c r="W192" s="143"/>
      <c r="X192" s="143"/>
      <c r="Y192" s="143"/>
      <c r="Z192" s="143"/>
      <c r="AA192" s="143"/>
    </row>
    <row r="193" spans="1:35" ht="15" customHeight="1">
      <c r="A193" s="139"/>
      <c r="T193" s="143"/>
      <c r="U193" s="143"/>
      <c r="V193" s="143"/>
      <c r="W193" s="143"/>
      <c r="X193" s="143"/>
      <c r="Y193" s="143"/>
      <c r="Z193" s="143"/>
      <c r="AA193" s="143"/>
    </row>
    <row r="194" spans="1:35" ht="15" customHeight="1">
      <c r="A194" s="139"/>
      <c r="T194" s="143"/>
      <c r="U194" s="143"/>
      <c r="V194" s="143"/>
      <c r="W194" s="143"/>
      <c r="X194" s="143"/>
      <c r="Y194" s="143"/>
      <c r="Z194" s="143"/>
      <c r="AA194" s="143"/>
      <c r="AB194" s="153"/>
    </row>
    <row r="195" spans="1:35" s="154" customFormat="1" ht="15" customHeight="1">
      <c r="A195" s="153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3"/>
      <c r="U195" s="143"/>
      <c r="V195" s="143"/>
      <c r="W195" s="143"/>
      <c r="X195" s="143"/>
      <c r="Y195" s="143"/>
      <c r="Z195" s="143"/>
      <c r="AA195" s="143"/>
      <c r="AB195" s="139"/>
      <c r="AI195" s="156"/>
    </row>
    <row r="196" spans="1:35">
      <c r="A196" s="139"/>
      <c r="T196" s="143"/>
      <c r="U196" s="143"/>
      <c r="V196" s="143"/>
      <c r="W196" s="143"/>
      <c r="X196" s="143"/>
      <c r="Y196" s="143"/>
      <c r="Z196" s="143"/>
      <c r="AA196" s="143"/>
      <c r="AB196" s="153"/>
    </row>
    <row r="197" spans="1:35" s="154" customFormat="1" ht="15" customHeight="1">
      <c r="A197" s="153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3"/>
      <c r="U197" s="143"/>
      <c r="V197" s="143"/>
      <c r="W197" s="143"/>
      <c r="X197" s="143"/>
      <c r="Y197" s="143"/>
      <c r="Z197" s="143"/>
      <c r="AA197" s="143"/>
      <c r="AB197" s="153"/>
      <c r="AI197" s="156"/>
    </row>
    <row r="198" spans="1:35" s="154" customFormat="1" ht="15" customHeight="1">
      <c r="A198" s="153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3"/>
      <c r="U198" s="143"/>
      <c r="V198" s="143"/>
      <c r="W198" s="143"/>
      <c r="X198" s="143"/>
      <c r="Y198" s="143"/>
      <c r="Z198" s="143"/>
      <c r="AA198" s="143"/>
      <c r="AB198" s="153"/>
      <c r="AI198" s="156"/>
    </row>
    <row r="199" spans="1:35" s="154" customFormat="1" ht="15" customHeight="1">
      <c r="A199" s="153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3"/>
      <c r="U199" s="143"/>
      <c r="V199" s="143"/>
      <c r="W199" s="143"/>
      <c r="X199" s="143"/>
      <c r="Y199" s="143"/>
      <c r="Z199" s="143"/>
      <c r="AA199" s="143"/>
      <c r="AB199" s="153"/>
      <c r="AI199" s="156"/>
    </row>
    <row r="200" spans="1:35" s="154" customFormat="1" ht="15" customHeight="1">
      <c r="A200" s="153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3"/>
      <c r="U200" s="143"/>
      <c r="V200" s="143"/>
      <c r="W200" s="143"/>
      <c r="X200" s="143"/>
      <c r="Y200" s="143"/>
      <c r="Z200" s="143"/>
      <c r="AA200" s="143"/>
      <c r="AB200" s="153"/>
      <c r="AI200" s="156"/>
    </row>
    <row r="201" spans="1:35" s="154" customFormat="1" ht="15" customHeight="1">
      <c r="A201" s="153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3"/>
      <c r="U201" s="143"/>
      <c r="V201" s="143"/>
      <c r="W201" s="143"/>
      <c r="X201" s="143"/>
      <c r="Y201" s="143"/>
      <c r="Z201" s="143"/>
      <c r="AA201" s="143"/>
      <c r="AB201" s="153"/>
      <c r="AI201" s="156"/>
    </row>
    <row r="202" spans="1:35" s="154" customFormat="1" ht="15" customHeight="1">
      <c r="A202" s="153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3"/>
      <c r="U202" s="143"/>
      <c r="V202" s="143"/>
      <c r="W202" s="143"/>
      <c r="X202" s="143"/>
      <c r="Y202" s="143"/>
      <c r="Z202" s="143"/>
      <c r="AA202" s="143"/>
      <c r="AB202" s="139"/>
      <c r="AC202" s="140"/>
      <c r="AI202" s="156"/>
    </row>
    <row r="203" spans="1:35">
      <c r="T203" s="143"/>
      <c r="U203" s="143"/>
      <c r="V203" s="143"/>
      <c r="W203" s="143"/>
      <c r="X203" s="143"/>
      <c r="Y203" s="143"/>
      <c r="Z203" s="143"/>
      <c r="AA203" s="143"/>
    </row>
    <row r="204" spans="1:35">
      <c r="T204" s="143"/>
      <c r="U204" s="143"/>
      <c r="V204" s="143"/>
      <c r="W204" s="143"/>
      <c r="X204" s="143"/>
      <c r="Y204" s="143"/>
      <c r="Z204" s="143"/>
      <c r="AA204" s="143"/>
    </row>
    <row r="205" spans="1:35">
      <c r="T205" s="143"/>
      <c r="U205" s="143"/>
      <c r="V205" s="143"/>
      <c r="W205" s="143"/>
      <c r="X205" s="143"/>
      <c r="Y205" s="143"/>
      <c r="Z205" s="143"/>
      <c r="AA205" s="143"/>
    </row>
    <row r="206" spans="1:35">
      <c r="T206" s="143"/>
      <c r="U206" s="143"/>
      <c r="V206" s="143"/>
      <c r="W206" s="143"/>
      <c r="X206" s="143"/>
      <c r="Y206" s="143"/>
      <c r="Z206" s="143"/>
      <c r="AA206" s="143"/>
    </row>
    <row r="207" spans="1:35">
      <c r="T207" s="143"/>
      <c r="U207" s="143"/>
      <c r="V207" s="143"/>
      <c r="W207" s="143"/>
      <c r="X207" s="143"/>
      <c r="Y207" s="143"/>
      <c r="Z207" s="143"/>
      <c r="AA207" s="143"/>
    </row>
    <row r="208" spans="1:35">
      <c r="T208" s="143"/>
      <c r="U208" s="143"/>
      <c r="V208" s="143"/>
      <c r="W208" s="143"/>
      <c r="X208" s="143"/>
      <c r="Y208" s="143"/>
      <c r="Z208" s="143"/>
      <c r="AA208" s="143"/>
    </row>
    <row r="209" spans="1:109">
      <c r="T209" s="143"/>
      <c r="U209" s="143"/>
      <c r="V209" s="143"/>
      <c r="W209" s="143"/>
      <c r="X209" s="143"/>
      <c r="Y209" s="143"/>
      <c r="Z209" s="143"/>
      <c r="AA209" s="143"/>
    </row>
    <row r="210" spans="1:109">
      <c r="T210" s="143"/>
      <c r="U210" s="143"/>
      <c r="V210" s="143"/>
      <c r="W210" s="143"/>
      <c r="X210" s="143"/>
      <c r="Y210" s="143"/>
      <c r="Z210" s="143"/>
      <c r="AA210" s="143"/>
    </row>
    <row r="211" spans="1:109">
      <c r="T211" s="143"/>
      <c r="U211" s="143"/>
      <c r="V211" s="143"/>
      <c r="W211" s="143"/>
      <c r="X211" s="143"/>
      <c r="Y211" s="143"/>
      <c r="Z211" s="143"/>
      <c r="AA211" s="143"/>
    </row>
    <row r="212" spans="1:109">
      <c r="T212" s="143"/>
      <c r="U212" s="143"/>
      <c r="V212" s="143"/>
      <c r="W212" s="143"/>
      <c r="X212" s="143"/>
      <c r="Y212" s="143"/>
      <c r="Z212" s="143"/>
      <c r="AA212" s="143"/>
    </row>
    <row r="213" spans="1:109">
      <c r="T213" s="143"/>
      <c r="U213" s="143"/>
      <c r="V213" s="143"/>
      <c r="W213" s="143"/>
      <c r="X213" s="143"/>
      <c r="Y213" s="143"/>
      <c r="Z213" s="143"/>
      <c r="AA213" s="143"/>
    </row>
    <row r="214" spans="1:109" s="139" customForma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3"/>
      <c r="U214" s="143"/>
      <c r="V214" s="143"/>
      <c r="W214" s="143"/>
      <c r="X214" s="143"/>
      <c r="Y214" s="143"/>
      <c r="Z214" s="143"/>
      <c r="AA214" s="143"/>
      <c r="AC214" s="140"/>
      <c r="AD214" s="140"/>
      <c r="AE214" s="140"/>
      <c r="AF214" s="140"/>
      <c r="AG214" s="140"/>
      <c r="AH214" s="141"/>
      <c r="AI214" s="143"/>
      <c r="AJ214" s="140"/>
      <c r="AK214" s="140"/>
      <c r="AL214" s="140"/>
      <c r="AM214" s="140"/>
      <c r="AN214" s="140"/>
      <c r="AO214" s="140"/>
      <c r="AP214" s="140"/>
      <c r="AQ214" s="140"/>
      <c r="AR214" s="140"/>
      <c r="AS214" s="140"/>
      <c r="AT214" s="140"/>
      <c r="AU214" s="140"/>
      <c r="AV214" s="140"/>
      <c r="AW214" s="140"/>
      <c r="AX214" s="140"/>
      <c r="AY214" s="140"/>
      <c r="AZ214" s="140"/>
      <c r="BA214" s="140"/>
      <c r="BB214" s="140"/>
      <c r="BC214" s="140"/>
      <c r="BD214" s="140"/>
      <c r="BE214" s="140"/>
      <c r="BF214" s="140"/>
      <c r="BG214" s="140"/>
      <c r="BH214" s="140"/>
      <c r="BI214" s="140"/>
      <c r="BJ214" s="140"/>
      <c r="BK214" s="140"/>
      <c r="BL214" s="140"/>
      <c r="BM214" s="140"/>
      <c r="BN214" s="140"/>
      <c r="BO214" s="140"/>
      <c r="BP214" s="140"/>
      <c r="BQ214" s="140"/>
      <c r="BR214" s="140"/>
      <c r="BS214" s="140"/>
      <c r="BT214" s="140"/>
      <c r="BU214" s="140"/>
      <c r="BV214" s="140"/>
      <c r="BW214" s="140"/>
      <c r="BX214" s="140"/>
      <c r="BY214" s="140"/>
      <c r="BZ214" s="140"/>
      <c r="CA214" s="140"/>
      <c r="CB214" s="140"/>
      <c r="CC214" s="140"/>
      <c r="CD214" s="140"/>
      <c r="CE214" s="140"/>
      <c r="CF214" s="140"/>
      <c r="CG214" s="140"/>
      <c r="CH214" s="140"/>
      <c r="CI214" s="140"/>
      <c r="CJ214" s="140"/>
      <c r="CK214" s="140"/>
      <c r="CL214" s="140"/>
      <c r="CM214" s="140"/>
      <c r="CN214" s="140"/>
      <c r="CO214" s="140"/>
      <c r="CP214" s="140"/>
      <c r="CQ214" s="140"/>
      <c r="CR214" s="140"/>
      <c r="CS214" s="140"/>
      <c r="CT214" s="140"/>
      <c r="CU214" s="140"/>
      <c r="CV214" s="140"/>
      <c r="CW214" s="140"/>
      <c r="CX214" s="140"/>
      <c r="CY214" s="140"/>
      <c r="CZ214" s="140"/>
      <c r="DA214" s="140"/>
      <c r="DB214" s="140"/>
      <c r="DC214" s="140"/>
      <c r="DD214" s="140"/>
      <c r="DE214" s="140"/>
    </row>
    <row r="215" spans="1:109" s="139" customForma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3"/>
      <c r="U215" s="143"/>
      <c r="V215" s="143"/>
      <c r="W215" s="143"/>
      <c r="X215" s="143"/>
      <c r="Y215" s="143"/>
      <c r="Z215" s="143"/>
      <c r="AA215" s="143"/>
      <c r="AC215" s="140"/>
      <c r="AD215" s="140"/>
      <c r="AE215" s="140"/>
      <c r="AF215" s="140"/>
      <c r="AG215" s="140"/>
      <c r="AH215" s="141"/>
      <c r="AI215" s="143"/>
      <c r="AJ215" s="140"/>
      <c r="AK215" s="140"/>
      <c r="AL215" s="140"/>
      <c r="AM215" s="140"/>
      <c r="AN215" s="140"/>
      <c r="AO215" s="140"/>
      <c r="AP215" s="140"/>
      <c r="AQ215" s="140"/>
      <c r="AR215" s="140"/>
      <c r="AS215" s="140"/>
      <c r="AT215" s="140"/>
      <c r="AU215" s="140"/>
      <c r="AV215" s="140"/>
      <c r="AW215" s="140"/>
      <c r="AX215" s="140"/>
      <c r="AY215" s="140"/>
      <c r="AZ215" s="140"/>
      <c r="BA215" s="140"/>
      <c r="BB215" s="140"/>
      <c r="BC215" s="140"/>
      <c r="BD215" s="140"/>
      <c r="BE215" s="140"/>
      <c r="BF215" s="140"/>
      <c r="BG215" s="140"/>
      <c r="BH215" s="140"/>
      <c r="BI215" s="140"/>
      <c r="BJ215" s="140"/>
      <c r="BK215" s="140"/>
      <c r="BL215" s="140"/>
      <c r="BM215" s="140"/>
      <c r="BN215" s="140"/>
      <c r="BO215" s="140"/>
      <c r="BP215" s="140"/>
      <c r="BQ215" s="140"/>
      <c r="BR215" s="140"/>
      <c r="BS215" s="140"/>
      <c r="BT215" s="140"/>
      <c r="BU215" s="140"/>
      <c r="BV215" s="140"/>
      <c r="BW215" s="140"/>
      <c r="BX215" s="140"/>
      <c r="BY215" s="140"/>
      <c r="BZ215" s="140"/>
      <c r="CA215" s="140"/>
      <c r="CB215" s="140"/>
      <c r="CC215" s="140"/>
      <c r="CD215" s="140"/>
      <c r="CE215" s="140"/>
      <c r="CF215" s="140"/>
      <c r="CG215" s="140"/>
      <c r="CH215" s="140"/>
      <c r="CI215" s="140"/>
      <c r="CJ215" s="140"/>
      <c r="CK215" s="140"/>
      <c r="CL215" s="140"/>
      <c r="CM215" s="140"/>
      <c r="CN215" s="140"/>
      <c r="CO215" s="140"/>
      <c r="CP215" s="140"/>
      <c r="CQ215" s="140"/>
      <c r="CR215" s="140"/>
      <c r="CS215" s="140"/>
      <c r="CT215" s="140"/>
      <c r="CU215" s="140"/>
      <c r="CV215" s="140"/>
      <c r="CW215" s="140"/>
      <c r="CX215" s="140"/>
      <c r="CY215" s="140"/>
      <c r="CZ215" s="140"/>
      <c r="DA215" s="140"/>
      <c r="DB215" s="140"/>
      <c r="DC215" s="140"/>
      <c r="DD215" s="140"/>
      <c r="DE215" s="140"/>
    </row>
    <row r="216" spans="1:109" s="139" customForma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3"/>
      <c r="U216" s="143"/>
      <c r="V216" s="143"/>
      <c r="W216" s="143"/>
      <c r="X216" s="143"/>
      <c r="Y216" s="143"/>
      <c r="Z216" s="143"/>
      <c r="AA216" s="143"/>
      <c r="AC216" s="140"/>
      <c r="AD216" s="140"/>
      <c r="AE216" s="140"/>
      <c r="AF216" s="140"/>
      <c r="AG216" s="140"/>
      <c r="AH216" s="141"/>
      <c r="AI216" s="143"/>
      <c r="AJ216" s="140"/>
      <c r="AK216" s="140"/>
      <c r="AL216" s="140"/>
      <c r="AM216" s="140"/>
      <c r="AN216" s="140"/>
      <c r="AO216" s="140"/>
      <c r="AP216" s="140"/>
      <c r="AQ216" s="140"/>
      <c r="AR216" s="140"/>
      <c r="AS216" s="140"/>
      <c r="AT216" s="140"/>
      <c r="AU216" s="140"/>
      <c r="AV216" s="140"/>
      <c r="AW216" s="140"/>
      <c r="AX216" s="140"/>
      <c r="AY216" s="140"/>
      <c r="AZ216" s="140"/>
      <c r="BA216" s="140"/>
      <c r="BB216" s="140"/>
      <c r="BC216" s="140"/>
      <c r="BD216" s="140"/>
      <c r="BE216" s="140"/>
      <c r="BF216" s="140"/>
      <c r="BG216" s="140"/>
      <c r="BH216" s="140"/>
      <c r="BI216" s="140"/>
      <c r="BJ216" s="140"/>
      <c r="BK216" s="140"/>
      <c r="BL216" s="140"/>
      <c r="BM216" s="140"/>
      <c r="BN216" s="140"/>
      <c r="BO216" s="140"/>
      <c r="BP216" s="140"/>
      <c r="BQ216" s="140"/>
      <c r="BR216" s="140"/>
      <c r="BS216" s="140"/>
      <c r="BT216" s="140"/>
      <c r="BU216" s="140"/>
      <c r="BV216" s="140"/>
      <c r="BW216" s="140"/>
      <c r="BX216" s="140"/>
      <c r="BY216" s="140"/>
      <c r="BZ216" s="140"/>
      <c r="CA216" s="140"/>
      <c r="CB216" s="140"/>
      <c r="CC216" s="140"/>
      <c r="CD216" s="140"/>
      <c r="CE216" s="140"/>
      <c r="CF216" s="140"/>
      <c r="CG216" s="140"/>
      <c r="CH216" s="140"/>
      <c r="CI216" s="140"/>
      <c r="CJ216" s="140"/>
      <c r="CK216" s="140"/>
      <c r="CL216" s="140"/>
      <c r="CM216" s="140"/>
      <c r="CN216" s="140"/>
      <c r="CO216" s="140"/>
      <c r="CP216" s="140"/>
      <c r="CQ216" s="140"/>
      <c r="CR216" s="140"/>
      <c r="CS216" s="140"/>
      <c r="CT216" s="140"/>
      <c r="CU216" s="140"/>
      <c r="CV216" s="140"/>
      <c r="CW216" s="140"/>
      <c r="CX216" s="140"/>
      <c r="CY216" s="140"/>
      <c r="CZ216" s="140"/>
      <c r="DA216" s="140"/>
      <c r="DB216" s="140"/>
      <c r="DC216" s="140"/>
      <c r="DD216" s="140"/>
      <c r="DE216" s="140"/>
    </row>
    <row r="217" spans="1:109" s="139" customForma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3"/>
      <c r="U217" s="143"/>
      <c r="V217" s="143"/>
      <c r="W217" s="143"/>
      <c r="X217" s="143"/>
      <c r="Y217" s="143"/>
      <c r="Z217" s="143"/>
      <c r="AA217" s="143"/>
      <c r="AC217" s="140"/>
      <c r="AD217" s="140"/>
      <c r="AE217" s="140"/>
      <c r="AF217" s="140"/>
      <c r="AG217" s="140"/>
      <c r="AH217" s="141"/>
      <c r="AI217" s="143"/>
      <c r="AJ217" s="140"/>
      <c r="AK217" s="140"/>
      <c r="AL217" s="140"/>
      <c r="AM217" s="140"/>
      <c r="AN217" s="140"/>
      <c r="AO217" s="140"/>
      <c r="AP217" s="140"/>
      <c r="AQ217" s="140"/>
      <c r="AR217" s="140"/>
      <c r="AS217" s="140"/>
      <c r="AT217" s="140"/>
      <c r="AU217" s="140"/>
      <c r="AV217" s="140"/>
      <c r="AW217" s="140"/>
      <c r="AX217" s="140"/>
      <c r="AY217" s="140"/>
      <c r="AZ217" s="140"/>
      <c r="BA217" s="140"/>
      <c r="BB217" s="140"/>
      <c r="BC217" s="140"/>
      <c r="BD217" s="140"/>
      <c r="BE217" s="140"/>
      <c r="BF217" s="140"/>
      <c r="BG217" s="140"/>
      <c r="BH217" s="140"/>
      <c r="BI217" s="140"/>
      <c r="BJ217" s="140"/>
      <c r="BK217" s="140"/>
      <c r="BL217" s="140"/>
      <c r="BM217" s="140"/>
      <c r="BN217" s="140"/>
      <c r="BO217" s="140"/>
      <c r="BP217" s="140"/>
      <c r="BQ217" s="140"/>
      <c r="BR217" s="140"/>
      <c r="BS217" s="140"/>
      <c r="BT217" s="140"/>
      <c r="BU217" s="140"/>
      <c r="BV217" s="140"/>
      <c r="BW217" s="140"/>
      <c r="BX217" s="140"/>
      <c r="BY217" s="140"/>
      <c r="BZ217" s="140"/>
      <c r="CA217" s="140"/>
      <c r="CB217" s="140"/>
      <c r="CC217" s="140"/>
      <c r="CD217" s="140"/>
      <c r="CE217" s="140"/>
      <c r="CF217" s="140"/>
      <c r="CG217" s="140"/>
      <c r="CH217" s="140"/>
      <c r="CI217" s="140"/>
      <c r="CJ217" s="140"/>
      <c r="CK217" s="140"/>
      <c r="CL217" s="140"/>
      <c r="CM217" s="140"/>
      <c r="CN217" s="140"/>
      <c r="CO217" s="140"/>
      <c r="CP217" s="140"/>
      <c r="CQ217" s="140"/>
      <c r="CR217" s="140"/>
      <c r="CS217" s="140"/>
      <c r="CT217" s="140"/>
      <c r="CU217" s="140"/>
      <c r="CV217" s="140"/>
      <c r="CW217" s="140"/>
      <c r="CX217" s="140"/>
      <c r="CY217" s="140"/>
      <c r="CZ217" s="140"/>
      <c r="DA217" s="140"/>
      <c r="DB217" s="140"/>
      <c r="DC217" s="140"/>
      <c r="DD217" s="140"/>
      <c r="DE217" s="140"/>
    </row>
    <row r="218" spans="1:109" s="139" customForma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3"/>
      <c r="U218" s="143"/>
      <c r="V218" s="143"/>
      <c r="W218" s="143"/>
      <c r="X218" s="143"/>
      <c r="Y218" s="143"/>
      <c r="Z218" s="143"/>
      <c r="AA218" s="143"/>
      <c r="AC218" s="140"/>
      <c r="AD218" s="140"/>
      <c r="AE218" s="140"/>
      <c r="AF218" s="140"/>
      <c r="AG218" s="140"/>
      <c r="AH218" s="141"/>
      <c r="AI218" s="143"/>
      <c r="AJ218" s="140"/>
      <c r="AK218" s="140"/>
      <c r="AL218" s="140"/>
      <c r="AM218" s="140"/>
      <c r="AN218" s="140"/>
      <c r="AO218" s="140"/>
      <c r="AP218" s="140"/>
      <c r="AQ218" s="140"/>
      <c r="AR218" s="140"/>
      <c r="AS218" s="140"/>
      <c r="AT218" s="140"/>
      <c r="AU218" s="140"/>
      <c r="AV218" s="140"/>
      <c r="AW218" s="140"/>
      <c r="AX218" s="140"/>
      <c r="AY218" s="140"/>
      <c r="AZ218" s="140"/>
      <c r="BA218" s="140"/>
      <c r="BB218" s="140"/>
      <c r="BC218" s="140"/>
      <c r="BD218" s="140"/>
      <c r="BE218" s="140"/>
      <c r="BF218" s="140"/>
      <c r="BG218" s="140"/>
      <c r="BH218" s="140"/>
      <c r="BI218" s="140"/>
      <c r="BJ218" s="140"/>
      <c r="BK218" s="140"/>
      <c r="BL218" s="140"/>
      <c r="BM218" s="140"/>
      <c r="BN218" s="140"/>
      <c r="BO218" s="140"/>
      <c r="BP218" s="140"/>
      <c r="BQ218" s="140"/>
      <c r="BR218" s="140"/>
      <c r="BS218" s="140"/>
      <c r="BT218" s="140"/>
      <c r="BU218" s="140"/>
      <c r="BV218" s="140"/>
      <c r="BW218" s="140"/>
      <c r="BX218" s="140"/>
      <c r="BY218" s="140"/>
      <c r="BZ218" s="140"/>
      <c r="CA218" s="140"/>
      <c r="CB218" s="140"/>
      <c r="CC218" s="140"/>
      <c r="CD218" s="140"/>
      <c r="CE218" s="140"/>
      <c r="CF218" s="140"/>
      <c r="CG218" s="140"/>
      <c r="CH218" s="140"/>
      <c r="CI218" s="140"/>
      <c r="CJ218" s="140"/>
      <c r="CK218" s="140"/>
      <c r="CL218" s="140"/>
      <c r="CM218" s="140"/>
      <c r="CN218" s="140"/>
      <c r="CO218" s="140"/>
      <c r="CP218" s="140"/>
      <c r="CQ218" s="140"/>
      <c r="CR218" s="140"/>
      <c r="CS218" s="140"/>
      <c r="CT218" s="140"/>
      <c r="CU218" s="140"/>
      <c r="CV218" s="140"/>
      <c r="CW218" s="140"/>
      <c r="CX218" s="140"/>
      <c r="CY218" s="140"/>
      <c r="CZ218" s="140"/>
      <c r="DA218" s="140"/>
      <c r="DB218" s="140"/>
      <c r="DC218" s="140"/>
      <c r="DD218" s="140"/>
      <c r="DE218" s="140"/>
    </row>
    <row r="219" spans="1:109" s="139" customForma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3"/>
      <c r="U219" s="143"/>
      <c r="V219" s="143"/>
      <c r="W219" s="143"/>
      <c r="X219" s="143"/>
      <c r="Y219" s="143"/>
      <c r="Z219" s="143"/>
      <c r="AA219" s="143"/>
      <c r="AC219" s="140"/>
      <c r="AD219" s="140"/>
      <c r="AE219" s="140"/>
      <c r="AF219" s="140"/>
      <c r="AG219" s="140"/>
      <c r="AH219" s="141"/>
      <c r="AI219" s="143"/>
      <c r="AJ219" s="140"/>
      <c r="AK219" s="140"/>
      <c r="AL219" s="140"/>
      <c r="AM219" s="140"/>
      <c r="AN219" s="140"/>
      <c r="AO219" s="140"/>
      <c r="AP219" s="140"/>
      <c r="AQ219" s="140"/>
      <c r="AR219" s="140"/>
      <c r="AS219" s="140"/>
      <c r="AT219" s="140"/>
      <c r="AU219" s="140"/>
      <c r="AV219" s="140"/>
      <c r="AW219" s="140"/>
      <c r="AX219" s="140"/>
      <c r="AY219" s="140"/>
      <c r="AZ219" s="140"/>
      <c r="BA219" s="140"/>
      <c r="BB219" s="140"/>
      <c r="BC219" s="140"/>
      <c r="BD219" s="140"/>
      <c r="BE219" s="140"/>
      <c r="BF219" s="140"/>
      <c r="BG219" s="140"/>
      <c r="BH219" s="140"/>
      <c r="BI219" s="140"/>
      <c r="BJ219" s="140"/>
      <c r="BK219" s="140"/>
      <c r="BL219" s="140"/>
      <c r="BM219" s="140"/>
      <c r="BN219" s="140"/>
      <c r="BO219" s="140"/>
      <c r="BP219" s="140"/>
      <c r="BQ219" s="140"/>
      <c r="BR219" s="140"/>
      <c r="BS219" s="140"/>
      <c r="BT219" s="140"/>
      <c r="BU219" s="140"/>
      <c r="BV219" s="140"/>
      <c r="BW219" s="140"/>
      <c r="BX219" s="140"/>
      <c r="BY219" s="140"/>
      <c r="BZ219" s="140"/>
      <c r="CA219" s="140"/>
      <c r="CB219" s="140"/>
      <c r="CC219" s="140"/>
      <c r="CD219" s="140"/>
      <c r="CE219" s="140"/>
      <c r="CF219" s="140"/>
      <c r="CG219" s="140"/>
      <c r="CH219" s="140"/>
      <c r="CI219" s="140"/>
      <c r="CJ219" s="140"/>
      <c r="CK219" s="140"/>
      <c r="CL219" s="140"/>
      <c r="CM219" s="140"/>
      <c r="CN219" s="140"/>
      <c r="CO219" s="140"/>
      <c r="CP219" s="140"/>
      <c r="CQ219" s="140"/>
      <c r="CR219" s="140"/>
      <c r="CS219" s="140"/>
      <c r="CT219" s="140"/>
      <c r="CU219" s="140"/>
      <c r="CV219" s="140"/>
      <c r="CW219" s="140"/>
      <c r="CX219" s="140"/>
      <c r="CY219" s="140"/>
      <c r="CZ219" s="140"/>
      <c r="DA219" s="140"/>
      <c r="DB219" s="140"/>
      <c r="DC219" s="140"/>
      <c r="DD219" s="140"/>
      <c r="DE219" s="140"/>
    </row>
    <row r="220" spans="1:109" s="139" customForma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3"/>
      <c r="U220" s="143"/>
      <c r="V220" s="143"/>
      <c r="W220" s="143"/>
      <c r="X220" s="143"/>
      <c r="Y220" s="143"/>
      <c r="Z220" s="143"/>
      <c r="AA220" s="143"/>
      <c r="AC220" s="140"/>
      <c r="AD220" s="140"/>
      <c r="AE220" s="140"/>
      <c r="AF220" s="140"/>
      <c r="AG220" s="140"/>
      <c r="AH220" s="141"/>
      <c r="AI220" s="143"/>
      <c r="AJ220" s="140"/>
      <c r="AK220" s="140"/>
      <c r="AL220" s="140"/>
      <c r="AM220" s="140"/>
      <c r="AN220" s="140"/>
      <c r="AO220" s="140"/>
      <c r="AP220" s="140"/>
      <c r="AQ220" s="140"/>
      <c r="AR220" s="140"/>
      <c r="AS220" s="140"/>
      <c r="AT220" s="140"/>
      <c r="AU220" s="140"/>
      <c r="AV220" s="140"/>
      <c r="AW220" s="140"/>
      <c r="AX220" s="140"/>
      <c r="AY220" s="140"/>
      <c r="AZ220" s="140"/>
      <c r="BA220" s="140"/>
      <c r="BB220" s="140"/>
      <c r="BC220" s="140"/>
      <c r="BD220" s="140"/>
      <c r="BE220" s="140"/>
      <c r="BF220" s="140"/>
      <c r="BG220" s="140"/>
      <c r="BH220" s="140"/>
      <c r="BI220" s="140"/>
      <c r="BJ220" s="140"/>
      <c r="BK220" s="140"/>
      <c r="BL220" s="140"/>
      <c r="BM220" s="140"/>
      <c r="BN220" s="140"/>
      <c r="BO220" s="140"/>
      <c r="BP220" s="140"/>
      <c r="BQ220" s="140"/>
      <c r="BR220" s="140"/>
      <c r="BS220" s="140"/>
      <c r="BT220" s="140"/>
      <c r="BU220" s="140"/>
      <c r="BV220" s="140"/>
      <c r="BW220" s="140"/>
      <c r="BX220" s="140"/>
      <c r="BY220" s="140"/>
      <c r="BZ220" s="140"/>
      <c r="CA220" s="140"/>
      <c r="CB220" s="140"/>
      <c r="CC220" s="140"/>
      <c r="CD220" s="140"/>
      <c r="CE220" s="140"/>
      <c r="CF220" s="140"/>
      <c r="CG220" s="140"/>
      <c r="CH220" s="140"/>
      <c r="CI220" s="140"/>
      <c r="CJ220" s="140"/>
      <c r="CK220" s="140"/>
      <c r="CL220" s="140"/>
      <c r="CM220" s="140"/>
      <c r="CN220" s="140"/>
      <c r="CO220" s="140"/>
      <c r="CP220" s="140"/>
      <c r="CQ220" s="140"/>
      <c r="CR220" s="140"/>
      <c r="CS220" s="140"/>
      <c r="CT220" s="140"/>
      <c r="CU220" s="140"/>
      <c r="CV220" s="140"/>
      <c r="CW220" s="140"/>
      <c r="CX220" s="140"/>
      <c r="CY220" s="140"/>
      <c r="CZ220" s="140"/>
      <c r="DA220" s="140"/>
      <c r="DB220" s="140"/>
      <c r="DC220" s="140"/>
      <c r="DD220" s="140"/>
      <c r="DE220" s="140"/>
    </row>
    <row r="221" spans="1:109" s="139" customForma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3"/>
      <c r="U221" s="143"/>
      <c r="V221" s="143"/>
      <c r="W221" s="143"/>
      <c r="X221" s="143"/>
      <c r="Y221" s="143"/>
      <c r="Z221" s="143"/>
      <c r="AA221" s="143"/>
      <c r="AC221" s="140"/>
      <c r="AD221" s="140"/>
      <c r="AE221" s="140"/>
      <c r="AF221" s="140"/>
      <c r="AG221" s="140"/>
      <c r="AH221" s="141"/>
      <c r="AI221" s="143"/>
      <c r="AJ221" s="140"/>
      <c r="AK221" s="140"/>
      <c r="AL221" s="140"/>
      <c r="AM221" s="140"/>
      <c r="AN221" s="140"/>
      <c r="AO221" s="140"/>
      <c r="AP221" s="140"/>
      <c r="AQ221" s="140"/>
      <c r="AR221" s="140"/>
      <c r="AS221" s="140"/>
      <c r="AT221" s="140"/>
      <c r="AU221" s="140"/>
      <c r="AV221" s="140"/>
      <c r="AW221" s="140"/>
      <c r="AX221" s="140"/>
      <c r="AY221" s="140"/>
      <c r="AZ221" s="140"/>
      <c r="BA221" s="140"/>
      <c r="BB221" s="140"/>
      <c r="BC221" s="140"/>
      <c r="BD221" s="140"/>
      <c r="BE221" s="140"/>
      <c r="BF221" s="140"/>
      <c r="BG221" s="140"/>
      <c r="BH221" s="140"/>
      <c r="BI221" s="140"/>
      <c r="BJ221" s="140"/>
      <c r="BK221" s="140"/>
      <c r="BL221" s="140"/>
      <c r="BM221" s="140"/>
      <c r="BN221" s="140"/>
      <c r="BO221" s="140"/>
      <c r="BP221" s="140"/>
      <c r="BQ221" s="140"/>
      <c r="BR221" s="140"/>
      <c r="BS221" s="140"/>
      <c r="BT221" s="140"/>
      <c r="BU221" s="140"/>
      <c r="BV221" s="140"/>
      <c r="BW221" s="140"/>
      <c r="BX221" s="140"/>
      <c r="BY221" s="140"/>
      <c r="BZ221" s="140"/>
      <c r="CA221" s="140"/>
      <c r="CB221" s="140"/>
      <c r="CC221" s="140"/>
      <c r="CD221" s="140"/>
      <c r="CE221" s="140"/>
      <c r="CF221" s="140"/>
      <c r="CG221" s="140"/>
      <c r="CH221" s="140"/>
      <c r="CI221" s="140"/>
      <c r="CJ221" s="140"/>
      <c r="CK221" s="140"/>
      <c r="CL221" s="140"/>
      <c r="CM221" s="140"/>
      <c r="CN221" s="140"/>
      <c r="CO221" s="140"/>
      <c r="CP221" s="140"/>
      <c r="CQ221" s="140"/>
      <c r="CR221" s="140"/>
      <c r="CS221" s="140"/>
      <c r="CT221" s="140"/>
      <c r="CU221" s="140"/>
      <c r="CV221" s="140"/>
      <c r="CW221" s="140"/>
      <c r="CX221" s="140"/>
      <c r="CY221" s="140"/>
      <c r="CZ221" s="140"/>
      <c r="DA221" s="140"/>
      <c r="DB221" s="140"/>
      <c r="DC221" s="140"/>
      <c r="DD221" s="140"/>
      <c r="DE221" s="140"/>
    </row>
    <row r="222" spans="1:109" s="139" customForma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3"/>
      <c r="U222" s="143"/>
      <c r="V222" s="143"/>
      <c r="W222" s="143"/>
      <c r="X222" s="143"/>
      <c r="Y222" s="143"/>
      <c r="Z222" s="143"/>
      <c r="AA222" s="143"/>
      <c r="AC222" s="140"/>
      <c r="AD222" s="140"/>
      <c r="AE222" s="140"/>
      <c r="AF222" s="140"/>
      <c r="AG222" s="140"/>
      <c r="AH222" s="141"/>
      <c r="AI222" s="143"/>
      <c r="AJ222" s="140"/>
      <c r="AK222" s="140"/>
      <c r="AL222" s="140"/>
      <c r="AM222" s="140"/>
      <c r="AN222" s="140"/>
      <c r="AO222" s="140"/>
      <c r="AP222" s="140"/>
      <c r="AQ222" s="140"/>
      <c r="AR222" s="140"/>
      <c r="AS222" s="140"/>
      <c r="AT222" s="140"/>
      <c r="AU222" s="140"/>
      <c r="AV222" s="140"/>
      <c r="AW222" s="140"/>
      <c r="AX222" s="140"/>
      <c r="AY222" s="140"/>
      <c r="AZ222" s="140"/>
      <c r="BA222" s="140"/>
      <c r="BB222" s="140"/>
      <c r="BC222" s="140"/>
      <c r="BD222" s="140"/>
      <c r="BE222" s="140"/>
      <c r="BF222" s="140"/>
      <c r="BG222" s="140"/>
      <c r="BH222" s="140"/>
      <c r="BI222" s="140"/>
      <c r="BJ222" s="140"/>
      <c r="BK222" s="140"/>
      <c r="BL222" s="140"/>
      <c r="BM222" s="140"/>
      <c r="BN222" s="140"/>
      <c r="BO222" s="140"/>
      <c r="BP222" s="140"/>
      <c r="BQ222" s="140"/>
      <c r="BR222" s="140"/>
      <c r="BS222" s="140"/>
      <c r="BT222" s="140"/>
      <c r="BU222" s="140"/>
      <c r="BV222" s="140"/>
      <c r="BW222" s="140"/>
      <c r="BX222" s="140"/>
      <c r="BY222" s="140"/>
      <c r="BZ222" s="140"/>
      <c r="CA222" s="140"/>
      <c r="CB222" s="140"/>
      <c r="CC222" s="140"/>
      <c r="CD222" s="140"/>
      <c r="CE222" s="140"/>
      <c r="CF222" s="140"/>
      <c r="CG222" s="140"/>
      <c r="CH222" s="140"/>
      <c r="CI222" s="140"/>
      <c r="CJ222" s="140"/>
      <c r="CK222" s="140"/>
      <c r="CL222" s="140"/>
      <c r="CM222" s="140"/>
      <c r="CN222" s="140"/>
      <c r="CO222" s="140"/>
      <c r="CP222" s="140"/>
      <c r="CQ222" s="140"/>
      <c r="CR222" s="140"/>
      <c r="CS222" s="140"/>
      <c r="CT222" s="140"/>
      <c r="CU222" s="140"/>
      <c r="CV222" s="140"/>
      <c r="CW222" s="140"/>
      <c r="CX222" s="140"/>
      <c r="CY222" s="140"/>
      <c r="CZ222" s="140"/>
      <c r="DA222" s="140"/>
      <c r="DB222" s="140"/>
      <c r="DC222" s="140"/>
      <c r="DD222" s="140"/>
      <c r="DE222" s="140"/>
    </row>
    <row r="223" spans="1:109" s="139" customForma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3"/>
      <c r="U223" s="143"/>
      <c r="V223" s="143"/>
      <c r="W223" s="143"/>
      <c r="X223" s="143"/>
      <c r="Y223" s="143"/>
      <c r="Z223" s="143"/>
      <c r="AA223" s="143"/>
      <c r="AC223" s="140"/>
      <c r="AD223" s="140"/>
      <c r="AE223" s="140"/>
      <c r="AF223" s="140"/>
      <c r="AG223" s="140"/>
      <c r="AH223" s="141"/>
      <c r="AI223" s="143"/>
      <c r="AJ223" s="140"/>
      <c r="AK223" s="140"/>
      <c r="AL223" s="140"/>
      <c r="AM223" s="140"/>
      <c r="AN223" s="140"/>
      <c r="AO223" s="140"/>
      <c r="AP223" s="140"/>
      <c r="AQ223" s="140"/>
      <c r="AR223" s="140"/>
      <c r="AS223" s="140"/>
      <c r="AT223" s="140"/>
      <c r="AU223" s="140"/>
      <c r="AV223" s="140"/>
      <c r="AW223" s="140"/>
      <c r="AX223" s="140"/>
      <c r="AY223" s="140"/>
      <c r="AZ223" s="140"/>
      <c r="BA223" s="140"/>
      <c r="BB223" s="140"/>
      <c r="BC223" s="140"/>
      <c r="BD223" s="140"/>
      <c r="BE223" s="140"/>
      <c r="BF223" s="140"/>
      <c r="BG223" s="140"/>
      <c r="BH223" s="140"/>
      <c r="BI223" s="140"/>
      <c r="BJ223" s="140"/>
      <c r="BK223" s="140"/>
      <c r="BL223" s="140"/>
      <c r="BM223" s="140"/>
      <c r="BN223" s="140"/>
      <c r="BO223" s="140"/>
      <c r="BP223" s="140"/>
      <c r="BQ223" s="140"/>
      <c r="BR223" s="140"/>
      <c r="BS223" s="140"/>
      <c r="BT223" s="140"/>
      <c r="BU223" s="140"/>
      <c r="BV223" s="140"/>
      <c r="BW223" s="140"/>
      <c r="BX223" s="140"/>
      <c r="BY223" s="140"/>
      <c r="BZ223" s="140"/>
      <c r="CA223" s="140"/>
      <c r="CB223" s="140"/>
      <c r="CC223" s="140"/>
      <c r="CD223" s="140"/>
      <c r="CE223" s="140"/>
      <c r="CF223" s="140"/>
      <c r="CG223" s="140"/>
      <c r="CH223" s="140"/>
      <c r="CI223" s="140"/>
      <c r="CJ223" s="140"/>
      <c r="CK223" s="140"/>
      <c r="CL223" s="140"/>
      <c r="CM223" s="140"/>
      <c r="CN223" s="140"/>
      <c r="CO223" s="140"/>
      <c r="CP223" s="140"/>
      <c r="CQ223" s="140"/>
      <c r="CR223" s="140"/>
      <c r="CS223" s="140"/>
      <c r="CT223" s="140"/>
      <c r="CU223" s="140"/>
      <c r="CV223" s="140"/>
      <c r="CW223" s="140"/>
      <c r="CX223" s="140"/>
      <c r="CY223" s="140"/>
      <c r="CZ223" s="140"/>
      <c r="DA223" s="140"/>
      <c r="DB223" s="140"/>
      <c r="DC223" s="140"/>
      <c r="DD223" s="140"/>
      <c r="DE223" s="140"/>
    </row>
    <row r="224" spans="1:109" s="139" customForma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3"/>
      <c r="U224" s="143"/>
      <c r="V224" s="143"/>
      <c r="W224" s="143"/>
      <c r="X224" s="143"/>
      <c r="Y224" s="143"/>
      <c r="Z224" s="143"/>
      <c r="AA224" s="143"/>
      <c r="AC224" s="140"/>
      <c r="AD224" s="140"/>
      <c r="AE224" s="140"/>
      <c r="AF224" s="140"/>
      <c r="AG224" s="140"/>
      <c r="AH224" s="141"/>
      <c r="AI224" s="143"/>
      <c r="AJ224" s="140"/>
      <c r="AK224" s="140"/>
      <c r="AL224" s="140"/>
      <c r="AM224" s="140"/>
      <c r="AN224" s="140"/>
      <c r="AO224" s="140"/>
      <c r="AP224" s="140"/>
      <c r="AQ224" s="140"/>
      <c r="AR224" s="140"/>
      <c r="AS224" s="140"/>
      <c r="AT224" s="140"/>
      <c r="AU224" s="140"/>
      <c r="AV224" s="140"/>
      <c r="AW224" s="140"/>
      <c r="AX224" s="140"/>
      <c r="AY224" s="140"/>
      <c r="AZ224" s="140"/>
      <c r="BA224" s="140"/>
      <c r="BB224" s="140"/>
      <c r="BC224" s="140"/>
      <c r="BD224" s="140"/>
      <c r="BE224" s="140"/>
      <c r="BF224" s="140"/>
      <c r="BG224" s="140"/>
      <c r="BH224" s="140"/>
      <c r="BI224" s="140"/>
      <c r="BJ224" s="140"/>
      <c r="BK224" s="140"/>
      <c r="BL224" s="140"/>
      <c r="BM224" s="140"/>
      <c r="BN224" s="140"/>
      <c r="BO224" s="140"/>
      <c r="BP224" s="140"/>
      <c r="BQ224" s="140"/>
      <c r="BR224" s="140"/>
      <c r="BS224" s="140"/>
      <c r="BT224" s="140"/>
      <c r="BU224" s="140"/>
      <c r="BV224" s="140"/>
      <c r="BW224" s="140"/>
      <c r="BX224" s="140"/>
      <c r="BY224" s="140"/>
      <c r="BZ224" s="140"/>
      <c r="CA224" s="140"/>
      <c r="CB224" s="140"/>
      <c r="CC224" s="140"/>
      <c r="CD224" s="140"/>
      <c r="CE224" s="140"/>
      <c r="CF224" s="140"/>
      <c r="CG224" s="140"/>
      <c r="CH224" s="140"/>
      <c r="CI224" s="140"/>
      <c r="CJ224" s="140"/>
      <c r="CK224" s="140"/>
      <c r="CL224" s="140"/>
      <c r="CM224" s="140"/>
      <c r="CN224" s="140"/>
      <c r="CO224" s="140"/>
      <c r="CP224" s="140"/>
      <c r="CQ224" s="140"/>
      <c r="CR224" s="140"/>
      <c r="CS224" s="140"/>
      <c r="CT224" s="140"/>
      <c r="CU224" s="140"/>
      <c r="CV224" s="140"/>
      <c r="CW224" s="140"/>
      <c r="CX224" s="140"/>
      <c r="CY224" s="140"/>
      <c r="CZ224" s="140"/>
      <c r="DA224" s="140"/>
      <c r="DB224" s="140"/>
      <c r="DC224" s="140"/>
      <c r="DD224" s="140"/>
      <c r="DE224" s="140"/>
    </row>
    <row r="225" spans="1:109" s="139" customForma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3"/>
      <c r="U225" s="143"/>
      <c r="V225" s="143"/>
      <c r="W225" s="143"/>
      <c r="X225" s="143"/>
      <c r="Y225" s="143"/>
      <c r="Z225" s="143"/>
      <c r="AA225" s="143"/>
      <c r="AC225" s="140"/>
      <c r="AD225" s="140"/>
      <c r="AE225" s="140"/>
      <c r="AF225" s="140"/>
      <c r="AG225" s="140"/>
      <c r="AH225" s="141"/>
      <c r="AI225" s="143"/>
      <c r="AJ225" s="140"/>
      <c r="AK225" s="140"/>
      <c r="AL225" s="140"/>
      <c r="AM225" s="140"/>
      <c r="AN225" s="140"/>
      <c r="AO225" s="140"/>
      <c r="AP225" s="140"/>
      <c r="AQ225" s="140"/>
      <c r="AR225" s="140"/>
      <c r="AS225" s="140"/>
      <c r="AT225" s="140"/>
      <c r="AU225" s="140"/>
      <c r="AV225" s="140"/>
      <c r="AW225" s="140"/>
      <c r="AX225" s="140"/>
      <c r="AY225" s="140"/>
      <c r="AZ225" s="140"/>
      <c r="BA225" s="140"/>
      <c r="BB225" s="140"/>
      <c r="BC225" s="140"/>
      <c r="BD225" s="140"/>
      <c r="BE225" s="140"/>
      <c r="BF225" s="140"/>
      <c r="BG225" s="140"/>
      <c r="BH225" s="140"/>
      <c r="BI225" s="140"/>
      <c r="BJ225" s="140"/>
      <c r="BK225" s="140"/>
      <c r="BL225" s="140"/>
      <c r="BM225" s="140"/>
      <c r="BN225" s="140"/>
      <c r="BO225" s="140"/>
      <c r="BP225" s="140"/>
      <c r="BQ225" s="140"/>
      <c r="BR225" s="140"/>
      <c r="BS225" s="140"/>
      <c r="BT225" s="140"/>
      <c r="BU225" s="140"/>
      <c r="BV225" s="140"/>
      <c r="BW225" s="140"/>
      <c r="BX225" s="140"/>
      <c r="BY225" s="140"/>
      <c r="BZ225" s="140"/>
      <c r="CA225" s="140"/>
      <c r="CB225" s="140"/>
      <c r="CC225" s="140"/>
      <c r="CD225" s="140"/>
      <c r="CE225" s="140"/>
      <c r="CF225" s="140"/>
      <c r="CG225" s="140"/>
      <c r="CH225" s="140"/>
      <c r="CI225" s="140"/>
      <c r="CJ225" s="140"/>
      <c r="CK225" s="140"/>
      <c r="CL225" s="140"/>
      <c r="CM225" s="140"/>
      <c r="CN225" s="140"/>
      <c r="CO225" s="140"/>
      <c r="CP225" s="140"/>
      <c r="CQ225" s="140"/>
      <c r="CR225" s="140"/>
      <c r="CS225" s="140"/>
      <c r="CT225" s="140"/>
      <c r="CU225" s="140"/>
      <c r="CV225" s="140"/>
      <c r="CW225" s="140"/>
      <c r="CX225" s="140"/>
      <c r="CY225" s="140"/>
      <c r="CZ225" s="140"/>
      <c r="DA225" s="140"/>
      <c r="DB225" s="140"/>
      <c r="DC225" s="140"/>
      <c r="DD225" s="140"/>
      <c r="DE225" s="140"/>
    </row>
    <row r="226" spans="1:109" s="139" customForma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3"/>
      <c r="U226" s="143"/>
      <c r="V226" s="143"/>
      <c r="W226" s="143"/>
      <c r="X226" s="143"/>
      <c r="Y226" s="143"/>
      <c r="Z226" s="143"/>
      <c r="AA226" s="143"/>
      <c r="AC226" s="140"/>
      <c r="AD226" s="140"/>
      <c r="AE226" s="140"/>
      <c r="AF226" s="140"/>
      <c r="AG226" s="140"/>
      <c r="AH226" s="141"/>
      <c r="AI226" s="143"/>
      <c r="AJ226" s="140"/>
      <c r="AK226" s="140"/>
      <c r="AL226" s="140"/>
      <c r="AM226" s="140"/>
      <c r="AN226" s="140"/>
      <c r="AO226" s="140"/>
      <c r="AP226" s="140"/>
      <c r="AQ226" s="140"/>
      <c r="AR226" s="140"/>
      <c r="AS226" s="140"/>
      <c r="AT226" s="140"/>
      <c r="AU226" s="140"/>
      <c r="AV226" s="140"/>
      <c r="AW226" s="140"/>
      <c r="AX226" s="140"/>
      <c r="AY226" s="140"/>
      <c r="AZ226" s="140"/>
      <c r="BA226" s="140"/>
      <c r="BB226" s="140"/>
      <c r="BC226" s="140"/>
      <c r="BD226" s="140"/>
      <c r="BE226" s="140"/>
      <c r="BF226" s="140"/>
      <c r="BG226" s="140"/>
      <c r="BH226" s="140"/>
      <c r="BI226" s="140"/>
      <c r="BJ226" s="140"/>
      <c r="BK226" s="140"/>
      <c r="BL226" s="140"/>
      <c r="BM226" s="140"/>
      <c r="BN226" s="140"/>
      <c r="BO226" s="140"/>
      <c r="BP226" s="140"/>
      <c r="BQ226" s="140"/>
      <c r="BR226" s="140"/>
      <c r="BS226" s="140"/>
      <c r="BT226" s="140"/>
      <c r="BU226" s="140"/>
      <c r="BV226" s="140"/>
      <c r="BW226" s="140"/>
      <c r="BX226" s="140"/>
      <c r="BY226" s="140"/>
      <c r="BZ226" s="140"/>
      <c r="CA226" s="140"/>
      <c r="CB226" s="140"/>
      <c r="CC226" s="140"/>
      <c r="CD226" s="140"/>
      <c r="CE226" s="140"/>
      <c r="CF226" s="140"/>
      <c r="CG226" s="140"/>
      <c r="CH226" s="140"/>
      <c r="CI226" s="140"/>
      <c r="CJ226" s="140"/>
      <c r="CK226" s="140"/>
      <c r="CL226" s="140"/>
      <c r="CM226" s="140"/>
      <c r="CN226" s="140"/>
      <c r="CO226" s="140"/>
      <c r="CP226" s="140"/>
      <c r="CQ226" s="140"/>
      <c r="CR226" s="140"/>
      <c r="CS226" s="140"/>
      <c r="CT226" s="140"/>
      <c r="CU226" s="140"/>
      <c r="CV226" s="140"/>
      <c r="CW226" s="140"/>
      <c r="CX226" s="140"/>
      <c r="CY226" s="140"/>
      <c r="CZ226" s="140"/>
      <c r="DA226" s="140"/>
      <c r="DB226" s="140"/>
      <c r="DC226" s="140"/>
      <c r="DD226" s="140"/>
      <c r="DE226" s="140"/>
    </row>
    <row r="227" spans="1:109" s="139" customForma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3"/>
      <c r="U227" s="143"/>
      <c r="V227" s="143"/>
      <c r="W227" s="143"/>
      <c r="X227" s="143"/>
      <c r="Y227" s="143"/>
      <c r="Z227" s="143"/>
      <c r="AA227" s="143"/>
      <c r="AC227" s="140"/>
      <c r="AD227" s="140"/>
      <c r="AE227" s="140"/>
      <c r="AF227" s="140"/>
      <c r="AG227" s="140"/>
      <c r="AH227" s="141"/>
      <c r="AI227" s="143"/>
      <c r="AJ227" s="140"/>
      <c r="AK227" s="140"/>
      <c r="AL227" s="140"/>
      <c r="AM227" s="140"/>
      <c r="AN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  <c r="AY227" s="140"/>
      <c r="AZ227" s="140"/>
      <c r="BA227" s="140"/>
      <c r="BB227" s="140"/>
      <c r="BC227" s="140"/>
      <c r="BD227" s="140"/>
      <c r="BE227" s="140"/>
      <c r="BF227" s="140"/>
      <c r="BG227" s="140"/>
      <c r="BH227" s="140"/>
      <c r="BI227" s="140"/>
      <c r="BJ227" s="140"/>
      <c r="BK227" s="140"/>
      <c r="BL227" s="140"/>
      <c r="BM227" s="140"/>
      <c r="BN227" s="140"/>
      <c r="BO227" s="140"/>
      <c r="BP227" s="140"/>
      <c r="BQ227" s="140"/>
      <c r="BR227" s="140"/>
      <c r="BS227" s="140"/>
      <c r="BT227" s="140"/>
      <c r="BU227" s="140"/>
      <c r="BV227" s="140"/>
      <c r="BW227" s="140"/>
      <c r="BX227" s="140"/>
      <c r="BY227" s="140"/>
      <c r="BZ227" s="140"/>
      <c r="CA227" s="140"/>
      <c r="CB227" s="140"/>
      <c r="CC227" s="140"/>
      <c r="CD227" s="140"/>
      <c r="CE227" s="140"/>
      <c r="CF227" s="140"/>
      <c r="CG227" s="140"/>
      <c r="CH227" s="140"/>
      <c r="CI227" s="140"/>
      <c r="CJ227" s="140"/>
      <c r="CK227" s="140"/>
      <c r="CL227" s="140"/>
      <c r="CM227" s="140"/>
      <c r="CN227" s="140"/>
      <c r="CO227" s="140"/>
      <c r="CP227" s="140"/>
      <c r="CQ227" s="140"/>
      <c r="CR227" s="140"/>
      <c r="CS227" s="140"/>
      <c r="CT227" s="140"/>
      <c r="CU227" s="140"/>
      <c r="CV227" s="140"/>
      <c r="CW227" s="140"/>
      <c r="CX227" s="140"/>
      <c r="CY227" s="140"/>
      <c r="CZ227" s="140"/>
      <c r="DA227" s="140"/>
      <c r="DB227" s="140"/>
      <c r="DC227" s="140"/>
      <c r="DD227" s="140"/>
      <c r="DE227" s="140"/>
    </row>
    <row r="228" spans="1:109" s="139" customForma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3"/>
      <c r="U228" s="143"/>
      <c r="V228" s="143"/>
      <c r="W228" s="143"/>
      <c r="X228" s="143"/>
      <c r="Y228" s="143"/>
      <c r="Z228" s="143"/>
      <c r="AA228" s="143"/>
      <c r="AC228" s="140"/>
      <c r="AD228" s="140"/>
      <c r="AE228" s="140"/>
      <c r="AF228" s="140"/>
      <c r="AG228" s="140"/>
      <c r="AH228" s="141"/>
      <c r="AI228" s="143"/>
      <c r="AJ228" s="140"/>
      <c r="AK228" s="140"/>
      <c r="AL228" s="140"/>
      <c r="AM228" s="140"/>
      <c r="AN228" s="140"/>
      <c r="AO228" s="140"/>
      <c r="AP228" s="140"/>
      <c r="AQ228" s="140"/>
      <c r="AR228" s="140"/>
      <c r="AS228" s="140"/>
      <c r="AT228" s="140"/>
      <c r="AU228" s="140"/>
      <c r="AV228" s="140"/>
      <c r="AW228" s="140"/>
      <c r="AX228" s="140"/>
      <c r="AY228" s="140"/>
      <c r="AZ228" s="140"/>
      <c r="BA228" s="140"/>
      <c r="BB228" s="140"/>
      <c r="BC228" s="140"/>
      <c r="BD228" s="140"/>
      <c r="BE228" s="140"/>
      <c r="BF228" s="140"/>
      <c r="BG228" s="140"/>
      <c r="BH228" s="140"/>
      <c r="BI228" s="140"/>
      <c r="BJ228" s="140"/>
      <c r="BK228" s="140"/>
      <c r="BL228" s="140"/>
      <c r="BM228" s="140"/>
      <c r="BN228" s="140"/>
      <c r="BO228" s="140"/>
      <c r="BP228" s="140"/>
      <c r="BQ228" s="140"/>
      <c r="BR228" s="140"/>
      <c r="BS228" s="140"/>
      <c r="BT228" s="140"/>
      <c r="BU228" s="140"/>
      <c r="BV228" s="140"/>
      <c r="BW228" s="140"/>
      <c r="BX228" s="140"/>
      <c r="BY228" s="140"/>
      <c r="BZ228" s="140"/>
      <c r="CA228" s="140"/>
      <c r="CB228" s="140"/>
      <c r="CC228" s="140"/>
      <c r="CD228" s="140"/>
      <c r="CE228" s="140"/>
      <c r="CF228" s="140"/>
      <c r="CG228" s="140"/>
      <c r="CH228" s="140"/>
      <c r="CI228" s="140"/>
      <c r="CJ228" s="140"/>
      <c r="CK228" s="140"/>
      <c r="CL228" s="140"/>
      <c r="CM228" s="140"/>
      <c r="CN228" s="140"/>
      <c r="CO228" s="140"/>
      <c r="CP228" s="140"/>
      <c r="CQ228" s="140"/>
      <c r="CR228" s="140"/>
      <c r="CS228" s="140"/>
      <c r="CT228" s="140"/>
      <c r="CU228" s="140"/>
      <c r="CV228" s="140"/>
      <c r="CW228" s="140"/>
      <c r="CX228" s="140"/>
      <c r="CY228" s="140"/>
      <c r="CZ228" s="140"/>
      <c r="DA228" s="140"/>
      <c r="DB228" s="140"/>
      <c r="DC228" s="140"/>
      <c r="DD228" s="140"/>
      <c r="DE228" s="140"/>
    </row>
    <row r="229" spans="1:109" s="139" customForma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3"/>
      <c r="U229" s="143"/>
      <c r="V229" s="143"/>
      <c r="W229" s="143"/>
      <c r="X229" s="143"/>
      <c r="Y229" s="143"/>
      <c r="Z229" s="143"/>
      <c r="AA229" s="143"/>
      <c r="AC229" s="140"/>
      <c r="AD229" s="140"/>
      <c r="AE229" s="140"/>
      <c r="AF229" s="140"/>
      <c r="AG229" s="140"/>
      <c r="AH229" s="141"/>
      <c r="AI229" s="143"/>
      <c r="AJ229" s="140"/>
      <c r="AK229" s="140"/>
      <c r="AL229" s="140"/>
      <c r="AM229" s="140"/>
      <c r="AN229" s="140"/>
      <c r="AO229" s="140"/>
      <c r="AP229" s="140"/>
      <c r="AQ229" s="140"/>
      <c r="AR229" s="140"/>
      <c r="AS229" s="140"/>
      <c r="AT229" s="140"/>
      <c r="AU229" s="140"/>
      <c r="AV229" s="140"/>
      <c r="AW229" s="140"/>
      <c r="AX229" s="140"/>
      <c r="AY229" s="140"/>
      <c r="AZ229" s="140"/>
      <c r="BA229" s="140"/>
      <c r="BB229" s="140"/>
      <c r="BC229" s="140"/>
      <c r="BD229" s="140"/>
      <c r="BE229" s="140"/>
      <c r="BF229" s="140"/>
      <c r="BG229" s="140"/>
      <c r="BH229" s="140"/>
      <c r="BI229" s="140"/>
      <c r="BJ229" s="140"/>
      <c r="BK229" s="140"/>
      <c r="BL229" s="140"/>
      <c r="BM229" s="140"/>
      <c r="BN229" s="140"/>
      <c r="BO229" s="140"/>
      <c r="BP229" s="140"/>
      <c r="BQ229" s="140"/>
      <c r="BR229" s="140"/>
      <c r="BS229" s="140"/>
      <c r="BT229" s="140"/>
      <c r="BU229" s="140"/>
      <c r="BV229" s="140"/>
      <c r="BW229" s="140"/>
      <c r="BX229" s="140"/>
      <c r="BY229" s="140"/>
      <c r="BZ229" s="140"/>
      <c r="CA229" s="140"/>
      <c r="CB229" s="140"/>
      <c r="CC229" s="140"/>
      <c r="CD229" s="140"/>
      <c r="CE229" s="140"/>
      <c r="CF229" s="140"/>
      <c r="CG229" s="140"/>
      <c r="CH229" s="140"/>
      <c r="CI229" s="140"/>
      <c r="CJ229" s="140"/>
      <c r="CK229" s="140"/>
      <c r="CL229" s="140"/>
      <c r="CM229" s="140"/>
      <c r="CN229" s="140"/>
      <c r="CO229" s="140"/>
      <c r="CP229" s="140"/>
      <c r="CQ229" s="140"/>
      <c r="CR229" s="140"/>
      <c r="CS229" s="140"/>
      <c r="CT229" s="140"/>
      <c r="CU229" s="140"/>
      <c r="CV229" s="140"/>
      <c r="CW229" s="140"/>
      <c r="CX229" s="140"/>
      <c r="CY229" s="140"/>
      <c r="CZ229" s="140"/>
      <c r="DA229" s="140"/>
      <c r="DB229" s="140"/>
      <c r="DC229" s="140"/>
      <c r="DD229" s="140"/>
      <c r="DE229" s="140"/>
    </row>
    <row r="230" spans="1:109" s="139" customForma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3"/>
      <c r="U230" s="143"/>
      <c r="V230" s="143"/>
      <c r="W230" s="143"/>
      <c r="X230" s="143"/>
      <c r="Y230" s="143"/>
      <c r="Z230" s="143"/>
      <c r="AA230" s="143"/>
      <c r="AC230" s="140"/>
      <c r="AD230" s="140"/>
      <c r="AE230" s="140"/>
      <c r="AF230" s="140"/>
      <c r="AG230" s="140"/>
      <c r="AH230" s="141"/>
      <c r="AI230" s="143"/>
      <c r="AJ230" s="140"/>
      <c r="AK230" s="140"/>
      <c r="AL230" s="140"/>
      <c r="AM230" s="140"/>
      <c r="AN230" s="140"/>
      <c r="AO230" s="140"/>
      <c r="AP230" s="140"/>
      <c r="AQ230" s="140"/>
      <c r="AR230" s="140"/>
      <c r="AS230" s="140"/>
      <c r="AT230" s="140"/>
      <c r="AU230" s="140"/>
      <c r="AV230" s="140"/>
      <c r="AW230" s="140"/>
      <c r="AX230" s="140"/>
      <c r="AY230" s="140"/>
      <c r="AZ230" s="140"/>
      <c r="BA230" s="140"/>
      <c r="BB230" s="140"/>
      <c r="BC230" s="140"/>
      <c r="BD230" s="140"/>
      <c r="BE230" s="140"/>
      <c r="BF230" s="140"/>
      <c r="BG230" s="140"/>
      <c r="BH230" s="140"/>
      <c r="BI230" s="140"/>
      <c r="BJ230" s="140"/>
      <c r="BK230" s="140"/>
      <c r="BL230" s="140"/>
      <c r="BM230" s="140"/>
      <c r="BN230" s="140"/>
      <c r="BO230" s="140"/>
      <c r="BP230" s="140"/>
      <c r="BQ230" s="140"/>
      <c r="BR230" s="140"/>
      <c r="BS230" s="140"/>
      <c r="BT230" s="140"/>
      <c r="BU230" s="140"/>
      <c r="BV230" s="140"/>
      <c r="BW230" s="140"/>
      <c r="BX230" s="140"/>
      <c r="BY230" s="140"/>
      <c r="BZ230" s="140"/>
      <c r="CA230" s="140"/>
      <c r="CB230" s="140"/>
      <c r="CC230" s="140"/>
      <c r="CD230" s="140"/>
      <c r="CE230" s="140"/>
      <c r="CF230" s="140"/>
      <c r="CG230" s="140"/>
      <c r="CH230" s="140"/>
      <c r="CI230" s="140"/>
      <c r="CJ230" s="140"/>
      <c r="CK230" s="140"/>
      <c r="CL230" s="140"/>
      <c r="CM230" s="140"/>
      <c r="CN230" s="140"/>
      <c r="CO230" s="140"/>
      <c r="CP230" s="140"/>
      <c r="CQ230" s="140"/>
      <c r="CR230" s="140"/>
      <c r="CS230" s="140"/>
      <c r="CT230" s="140"/>
      <c r="CU230" s="140"/>
      <c r="CV230" s="140"/>
      <c r="CW230" s="140"/>
      <c r="CX230" s="140"/>
      <c r="CY230" s="140"/>
      <c r="CZ230" s="140"/>
      <c r="DA230" s="140"/>
      <c r="DB230" s="140"/>
      <c r="DC230" s="140"/>
      <c r="DD230" s="140"/>
      <c r="DE230" s="140"/>
    </row>
    <row r="231" spans="1:109" s="139" customForma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3"/>
      <c r="U231" s="143"/>
      <c r="V231" s="143"/>
      <c r="W231" s="143"/>
      <c r="X231" s="143"/>
      <c r="Y231" s="143"/>
      <c r="Z231" s="143"/>
      <c r="AA231" s="143"/>
      <c r="AC231" s="140"/>
      <c r="AD231" s="140"/>
      <c r="AE231" s="140"/>
      <c r="AF231" s="140"/>
      <c r="AG231" s="140"/>
      <c r="AH231" s="141"/>
      <c r="AI231" s="143"/>
      <c r="AJ231" s="140"/>
      <c r="AK231" s="140"/>
      <c r="AL231" s="140"/>
      <c r="AM231" s="140"/>
      <c r="AN231" s="140"/>
      <c r="AO231" s="140"/>
      <c r="AP231" s="140"/>
      <c r="AQ231" s="140"/>
      <c r="AR231" s="140"/>
      <c r="AS231" s="140"/>
      <c r="AT231" s="140"/>
      <c r="AU231" s="140"/>
      <c r="AV231" s="140"/>
      <c r="AW231" s="140"/>
      <c r="AX231" s="140"/>
      <c r="AY231" s="140"/>
      <c r="AZ231" s="140"/>
      <c r="BA231" s="140"/>
      <c r="BB231" s="140"/>
      <c r="BC231" s="140"/>
      <c r="BD231" s="140"/>
      <c r="BE231" s="140"/>
      <c r="BF231" s="140"/>
      <c r="BG231" s="140"/>
      <c r="BH231" s="140"/>
      <c r="BI231" s="140"/>
      <c r="BJ231" s="140"/>
      <c r="BK231" s="140"/>
      <c r="BL231" s="140"/>
      <c r="BM231" s="140"/>
      <c r="BN231" s="140"/>
      <c r="BO231" s="140"/>
      <c r="BP231" s="140"/>
      <c r="BQ231" s="140"/>
      <c r="BR231" s="140"/>
      <c r="BS231" s="140"/>
      <c r="BT231" s="140"/>
      <c r="BU231" s="140"/>
      <c r="BV231" s="140"/>
      <c r="BW231" s="140"/>
      <c r="BX231" s="140"/>
      <c r="BY231" s="140"/>
      <c r="BZ231" s="140"/>
      <c r="CA231" s="140"/>
      <c r="CB231" s="140"/>
      <c r="CC231" s="140"/>
      <c r="CD231" s="140"/>
      <c r="CE231" s="140"/>
      <c r="CF231" s="140"/>
      <c r="CG231" s="140"/>
      <c r="CH231" s="140"/>
      <c r="CI231" s="140"/>
      <c r="CJ231" s="140"/>
      <c r="CK231" s="140"/>
      <c r="CL231" s="140"/>
      <c r="CM231" s="140"/>
      <c r="CN231" s="140"/>
      <c r="CO231" s="140"/>
      <c r="CP231" s="140"/>
      <c r="CQ231" s="140"/>
      <c r="CR231" s="140"/>
      <c r="CS231" s="140"/>
      <c r="CT231" s="140"/>
      <c r="CU231" s="140"/>
      <c r="CV231" s="140"/>
      <c r="CW231" s="140"/>
      <c r="CX231" s="140"/>
      <c r="CY231" s="140"/>
      <c r="CZ231" s="140"/>
      <c r="DA231" s="140"/>
      <c r="DB231" s="140"/>
      <c r="DC231" s="140"/>
      <c r="DD231" s="140"/>
      <c r="DE231" s="140"/>
    </row>
    <row r="232" spans="1:109" s="139" customForma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3"/>
      <c r="U232" s="143"/>
      <c r="V232" s="143"/>
      <c r="W232" s="143"/>
      <c r="X232" s="143"/>
      <c r="Y232" s="143"/>
      <c r="Z232" s="143"/>
      <c r="AA232" s="143"/>
      <c r="AC232" s="140"/>
      <c r="AD232" s="140"/>
      <c r="AE232" s="140"/>
      <c r="AF232" s="140"/>
      <c r="AG232" s="140"/>
      <c r="AH232" s="141"/>
      <c r="AI232" s="143"/>
      <c r="AJ232" s="140"/>
      <c r="AK232" s="140"/>
      <c r="AL232" s="140"/>
      <c r="AM232" s="140"/>
      <c r="AN232" s="140"/>
      <c r="AO232" s="140"/>
      <c r="AP232" s="140"/>
      <c r="AQ232" s="140"/>
      <c r="AR232" s="140"/>
      <c r="AS232" s="140"/>
      <c r="AT232" s="140"/>
      <c r="AU232" s="140"/>
      <c r="AV232" s="140"/>
      <c r="AW232" s="140"/>
      <c r="AX232" s="140"/>
      <c r="AY232" s="140"/>
      <c r="AZ232" s="140"/>
      <c r="BA232" s="140"/>
      <c r="BB232" s="140"/>
      <c r="BC232" s="140"/>
      <c r="BD232" s="140"/>
      <c r="BE232" s="140"/>
      <c r="BF232" s="140"/>
      <c r="BG232" s="140"/>
      <c r="BH232" s="140"/>
      <c r="BI232" s="140"/>
      <c r="BJ232" s="140"/>
      <c r="BK232" s="140"/>
      <c r="BL232" s="140"/>
      <c r="BM232" s="140"/>
      <c r="BN232" s="140"/>
      <c r="BO232" s="140"/>
      <c r="BP232" s="140"/>
      <c r="BQ232" s="140"/>
      <c r="BR232" s="140"/>
      <c r="BS232" s="140"/>
      <c r="BT232" s="140"/>
      <c r="BU232" s="140"/>
      <c r="BV232" s="140"/>
      <c r="BW232" s="140"/>
      <c r="BX232" s="140"/>
      <c r="BY232" s="140"/>
      <c r="BZ232" s="140"/>
      <c r="CA232" s="140"/>
      <c r="CB232" s="140"/>
      <c r="CC232" s="140"/>
      <c r="CD232" s="140"/>
      <c r="CE232" s="140"/>
      <c r="CF232" s="140"/>
      <c r="CG232" s="140"/>
      <c r="CH232" s="140"/>
      <c r="CI232" s="140"/>
      <c r="CJ232" s="140"/>
      <c r="CK232" s="140"/>
      <c r="CL232" s="140"/>
      <c r="CM232" s="140"/>
      <c r="CN232" s="140"/>
      <c r="CO232" s="140"/>
      <c r="CP232" s="140"/>
      <c r="CQ232" s="140"/>
      <c r="CR232" s="140"/>
      <c r="CS232" s="140"/>
      <c r="CT232" s="140"/>
      <c r="CU232" s="140"/>
      <c r="CV232" s="140"/>
      <c r="CW232" s="140"/>
      <c r="CX232" s="140"/>
      <c r="CY232" s="140"/>
      <c r="CZ232" s="140"/>
      <c r="DA232" s="140"/>
      <c r="DB232" s="140"/>
      <c r="DC232" s="140"/>
      <c r="DD232" s="140"/>
      <c r="DE232" s="140"/>
    </row>
    <row r="233" spans="1:109" s="139" customForma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3"/>
      <c r="U233" s="143"/>
      <c r="V233" s="143"/>
      <c r="W233" s="143"/>
      <c r="X233" s="143"/>
      <c r="Y233" s="143"/>
      <c r="Z233" s="143"/>
      <c r="AA233" s="143"/>
      <c r="AC233" s="140"/>
      <c r="AD233" s="140"/>
      <c r="AE233" s="140"/>
      <c r="AF233" s="140"/>
      <c r="AG233" s="140"/>
      <c r="AH233" s="141"/>
      <c r="AI233" s="143"/>
      <c r="AJ233" s="140"/>
      <c r="AK233" s="140"/>
      <c r="AL233" s="140"/>
      <c r="AM233" s="140"/>
      <c r="AN233" s="140"/>
      <c r="AO233" s="140"/>
      <c r="AP233" s="140"/>
      <c r="AQ233" s="140"/>
      <c r="AR233" s="140"/>
      <c r="AS233" s="140"/>
      <c r="AT233" s="140"/>
      <c r="AU233" s="140"/>
      <c r="AV233" s="140"/>
      <c r="AW233" s="140"/>
      <c r="AX233" s="140"/>
      <c r="AY233" s="140"/>
      <c r="AZ233" s="140"/>
      <c r="BA233" s="140"/>
      <c r="BB233" s="140"/>
      <c r="BC233" s="140"/>
      <c r="BD233" s="140"/>
      <c r="BE233" s="140"/>
      <c r="BF233" s="140"/>
      <c r="BG233" s="140"/>
      <c r="BH233" s="140"/>
      <c r="BI233" s="140"/>
      <c r="BJ233" s="140"/>
      <c r="BK233" s="140"/>
      <c r="BL233" s="140"/>
      <c r="BM233" s="140"/>
      <c r="BN233" s="140"/>
      <c r="BO233" s="140"/>
      <c r="BP233" s="140"/>
      <c r="BQ233" s="140"/>
      <c r="BR233" s="140"/>
      <c r="BS233" s="140"/>
      <c r="BT233" s="140"/>
      <c r="BU233" s="140"/>
      <c r="BV233" s="140"/>
      <c r="BW233" s="140"/>
      <c r="BX233" s="140"/>
      <c r="BY233" s="140"/>
      <c r="BZ233" s="140"/>
      <c r="CA233" s="140"/>
      <c r="CB233" s="140"/>
      <c r="CC233" s="140"/>
      <c r="CD233" s="140"/>
      <c r="CE233" s="140"/>
      <c r="CF233" s="140"/>
      <c r="CG233" s="140"/>
      <c r="CH233" s="140"/>
      <c r="CI233" s="140"/>
      <c r="CJ233" s="140"/>
      <c r="CK233" s="140"/>
      <c r="CL233" s="140"/>
      <c r="CM233" s="140"/>
      <c r="CN233" s="140"/>
      <c r="CO233" s="140"/>
      <c r="CP233" s="140"/>
      <c r="CQ233" s="140"/>
      <c r="CR233" s="140"/>
      <c r="CS233" s="140"/>
      <c r="CT233" s="140"/>
      <c r="CU233" s="140"/>
      <c r="CV233" s="140"/>
      <c r="CW233" s="140"/>
      <c r="CX233" s="140"/>
      <c r="CY233" s="140"/>
      <c r="CZ233" s="140"/>
      <c r="DA233" s="140"/>
      <c r="DB233" s="140"/>
      <c r="DC233" s="140"/>
      <c r="DD233" s="140"/>
      <c r="DE233" s="140"/>
    </row>
    <row r="234" spans="1:109" s="139" customForma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3"/>
      <c r="U234" s="143"/>
      <c r="V234" s="143"/>
      <c r="W234" s="143"/>
      <c r="X234" s="143"/>
      <c r="Y234" s="143"/>
      <c r="Z234" s="143"/>
      <c r="AA234" s="143"/>
      <c r="AC234" s="140"/>
      <c r="AD234" s="140"/>
      <c r="AE234" s="140"/>
      <c r="AF234" s="140"/>
      <c r="AG234" s="140"/>
      <c r="AH234" s="141"/>
      <c r="AI234" s="143"/>
      <c r="AJ234" s="140"/>
      <c r="AK234" s="140"/>
      <c r="AL234" s="140"/>
      <c r="AM234" s="140"/>
      <c r="AN234" s="140"/>
      <c r="AO234" s="140"/>
      <c r="AP234" s="140"/>
      <c r="AQ234" s="140"/>
      <c r="AR234" s="140"/>
      <c r="AS234" s="140"/>
      <c r="AT234" s="140"/>
      <c r="AU234" s="140"/>
      <c r="AV234" s="140"/>
      <c r="AW234" s="140"/>
      <c r="AX234" s="140"/>
      <c r="AY234" s="140"/>
      <c r="AZ234" s="140"/>
      <c r="BA234" s="140"/>
      <c r="BB234" s="140"/>
      <c r="BC234" s="140"/>
      <c r="BD234" s="140"/>
      <c r="BE234" s="140"/>
      <c r="BF234" s="140"/>
      <c r="BG234" s="140"/>
      <c r="BH234" s="140"/>
      <c r="BI234" s="140"/>
      <c r="BJ234" s="140"/>
      <c r="BK234" s="140"/>
      <c r="BL234" s="140"/>
      <c r="BM234" s="140"/>
      <c r="BN234" s="140"/>
      <c r="BO234" s="140"/>
      <c r="BP234" s="140"/>
      <c r="BQ234" s="140"/>
      <c r="BR234" s="140"/>
      <c r="BS234" s="140"/>
      <c r="BT234" s="140"/>
      <c r="BU234" s="140"/>
      <c r="BV234" s="140"/>
      <c r="BW234" s="140"/>
      <c r="BX234" s="140"/>
      <c r="BY234" s="140"/>
      <c r="BZ234" s="140"/>
      <c r="CA234" s="140"/>
      <c r="CB234" s="140"/>
      <c r="CC234" s="140"/>
      <c r="CD234" s="140"/>
      <c r="CE234" s="140"/>
      <c r="CF234" s="140"/>
      <c r="CG234" s="140"/>
      <c r="CH234" s="140"/>
      <c r="CI234" s="140"/>
      <c r="CJ234" s="140"/>
      <c r="CK234" s="140"/>
      <c r="CL234" s="140"/>
      <c r="CM234" s="140"/>
      <c r="CN234" s="140"/>
      <c r="CO234" s="140"/>
      <c r="CP234" s="140"/>
      <c r="CQ234" s="140"/>
      <c r="CR234" s="140"/>
      <c r="CS234" s="140"/>
      <c r="CT234" s="140"/>
      <c r="CU234" s="140"/>
      <c r="CV234" s="140"/>
      <c r="CW234" s="140"/>
      <c r="CX234" s="140"/>
      <c r="CY234" s="140"/>
      <c r="CZ234" s="140"/>
      <c r="DA234" s="140"/>
      <c r="DB234" s="140"/>
      <c r="DC234" s="140"/>
      <c r="DD234" s="140"/>
      <c r="DE234" s="140"/>
    </row>
    <row r="235" spans="1:109" s="139" customForma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3"/>
      <c r="U235" s="143"/>
      <c r="V235" s="143"/>
      <c r="W235" s="143"/>
      <c r="X235" s="143"/>
      <c r="Y235" s="143"/>
      <c r="Z235" s="143"/>
      <c r="AA235" s="143"/>
      <c r="AC235" s="140"/>
      <c r="AD235" s="140"/>
      <c r="AE235" s="140"/>
      <c r="AF235" s="140"/>
      <c r="AG235" s="140"/>
      <c r="AH235" s="141"/>
      <c r="AI235" s="143"/>
      <c r="AJ235" s="140"/>
      <c r="AK235" s="140"/>
      <c r="AL235" s="140"/>
      <c r="AM235" s="140"/>
      <c r="AN235" s="140"/>
      <c r="AO235" s="140"/>
      <c r="AP235" s="140"/>
      <c r="AQ235" s="140"/>
      <c r="AR235" s="140"/>
      <c r="AS235" s="140"/>
      <c r="AT235" s="140"/>
      <c r="AU235" s="140"/>
      <c r="AV235" s="140"/>
      <c r="AW235" s="140"/>
      <c r="AX235" s="140"/>
      <c r="AY235" s="140"/>
      <c r="AZ235" s="140"/>
      <c r="BA235" s="140"/>
      <c r="BB235" s="140"/>
      <c r="BC235" s="140"/>
      <c r="BD235" s="140"/>
      <c r="BE235" s="140"/>
      <c r="BF235" s="140"/>
      <c r="BG235" s="140"/>
      <c r="BH235" s="140"/>
      <c r="BI235" s="140"/>
      <c r="BJ235" s="140"/>
      <c r="BK235" s="140"/>
      <c r="BL235" s="140"/>
      <c r="BM235" s="140"/>
      <c r="BN235" s="140"/>
      <c r="BO235" s="140"/>
      <c r="BP235" s="140"/>
      <c r="BQ235" s="140"/>
      <c r="BR235" s="140"/>
      <c r="BS235" s="140"/>
      <c r="BT235" s="140"/>
      <c r="BU235" s="140"/>
      <c r="BV235" s="140"/>
      <c r="BW235" s="140"/>
      <c r="BX235" s="140"/>
      <c r="BY235" s="140"/>
      <c r="BZ235" s="140"/>
      <c r="CA235" s="140"/>
      <c r="CB235" s="140"/>
      <c r="CC235" s="140"/>
      <c r="CD235" s="140"/>
      <c r="CE235" s="140"/>
      <c r="CF235" s="140"/>
      <c r="CG235" s="140"/>
      <c r="CH235" s="140"/>
      <c r="CI235" s="140"/>
      <c r="CJ235" s="140"/>
      <c r="CK235" s="140"/>
      <c r="CL235" s="140"/>
      <c r="CM235" s="140"/>
      <c r="CN235" s="140"/>
      <c r="CO235" s="140"/>
      <c r="CP235" s="140"/>
      <c r="CQ235" s="140"/>
      <c r="CR235" s="140"/>
      <c r="CS235" s="140"/>
      <c r="CT235" s="140"/>
      <c r="CU235" s="140"/>
      <c r="CV235" s="140"/>
      <c r="CW235" s="140"/>
      <c r="CX235" s="140"/>
      <c r="CY235" s="140"/>
      <c r="CZ235" s="140"/>
      <c r="DA235" s="140"/>
      <c r="DB235" s="140"/>
      <c r="DC235" s="140"/>
      <c r="DD235" s="140"/>
      <c r="DE235" s="140"/>
    </row>
    <row r="236" spans="1:109" s="139" customForma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3"/>
      <c r="U236" s="143"/>
      <c r="V236" s="143"/>
      <c r="W236" s="143"/>
      <c r="X236" s="143"/>
      <c r="Y236" s="143"/>
      <c r="Z236" s="143"/>
      <c r="AA236" s="143"/>
      <c r="AC236" s="140"/>
      <c r="AD236" s="140"/>
      <c r="AE236" s="140"/>
      <c r="AF236" s="140"/>
      <c r="AG236" s="140"/>
      <c r="AH236" s="141"/>
      <c r="AI236" s="143"/>
      <c r="AJ236" s="140"/>
      <c r="AK236" s="140"/>
      <c r="AL236" s="140"/>
      <c r="AM236" s="140"/>
      <c r="AN236" s="140"/>
      <c r="AO236" s="140"/>
      <c r="AP236" s="140"/>
      <c r="AQ236" s="140"/>
      <c r="AR236" s="140"/>
      <c r="AS236" s="140"/>
      <c r="AT236" s="140"/>
      <c r="AU236" s="140"/>
      <c r="AV236" s="140"/>
      <c r="AW236" s="140"/>
      <c r="AX236" s="140"/>
      <c r="AY236" s="140"/>
      <c r="AZ236" s="140"/>
      <c r="BA236" s="140"/>
      <c r="BB236" s="140"/>
      <c r="BC236" s="140"/>
      <c r="BD236" s="140"/>
      <c r="BE236" s="140"/>
      <c r="BF236" s="140"/>
      <c r="BG236" s="140"/>
      <c r="BH236" s="140"/>
      <c r="BI236" s="140"/>
      <c r="BJ236" s="140"/>
      <c r="BK236" s="140"/>
      <c r="BL236" s="140"/>
      <c r="BM236" s="140"/>
      <c r="BN236" s="140"/>
      <c r="BO236" s="140"/>
      <c r="BP236" s="140"/>
      <c r="BQ236" s="140"/>
      <c r="BR236" s="140"/>
      <c r="BS236" s="140"/>
      <c r="BT236" s="140"/>
      <c r="BU236" s="140"/>
      <c r="BV236" s="140"/>
      <c r="BW236" s="140"/>
      <c r="BX236" s="140"/>
      <c r="BY236" s="140"/>
      <c r="BZ236" s="140"/>
      <c r="CA236" s="140"/>
      <c r="CB236" s="140"/>
      <c r="CC236" s="140"/>
      <c r="CD236" s="140"/>
      <c r="CE236" s="140"/>
      <c r="CF236" s="140"/>
      <c r="CG236" s="140"/>
      <c r="CH236" s="140"/>
      <c r="CI236" s="140"/>
      <c r="CJ236" s="140"/>
      <c r="CK236" s="140"/>
      <c r="CL236" s="140"/>
      <c r="CM236" s="140"/>
      <c r="CN236" s="140"/>
      <c r="CO236" s="140"/>
      <c r="CP236" s="140"/>
      <c r="CQ236" s="140"/>
      <c r="CR236" s="140"/>
      <c r="CS236" s="140"/>
      <c r="CT236" s="140"/>
      <c r="CU236" s="140"/>
      <c r="CV236" s="140"/>
      <c r="CW236" s="140"/>
      <c r="CX236" s="140"/>
      <c r="CY236" s="140"/>
      <c r="CZ236" s="140"/>
      <c r="DA236" s="140"/>
      <c r="DB236" s="140"/>
      <c r="DC236" s="140"/>
      <c r="DD236" s="140"/>
      <c r="DE236" s="140"/>
    </row>
    <row r="237" spans="1:109" s="139" customForma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3"/>
      <c r="U237" s="143"/>
      <c r="V237" s="143"/>
      <c r="W237" s="143"/>
      <c r="X237" s="143"/>
      <c r="Y237" s="143"/>
      <c r="Z237" s="143"/>
      <c r="AA237" s="143"/>
      <c r="AC237" s="140"/>
      <c r="AD237" s="140"/>
      <c r="AE237" s="140"/>
      <c r="AF237" s="140"/>
      <c r="AG237" s="140"/>
      <c r="AH237" s="141"/>
      <c r="AI237" s="143"/>
      <c r="AJ237" s="140"/>
      <c r="AK237" s="140"/>
      <c r="AL237" s="140"/>
      <c r="AM237" s="140"/>
      <c r="AN237" s="140"/>
      <c r="AO237" s="140"/>
      <c r="AP237" s="140"/>
      <c r="AQ237" s="140"/>
      <c r="AR237" s="140"/>
      <c r="AS237" s="140"/>
      <c r="AT237" s="140"/>
      <c r="AU237" s="140"/>
      <c r="AV237" s="140"/>
      <c r="AW237" s="140"/>
      <c r="AX237" s="140"/>
      <c r="AY237" s="140"/>
      <c r="AZ237" s="140"/>
      <c r="BA237" s="140"/>
      <c r="BB237" s="140"/>
      <c r="BC237" s="140"/>
      <c r="BD237" s="140"/>
      <c r="BE237" s="140"/>
      <c r="BF237" s="140"/>
      <c r="BG237" s="140"/>
      <c r="BH237" s="140"/>
      <c r="BI237" s="140"/>
      <c r="BJ237" s="140"/>
      <c r="BK237" s="140"/>
      <c r="BL237" s="140"/>
      <c r="BM237" s="140"/>
      <c r="BN237" s="140"/>
      <c r="BO237" s="140"/>
      <c r="BP237" s="140"/>
      <c r="BQ237" s="140"/>
      <c r="BR237" s="140"/>
      <c r="BS237" s="140"/>
      <c r="BT237" s="140"/>
      <c r="BU237" s="140"/>
      <c r="BV237" s="140"/>
      <c r="BW237" s="140"/>
      <c r="BX237" s="140"/>
      <c r="BY237" s="140"/>
      <c r="BZ237" s="140"/>
      <c r="CA237" s="140"/>
      <c r="CB237" s="140"/>
      <c r="CC237" s="140"/>
      <c r="CD237" s="140"/>
      <c r="CE237" s="140"/>
      <c r="CF237" s="140"/>
      <c r="CG237" s="140"/>
      <c r="CH237" s="140"/>
      <c r="CI237" s="140"/>
      <c r="CJ237" s="140"/>
      <c r="CK237" s="140"/>
      <c r="CL237" s="140"/>
      <c r="CM237" s="140"/>
      <c r="CN237" s="140"/>
      <c r="CO237" s="140"/>
      <c r="CP237" s="140"/>
      <c r="CQ237" s="140"/>
      <c r="CR237" s="140"/>
      <c r="CS237" s="140"/>
      <c r="CT237" s="140"/>
      <c r="CU237" s="140"/>
      <c r="CV237" s="140"/>
      <c r="CW237" s="140"/>
      <c r="CX237" s="140"/>
      <c r="CY237" s="140"/>
      <c r="CZ237" s="140"/>
      <c r="DA237" s="140"/>
      <c r="DB237" s="140"/>
      <c r="DC237" s="140"/>
      <c r="DD237" s="140"/>
      <c r="DE237" s="140"/>
    </row>
    <row r="238" spans="1:109" s="139" customForma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3"/>
      <c r="U238" s="143"/>
      <c r="V238" s="143"/>
      <c r="W238" s="143"/>
      <c r="X238" s="143"/>
      <c r="Y238" s="143"/>
      <c r="Z238" s="143"/>
      <c r="AA238" s="143"/>
      <c r="AC238" s="140"/>
      <c r="AD238" s="140"/>
      <c r="AE238" s="140"/>
      <c r="AF238" s="140"/>
      <c r="AG238" s="140"/>
      <c r="AH238" s="141"/>
      <c r="AI238" s="143"/>
      <c r="AJ238" s="140"/>
      <c r="AK238" s="140"/>
      <c r="AL238" s="140"/>
      <c r="AM238" s="140"/>
      <c r="AN238" s="140"/>
      <c r="AO238" s="140"/>
      <c r="AP238" s="140"/>
      <c r="AQ238" s="140"/>
      <c r="AR238" s="140"/>
      <c r="AS238" s="140"/>
      <c r="AT238" s="140"/>
      <c r="AU238" s="140"/>
      <c r="AV238" s="140"/>
      <c r="AW238" s="140"/>
      <c r="AX238" s="140"/>
      <c r="AY238" s="140"/>
      <c r="AZ238" s="140"/>
      <c r="BA238" s="140"/>
      <c r="BB238" s="140"/>
      <c r="BC238" s="140"/>
      <c r="BD238" s="140"/>
      <c r="BE238" s="140"/>
      <c r="BF238" s="140"/>
      <c r="BG238" s="140"/>
      <c r="BH238" s="140"/>
      <c r="BI238" s="140"/>
      <c r="BJ238" s="140"/>
      <c r="BK238" s="140"/>
      <c r="BL238" s="140"/>
      <c r="BM238" s="140"/>
      <c r="BN238" s="140"/>
      <c r="BO238" s="140"/>
      <c r="BP238" s="140"/>
      <c r="BQ238" s="140"/>
      <c r="BR238" s="140"/>
      <c r="BS238" s="140"/>
      <c r="BT238" s="140"/>
      <c r="BU238" s="140"/>
      <c r="BV238" s="140"/>
      <c r="BW238" s="140"/>
      <c r="BX238" s="140"/>
      <c r="BY238" s="140"/>
      <c r="BZ238" s="140"/>
      <c r="CA238" s="140"/>
      <c r="CB238" s="140"/>
      <c r="CC238" s="140"/>
      <c r="CD238" s="140"/>
      <c r="CE238" s="140"/>
      <c r="CF238" s="140"/>
      <c r="CG238" s="140"/>
      <c r="CH238" s="140"/>
      <c r="CI238" s="140"/>
      <c r="CJ238" s="140"/>
      <c r="CK238" s="140"/>
      <c r="CL238" s="140"/>
      <c r="CM238" s="140"/>
      <c r="CN238" s="140"/>
      <c r="CO238" s="140"/>
      <c r="CP238" s="140"/>
      <c r="CQ238" s="140"/>
      <c r="CR238" s="140"/>
      <c r="CS238" s="140"/>
      <c r="CT238" s="140"/>
      <c r="CU238" s="140"/>
      <c r="CV238" s="140"/>
      <c r="CW238" s="140"/>
      <c r="CX238" s="140"/>
      <c r="CY238" s="140"/>
      <c r="CZ238" s="140"/>
      <c r="DA238" s="140"/>
      <c r="DB238" s="140"/>
      <c r="DC238" s="140"/>
      <c r="DD238" s="140"/>
      <c r="DE238" s="140"/>
    </row>
    <row r="239" spans="1:109" s="139" customForma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3"/>
      <c r="U239" s="143"/>
      <c r="V239" s="143"/>
      <c r="W239" s="143"/>
      <c r="X239" s="143"/>
      <c r="Y239" s="143"/>
      <c r="Z239" s="143"/>
      <c r="AA239" s="143"/>
      <c r="AC239" s="140"/>
      <c r="AD239" s="140"/>
      <c r="AE239" s="140"/>
      <c r="AF239" s="140"/>
      <c r="AG239" s="140"/>
      <c r="AH239" s="141"/>
      <c r="AI239" s="143"/>
      <c r="AJ239" s="140"/>
      <c r="AK239" s="140"/>
      <c r="AL239" s="140"/>
      <c r="AM239" s="140"/>
      <c r="AN239" s="140"/>
      <c r="AO239" s="140"/>
      <c r="AP239" s="140"/>
      <c r="AQ239" s="140"/>
      <c r="AR239" s="140"/>
      <c r="AS239" s="140"/>
      <c r="AT239" s="140"/>
      <c r="AU239" s="140"/>
      <c r="AV239" s="140"/>
      <c r="AW239" s="140"/>
      <c r="AX239" s="140"/>
      <c r="AY239" s="140"/>
      <c r="AZ239" s="140"/>
      <c r="BA239" s="140"/>
      <c r="BB239" s="140"/>
      <c r="BC239" s="140"/>
      <c r="BD239" s="140"/>
      <c r="BE239" s="140"/>
      <c r="BF239" s="140"/>
      <c r="BG239" s="140"/>
      <c r="BH239" s="140"/>
      <c r="BI239" s="140"/>
      <c r="BJ239" s="140"/>
      <c r="BK239" s="140"/>
      <c r="BL239" s="140"/>
      <c r="BM239" s="140"/>
      <c r="BN239" s="140"/>
      <c r="BO239" s="140"/>
      <c r="BP239" s="140"/>
      <c r="BQ239" s="140"/>
      <c r="BR239" s="140"/>
      <c r="BS239" s="140"/>
      <c r="BT239" s="140"/>
      <c r="BU239" s="140"/>
      <c r="BV239" s="140"/>
      <c r="BW239" s="140"/>
      <c r="BX239" s="140"/>
      <c r="BY239" s="140"/>
      <c r="BZ239" s="140"/>
      <c r="CA239" s="140"/>
      <c r="CB239" s="140"/>
      <c r="CC239" s="140"/>
      <c r="CD239" s="140"/>
      <c r="CE239" s="140"/>
      <c r="CF239" s="140"/>
      <c r="CG239" s="140"/>
      <c r="CH239" s="140"/>
      <c r="CI239" s="140"/>
      <c r="CJ239" s="140"/>
      <c r="CK239" s="140"/>
      <c r="CL239" s="140"/>
      <c r="CM239" s="140"/>
      <c r="CN239" s="140"/>
      <c r="CO239" s="140"/>
      <c r="CP239" s="140"/>
      <c r="CQ239" s="140"/>
      <c r="CR239" s="140"/>
      <c r="CS239" s="140"/>
      <c r="CT239" s="140"/>
      <c r="CU239" s="140"/>
      <c r="CV239" s="140"/>
      <c r="CW239" s="140"/>
      <c r="CX239" s="140"/>
      <c r="CY239" s="140"/>
      <c r="CZ239" s="140"/>
      <c r="DA239" s="140"/>
      <c r="DB239" s="140"/>
      <c r="DC239" s="140"/>
      <c r="DD239" s="140"/>
      <c r="DE239" s="140"/>
    </row>
    <row r="240" spans="1:109" s="139" customForma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3"/>
      <c r="U240" s="143"/>
      <c r="V240" s="143"/>
      <c r="W240" s="143"/>
      <c r="X240" s="143"/>
      <c r="Y240" s="143"/>
      <c r="Z240" s="143"/>
      <c r="AA240" s="143"/>
      <c r="AC240" s="140"/>
      <c r="AD240" s="140"/>
      <c r="AE240" s="140"/>
      <c r="AF240" s="140"/>
      <c r="AG240" s="140"/>
      <c r="AH240" s="141"/>
      <c r="AI240" s="143"/>
      <c r="AJ240" s="140"/>
      <c r="AK240" s="140"/>
      <c r="AL240" s="140"/>
      <c r="AM240" s="140"/>
      <c r="AN240" s="140"/>
      <c r="AO240" s="140"/>
      <c r="AP240" s="140"/>
      <c r="AQ240" s="140"/>
      <c r="AR240" s="140"/>
      <c r="AS240" s="140"/>
      <c r="AT240" s="140"/>
      <c r="AU240" s="140"/>
      <c r="AV240" s="140"/>
      <c r="AW240" s="140"/>
      <c r="AX240" s="140"/>
      <c r="AY240" s="140"/>
      <c r="AZ240" s="140"/>
      <c r="BA240" s="140"/>
      <c r="BB240" s="140"/>
      <c r="BC240" s="140"/>
      <c r="BD240" s="140"/>
      <c r="BE240" s="140"/>
      <c r="BF240" s="140"/>
      <c r="BG240" s="140"/>
      <c r="BH240" s="140"/>
      <c r="BI240" s="140"/>
      <c r="BJ240" s="140"/>
      <c r="BK240" s="140"/>
      <c r="BL240" s="140"/>
      <c r="BM240" s="140"/>
      <c r="BN240" s="140"/>
      <c r="BO240" s="140"/>
      <c r="BP240" s="140"/>
      <c r="BQ240" s="140"/>
      <c r="BR240" s="140"/>
      <c r="BS240" s="140"/>
      <c r="BT240" s="140"/>
      <c r="BU240" s="140"/>
      <c r="BV240" s="140"/>
      <c r="BW240" s="140"/>
      <c r="BX240" s="140"/>
      <c r="BY240" s="140"/>
      <c r="BZ240" s="140"/>
      <c r="CA240" s="140"/>
      <c r="CB240" s="140"/>
      <c r="CC240" s="140"/>
      <c r="CD240" s="140"/>
      <c r="CE240" s="140"/>
      <c r="CF240" s="140"/>
      <c r="CG240" s="140"/>
      <c r="CH240" s="140"/>
      <c r="CI240" s="140"/>
      <c r="CJ240" s="140"/>
      <c r="CK240" s="140"/>
      <c r="CL240" s="140"/>
      <c r="CM240" s="140"/>
      <c r="CN240" s="140"/>
      <c r="CO240" s="140"/>
      <c r="CP240" s="140"/>
      <c r="CQ240" s="140"/>
      <c r="CR240" s="140"/>
      <c r="CS240" s="140"/>
      <c r="CT240" s="140"/>
      <c r="CU240" s="140"/>
      <c r="CV240" s="140"/>
      <c r="CW240" s="140"/>
      <c r="CX240" s="140"/>
      <c r="CY240" s="140"/>
      <c r="CZ240" s="140"/>
      <c r="DA240" s="140"/>
      <c r="DB240" s="140"/>
      <c r="DC240" s="140"/>
      <c r="DD240" s="140"/>
      <c r="DE240" s="140"/>
    </row>
    <row r="241" spans="1:109" s="139" customForma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3"/>
      <c r="U241" s="143"/>
      <c r="V241" s="143"/>
      <c r="W241" s="143"/>
      <c r="X241" s="143"/>
      <c r="Y241" s="143"/>
      <c r="Z241" s="143"/>
      <c r="AA241" s="143"/>
      <c r="AC241" s="140"/>
      <c r="AD241" s="140"/>
      <c r="AE241" s="140"/>
      <c r="AF241" s="140"/>
      <c r="AG241" s="140"/>
      <c r="AH241" s="141"/>
      <c r="AI241" s="143"/>
      <c r="AJ241" s="140"/>
      <c r="AK241" s="140"/>
      <c r="AL241" s="140"/>
      <c r="AM241" s="140"/>
      <c r="AN241" s="140"/>
      <c r="AO241" s="140"/>
      <c r="AP241" s="140"/>
      <c r="AQ241" s="140"/>
      <c r="AR241" s="140"/>
      <c r="AS241" s="140"/>
      <c r="AT241" s="140"/>
      <c r="AU241" s="140"/>
      <c r="AV241" s="140"/>
      <c r="AW241" s="140"/>
      <c r="AX241" s="140"/>
      <c r="AY241" s="140"/>
      <c r="AZ241" s="140"/>
      <c r="BA241" s="140"/>
      <c r="BB241" s="140"/>
      <c r="BC241" s="140"/>
      <c r="BD241" s="140"/>
      <c r="BE241" s="140"/>
      <c r="BF241" s="140"/>
      <c r="BG241" s="140"/>
      <c r="BH241" s="140"/>
      <c r="BI241" s="140"/>
      <c r="BJ241" s="140"/>
      <c r="BK241" s="140"/>
      <c r="BL241" s="140"/>
      <c r="BM241" s="140"/>
      <c r="BN241" s="140"/>
      <c r="BO241" s="140"/>
      <c r="BP241" s="140"/>
      <c r="BQ241" s="140"/>
      <c r="BR241" s="140"/>
      <c r="BS241" s="140"/>
      <c r="BT241" s="140"/>
      <c r="BU241" s="140"/>
      <c r="BV241" s="140"/>
      <c r="BW241" s="140"/>
      <c r="BX241" s="140"/>
      <c r="BY241" s="140"/>
      <c r="BZ241" s="140"/>
      <c r="CA241" s="140"/>
      <c r="CB241" s="140"/>
      <c r="CC241" s="140"/>
      <c r="CD241" s="140"/>
      <c r="CE241" s="140"/>
      <c r="CF241" s="140"/>
      <c r="CG241" s="140"/>
      <c r="CH241" s="140"/>
      <c r="CI241" s="140"/>
      <c r="CJ241" s="140"/>
      <c r="CK241" s="140"/>
      <c r="CL241" s="140"/>
      <c r="CM241" s="140"/>
      <c r="CN241" s="140"/>
      <c r="CO241" s="140"/>
      <c r="CP241" s="140"/>
      <c r="CQ241" s="140"/>
      <c r="CR241" s="140"/>
      <c r="CS241" s="140"/>
      <c r="CT241" s="140"/>
      <c r="CU241" s="140"/>
      <c r="CV241" s="140"/>
      <c r="CW241" s="140"/>
      <c r="CX241" s="140"/>
      <c r="CY241" s="140"/>
      <c r="CZ241" s="140"/>
      <c r="DA241" s="140"/>
      <c r="DB241" s="140"/>
      <c r="DC241" s="140"/>
      <c r="DD241" s="140"/>
      <c r="DE241" s="140"/>
    </row>
    <row r="242" spans="1:109" s="139" customForma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3"/>
      <c r="U242" s="143"/>
      <c r="V242" s="143"/>
      <c r="W242" s="143"/>
      <c r="X242" s="143"/>
      <c r="Y242" s="143"/>
      <c r="Z242" s="143"/>
      <c r="AA242" s="143"/>
      <c r="AC242" s="140"/>
      <c r="AD242" s="140"/>
      <c r="AE242" s="140"/>
      <c r="AF242" s="140"/>
      <c r="AG242" s="140"/>
      <c r="AH242" s="141"/>
      <c r="AI242" s="143"/>
      <c r="AJ242" s="140"/>
      <c r="AK242" s="140"/>
      <c r="AL242" s="140"/>
      <c r="AM242" s="140"/>
      <c r="AN242" s="140"/>
      <c r="AO242" s="140"/>
      <c r="AP242" s="140"/>
      <c r="AQ242" s="140"/>
      <c r="AR242" s="140"/>
      <c r="AS242" s="140"/>
      <c r="AT242" s="140"/>
      <c r="AU242" s="140"/>
      <c r="AV242" s="140"/>
      <c r="AW242" s="140"/>
      <c r="AX242" s="140"/>
      <c r="AY242" s="140"/>
      <c r="AZ242" s="140"/>
      <c r="BA242" s="140"/>
      <c r="BB242" s="140"/>
      <c r="BC242" s="140"/>
      <c r="BD242" s="140"/>
      <c r="BE242" s="140"/>
      <c r="BF242" s="140"/>
      <c r="BG242" s="140"/>
      <c r="BH242" s="140"/>
      <c r="BI242" s="140"/>
      <c r="BJ242" s="140"/>
      <c r="BK242" s="140"/>
      <c r="BL242" s="140"/>
      <c r="BM242" s="140"/>
      <c r="BN242" s="140"/>
      <c r="BO242" s="140"/>
      <c r="BP242" s="140"/>
      <c r="BQ242" s="140"/>
      <c r="BR242" s="140"/>
      <c r="BS242" s="140"/>
      <c r="BT242" s="140"/>
      <c r="BU242" s="140"/>
      <c r="BV242" s="140"/>
      <c r="BW242" s="140"/>
      <c r="BX242" s="140"/>
      <c r="BY242" s="140"/>
      <c r="BZ242" s="140"/>
      <c r="CA242" s="140"/>
      <c r="CB242" s="140"/>
      <c r="CC242" s="140"/>
      <c r="CD242" s="140"/>
      <c r="CE242" s="140"/>
      <c r="CF242" s="140"/>
      <c r="CG242" s="140"/>
      <c r="CH242" s="140"/>
      <c r="CI242" s="140"/>
      <c r="CJ242" s="140"/>
      <c r="CK242" s="140"/>
      <c r="CL242" s="140"/>
      <c r="CM242" s="140"/>
      <c r="CN242" s="140"/>
      <c r="CO242" s="140"/>
      <c r="CP242" s="140"/>
      <c r="CQ242" s="140"/>
      <c r="CR242" s="140"/>
      <c r="CS242" s="140"/>
      <c r="CT242" s="140"/>
      <c r="CU242" s="140"/>
      <c r="CV242" s="140"/>
      <c r="CW242" s="140"/>
      <c r="CX242" s="140"/>
      <c r="CY242" s="140"/>
      <c r="CZ242" s="140"/>
      <c r="DA242" s="140"/>
      <c r="DB242" s="140"/>
      <c r="DC242" s="140"/>
      <c r="DD242" s="140"/>
      <c r="DE242" s="140"/>
    </row>
    <row r="243" spans="1:109" s="139" customForma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3"/>
      <c r="U243" s="143"/>
      <c r="V243" s="143"/>
      <c r="W243" s="143"/>
      <c r="X243" s="143"/>
      <c r="Y243" s="143"/>
      <c r="Z243" s="143"/>
      <c r="AA243" s="143"/>
      <c r="AC243" s="140"/>
      <c r="AD243" s="140"/>
      <c r="AE243" s="140"/>
      <c r="AF243" s="140"/>
      <c r="AG243" s="140"/>
      <c r="AH243" s="141"/>
      <c r="AI243" s="143"/>
      <c r="AJ243" s="140"/>
      <c r="AK243" s="140"/>
      <c r="AL243" s="140"/>
      <c r="AM243" s="140"/>
      <c r="AN243" s="140"/>
      <c r="AO243" s="140"/>
      <c r="AP243" s="140"/>
      <c r="AQ243" s="140"/>
      <c r="AR243" s="140"/>
      <c r="AS243" s="140"/>
      <c r="AT243" s="140"/>
      <c r="AU243" s="140"/>
      <c r="AV243" s="140"/>
      <c r="AW243" s="140"/>
      <c r="AX243" s="140"/>
      <c r="AY243" s="140"/>
      <c r="AZ243" s="140"/>
      <c r="BA243" s="140"/>
      <c r="BB243" s="140"/>
      <c r="BC243" s="140"/>
      <c r="BD243" s="140"/>
      <c r="BE243" s="140"/>
      <c r="BF243" s="140"/>
      <c r="BG243" s="140"/>
      <c r="BH243" s="140"/>
      <c r="BI243" s="140"/>
      <c r="BJ243" s="140"/>
      <c r="BK243" s="140"/>
      <c r="BL243" s="140"/>
      <c r="BM243" s="140"/>
      <c r="BN243" s="140"/>
      <c r="BO243" s="140"/>
      <c r="BP243" s="140"/>
      <c r="BQ243" s="140"/>
      <c r="BR243" s="140"/>
      <c r="BS243" s="140"/>
      <c r="BT243" s="140"/>
      <c r="BU243" s="140"/>
      <c r="BV243" s="140"/>
      <c r="BW243" s="140"/>
      <c r="BX243" s="140"/>
      <c r="BY243" s="140"/>
      <c r="BZ243" s="140"/>
      <c r="CA243" s="140"/>
      <c r="CB243" s="140"/>
      <c r="CC243" s="140"/>
      <c r="CD243" s="140"/>
      <c r="CE243" s="140"/>
      <c r="CF243" s="140"/>
      <c r="CG243" s="140"/>
      <c r="CH243" s="140"/>
      <c r="CI243" s="140"/>
      <c r="CJ243" s="140"/>
      <c r="CK243" s="140"/>
      <c r="CL243" s="140"/>
      <c r="CM243" s="140"/>
      <c r="CN243" s="140"/>
      <c r="CO243" s="140"/>
      <c r="CP243" s="140"/>
      <c r="CQ243" s="140"/>
      <c r="CR243" s="140"/>
      <c r="CS243" s="140"/>
      <c r="CT243" s="140"/>
      <c r="CU243" s="140"/>
      <c r="CV243" s="140"/>
      <c r="CW243" s="140"/>
      <c r="CX243" s="140"/>
      <c r="CY243" s="140"/>
      <c r="CZ243" s="140"/>
      <c r="DA243" s="140"/>
      <c r="DB243" s="140"/>
      <c r="DC243" s="140"/>
      <c r="DD243" s="140"/>
      <c r="DE243" s="140"/>
    </row>
    <row r="244" spans="1:109" s="139" customForma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3"/>
      <c r="U244" s="143"/>
      <c r="V244" s="143"/>
      <c r="W244" s="143"/>
      <c r="X244" s="143"/>
      <c r="Y244" s="143"/>
      <c r="Z244" s="143"/>
      <c r="AA244" s="143"/>
      <c r="AC244" s="140"/>
      <c r="AD244" s="140"/>
      <c r="AE244" s="140"/>
      <c r="AF244" s="140"/>
      <c r="AG244" s="140"/>
      <c r="AH244" s="141"/>
      <c r="AI244" s="143"/>
      <c r="AJ244" s="140"/>
      <c r="AK244" s="140"/>
      <c r="AL244" s="140"/>
      <c r="AM244" s="140"/>
      <c r="AN244" s="140"/>
      <c r="AO244" s="140"/>
      <c r="AP244" s="140"/>
      <c r="AQ244" s="140"/>
      <c r="AR244" s="140"/>
      <c r="AS244" s="140"/>
      <c r="AT244" s="140"/>
      <c r="AU244" s="140"/>
      <c r="AV244" s="140"/>
      <c r="AW244" s="140"/>
      <c r="AX244" s="140"/>
      <c r="AY244" s="140"/>
      <c r="AZ244" s="140"/>
      <c r="BA244" s="140"/>
      <c r="BB244" s="140"/>
      <c r="BC244" s="140"/>
      <c r="BD244" s="140"/>
      <c r="BE244" s="140"/>
      <c r="BF244" s="140"/>
      <c r="BG244" s="140"/>
      <c r="BH244" s="140"/>
      <c r="BI244" s="140"/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</row>
    <row r="245" spans="1:109" s="139" customForma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3"/>
      <c r="U245" s="143"/>
      <c r="V245" s="143"/>
      <c r="W245" s="143"/>
      <c r="X245" s="143"/>
      <c r="Y245" s="143"/>
      <c r="Z245" s="143"/>
      <c r="AA245" s="143"/>
      <c r="AC245" s="140"/>
      <c r="AD245" s="140"/>
      <c r="AE245" s="140"/>
      <c r="AF245" s="140"/>
      <c r="AG245" s="140"/>
      <c r="AH245" s="141"/>
      <c r="AI245" s="143"/>
      <c r="AJ245" s="140"/>
      <c r="AK245" s="140"/>
      <c r="AL245" s="140"/>
      <c r="AM245" s="140"/>
      <c r="AN245" s="140"/>
      <c r="AO245" s="140"/>
      <c r="AP245" s="140"/>
      <c r="AQ245" s="140"/>
      <c r="AR245" s="140"/>
      <c r="AS245" s="140"/>
      <c r="AT245" s="140"/>
      <c r="AU245" s="140"/>
      <c r="AV245" s="140"/>
      <c r="AW245" s="140"/>
      <c r="AX245" s="140"/>
      <c r="AY245" s="140"/>
      <c r="AZ245" s="140"/>
      <c r="BA245" s="140"/>
      <c r="BB245" s="140"/>
      <c r="BC245" s="140"/>
      <c r="BD245" s="140"/>
      <c r="BE245" s="140"/>
      <c r="BF245" s="140"/>
      <c r="BG245" s="140"/>
      <c r="BH245" s="140"/>
      <c r="BI245" s="140"/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</row>
    <row r="246" spans="1:109" s="139" customForma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3"/>
      <c r="U246" s="143"/>
      <c r="V246" s="143"/>
      <c r="W246" s="143"/>
      <c r="X246" s="143"/>
      <c r="Y246" s="143"/>
      <c r="Z246" s="143"/>
      <c r="AA246" s="143"/>
      <c r="AC246" s="140"/>
      <c r="AD246" s="140"/>
      <c r="AE246" s="140"/>
      <c r="AF246" s="140"/>
      <c r="AG246" s="140"/>
      <c r="AH246" s="141"/>
      <c r="AI246" s="143"/>
      <c r="AJ246" s="140"/>
      <c r="AK246" s="140"/>
      <c r="AL246" s="140"/>
      <c r="AM246" s="140"/>
      <c r="AN246" s="140"/>
      <c r="AO246" s="140"/>
      <c r="AP246" s="140"/>
      <c r="AQ246" s="140"/>
      <c r="AR246" s="140"/>
      <c r="AS246" s="140"/>
      <c r="AT246" s="140"/>
      <c r="AU246" s="140"/>
      <c r="AV246" s="140"/>
      <c r="AW246" s="140"/>
      <c r="AX246" s="140"/>
      <c r="AY246" s="140"/>
      <c r="AZ246" s="140"/>
      <c r="BA246" s="140"/>
      <c r="BB246" s="140"/>
      <c r="BC246" s="140"/>
      <c r="BD246" s="140"/>
      <c r="BE246" s="140"/>
      <c r="BF246" s="140"/>
      <c r="BG246" s="140"/>
      <c r="BH246" s="140"/>
      <c r="BI246" s="140"/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</row>
    <row r="247" spans="1:109" s="139" customForma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3"/>
      <c r="U247" s="143"/>
      <c r="V247" s="143"/>
      <c r="W247" s="143"/>
      <c r="X247" s="143"/>
      <c r="Y247" s="143"/>
      <c r="Z247" s="143"/>
      <c r="AA247" s="143"/>
      <c r="AC247" s="140"/>
      <c r="AD247" s="140"/>
      <c r="AE247" s="140"/>
      <c r="AF247" s="140"/>
      <c r="AG247" s="140"/>
      <c r="AH247" s="141"/>
      <c r="AI247" s="143"/>
      <c r="AJ247" s="140"/>
      <c r="AK247" s="140"/>
      <c r="AL247" s="140"/>
      <c r="AM247" s="140"/>
      <c r="AN247" s="140"/>
      <c r="AO247" s="140"/>
      <c r="AP247" s="140"/>
      <c r="AQ247" s="140"/>
      <c r="AR247" s="140"/>
      <c r="AS247" s="140"/>
      <c r="AT247" s="140"/>
      <c r="AU247" s="140"/>
      <c r="AV247" s="140"/>
      <c r="AW247" s="140"/>
      <c r="AX247" s="140"/>
      <c r="AY247" s="140"/>
      <c r="AZ247" s="140"/>
      <c r="BA247" s="140"/>
      <c r="BB247" s="140"/>
      <c r="BC247" s="140"/>
      <c r="BD247" s="140"/>
      <c r="BE247" s="140"/>
      <c r="BF247" s="140"/>
      <c r="BG247" s="140"/>
      <c r="BH247" s="140"/>
      <c r="BI247" s="140"/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</row>
    <row r="248" spans="1:109" s="139" customForma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3"/>
      <c r="U248" s="143"/>
      <c r="V248" s="143"/>
      <c r="W248" s="143"/>
      <c r="X248" s="143"/>
      <c r="Y248" s="143"/>
      <c r="Z248" s="143"/>
      <c r="AA248" s="143"/>
      <c r="AC248" s="140"/>
      <c r="AD248" s="140"/>
      <c r="AE248" s="140"/>
      <c r="AF248" s="140"/>
      <c r="AG248" s="140"/>
      <c r="AH248" s="141"/>
      <c r="AI248" s="143"/>
      <c r="AJ248" s="140"/>
      <c r="AK248" s="140"/>
      <c r="AL248" s="140"/>
      <c r="AM248" s="140"/>
      <c r="AN248" s="140"/>
      <c r="AO248" s="140"/>
      <c r="AP248" s="140"/>
      <c r="AQ248" s="140"/>
      <c r="AR248" s="140"/>
      <c r="AS248" s="140"/>
      <c r="AT248" s="140"/>
      <c r="AU248" s="140"/>
      <c r="AV248" s="140"/>
      <c r="AW248" s="140"/>
      <c r="AX248" s="140"/>
      <c r="AY248" s="140"/>
      <c r="AZ248" s="140"/>
      <c r="BA248" s="140"/>
      <c r="BB248" s="140"/>
      <c r="BC248" s="140"/>
      <c r="BD248" s="140"/>
      <c r="BE248" s="140"/>
      <c r="BF248" s="140"/>
      <c r="BG248" s="140"/>
      <c r="BH248" s="140"/>
      <c r="BI248" s="140"/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</row>
    <row r="249" spans="1:109" s="139" customForma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3"/>
      <c r="U249" s="143"/>
      <c r="V249" s="143"/>
      <c r="W249" s="143"/>
      <c r="X249" s="143"/>
      <c r="Y249" s="143"/>
      <c r="Z249" s="143"/>
      <c r="AA249" s="143"/>
      <c r="AC249" s="140"/>
      <c r="AD249" s="140"/>
      <c r="AE249" s="140"/>
      <c r="AF249" s="140"/>
      <c r="AG249" s="140"/>
      <c r="AH249" s="141"/>
      <c r="AI249" s="143"/>
      <c r="AJ249" s="140"/>
      <c r="AK249" s="140"/>
      <c r="AL249" s="140"/>
      <c r="AM249" s="140"/>
      <c r="AN249" s="140"/>
      <c r="AO249" s="140"/>
      <c r="AP249" s="140"/>
      <c r="AQ249" s="140"/>
      <c r="AR249" s="140"/>
      <c r="AS249" s="140"/>
      <c r="AT249" s="140"/>
      <c r="AU249" s="140"/>
      <c r="AV249" s="140"/>
      <c r="AW249" s="140"/>
      <c r="AX249" s="140"/>
      <c r="AY249" s="140"/>
      <c r="AZ249" s="140"/>
      <c r="BA249" s="140"/>
      <c r="BB249" s="140"/>
      <c r="BC249" s="140"/>
      <c r="BD249" s="140"/>
      <c r="BE249" s="140"/>
      <c r="BF249" s="140"/>
      <c r="BG249" s="140"/>
      <c r="BH249" s="140"/>
      <c r="BI249" s="140"/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</row>
    <row r="250" spans="1:109" s="139" customForma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3"/>
      <c r="U250" s="143"/>
      <c r="V250" s="143"/>
      <c r="W250" s="143"/>
      <c r="X250" s="143"/>
      <c r="Y250" s="143"/>
      <c r="Z250" s="143"/>
      <c r="AA250" s="143"/>
      <c r="AC250" s="140"/>
      <c r="AD250" s="140"/>
      <c r="AE250" s="140"/>
      <c r="AF250" s="140"/>
      <c r="AG250" s="140"/>
      <c r="AH250" s="141"/>
      <c r="AI250" s="143"/>
      <c r="AJ250" s="140"/>
      <c r="AK250" s="140"/>
      <c r="AL250" s="140"/>
      <c r="AM250" s="140"/>
      <c r="AN250" s="140"/>
      <c r="AO250" s="140"/>
      <c r="AP250" s="140"/>
      <c r="AQ250" s="140"/>
      <c r="AR250" s="140"/>
      <c r="AS250" s="140"/>
      <c r="AT250" s="140"/>
      <c r="AU250" s="140"/>
      <c r="AV250" s="140"/>
      <c r="AW250" s="140"/>
      <c r="AX250" s="140"/>
      <c r="AY250" s="140"/>
      <c r="AZ250" s="140"/>
      <c r="BA250" s="140"/>
      <c r="BB250" s="140"/>
      <c r="BC250" s="140"/>
      <c r="BD250" s="140"/>
      <c r="BE250" s="140"/>
      <c r="BF250" s="140"/>
      <c r="BG250" s="140"/>
      <c r="BH250" s="140"/>
      <c r="BI250" s="140"/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</row>
    <row r="251" spans="1:109" s="139" customForma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3"/>
      <c r="U251" s="143"/>
      <c r="V251" s="143"/>
      <c r="W251" s="143"/>
      <c r="X251" s="143"/>
      <c r="Y251" s="143"/>
      <c r="Z251" s="143"/>
      <c r="AA251" s="143"/>
      <c r="AC251" s="140"/>
      <c r="AD251" s="140"/>
      <c r="AE251" s="140"/>
      <c r="AF251" s="140"/>
      <c r="AG251" s="140"/>
      <c r="AH251" s="141"/>
      <c r="AI251" s="143"/>
      <c r="AJ251" s="140"/>
      <c r="AK251" s="140"/>
      <c r="AL251" s="140"/>
      <c r="AM251" s="140"/>
      <c r="AN251" s="140"/>
      <c r="AO251" s="140"/>
      <c r="AP251" s="140"/>
      <c r="AQ251" s="140"/>
      <c r="AR251" s="140"/>
      <c r="AS251" s="140"/>
      <c r="AT251" s="140"/>
      <c r="AU251" s="140"/>
      <c r="AV251" s="140"/>
      <c r="AW251" s="140"/>
      <c r="AX251" s="140"/>
      <c r="AY251" s="140"/>
      <c r="AZ251" s="140"/>
      <c r="BA251" s="140"/>
      <c r="BB251" s="140"/>
      <c r="BC251" s="140"/>
      <c r="BD251" s="140"/>
      <c r="BE251" s="140"/>
      <c r="BF251" s="140"/>
      <c r="BG251" s="140"/>
      <c r="BH251" s="140"/>
      <c r="BI251" s="140"/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</row>
    <row r="252" spans="1:109" s="139" customForma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3"/>
      <c r="U252" s="143"/>
      <c r="V252" s="143"/>
      <c r="W252" s="143"/>
      <c r="X252" s="143"/>
      <c r="Y252" s="143"/>
      <c r="Z252" s="143"/>
      <c r="AA252" s="143"/>
      <c r="AC252" s="140"/>
      <c r="AD252" s="140"/>
      <c r="AE252" s="140"/>
      <c r="AF252" s="140"/>
      <c r="AG252" s="140"/>
      <c r="AH252" s="141"/>
      <c r="AI252" s="143"/>
      <c r="AJ252" s="140"/>
      <c r="AK252" s="140"/>
      <c r="AL252" s="140"/>
      <c r="AM252" s="140"/>
      <c r="AN252" s="140"/>
      <c r="AO252" s="140"/>
      <c r="AP252" s="140"/>
      <c r="AQ252" s="140"/>
      <c r="AR252" s="140"/>
      <c r="AS252" s="140"/>
      <c r="AT252" s="140"/>
      <c r="AU252" s="140"/>
      <c r="AV252" s="140"/>
      <c r="AW252" s="140"/>
      <c r="AX252" s="140"/>
      <c r="AY252" s="140"/>
      <c r="AZ252" s="140"/>
      <c r="BA252" s="140"/>
      <c r="BB252" s="140"/>
      <c r="BC252" s="140"/>
      <c r="BD252" s="140"/>
      <c r="BE252" s="140"/>
      <c r="BF252" s="140"/>
      <c r="BG252" s="140"/>
      <c r="BH252" s="140"/>
      <c r="BI252" s="140"/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</row>
    <row r="253" spans="1:109" s="139" customForma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3"/>
      <c r="U253" s="143"/>
      <c r="V253" s="143"/>
      <c r="W253" s="143"/>
      <c r="X253" s="143"/>
      <c r="Y253" s="143"/>
      <c r="Z253" s="143"/>
      <c r="AA253" s="143"/>
      <c r="AC253" s="140"/>
      <c r="AD253" s="140"/>
      <c r="AE253" s="140"/>
      <c r="AF253" s="140"/>
      <c r="AG253" s="140"/>
      <c r="AH253" s="141"/>
      <c r="AI253" s="143"/>
      <c r="AJ253" s="140"/>
      <c r="AK253" s="140"/>
      <c r="AL253" s="140"/>
      <c r="AM253" s="140"/>
      <c r="AN253" s="140"/>
      <c r="AO253" s="140"/>
      <c r="AP253" s="140"/>
      <c r="AQ253" s="140"/>
      <c r="AR253" s="140"/>
      <c r="AS253" s="140"/>
      <c r="AT253" s="140"/>
      <c r="AU253" s="140"/>
      <c r="AV253" s="140"/>
      <c r="AW253" s="140"/>
      <c r="AX253" s="140"/>
      <c r="AY253" s="140"/>
      <c r="AZ253" s="140"/>
      <c r="BA253" s="140"/>
      <c r="BB253" s="140"/>
      <c r="BC253" s="140"/>
      <c r="BD253" s="140"/>
      <c r="BE253" s="140"/>
      <c r="BF253" s="140"/>
      <c r="BG253" s="140"/>
      <c r="BH253" s="140"/>
      <c r="BI253" s="140"/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</row>
    <row r="254" spans="1:109" s="139" customForma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3"/>
      <c r="U254" s="143"/>
      <c r="V254" s="143"/>
      <c r="W254" s="143"/>
      <c r="X254" s="143"/>
      <c r="Y254" s="143"/>
      <c r="Z254" s="143"/>
      <c r="AA254" s="143"/>
      <c r="AC254" s="140"/>
      <c r="AD254" s="140"/>
      <c r="AE254" s="140"/>
      <c r="AF254" s="140"/>
      <c r="AG254" s="140"/>
      <c r="AH254" s="141"/>
      <c r="AI254" s="143"/>
      <c r="AJ254" s="140"/>
      <c r="AK254" s="140"/>
      <c r="AL254" s="140"/>
      <c r="AM254" s="140"/>
      <c r="AN254" s="140"/>
      <c r="AO254" s="140"/>
      <c r="AP254" s="140"/>
      <c r="AQ254" s="140"/>
      <c r="AR254" s="140"/>
      <c r="AS254" s="140"/>
      <c r="AT254" s="140"/>
      <c r="AU254" s="140"/>
      <c r="AV254" s="140"/>
      <c r="AW254" s="140"/>
      <c r="AX254" s="140"/>
      <c r="AY254" s="140"/>
      <c r="AZ254" s="140"/>
      <c r="BA254" s="140"/>
      <c r="BB254" s="140"/>
      <c r="BC254" s="140"/>
      <c r="BD254" s="140"/>
      <c r="BE254" s="140"/>
      <c r="BF254" s="140"/>
      <c r="BG254" s="140"/>
      <c r="BH254" s="140"/>
      <c r="BI254" s="140"/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</row>
    <row r="255" spans="1:109" s="139" customForma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3"/>
      <c r="U255" s="143"/>
      <c r="V255" s="143"/>
      <c r="W255" s="143"/>
      <c r="X255" s="143"/>
      <c r="Y255" s="143"/>
      <c r="Z255" s="143"/>
      <c r="AA255" s="143"/>
      <c r="AC255" s="140"/>
      <c r="AD255" s="140"/>
      <c r="AE255" s="140"/>
      <c r="AF255" s="140"/>
      <c r="AG255" s="140"/>
      <c r="AH255" s="141"/>
      <c r="AI255" s="143"/>
      <c r="AJ255" s="140"/>
      <c r="AK255" s="140"/>
      <c r="AL255" s="140"/>
      <c r="AM255" s="140"/>
      <c r="AN255" s="140"/>
      <c r="AO255" s="140"/>
      <c r="AP255" s="140"/>
      <c r="AQ255" s="140"/>
      <c r="AR255" s="140"/>
      <c r="AS255" s="140"/>
      <c r="AT255" s="140"/>
      <c r="AU255" s="140"/>
      <c r="AV255" s="140"/>
      <c r="AW255" s="140"/>
      <c r="AX255" s="140"/>
      <c r="AY255" s="140"/>
      <c r="AZ255" s="140"/>
      <c r="BA255" s="140"/>
      <c r="BB255" s="140"/>
      <c r="BC255" s="140"/>
      <c r="BD255" s="140"/>
      <c r="BE255" s="140"/>
      <c r="BF255" s="140"/>
      <c r="BG255" s="140"/>
      <c r="BH255" s="140"/>
      <c r="BI255" s="140"/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</row>
    <row r="256" spans="1:109" s="139" customForma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3"/>
      <c r="U256" s="143"/>
      <c r="V256" s="143"/>
      <c r="W256" s="143"/>
      <c r="X256" s="143"/>
      <c r="Y256" s="143"/>
      <c r="Z256" s="143"/>
      <c r="AA256" s="143"/>
      <c r="AC256" s="140"/>
      <c r="AD256" s="140"/>
      <c r="AE256" s="140"/>
      <c r="AF256" s="140"/>
      <c r="AG256" s="140"/>
      <c r="AH256" s="141"/>
      <c r="AI256" s="143"/>
      <c r="AJ256" s="140"/>
      <c r="AK256" s="140"/>
      <c r="AL256" s="140"/>
      <c r="AM256" s="140"/>
      <c r="AN256" s="140"/>
      <c r="AO256" s="140"/>
      <c r="AP256" s="140"/>
      <c r="AQ256" s="140"/>
      <c r="AR256" s="140"/>
      <c r="AS256" s="140"/>
      <c r="AT256" s="140"/>
      <c r="AU256" s="140"/>
      <c r="AV256" s="140"/>
      <c r="AW256" s="140"/>
      <c r="AX256" s="140"/>
      <c r="AY256" s="140"/>
      <c r="AZ256" s="140"/>
      <c r="BA256" s="140"/>
      <c r="BB256" s="140"/>
      <c r="BC256" s="140"/>
      <c r="BD256" s="140"/>
      <c r="BE256" s="140"/>
      <c r="BF256" s="140"/>
      <c r="BG256" s="140"/>
      <c r="BH256" s="140"/>
      <c r="BI256" s="140"/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</row>
    <row r="257" spans="1:109" s="139" customForma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3"/>
      <c r="U257" s="143"/>
      <c r="V257" s="143"/>
      <c r="W257" s="143"/>
      <c r="X257" s="143"/>
      <c r="Y257" s="143"/>
      <c r="Z257" s="143"/>
      <c r="AA257" s="143"/>
      <c r="AC257" s="140"/>
      <c r="AD257" s="140"/>
      <c r="AE257" s="140"/>
      <c r="AF257" s="140"/>
      <c r="AG257" s="140"/>
      <c r="AH257" s="141"/>
      <c r="AI257" s="143"/>
      <c r="AJ257" s="140"/>
      <c r="AK257" s="140"/>
      <c r="AL257" s="140"/>
      <c r="AM257" s="140"/>
      <c r="AN257" s="140"/>
      <c r="AO257" s="140"/>
      <c r="AP257" s="140"/>
      <c r="AQ257" s="140"/>
      <c r="AR257" s="140"/>
      <c r="AS257" s="140"/>
      <c r="AT257" s="140"/>
      <c r="AU257" s="140"/>
      <c r="AV257" s="140"/>
      <c r="AW257" s="140"/>
      <c r="AX257" s="140"/>
      <c r="AY257" s="140"/>
      <c r="AZ257" s="140"/>
      <c r="BA257" s="140"/>
      <c r="BB257" s="140"/>
      <c r="BC257" s="140"/>
      <c r="BD257" s="140"/>
      <c r="BE257" s="140"/>
      <c r="BF257" s="140"/>
      <c r="BG257" s="140"/>
      <c r="BH257" s="140"/>
      <c r="BI257" s="140"/>
      <c r="BJ257" s="140"/>
      <c r="BK257" s="140"/>
      <c r="BL257" s="140"/>
      <c r="BM257" s="140"/>
      <c r="BN257" s="140"/>
      <c r="BO257" s="140"/>
      <c r="BP257" s="140"/>
      <c r="BQ257" s="140"/>
      <c r="BR257" s="140"/>
      <c r="BS257" s="140"/>
      <c r="BT257" s="140"/>
      <c r="BU257" s="140"/>
      <c r="BV257" s="140"/>
      <c r="BW257" s="140"/>
      <c r="BX257" s="140"/>
      <c r="BY257" s="140"/>
      <c r="BZ257" s="140"/>
      <c r="CA257" s="140"/>
      <c r="CB257" s="140"/>
      <c r="CC257" s="140"/>
      <c r="CD257" s="140"/>
      <c r="CE257" s="140"/>
      <c r="CF257" s="140"/>
      <c r="CG257" s="140"/>
      <c r="CH257" s="140"/>
      <c r="CI257" s="140"/>
      <c r="CJ257" s="140"/>
      <c r="CK257" s="140"/>
      <c r="CL257" s="140"/>
      <c r="CM257" s="140"/>
      <c r="CN257" s="140"/>
      <c r="CO257" s="140"/>
      <c r="CP257" s="140"/>
      <c r="CQ257" s="140"/>
      <c r="CR257" s="140"/>
      <c r="CS257" s="140"/>
      <c r="CT257" s="140"/>
      <c r="CU257" s="140"/>
      <c r="CV257" s="140"/>
      <c r="CW257" s="140"/>
      <c r="CX257" s="140"/>
      <c r="CY257" s="140"/>
      <c r="CZ257" s="140"/>
      <c r="DA257" s="140"/>
      <c r="DB257" s="140"/>
      <c r="DC257" s="140"/>
      <c r="DD257" s="140"/>
      <c r="DE257" s="140"/>
    </row>
    <row r="258" spans="1:109" s="139" customForma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3"/>
      <c r="U258" s="143"/>
      <c r="V258" s="143"/>
      <c r="W258" s="143"/>
      <c r="X258" s="143"/>
      <c r="Y258" s="143"/>
      <c r="Z258" s="143"/>
      <c r="AA258" s="143"/>
      <c r="AC258" s="140"/>
      <c r="AD258" s="140"/>
      <c r="AE258" s="140"/>
      <c r="AF258" s="140"/>
      <c r="AG258" s="140"/>
      <c r="AH258" s="141"/>
      <c r="AI258" s="143"/>
      <c r="AJ258" s="140"/>
      <c r="AK258" s="140"/>
      <c r="AL258" s="140"/>
      <c r="AM258" s="140"/>
      <c r="AN258" s="140"/>
      <c r="AO258" s="140"/>
      <c r="AP258" s="140"/>
      <c r="AQ258" s="140"/>
      <c r="AR258" s="140"/>
      <c r="AS258" s="140"/>
      <c r="AT258" s="140"/>
      <c r="AU258" s="140"/>
      <c r="AV258" s="140"/>
      <c r="AW258" s="140"/>
      <c r="AX258" s="140"/>
      <c r="AY258" s="140"/>
      <c r="AZ258" s="140"/>
      <c r="BA258" s="140"/>
      <c r="BB258" s="140"/>
      <c r="BC258" s="140"/>
      <c r="BD258" s="140"/>
      <c r="BE258" s="140"/>
      <c r="BF258" s="140"/>
      <c r="BG258" s="140"/>
      <c r="BH258" s="140"/>
      <c r="BI258" s="140"/>
      <c r="BJ258" s="140"/>
      <c r="BK258" s="140"/>
      <c r="BL258" s="140"/>
      <c r="BM258" s="140"/>
      <c r="BN258" s="140"/>
      <c r="BO258" s="140"/>
      <c r="BP258" s="140"/>
      <c r="BQ258" s="140"/>
      <c r="BR258" s="140"/>
      <c r="BS258" s="140"/>
      <c r="BT258" s="140"/>
      <c r="BU258" s="140"/>
      <c r="BV258" s="140"/>
      <c r="BW258" s="140"/>
      <c r="BX258" s="140"/>
      <c r="BY258" s="140"/>
      <c r="BZ258" s="140"/>
      <c r="CA258" s="140"/>
      <c r="CB258" s="140"/>
      <c r="CC258" s="140"/>
      <c r="CD258" s="140"/>
      <c r="CE258" s="140"/>
      <c r="CF258" s="140"/>
      <c r="CG258" s="140"/>
      <c r="CH258" s="140"/>
      <c r="CI258" s="140"/>
      <c r="CJ258" s="140"/>
      <c r="CK258" s="140"/>
      <c r="CL258" s="140"/>
      <c r="CM258" s="140"/>
      <c r="CN258" s="140"/>
      <c r="CO258" s="140"/>
      <c r="CP258" s="140"/>
      <c r="CQ258" s="140"/>
      <c r="CR258" s="140"/>
      <c r="CS258" s="140"/>
      <c r="CT258" s="140"/>
      <c r="CU258" s="140"/>
      <c r="CV258" s="140"/>
      <c r="CW258" s="140"/>
      <c r="CX258" s="140"/>
      <c r="CY258" s="140"/>
      <c r="CZ258" s="140"/>
      <c r="DA258" s="140"/>
      <c r="DB258" s="140"/>
      <c r="DC258" s="140"/>
      <c r="DD258" s="140"/>
      <c r="DE258" s="140"/>
    </row>
    <row r="259" spans="1:109" s="139" customForma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3"/>
      <c r="U259" s="143"/>
      <c r="V259" s="143"/>
      <c r="W259" s="143"/>
      <c r="X259" s="143"/>
      <c r="Y259" s="143"/>
      <c r="Z259" s="143"/>
      <c r="AA259" s="143"/>
      <c r="AC259" s="140"/>
      <c r="AD259" s="140"/>
      <c r="AE259" s="140"/>
      <c r="AF259" s="140"/>
      <c r="AG259" s="140"/>
      <c r="AH259" s="141"/>
      <c r="AI259" s="143"/>
      <c r="AJ259" s="140"/>
      <c r="AK259" s="140"/>
      <c r="AL259" s="140"/>
      <c r="AM259" s="140"/>
      <c r="AN259" s="140"/>
      <c r="AO259" s="140"/>
      <c r="AP259" s="140"/>
      <c r="AQ259" s="140"/>
      <c r="AR259" s="140"/>
      <c r="AS259" s="140"/>
      <c r="AT259" s="140"/>
      <c r="AU259" s="140"/>
      <c r="AV259" s="140"/>
      <c r="AW259" s="140"/>
      <c r="AX259" s="140"/>
      <c r="AY259" s="140"/>
      <c r="AZ259" s="140"/>
      <c r="BA259" s="140"/>
      <c r="BB259" s="140"/>
      <c r="BC259" s="140"/>
      <c r="BD259" s="140"/>
      <c r="BE259" s="140"/>
      <c r="BF259" s="140"/>
      <c r="BG259" s="140"/>
      <c r="BH259" s="140"/>
      <c r="BI259" s="140"/>
      <c r="BJ259" s="140"/>
      <c r="BK259" s="140"/>
      <c r="BL259" s="140"/>
      <c r="BM259" s="140"/>
      <c r="BN259" s="140"/>
      <c r="BO259" s="140"/>
      <c r="BP259" s="140"/>
      <c r="BQ259" s="140"/>
      <c r="BR259" s="140"/>
      <c r="BS259" s="140"/>
      <c r="BT259" s="140"/>
      <c r="BU259" s="140"/>
      <c r="BV259" s="140"/>
      <c r="BW259" s="140"/>
      <c r="BX259" s="140"/>
      <c r="BY259" s="140"/>
      <c r="BZ259" s="140"/>
      <c r="CA259" s="140"/>
      <c r="CB259" s="140"/>
      <c r="CC259" s="140"/>
      <c r="CD259" s="140"/>
      <c r="CE259" s="140"/>
      <c r="CF259" s="140"/>
      <c r="CG259" s="140"/>
      <c r="CH259" s="140"/>
      <c r="CI259" s="140"/>
      <c r="CJ259" s="140"/>
      <c r="CK259" s="140"/>
      <c r="CL259" s="140"/>
      <c r="CM259" s="140"/>
      <c r="CN259" s="140"/>
      <c r="CO259" s="140"/>
      <c r="CP259" s="140"/>
      <c r="CQ259" s="140"/>
      <c r="CR259" s="140"/>
      <c r="CS259" s="140"/>
      <c r="CT259" s="140"/>
      <c r="CU259" s="140"/>
      <c r="CV259" s="140"/>
      <c r="CW259" s="140"/>
      <c r="CX259" s="140"/>
      <c r="CY259" s="140"/>
      <c r="CZ259" s="140"/>
      <c r="DA259" s="140"/>
      <c r="DB259" s="140"/>
      <c r="DC259" s="140"/>
      <c r="DD259" s="140"/>
      <c r="DE259" s="140"/>
    </row>
    <row r="260" spans="1:109" s="139" customForma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3"/>
      <c r="U260" s="143"/>
      <c r="V260" s="143"/>
      <c r="W260" s="143"/>
      <c r="X260" s="143"/>
      <c r="Y260" s="143"/>
      <c r="Z260" s="143"/>
      <c r="AA260" s="143"/>
      <c r="AC260" s="140"/>
      <c r="AD260" s="140"/>
      <c r="AE260" s="140"/>
      <c r="AF260" s="140"/>
      <c r="AG260" s="140"/>
      <c r="AH260" s="141"/>
      <c r="AI260" s="143"/>
      <c r="AJ260" s="140"/>
      <c r="AK260" s="140"/>
      <c r="AL260" s="140"/>
      <c r="AM260" s="140"/>
      <c r="AN260" s="140"/>
      <c r="AO260" s="140"/>
      <c r="AP260" s="140"/>
      <c r="AQ260" s="140"/>
      <c r="AR260" s="140"/>
      <c r="AS260" s="140"/>
      <c r="AT260" s="140"/>
      <c r="AU260" s="140"/>
      <c r="AV260" s="140"/>
      <c r="AW260" s="140"/>
      <c r="AX260" s="140"/>
      <c r="AY260" s="140"/>
      <c r="AZ260" s="140"/>
      <c r="BA260" s="140"/>
      <c r="BB260" s="140"/>
      <c r="BC260" s="140"/>
      <c r="BD260" s="140"/>
      <c r="BE260" s="140"/>
      <c r="BF260" s="140"/>
      <c r="BG260" s="140"/>
      <c r="BH260" s="140"/>
      <c r="BI260" s="140"/>
      <c r="BJ260" s="140"/>
      <c r="BK260" s="140"/>
      <c r="BL260" s="140"/>
      <c r="BM260" s="140"/>
      <c r="BN260" s="140"/>
      <c r="BO260" s="140"/>
      <c r="BP260" s="140"/>
      <c r="BQ260" s="140"/>
      <c r="BR260" s="140"/>
      <c r="BS260" s="140"/>
      <c r="BT260" s="140"/>
      <c r="BU260" s="140"/>
      <c r="BV260" s="140"/>
      <c r="BW260" s="140"/>
      <c r="BX260" s="140"/>
      <c r="BY260" s="140"/>
      <c r="BZ260" s="140"/>
      <c r="CA260" s="140"/>
      <c r="CB260" s="140"/>
      <c r="CC260" s="140"/>
      <c r="CD260" s="140"/>
      <c r="CE260" s="140"/>
      <c r="CF260" s="140"/>
      <c r="CG260" s="140"/>
      <c r="CH260" s="140"/>
      <c r="CI260" s="140"/>
      <c r="CJ260" s="140"/>
      <c r="CK260" s="140"/>
      <c r="CL260" s="140"/>
      <c r="CM260" s="140"/>
      <c r="CN260" s="140"/>
      <c r="CO260" s="140"/>
      <c r="CP260" s="140"/>
      <c r="CQ260" s="140"/>
      <c r="CR260" s="140"/>
      <c r="CS260" s="140"/>
      <c r="CT260" s="140"/>
      <c r="CU260" s="140"/>
      <c r="CV260" s="140"/>
      <c r="CW260" s="140"/>
      <c r="CX260" s="140"/>
      <c r="CY260" s="140"/>
      <c r="CZ260" s="140"/>
      <c r="DA260" s="140"/>
      <c r="DB260" s="140"/>
      <c r="DC260" s="140"/>
      <c r="DD260" s="140"/>
      <c r="DE260" s="140"/>
    </row>
    <row r="261" spans="1:109" s="139" customForma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3"/>
      <c r="U261" s="143"/>
      <c r="V261" s="143"/>
      <c r="W261" s="143"/>
      <c r="X261" s="143"/>
      <c r="Y261" s="143"/>
      <c r="Z261" s="143"/>
      <c r="AA261" s="143"/>
      <c r="AC261" s="140"/>
      <c r="AD261" s="140"/>
      <c r="AE261" s="140"/>
      <c r="AF261" s="140"/>
      <c r="AG261" s="140"/>
      <c r="AH261" s="141"/>
      <c r="AI261" s="143"/>
      <c r="AJ261" s="140"/>
      <c r="AK261" s="140"/>
      <c r="AL261" s="140"/>
      <c r="AM261" s="140"/>
      <c r="AN261" s="140"/>
      <c r="AO261" s="140"/>
      <c r="AP261" s="140"/>
      <c r="AQ261" s="140"/>
      <c r="AR261" s="140"/>
      <c r="AS261" s="140"/>
      <c r="AT261" s="140"/>
      <c r="AU261" s="140"/>
      <c r="AV261" s="140"/>
      <c r="AW261" s="140"/>
      <c r="AX261" s="140"/>
      <c r="AY261" s="140"/>
      <c r="AZ261" s="140"/>
      <c r="BA261" s="140"/>
      <c r="BB261" s="140"/>
      <c r="BC261" s="140"/>
      <c r="BD261" s="140"/>
      <c r="BE261" s="140"/>
      <c r="BF261" s="140"/>
      <c r="BG261" s="140"/>
      <c r="BH261" s="140"/>
      <c r="BI261" s="140"/>
      <c r="BJ261" s="140"/>
      <c r="BK261" s="140"/>
      <c r="BL261" s="140"/>
      <c r="BM261" s="140"/>
      <c r="BN261" s="140"/>
      <c r="BO261" s="140"/>
      <c r="BP261" s="140"/>
      <c r="BQ261" s="140"/>
      <c r="BR261" s="140"/>
      <c r="BS261" s="140"/>
      <c r="BT261" s="140"/>
      <c r="BU261" s="140"/>
      <c r="BV261" s="140"/>
      <c r="BW261" s="140"/>
      <c r="BX261" s="140"/>
      <c r="BY261" s="140"/>
      <c r="BZ261" s="140"/>
      <c r="CA261" s="140"/>
      <c r="CB261" s="140"/>
      <c r="CC261" s="140"/>
      <c r="CD261" s="140"/>
      <c r="CE261" s="140"/>
      <c r="CF261" s="140"/>
      <c r="CG261" s="140"/>
      <c r="CH261" s="140"/>
      <c r="CI261" s="140"/>
      <c r="CJ261" s="140"/>
      <c r="CK261" s="140"/>
      <c r="CL261" s="140"/>
      <c r="CM261" s="140"/>
      <c r="CN261" s="140"/>
      <c r="CO261" s="140"/>
      <c r="CP261" s="140"/>
      <c r="CQ261" s="140"/>
      <c r="CR261" s="140"/>
      <c r="CS261" s="140"/>
      <c r="CT261" s="140"/>
      <c r="CU261" s="140"/>
      <c r="CV261" s="140"/>
      <c r="CW261" s="140"/>
      <c r="CX261" s="140"/>
      <c r="CY261" s="140"/>
      <c r="CZ261" s="140"/>
      <c r="DA261" s="140"/>
      <c r="DB261" s="140"/>
      <c r="DC261" s="140"/>
      <c r="DD261" s="140"/>
      <c r="DE261" s="140"/>
    </row>
    <row r="262" spans="1:109" s="139" customForma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3"/>
      <c r="U262" s="143"/>
      <c r="V262" s="143"/>
      <c r="W262" s="143"/>
      <c r="X262" s="143"/>
      <c r="Y262" s="143"/>
      <c r="Z262" s="143"/>
      <c r="AA262" s="143"/>
      <c r="AC262" s="140"/>
      <c r="AD262" s="140"/>
      <c r="AE262" s="140"/>
      <c r="AF262" s="140"/>
      <c r="AG262" s="140"/>
      <c r="AH262" s="141"/>
      <c r="AI262" s="143"/>
      <c r="AJ262" s="140"/>
      <c r="AK262" s="140"/>
      <c r="AL262" s="140"/>
      <c r="AM262" s="140"/>
      <c r="AN262" s="140"/>
      <c r="AO262" s="140"/>
      <c r="AP262" s="140"/>
      <c r="AQ262" s="140"/>
      <c r="AR262" s="140"/>
      <c r="AS262" s="140"/>
      <c r="AT262" s="140"/>
      <c r="AU262" s="140"/>
      <c r="AV262" s="140"/>
      <c r="AW262" s="140"/>
      <c r="AX262" s="140"/>
      <c r="AY262" s="140"/>
      <c r="AZ262" s="140"/>
      <c r="BA262" s="140"/>
      <c r="BB262" s="140"/>
      <c r="BC262" s="140"/>
      <c r="BD262" s="140"/>
      <c r="BE262" s="140"/>
      <c r="BF262" s="140"/>
      <c r="BG262" s="140"/>
      <c r="BH262" s="140"/>
      <c r="BI262" s="140"/>
      <c r="BJ262" s="140"/>
      <c r="BK262" s="140"/>
      <c r="BL262" s="140"/>
      <c r="BM262" s="140"/>
      <c r="BN262" s="140"/>
      <c r="BO262" s="140"/>
      <c r="BP262" s="140"/>
      <c r="BQ262" s="140"/>
      <c r="BR262" s="140"/>
      <c r="BS262" s="140"/>
      <c r="BT262" s="140"/>
      <c r="BU262" s="140"/>
      <c r="BV262" s="140"/>
      <c r="BW262" s="140"/>
      <c r="BX262" s="140"/>
      <c r="BY262" s="140"/>
      <c r="BZ262" s="140"/>
      <c r="CA262" s="140"/>
      <c r="CB262" s="140"/>
      <c r="CC262" s="140"/>
      <c r="CD262" s="140"/>
      <c r="CE262" s="140"/>
      <c r="CF262" s="140"/>
      <c r="CG262" s="140"/>
      <c r="CH262" s="140"/>
      <c r="CI262" s="140"/>
      <c r="CJ262" s="140"/>
      <c r="CK262" s="140"/>
      <c r="CL262" s="140"/>
      <c r="CM262" s="140"/>
      <c r="CN262" s="140"/>
      <c r="CO262" s="140"/>
      <c r="CP262" s="140"/>
      <c r="CQ262" s="140"/>
      <c r="CR262" s="140"/>
      <c r="CS262" s="140"/>
      <c r="CT262" s="140"/>
      <c r="CU262" s="140"/>
      <c r="CV262" s="140"/>
      <c r="CW262" s="140"/>
      <c r="CX262" s="140"/>
      <c r="CY262" s="140"/>
      <c r="CZ262" s="140"/>
      <c r="DA262" s="140"/>
      <c r="DB262" s="140"/>
      <c r="DC262" s="140"/>
      <c r="DD262" s="140"/>
      <c r="DE262" s="140"/>
    </row>
    <row r="263" spans="1:109" s="139" customForma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3"/>
      <c r="U263" s="143"/>
      <c r="V263" s="143"/>
      <c r="W263" s="143"/>
      <c r="X263" s="143"/>
      <c r="Y263" s="143"/>
      <c r="Z263" s="143"/>
      <c r="AA263" s="143"/>
      <c r="AC263" s="140"/>
      <c r="AD263" s="140"/>
      <c r="AE263" s="140"/>
      <c r="AF263" s="140"/>
      <c r="AG263" s="140"/>
      <c r="AH263" s="141"/>
      <c r="AI263" s="143"/>
      <c r="AJ263" s="140"/>
      <c r="AK263" s="140"/>
      <c r="AL263" s="140"/>
      <c r="AM263" s="140"/>
      <c r="AN263" s="140"/>
      <c r="AO263" s="140"/>
      <c r="AP263" s="140"/>
      <c r="AQ263" s="140"/>
      <c r="AR263" s="140"/>
      <c r="AS263" s="140"/>
      <c r="AT263" s="140"/>
      <c r="AU263" s="140"/>
      <c r="AV263" s="140"/>
      <c r="AW263" s="140"/>
      <c r="AX263" s="140"/>
      <c r="AY263" s="140"/>
      <c r="AZ263" s="140"/>
      <c r="BA263" s="140"/>
      <c r="BB263" s="140"/>
      <c r="BC263" s="140"/>
      <c r="BD263" s="140"/>
      <c r="BE263" s="140"/>
      <c r="BF263" s="140"/>
      <c r="BG263" s="140"/>
      <c r="BH263" s="140"/>
      <c r="BI263" s="140"/>
      <c r="BJ263" s="140"/>
      <c r="BK263" s="140"/>
      <c r="BL263" s="140"/>
      <c r="BM263" s="140"/>
      <c r="BN263" s="140"/>
      <c r="BO263" s="140"/>
      <c r="BP263" s="140"/>
      <c r="BQ263" s="140"/>
      <c r="BR263" s="140"/>
      <c r="BS263" s="140"/>
      <c r="BT263" s="140"/>
      <c r="BU263" s="140"/>
      <c r="BV263" s="140"/>
      <c r="BW263" s="140"/>
      <c r="BX263" s="140"/>
      <c r="BY263" s="140"/>
      <c r="BZ263" s="140"/>
      <c r="CA263" s="140"/>
      <c r="CB263" s="140"/>
      <c r="CC263" s="140"/>
      <c r="CD263" s="140"/>
      <c r="CE263" s="140"/>
      <c r="CF263" s="140"/>
      <c r="CG263" s="140"/>
      <c r="CH263" s="140"/>
      <c r="CI263" s="140"/>
      <c r="CJ263" s="140"/>
      <c r="CK263" s="140"/>
      <c r="CL263" s="140"/>
      <c r="CM263" s="140"/>
      <c r="CN263" s="140"/>
      <c r="CO263" s="140"/>
      <c r="CP263" s="140"/>
      <c r="CQ263" s="140"/>
      <c r="CR263" s="140"/>
      <c r="CS263" s="140"/>
      <c r="CT263" s="140"/>
      <c r="CU263" s="140"/>
      <c r="CV263" s="140"/>
      <c r="CW263" s="140"/>
      <c r="CX263" s="140"/>
      <c r="CY263" s="140"/>
      <c r="CZ263" s="140"/>
      <c r="DA263" s="140"/>
      <c r="DB263" s="140"/>
      <c r="DC263" s="140"/>
      <c r="DD263" s="140"/>
      <c r="DE263" s="140"/>
    </row>
    <row r="264" spans="1:109" s="139" customForma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3"/>
      <c r="U264" s="143"/>
      <c r="V264" s="143"/>
      <c r="W264" s="143"/>
      <c r="X264" s="143"/>
      <c r="Y264" s="143"/>
      <c r="Z264" s="143"/>
      <c r="AA264" s="143"/>
      <c r="AC264" s="140"/>
      <c r="AD264" s="140"/>
      <c r="AE264" s="140"/>
      <c r="AF264" s="140"/>
      <c r="AG264" s="140"/>
      <c r="AH264" s="141"/>
      <c r="AI264" s="143"/>
      <c r="AJ264" s="140"/>
      <c r="AK264" s="140"/>
      <c r="AL264" s="140"/>
      <c r="AM264" s="140"/>
      <c r="AN264" s="140"/>
      <c r="AO264" s="140"/>
      <c r="AP264" s="140"/>
      <c r="AQ264" s="140"/>
      <c r="AR264" s="140"/>
      <c r="AS264" s="140"/>
      <c r="AT264" s="140"/>
      <c r="AU264" s="140"/>
      <c r="AV264" s="140"/>
      <c r="AW264" s="140"/>
      <c r="AX264" s="140"/>
      <c r="AY264" s="140"/>
      <c r="AZ264" s="140"/>
      <c r="BA264" s="140"/>
      <c r="BB264" s="140"/>
      <c r="BC264" s="140"/>
      <c r="BD264" s="140"/>
      <c r="BE264" s="140"/>
      <c r="BF264" s="140"/>
      <c r="BG264" s="140"/>
      <c r="BH264" s="140"/>
      <c r="BI264" s="140"/>
      <c r="BJ264" s="140"/>
      <c r="BK264" s="140"/>
      <c r="BL264" s="140"/>
      <c r="BM264" s="140"/>
      <c r="BN264" s="140"/>
      <c r="BO264" s="140"/>
      <c r="BP264" s="140"/>
      <c r="BQ264" s="140"/>
      <c r="BR264" s="140"/>
      <c r="BS264" s="140"/>
      <c r="BT264" s="140"/>
      <c r="BU264" s="140"/>
      <c r="BV264" s="140"/>
      <c r="BW264" s="140"/>
      <c r="BX264" s="140"/>
      <c r="BY264" s="140"/>
      <c r="BZ264" s="140"/>
      <c r="CA264" s="140"/>
      <c r="CB264" s="140"/>
      <c r="CC264" s="140"/>
      <c r="CD264" s="140"/>
      <c r="CE264" s="140"/>
      <c r="CF264" s="140"/>
      <c r="CG264" s="140"/>
      <c r="CH264" s="140"/>
      <c r="CI264" s="140"/>
      <c r="CJ264" s="140"/>
      <c r="CK264" s="140"/>
      <c r="CL264" s="140"/>
      <c r="CM264" s="140"/>
      <c r="CN264" s="140"/>
      <c r="CO264" s="140"/>
      <c r="CP264" s="140"/>
      <c r="CQ264" s="140"/>
      <c r="CR264" s="140"/>
      <c r="CS264" s="140"/>
      <c r="CT264" s="140"/>
      <c r="CU264" s="140"/>
      <c r="CV264" s="140"/>
      <c r="CW264" s="140"/>
      <c r="CX264" s="140"/>
      <c r="CY264" s="140"/>
      <c r="CZ264" s="140"/>
      <c r="DA264" s="140"/>
      <c r="DB264" s="140"/>
      <c r="DC264" s="140"/>
      <c r="DD264" s="140"/>
      <c r="DE264" s="140"/>
    </row>
    <row r="265" spans="1:109" s="139" customForma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3"/>
      <c r="U265" s="143"/>
      <c r="V265" s="143"/>
      <c r="W265" s="143"/>
      <c r="X265" s="143"/>
      <c r="Y265" s="143"/>
      <c r="Z265" s="143"/>
      <c r="AA265" s="143"/>
      <c r="AC265" s="140"/>
      <c r="AD265" s="140"/>
      <c r="AE265" s="140"/>
      <c r="AF265" s="140"/>
      <c r="AG265" s="140"/>
      <c r="AH265" s="141"/>
      <c r="AI265" s="143"/>
      <c r="AJ265" s="140"/>
      <c r="AK265" s="140"/>
      <c r="AL265" s="140"/>
      <c r="AM265" s="140"/>
      <c r="AN265" s="140"/>
      <c r="AO265" s="140"/>
      <c r="AP265" s="140"/>
      <c r="AQ265" s="140"/>
      <c r="AR265" s="140"/>
      <c r="AS265" s="140"/>
      <c r="AT265" s="140"/>
      <c r="AU265" s="140"/>
      <c r="AV265" s="140"/>
      <c r="AW265" s="140"/>
      <c r="AX265" s="140"/>
      <c r="AY265" s="140"/>
      <c r="AZ265" s="140"/>
      <c r="BA265" s="140"/>
      <c r="BB265" s="140"/>
      <c r="BC265" s="140"/>
      <c r="BD265" s="140"/>
      <c r="BE265" s="140"/>
      <c r="BF265" s="140"/>
      <c r="BG265" s="140"/>
      <c r="BH265" s="140"/>
      <c r="BI265" s="140"/>
      <c r="BJ265" s="140"/>
      <c r="BK265" s="140"/>
      <c r="BL265" s="140"/>
      <c r="BM265" s="140"/>
      <c r="BN265" s="140"/>
      <c r="BO265" s="140"/>
      <c r="BP265" s="140"/>
      <c r="BQ265" s="140"/>
      <c r="BR265" s="140"/>
      <c r="BS265" s="140"/>
      <c r="BT265" s="140"/>
      <c r="BU265" s="140"/>
      <c r="BV265" s="140"/>
      <c r="BW265" s="140"/>
      <c r="BX265" s="140"/>
      <c r="BY265" s="140"/>
      <c r="BZ265" s="140"/>
      <c r="CA265" s="140"/>
      <c r="CB265" s="140"/>
      <c r="CC265" s="140"/>
      <c r="CD265" s="140"/>
      <c r="CE265" s="140"/>
      <c r="CF265" s="140"/>
      <c r="CG265" s="140"/>
      <c r="CH265" s="140"/>
      <c r="CI265" s="140"/>
      <c r="CJ265" s="140"/>
      <c r="CK265" s="140"/>
      <c r="CL265" s="140"/>
      <c r="CM265" s="140"/>
      <c r="CN265" s="140"/>
      <c r="CO265" s="140"/>
      <c r="CP265" s="140"/>
      <c r="CQ265" s="140"/>
      <c r="CR265" s="140"/>
      <c r="CS265" s="140"/>
      <c r="CT265" s="140"/>
      <c r="CU265" s="140"/>
      <c r="CV265" s="140"/>
      <c r="CW265" s="140"/>
      <c r="CX265" s="140"/>
      <c r="CY265" s="140"/>
      <c r="CZ265" s="140"/>
      <c r="DA265" s="140"/>
      <c r="DB265" s="140"/>
      <c r="DC265" s="140"/>
      <c r="DD265" s="140"/>
      <c r="DE265" s="140"/>
    </row>
    <row r="266" spans="1:109" s="139" customForma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3"/>
      <c r="U266" s="143"/>
      <c r="V266" s="143"/>
      <c r="W266" s="143"/>
      <c r="X266" s="143"/>
      <c r="Y266" s="143"/>
      <c r="Z266" s="143"/>
      <c r="AA266" s="143"/>
      <c r="AC266" s="140"/>
      <c r="AD266" s="140"/>
      <c r="AE266" s="140"/>
      <c r="AF266" s="140"/>
      <c r="AG266" s="140"/>
      <c r="AH266" s="141"/>
      <c r="AI266" s="143"/>
      <c r="AJ266" s="140"/>
      <c r="AK266" s="140"/>
      <c r="AL266" s="140"/>
      <c r="AM266" s="140"/>
      <c r="AN266" s="140"/>
      <c r="AO266" s="140"/>
      <c r="AP266" s="140"/>
      <c r="AQ266" s="140"/>
      <c r="AR266" s="140"/>
      <c r="AS266" s="140"/>
      <c r="AT266" s="140"/>
      <c r="AU266" s="140"/>
      <c r="AV266" s="140"/>
      <c r="AW266" s="140"/>
      <c r="AX266" s="140"/>
      <c r="AY266" s="140"/>
      <c r="AZ266" s="140"/>
      <c r="BA266" s="140"/>
      <c r="BB266" s="140"/>
      <c r="BC266" s="140"/>
      <c r="BD266" s="140"/>
      <c r="BE266" s="140"/>
      <c r="BF266" s="140"/>
      <c r="BG266" s="140"/>
      <c r="BH266" s="140"/>
      <c r="BI266" s="140"/>
      <c r="BJ266" s="140"/>
      <c r="BK266" s="140"/>
      <c r="BL266" s="140"/>
      <c r="BM266" s="140"/>
      <c r="BN266" s="140"/>
      <c r="BO266" s="140"/>
      <c r="BP266" s="140"/>
      <c r="BQ266" s="140"/>
      <c r="BR266" s="140"/>
      <c r="BS266" s="140"/>
      <c r="BT266" s="140"/>
      <c r="BU266" s="140"/>
      <c r="BV266" s="140"/>
      <c r="BW266" s="140"/>
      <c r="BX266" s="140"/>
      <c r="BY266" s="140"/>
      <c r="BZ266" s="140"/>
      <c r="CA266" s="140"/>
      <c r="CB266" s="140"/>
      <c r="CC266" s="140"/>
      <c r="CD266" s="140"/>
      <c r="CE266" s="140"/>
      <c r="CF266" s="140"/>
      <c r="CG266" s="140"/>
      <c r="CH266" s="140"/>
      <c r="CI266" s="140"/>
      <c r="CJ266" s="140"/>
      <c r="CK266" s="140"/>
      <c r="CL266" s="140"/>
      <c r="CM266" s="140"/>
      <c r="CN266" s="140"/>
      <c r="CO266" s="140"/>
      <c r="CP266" s="140"/>
      <c r="CQ266" s="140"/>
      <c r="CR266" s="140"/>
      <c r="CS266" s="140"/>
      <c r="CT266" s="140"/>
      <c r="CU266" s="140"/>
      <c r="CV266" s="140"/>
      <c r="CW266" s="140"/>
      <c r="CX266" s="140"/>
      <c r="CY266" s="140"/>
      <c r="CZ266" s="140"/>
      <c r="DA266" s="140"/>
      <c r="DB266" s="140"/>
      <c r="DC266" s="140"/>
      <c r="DD266" s="140"/>
      <c r="DE266" s="140"/>
    </row>
    <row r="267" spans="1:109" s="139" customForma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3"/>
      <c r="U267" s="143"/>
      <c r="V267" s="143"/>
      <c r="W267" s="143"/>
      <c r="X267" s="143"/>
      <c r="Y267" s="143"/>
      <c r="Z267" s="143"/>
      <c r="AA267" s="143"/>
      <c r="AC267" s="140"/>
      <c r="AD267" s="140"/>
      <c r="AE267" s="140"/>
      <c r="AF267" s="140"/>
      <c r="AG267" s="140"/>
      <c r="AH267" s="141"/>
      <c r="AI267" s="143"/>
      <c r="AJ267" s="140"/>
      <c r="AK267" s="140"/>
      <c r="AL267" s="140"/>
      <c r="AM267" s="140"/>
      <c r="AN267" s="140"/>
      <c r="AO267" s="140"/>
      <c r="AP267" s="140"/>
      <c r="AQ267" s="140"/>
      <c r="AR267" s="140"/>
      <c r="AS267" s="140"/>
      <c r="AT267" s="140"/>
      <c r="AU267" s="140"/>
      <c r="AV267" s="140"/>
      <c r="AW267" s="140"/>
      <c r="AX267" s="140"/>
      <c r="AY267" s="140"/>
      <c r="AZ267" s="140"/>
      <c r="BA267" s="140"/>
      <c r="BB267" s="140"/>
      <c r="BC267" s="140"/>
      <c r="BD267" s="140"/>
      <c r="BE267" s="140"/>
      <c r="BF267" s="140"/>
      <c r="BG267" s="140"/>
      <c r="BH267" s="140"/>
      <c r="BI267" s="140"/>
      <c r="BJ267" s="140"/>
      <c r="BK267" s="140"/>
      <c r="BL267" s="140"/>
      <c r="BM267" s="140"/>
      <c r="BN267" s="140"/>
      <c r="BO267" s="140"/>
      <c r="BP267" s="140"/>
      <c r="BQ267" s="140"/>
      <c r="BR267" s="140"/>
      <c r="BS267" s="140"/>
      <c r="BT267" s="140"/>
      <c r="BU267" s="140"/>
      <c r="BV267" s="140"/>
      <c r="BW267" s="140"/>
      <c r="BX267" s="140"/>
      <c r="BY267" s="140"/>
      <c r="BZ267" s="140"/>
      <c r="CA267" s="140"/>
      <c r="CB267" s="140"/>
      <c r="CC267" s="140"/>
      <c r="CD267" s="140"/>
      <c r="CE267" s="140"/>
      <c r="CF267" s="140"/>
      <c r="CG267" s="140"/>
      <c r="CH267" s="140"/>
      <c r="CI267" s="140"/>
      <c r="CJ267" s="140"/>
      <c r="CK267" s="140"/>
      <c r="CL267" s="140"/>
      <c r="CM267" s="140"/>
      <c r="CN267" s="140"/>
      <c r="CO267" s="140"/>
      <c r="CP267" s="140"/>
      <c r="CQ267" s="140"/>
      <c r="CR267" s="140"/>
      <c r="CS267" s="140"/>
      <c r="CT267" s="140"/>
      <c r="CU267" s="140"/>
      <c r="CV267" s="140"/>
      <c r="CW267" s="140"/>
      <c r="CX267" s="140"/>
      <c r="CY267" s="140"/>
      <c r="CZ267" s="140"/>
      <c r="DA267" s="140"/>
      <c r="DB267" s="140"/>
      <c r="DC267" s="140"/>
      <c r="DD267" s="140"/>
      <c r="DE267" s="140"/>
    </row>
    <row r="268" spans="1:109" s="139" customForma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3"/>
      <c r="U268" s="143"/>
      <c r="V268" s="143"/>
      <c r="W268" s="143"/>
      <c r="X268" s="143"/>
      <c r="Y268" s="143"/>
      <c r="Z268" s="143"/>
      <c r="AA268" s="143"/>
      <c r="AC268" s="140"/>
      <c r="AD268" s="140"/>
      <c r="AE268" s="140"/>
      <c r="AF268" s="140"/>
      <c r="AG268" s="140"/>
      <c r="AH268" s="141"/>
      <c r="AI268" s="143"/>
      <c r="AJ268" s="140"/>
      <c r="AK268" s="140"/>
      <c r="AL268" s="140"/>
      <c r="AM268" s="140"/>
      <c r="AN268" s="140"/>
      <c r="AO268" s="140"/>
      <c r="AP268" s="140"/>
      <c r="AQ268" s="140"/>
      <c r="AR268" s="140"/>
      <c r="AS268" s="140"/>
      <c r="AT268" s="140"/>
      <c r="AU268" s="140"/>
      <c r="AV268" s="140"/>
      <c r="AW268" s="140"/>
      <c r="AX268" s="140"/>
      <c r="AY268" s="140"/>
      <c r="AZ268" s="140"/>
      <c r="BA268" s="140"/>
      <c r="BB268" s="140"/>
      <c r="BC268" s="140"/>
      <c r="BD268" s="140"/>
      <c r="BE268" s="140"/>
      <c r="BF268" s="140"/>
      <c r="BG268" s="140"/>
      <c r="BH268" s="140"/>
      <c r="BI268" s="140"/>
      <c r="BJ268" s="140"/>
      <c r="BK268" s="140"/>
      <c r="BL268" s="140"/>
      <c r="BM268" s="140"/>
      <c r="BN268" s="140"/>
      <c r="BO268" s="140"/>
      <c r="BP268" s="140"/>
      <c r="BQ268" s="140"/>
      <c r="BR268" s="140"/>
      <c r="BS268" s="140"/>
      <c r="BT268" s="140"/>
      <c r="BU268" s="140"/>
      <c r="BV268" s="140"/>
      <c r="BW268" s="140"/>
      <c r="BX268" s="140"/>
      <c r="BY268" s="140"/>
      <c r="BZ268" s="140"/>
      <c r="CA268" s="140"/>
      <c r="CB268" s="140"/>
      <c r="CC268" s="140"/>
      <c r="CD268" s="140"/>
      <c r="CE268" s="140"/>
      <c r="CF268" s="140"/>
      <c r="CG268" s="140"/>
      <c r="CH268" s="140"/>
      <c r="CI268" s="140"/>
      <c r="CJ268" s="140"/>
      <c r="CK268" s="140"/>
      <c r="CL268" s="140"/>
      <c r="CM268" s="140"/>
      <c r="CN268" s="140"/>
      <c r="CO268" s="140"/>
      <c r="CP268" s="140"/>
      <c r="CQ268" s="140"/>
      <c r="CR268" s="140"/>
      <c r="CS268" s="140"/>
      <c r="CT268" s="140"/>
      <c r="CU268" s="140"/>
      <c r="CV268" s="140"/>
      <c r="CW268" s="140"/>
      <c r="CX268" s="140"/>
      <c r="CY268" s="140"/>
      <c r="CZ268" s="140"/>
      <c r="DA268" s="140"/>
      <c r="DB268" s="140"/>
      <c r="DC268" s="140"/>
      <c r="DD268" s="140"/>
      <c r="DE268" s="140"/>
    </row>
    <row r="269" spans="1:109" s="139" customForma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3"/>
      <c r="U269" s="143"/>
      <c r="V269" s="143"/>
      <c r="W269" s="143"/>
      <c r="X269" s="143"/>
      <c r="Y269" s="143"/>
      <c r="Z269" s="143"/>
      <c r="AA269" s="143"/>
      <c r="AC269" s="140"/>
      <c r="AD269" s="140"/>
      <c r="AE269" s="140"/>
      <c r="AF269" s="140"/>
      <c r="AG269" s="140"/>
      <c r="AH269" s="141"/>
      <c r="AI269" s="143"/>
      <c r="AJ269" s="140"/>
      <c r="AK269" s="140"/>
      <c r="AL269" s="140"/>
      <c r="AM269" s="140"/>
      <c r="AN269" s="140"/>
      <c r="AO269" s="140"/>
      <c r="AP269" s="140"/>
      <c r="AQ269" s="140"/>
      <c r="AR269" s="140"/>
      <c r="AS269" s="140"/>
      <c r="AT269" s="140"/>
      <c r="AU269" s="140"/>
      <c r="AV269" s="140"/>
      <c r="AW269" s="140"/>
      <c r="AX269" s="140"/>
      <c r="AY269" s="140"/>
      <c r="AZ269" s="140"/>
      <c r="BA269" s="140"/>
      <c r="BB269" s="140"/>
      <c r="BC269" s="140"/>
      <c r="BD269" s="140"/>
      <c r="BE269" s="140"/>
      <c r="BF269" s="140"/>
      <c r="BG269" s="140"/>
      <c r="BH269" s="140"/>
      <c r="BI269" s="140"/>
      <c r="BJ269" s="140"/>
      <c r="BK269" s="140"/>
      <c r="BL269" s="140"/>
      <c r="BM269" s="140"/>
      <c r="BN269" s="140"/>
      <c r="BO269" s="140"/>
      <c r="BP269" s="140"/>
      <c r="BQ269" s="140"/>
      <c r="BR269" s="140"/>
      <c r="BS269" s="140"/>
      <c r="BT269" s="140"/>
      <c r="BU269" s="140"/>
      <c r="BV269" s="140"/>
      <c r="BW269" s="140"/>
      <c r="BX269" s="140"/>
      <c r="BY269" s="140"/>
      <c r="BZ269" s="140"/>
      <c r="CA269" s="140"/>
      <c r="CB269" s="140"/>
      <c r="CC269" s="140"/>
      <c r="CD269" s="140"/>
      <c r="CE269" s="140"/>
      <c r="CF269" s="140"/>
      <c r="CG269" s="140"/>
      <c r="CH269" s="140"/>
      <c r="CI269" s="140"/>
      <c r="CJ269" s="140"/>
      <c r="CK269" s="140"/>
      <c r="CL269" s="140"/>
      <c r="CM269" s="140"/>
      <c r="CN269" s="140"/>
      <c r="CO269" s="140"/>
      <c r="CP269" s="140"/>
      <c r="CQ269" s="140"/>
      <c r="CR269" s="140"/>
      <c r="CS269" s="140"/>
      <c r="CT269" s="140"/>
      <c r="CU269" s="140"/>
      <c r="CV269" s="140"/>
      <c r="CW269" s="140"/>
      <c r="CX269" s="140"/>
      <c r="CY269" s="140"/>
      <c r="CZ269" s="140"/>
      <c r="DA269" s="140"/>
      <c r="DB269" s="140"/>
      <c r="DC269" s="140"/>
      <c r="DD269" s="140"/>
      <c r="DE269" s="140"/>
    </row>
    <row r="270" spans="1:109" s="139" customForma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3"/>
      <c r="U270" s="143"/>
      <c r="V270" s="143"/>
      <c r="W270" s="143"/>
      <c r="X270" s="143"/>
      <c r="Y270" s="143"/>
      <c r="Z270" s="143"/>
      <c r="AA270" s="143"/>
      <c r="AC270" s="140"/>
      <c r="AD270" s="140"/>
      <c r="AE270" s="140"/>
      <c r="AF270" s="140"/>
      <c r="AG270" s="140"/>
      <c r="AH270" s="141"/>
      <c r="AI270" s="143"/>
      <c r="AJ270" s="140"/>
      <c r="AK270" s="140"/>
      <c r="AL270" s="140"/>
      <c r="AM270" s="140"/>
      <c r="AN270" s="140"/>
      <c r="AO270" s="140"/>
      <c r="AP270" s="140"/>
      <c r="AQ270" s="140"/>
      <c r="AR270" s="140"/>
      <c r="AS270" s="140"/>
      <c r="AT270" s="140"/>
      <c r="AU270" s="140"/>
      <c r="AV270" s="140"/>
      <c r="AW270" s="140"/>
      <c r="AX270" s="140"/>
      <c r="AY270" s="140"/>
      <c r="AZ270" s="140"/>
      <c r="BA270" s="140"/>
      <c r="BB270" s="140"/>
      <c r="BC270" s="140"/>
      <c r="BD270" s="140"/>
      <c r="BE270" s="140"/>
      <c r="BF270" s="140"/>
      <c r="BG270" s="140"/>
      <c r="BH270" s="140"/>
      <c r="BI270" s="140"/>
      <c r="BJ270" s="140"/>
      <c r="BK270" s="140"/>
      <c r="BL270" s="140"/>
      <c r="BM270" s="140"/>
      <c r="BN270" s="140"/>
      <c r="BO270" s="140"/>
      <c r="BP270" s="140"/>
      <c r="BQ270" s="140"/>
      <c r="BR270" s="140"/>
      <c r="BS270" s="140"/>
      <c r="BT270" s="140"/>
      <c r="BU270" s="140"/>
      <c r="BV270" s="140"/>
      <c r="BW270" s="140"/>
      <c r="BX270" s="140"/>
      <c r="BY270" s="140"/>
      <c r="BZ270" s="140"/>
      <c r="CA270" s="140"/>
      <c r="CB270" s="140"/>
      <c r="CC270" s="140"/>
      <c r="CD270" s="140"/>
      <c r="CE270" s="140"/>
      <c r="CF270" s="140"/>
      <c r="CG270" s="140"/>
      <c r="CH270" s="140"/>
      <c r="CI270" s="140"/>
      <c r="CJ270" s="140"/>
      <c r="CK270" s="140"/>
      <c r="CL270" s="140"/>
      <c r="CM270" s="140"/>
      <c r="CN270" s="140"/>
      <c r="CO270" s="140"/>
      <c r="CP270" s="140"/>
      <c r="CQ270" s="140"/>
      <c r="CR270" s="140"/>
      <c r="CS270" s="140"/>
      <c r="CT270" s="140"/>
      <c r="CU270" s="140"/>
      <c r="CV270" s="140"/>
      <c r="CW270" s="140"/>
      <c r="CX270" s="140"/>
      <c r="CY270" s="140"/>
      <c r="CZ270" s="140"/>
      <c r="DA270" s="140"/>
      <c r="DB270" s="140"/>
      <c r="DC270" s="140"/>
      <c r="DD270" s="140"/>
      <c r="DE270" s="140"/>
    </row>
    <row r="271" spans="1:109" s="139" customForma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3"/>
      <c r="U271" s="143"/>
      <c r="V271" s="143"/>
      <c r="W271" s="143"/>
      <c r="X271" s="143"/>
      <c r="Y271" s="143"/>
      <c r="Z271" s="143"/>
      <c r="AA271" s="143"/>
      <c r="AC271" s="140"/>
      <c r="AD271" s="140"/>
      <c r="AE271" s="140"/>
      <c r="AF271" s="140"/>
      <c r="AG271" s="140"/>
      <c r="AH271" s="141"/>
      <c r="AI271" s="143"/>
      <c r="AJ271" s="140"/>
      <c r="AK271" s="140"/>
      <c r="AL271" s="140"/>
      <c r="AM271" s="140"/>
      <c r="AN271" s="140"/>
      <c r="AO271" s="140"/>
      <c r="AP271" s="140"/>
      <c r="AQ271" s="140"/>
      <c r="AR271" s="140"/>
      <c r="AS271" s="140"/>
      <c r="AT271" s="140"/>
      <c r="AU271" s="140"/>
      <c r="AV271" s="140"/>
      <c r="AW271" s="140"/>
      <c r="AX271" s="140"/>
      <c r="AY271" s="140"/>
      <c r="AZ271" s="140"/>
      <c r="BA271" s="140"/>
      <c r="BB271" s="140"/>
      <c r="BC271" s="140"/>
      <c r="BD271" s="140"/>
      <c r="BE271" s="140"/>
      <c r="BF271" s="140"/>
      <c r="BG271" s="140"/>
      <c r="BH271" s="140"/>
      <c r="BI271" s="140"/>
      <c r="BJ271" s="140"/>
      <c r="BK271" s="140"/>
      <c r="BL271" s="140"/>
      <c r="BM271" s="140"/>
      <c r="BN271" s="140"/>
      <c r="BO271" s="140"/>
      <c r="BP271" s="140"/>
      <c r="BQ271" s="140"/>
      <c r="BR271" s="140"/>
      <c r="BS271" s="140"/>
      <c r="BT271" s="140"/>
      <c r="BU271" s="140"/>
      <c r="BV271" s="140"/>
      <c r="BW271" s="140"/>
      <c r="BX271" s="140"/>
      <c r="BY271" s="140"/>
      <c r="BZ271" s="140"/>
      <c r="CA271" s="140"/>
      <c r="CB271" s="140"/>
      <c r="CC271" s="140"/>
      <c r="CD271" s="140"/>
      <c r="CE271" s="140"/>
      <c r="CF271" s="140"/>
      <c r="CG271" s="140"/>
      <c r="CH271" s="140"/>
      <c r="CI271" s="140"/>
      <c r="CJ271" s="140"/>
      <c r="CK271" s="140"/>
      <c r="CL271" s="140"/>
      <c r="CM271" s="140"/>
      <c r="CN271" s="140"/>
      <c r="CO271" s="140"/>
      <c r="CP271" s="140"/>
      <c r="CQ271" s="140"/>
      <c r="CR271" s="140"/>
      <c r="CS271" s="140"/>
      <c r="CT271" s="140"/>
      <c r="CU271" s="140"/>
      <c r="CV271" s="140"/>
      <c r="CW271" s="140"/>
      <c r="CX271" s="140"/>
      <c r="CY271" s="140"/>
      <c r="CZ271" s="140"/>
      <c r="DA271" s="140"/>
      <c r="DB271" s="140"/>
      <c r="DC271" s="140"/>
      <c r="DD271" s="140"/>
      <c r="DE271" s="140"/>
    </row>
    <row r="272" spans="1:109" s="139" customForma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3"/>
      <c r="U272" s="143"/>
      <c r="V272" s="143"/>
      <c r="W272" s="143"/>
      <c r="X272" s="143"/>
      <c r="Y272" s="143"/>
      <c r="Z272" s="143"/>
      <c r="AA272" s="143"/>
      <c r="AC272" s="140"/>
      <c r="AD272" s="140"/>
      <c r="AE272" s="140"/>
      <c r="AF272" s="140"/>
      <c r="AG272" s="140"/>
      <c r="AH272" s="141"/>
      <c r="AI272" s="143"/>
      <c r="AJ272" s="140"/>
      <c r="AK272" s="140"/>
      <c r="AL272" s="140"/>
      <c r="AM272" s="140"/>
      <c r="AN272" s="140"/>
      <c r="AO272" s="140"/>
      <c r="AP272" s="140"/>
      <c r="AQ272" s="140"/>
      <c r="AR272" s="140"/>
      <c r="AS272" s="140"/>
      <c r="AT272" s="140"/>
      <c r="AU272" s="140"/>
      <c r="AV272" s="140"/>
      <c r="AW272" s="140"/>
      <c r="AX272" s="140"/>
      <c r="AY272" s="140"/>
      <c r="AZ272" s="140"/>
      <c r="BA272" s="140"/>
      <c r="BB272" s="140"/>
      <c r="BC272" s="140"/>
      <c r="BD272" s="140"/>
      <c r="BE272" s="140"/>
      <c r="BF272" s="140"/>
      <c r="BG272" s="140"/>
      <c r="BH272" s="140"/>
      <c r="BI272" s="140"/>
      <c r="BJ272" s="140"/>
      <c r="BK272" s="140"/>
      <c r="BL272" s="140"/>
      <c r="BM272" s="140"/>
      <c r="BN272" s="140"/>
      <c r="BO272" s="140"/>
      <c r="BP272" s="140"/>
      <c r="BQ272" s="140"/>
      <c r="BR272" s="140"/>
      <c r="BS272" s="140"/>
      <c r="BT272" s="140"/>
      <c r="BU272" s="140"/>
      <c r="BV272" s="140"/>
      <c r="BW272" s="140"/>
      <c r="BX272" s="140"/>
      <c r="BY272" s="140"/>
      <c r="BZ272" s="140"/>
      <c r="CA272" s="140"/>
      <c r="CB272" s="140"/>
      <c r="CC272" s="140"/>
      <c r="CD272" s="140"/>
      <c r="CE272" s="140"/>
      <c r="CF272" s="140"/>
      <c r="CG272" s="140"/>
      <c r="CH272" s="140"/>
      <c r="CI272" s="140"/>
      <c r="CJ272" s="140"/>
      <c r="CK272" s="140"/>
      <c r="CL272" s="140"/>
      <c r="CM272" s="140"/>
      <c r="CN272" s="140"/>
      <c r="CO272" s="140"/>
      <c r="CP272" s="140"/>
      <c r="CQ272" s="140"/>
      <c r="CR272" s="140"/>
      <c r="CS272" s="140"/>
      <c r="CT272" s="140"/>
      <c r="CU272" s="140"/>
      <c r="CV272" s="140"/>
      <c r="CW272" s="140"/>
      <c r="CX272" s="140"/>
      <c r="CY272" s="140"/>
      <c r="CZ272" s="140"/>
      <c r="DA272" s="140"/>
      <c r="DB272" s="140"/>
      <c r="DC272" s="140"/>
      <c r="DD272" s="140"/>
      <c r="DE272" s="140"/>
    </row>
    <row r="273" spans="1:109" s="139" customForma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3"/>
      <c r="U273" s="143"/>
      <c r="V273" s="143"/>
      <c r="W273" s="143"/>
      <c r="X273" s="143"/>
      <c r="Y273" s="143"/>
      <c r="Z273" s="143"/>
      <c r="AA273" s="143"/>
      <c r="AC273" s="140"/>
      <c r="AD273" s="140"/>
      <c r="AE273" s="140"/>
      <c r="AF273" s="140"/>
      <c r="AG273" s="140"/>
      <c r="AH273" s="141"/>
      <c r="AI273" s="143"/>
      <c r="AJ273" s="140"/>
      <c r="AK273" s="140"/>
      <c r="AL273" s="140"/>
      <c r="AM273" s="140"/>
      <c r="AN273" s="140"/>
      <c r="AO273" s="140"/>
      <c r="AP273" s="140"/>
      <c r="AQ273" s="140"/>
      <c r="AR273" s="140"/>
      <c r="AS273" s="140"/>
      <c r="AT273" s="140"/>
      <c r="AU273" s="140"/>
      <c r="AV273" s="140"/>
      <c r="AW273" s="140"/>
      <c r="AX273" s="140"/>
      <c r="AY273" s="140"/>
      <c r="AZ273" s="140"/>
      <c r="BA273" s="140"/>
      <c r="BB273" s="140"/>
      <c r="BC273" s="140"/>
      <c r="BD273" s="140"/>
      <c r="BE273" s="140"/>
      <c r="BF273" s="140"/>
      <c r="BG273" s="140"/>
      <c r="BH273" s="140"/>
      <c r="BI273" s="140"/>
      <c r="BJ273" s="140"/>
      <c r="BK273" s="140"/>
      <c r="BL273" s="140"/>
      <c r="BM273" s="140"/>
      <c r="BN273" s="140"/>
      <c r="BO273" s="140"/>
      <c r="BP273" s="140"/>
      <c r="BQ273" s="140"/>
      <c r="BR273" s="140"/>
      <c r="BS273" s="140"/>
      <c r="BT273" s="140"/>
      <c r="BU273" s="140"/>
      <c r="BV273" s="140"/>
      <c r="BW273" s="140"/>
      <c r="BX273" s="140"/>
      <c r="BY273" s="140"/>
      <c r="BZ273" s="140"/>
      <c r="CA273" s="140"/>
      <c r="CB273" s="140"/>
      <c r="CC273" s="140"/>
      <c r="CD273" s="140"/>
      <c r="CE273" s="140"/>
      <c r="CF273" s="140"/>
      <c r="CG273" s="140"/>
      <c r="CH273" s="140"/>
      <c r="CI273" s="140"/>
      <c r="CJ273" s="140"/>
      <c r="CK273" s="140"/>
      <c r="CL273" s="140"/>
      <c r="CM273" s="140"/>
      <c r="CN273" s="140"/>
      <c r="CO273" s="140"/>
      <c r="CP273" s="140"/>
      <c r="CQ273" s="140"/>
      <c r="CR273" s="140"/>
      <c r="CS273" s="140"/>
      <c r="CT273" s="140"/>
      <c r="CU273" s="140"/>
      <c r="CV273" s="140"/>
      <c r="CW273" s="140"/>
      <c r="CX273" s="140"/>
      <c r="CY273" s="140"/>
      <c r="CZ273" s="140"/>
      <c r="DA273" s="140"/>
      <c r="DB273" s="140"/>
      <c r="DC273" s="140"/>
      <c r="DD273" s="140"/>
      <c r="DE273" s="140"/>
    </row>
    <row r="274" spans="1:109" s="139" customForma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3"/>
      <c r="U274" s="143"/>
      <c r="V274" s="143"/>
      <c r="W274" s="143"/>
      <c r="X274" s="143"/>
      <c r="Y274" s="143"/>
      <c r="Z274" s="143"/>
      <c r="AA274" s="143"/>
      <c r="AC274" s="140"/>
      <c r="AD274" s="140"/>
      <c r="AE274" s="140"/>
      <c r="AF274" s="140"/>
      <c r="AG274" s="140"/>
      <c r="AH274" s="141"/>
      <c r="AI274" s="143"/>
      <c r="AJ274" s="140"/>
      <c r="AK274" s="140"/>
      <c r="AL274" s="140"/>
      <c r="AM274" s="140"/>
      <c r="AN274" s="140"/>
      <c r="AO274" s="140"/>
      <c r="AP274" s="140"/>
      <c r="AQ274" s="140"/>
      <c r="AR274" s="140"/>
      <c r="AS274" s="140"/>
      <c r="AT274" s="140"/>
      <c r="AU274" s="140"/>
      <c r="AV274" s="140"/>
      <c r="AW274" s="140"/>
      <c r="AX274" s="140"/>
      <c r="AY274" s="140"/>
      <c r="AZ274" s="140"/>
      <c r="BA274" s="140"/>
      <c r="BB274" s="140"/>
      <c r="BC274" s="140"/>
      <c r="BD274" s="140"/>
      <c r="BE274" s="140"/>
      <c r="BF274" s="140"/>
      <c r="BG274" s="140"/>
      <c r="BH274" s="140"/>
      <c r="BI274" s="140"/>
      <c r="BJ274" s="140"/>
      <c r="BK274" s="140"/>
      <c r="BL274" s="140"/>
      <c r="BM274" s="140"/>
      <c r="BN274" s="140"/>
      <c r="BO274" s="140"/>
      <c r="BP274" s="140"/>
      <c r="BQ274" s="140"/>
      <c r="BR274" s="140"/>
      <c r="BS274" s="140"/>
      <c r="BT274" s="140"/>
      <c r="BU274" s="140"/>
      <c r="BV274" s="140"/>
      <c r="BW274" s="140"/>
      <c r="BX274" s="140"/>
      <c r="BY274" s="140"/>
      <c r="BZ274" s="140"/>
      <c r="CA274" s="140"/>
      <c r="CB274" s="140"/>
      <c r="CC274" s="140"/>
      <c r="CD274" s="140"/>
      <c r="CE274" s="140"/>
      <c r="CF274" s="140"/>
      <c r="CG274" s="140"/>
      <c r="CH274" s="140"/>
      <c r="CI274" s="140"/>
      <c r="CJ274" s="140"/>
      <c r="CK274" s="140"/>
      <c r="CL274" s="140"/>
      <c r="CM274" s="140"/>
      <c r="CN274" s="140"/>
      <c r="CO274" s="140"/>
      <c r="CP274" s="140"/>
      <c r="CQ274" s="140"/>
      <c r="CR274" s="140"/>
      <c r="CS274" s="140"/>
      <c r="CT274" s="140"/>
      <c r="CU274" s="140"/>
      <c r="CV274" s="140"/>
      <c r="CW274" s="140"/>
      <c r="CX274" s="140"/>
      <c r="CY274" s="140"/>
      <c r="CZ274" s="140"/>
      <c r="DA274" s="140"/>
      <c r="DB274" s="140"/>
      <c r="DC274" s="140"/>
      <c r="DD274" s="140"/>
      <c r="DE274" s="140"/>
    </row>
    <row r="275" spans="1:109" s="139" customForma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3"/>
      <c r="U275" s="143"/>
      <c r="V275" s="143"/>
      <c r="W275" s="143"/>
      <c r="X275" s="143"/>
      <c r="Y275" s="143"/>
      <c r="Z275" s="143"/>
      <c r="AA275" s="143"/>
      <c r="AC275" s="140"/>
      <c r="AD275" s="140"/>
      <c r="AE275" s="140"/>
      <c r="AF275" s="140"/>
      <c r="AG275" s="140"/>
      <c r="AH275" s="141"/>
      <c r="AI275" s="143"/>
      <c r="AJ275" s="140"/>
      <c r="AK275" s="140"/>
      <c r="AL275" s="140"/>
      <c r="AM275" s="140"/>
      <c r="AN275" s="140"/>
      <c r="AO275" s="140"/>
      <c r="AP275" s="140"/>
      <c r="AQ275" s="140"/>
      <c r="AR275" s="140"/>
      <c r="AS275" s="140"/>
      <c r="AT275" s="140"/>
      <c r="AU275" s="140"/>
      <c r="AV275" s="140"/>
      <c r="AW275" s="140"/>
      <c r="AX275" s="140"/>
      <c r="AY275" s="140"/>
      <c r="AZ275" s="140"/>
      <c r="BA275" s="140"/>
      <c r="BB275" s="140"/>
      <c r="BC275" s="140"/>
      <c r="BD275" s="140"/>
      <c r="BE275" s="140"/>
      <c r="BF275" s="140"/>
      <c r="BG275" s="140"/>
      <c r="BH275" s="140"/>
      <c r="BI275" s="140"/>
      <c r="BJ275" s="140"/>
      <c r="BK275" s="140"/>
      <c r="BL275" s="140"/>
      <c r="BM275" s="140"/>
      <c r="BN275" s="140"/>
      <c r="BO275" s="140"/>
      <c r="BP275" s="140"/>
      <c r="BQ275" s="140"/>
      <c r="BR275" s="140"/>
      <c r="BS275" s="140"/>
      <c r="BT275" s="140"/>
      <c r="BU275" s="140"/>
      <c r="BV275" s="140"/>
      <c r="BW275" s="140"/>
      <c r="BX275" s="140"/>
      <c r="BY275" s="140"/>
      <c r="BZ275" s="140"/>
      <c r="CA275" s="140"/>
      <c r="CB275" s="140"/>
      <c r="CC275" s="140"/>
      <c r="CD275" s="140"/>
      <c r="CE275" s="140"/>
      <c r="CF275" s="140"/>
      <c r="CG275" s="140"/>
      <c r="CH275" s="140"/>
      <c r="CI275" s="140"/>
      <c r="CJ275" s="140"/>
      <c r="CK275" s="140"/>
      <c r="CL275" s="140"/>
      <c r="CM275" s="140"/>
      <c r="CN275" s="140"/>
      <c r="CO275" s="140"/>
      <c r="CP275" s="140"/>
      <c r="CQ275" s="140"/>
      <c r="CR275" s="140"/>
      <c r="CS275" s="140"/>
      <c r="CT275" s="140"/>
      <c r="CU275" s="140"/>
      <c r="CV275" s="140"/>
      <c r="CW275" s="140"/>
      <c r="CX275" s="140"/>
      <c r="CY275" s="140"/>
      <c r="CZ275" s="140"/>
      <c r="DA275" s="140"/>
      <c r="DB275" s="140"/>
      <c r="DC275" s="140"/>
      <c r="DD275" s="140"/>
      <c r="DE275" s="140"/>
    </row>
    <row r="276" spans="1:109" s="139" customForma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3"/>
      <c r="U276" s="143"/>
      <c r="V276" s="143"/>
      <c r="W276" s="143"/>
      <c r="X276" s="143"/>
      <c r="Y276" s="143"/>
      <c r="Z276" s="143"/>
      <c r="AA276" s="143"/>
      <c r="AC276" s="140"/>
      <c r="AD276" s="140"/>
      <c r="AE276" s="140"/>
      <c r="AF276" s="140"/>
      <c r="AG276" s="140"/>
      <c r="AH276" s="141"/>
      <c r="AI276" s="143"/>
      <c r="AJ276" s="140"/>
      <c r="AK276" s="140"/>
      <c r="AL276" s="140"/>
      <c r="AM276" s="140"/>
      <c r="AN276" s="140"/>
      <c r="AO276" s="140"/>
      <c r="AP276" s="140"/>
      <c r="AQ276" s="140"/>
      <c r="AR276" s="140"/>
      <c r="AS276" s="140"/>
      <c r="AT276" s="140"/>
      <c r="AU276" s="140"/>
      <c r="AV276" s="140"/>
      <c r="AW276" s="140"/>
      <c r="AX276" s="140"/>
      <c r="AY276" s="140"/>
      <c r="AZ276" s="140"/>
      <c r="BA276" s="140"/>
      <c r="BB276" s="140"/>
      <c r="BC276" s="140"/>
      <c r="BD276" s="140"/>
      <c r="BE276" s="140"/>
      <c r="BF276" s="140"/>
      <c r="BG276" s="140"/>
      <c r="BH276" s="140"/>
      <c r="BI276" s="140"/>
      <c r="BJ276" s="140"/>
      <c r="BK276" s="140"/>
      <c r="BL276" s="140"/>
      <c r="BM276" s="140"/>
      <c r="BN276" s="140"/>
      <c r="BO276" s="140"/>
      <c r="BP276" s="140"/>
      <c r="BQ276" s="140"/>
      <c r="BR276" s="140"/>
      <c r="BS276" s="140"/>
      <c r="BT276" s="140"/>
      <c r="BU276" s="140"/>
      <c r="BV276" s="140"/>
      <c r="BW276" s="140"/>
      <c r="BX276" s="140"/>
      <c r="BY276" s="140"/>
      <c r="BZ276" s="140"/>
      <c r="CA276" s="140"/>
      <c r="CB276" s="140"/>
      <c r="CC276" s="140"/>
      <c r="CD276" s="140"/>
      <c r="CE276" s="140"/>
      <c r="CF276" s="140"/>
      <c r="CG276" s="140"/>
      <c r="CH276" s="140"/>
      <c r="CI276" s="140"/>
      <c r="CJ276" s="140"/>
      <c r="CK276" s="140"/>
      <c r="CL276" s="140"/>
      <c r="CM276" s="140"/>
      <c r="CN276" s="140"/>
      <c r="CO276" s="140"/>
      <c r="CP276" s="140"/>
      <c r="CQ276" s="140"/>
      <c r="CR276" s="140"/>
      <c r="CS276" s="140"/>
      <c r="CT276" s="140"/>
      <c r="CU276" s="140"/>
      <c r="CV276" s="140"/>
      <c r="CW276" s="140"/>
      <c r="CX276" s="140"/>
      <c r="CY276" s="140"/>
      <c r="CZ276" s="140"/>
      <c r="DA276" s="140"/>
      <c r="DB276" s="140"/>
      <c r="DC276" s="140"/>
      <c r="DD276" s="140"/>
      <c r="DE276" s="140"/>
    </row>
    <row r="277" spans="1:109" s="139" customForma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3"/>
      <c r="U277" s="143"/>
      <c r="V277" s="143"/>
      <c r="W277" s="143"/>
      <c r="X277" s="143"/>
      <c r="Y277" s="143"/>
      <c r="Z277" s="143"/>
      <c r="AA277" s="143"/>
      <c r="AC277" s="140"/>
      <c r="AD277" s="140"/>
      <c r="AE277" s="140"/>
      <c r="AF277" s="140"/>
      <c r="AG277" s="140"/>
      <c r="AH277" s="141"/>
      <c r="AI277" s="143"/>
      <c r="AJ277" s="140"/>
      <c r="AK277" s="140"/>
      <c r="AL277" s="140"/>
      <c r="AM277" s="140"/>
      <c r="AN277" s="140"/>
      <c r="AO277" s="140"/>
      <c r="AP277" s="140"/>
      <c r="AQ277" s="140"/>
      <c r="AR277" s="140"/>
      <c r="AS277" s="140"/>
      <c r="AT277" s="140"/>
      <c r="AU277" s="140"/>
      <c r="AV277" s="140"/>
      <c r="AW277" s="140"/>
      <c r="AX277" s="140"/>
      <c r="AY277" s="140"/>
      <c r="AZ277" s="140"/>
      <c r="BA277" s="140"/>
      <c r="BB277" s="140"/>
      <c r="BC277" s="140"/>
      <c r="BD277" s="140"/>
      <c r="BE277" s="140"/>
      <c r="BF277" s="140"/>
      <c r="BG277" s="140"/>
      <c r="BH277" s="140"/>
      <c r="BI277" s="140"/>
      <c r="BJ277" s="140"/>
      <c r="BK277" s="140"/>
      <c r="BL277" s="140"/>
      <c r="BM277" s="140"/>
      <c r="BN277" s="140"/>
      <c r="BO277" s="140"/>
      <c r="BP277" s="140"/>
      <c r="BQ277" s="140"/>
      <c r="BR277" s="140"/>
      <c r="BS277" s="140"/>
      <c r="BT277" s="140"/>
      <c r="BU277" s="140"/>
      <c r="BV277" s="140"/>
      <c r="BW277" s="140"/>
      <c r="BX277" s="140"/>
      <c r="BY277" s="140"/>
      <c r="BZ277" s="140"/>
      <c r="CA277" s="140"/>
      <c r="CB277" s="140"/>
      <c r="CC277" s="140"/>
      <c r="CD277" s="140"/>
      <c r="CE277" s="140"/>
      <c r="CF277" s="140"/>
      <c r="CG277" s="140"/>
      <c r="CH277" s="140"/>
      <c r="CI277" s="140"/>
      <c r="CJ277" s="140"/>
      <c r="CK277" s="140"/>
      <c r="CL277" s="140"/>
      <c r="CM277" s="140"/>
      <c r="CN277" s="140"/>
      <c r="CO277" s="140"/>
      <c r="CP277" s="140"/>
      <c r="CQ277" s="140"/>
      <c r="CR277" s="140"/>
      <c r="CS277" s="140"/>
      <c r="CT277" s="140"/>
      <c r="CU277" s="140"/>
      <c r="CV277" s="140"/>
      <c r="CW277" s="140"/>
      <c r="CX277" s="140"/>
      <c r="CY277" s="140"/>
      <c r="CZ277" s="140"/>
      <c r="DA277" s="140"/>
      <c r="DB277" s="140"/>
      <c r="DC277" s="140"/>
      <c r="DD277" s="140"/>
      <c r="DE277" s="140"/>
    </row>
    <row r="278" spans="1:109" s="139" customForma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3"/>
      <c r="U278" s="143"/>
      <c r="V278" s="143"/>
      <c r="W278" s="143"/>
      <c r="X278" s="143"/>
      <c r="Y278" s="143"/>
      <c r="Z278" s="143"/>
      <c r="AA278" s="143"/>
      <c r="AC278" s="140"/>
      <c r="AD278" s="140"/>
      <c r="AE278" s="140"/>
      <c r="AF278" s="140"/>
      <c r="AG278" s="140"/>
      <c r="AH278" s="141"/>
      <c r="AI278" s="143"/>
      <c r="AJ278" s="140"/>
      <c r="AK278" s="140"/>
      <c r="AL278" s="140"/>
      <c r="AM278" s="140"/>
      <c r="AN278" s="140"/>
      <c r="AO278" s="140"/>
      <c r="AP278" s="140"/>
      <c r="AQ278" s="140"/>
      <c r="AR278" s="140"/>
      <c r="AS278" s="140"/>
      <c r="AT278" s="140"/>
      <c r="AU278" s="140"/>
      <c r="AV278" s="140"/>
      <c r="AW278" s="140"/>
      <c r="AX278" s="140"/>
      <c r="AY278" s="140"/>
      <c r="AZ278" s="140"/>
      <c r="BA278" s="140"/>
      <c r="BB278" s="140"/>
      <c r="BC278" s="140"/>
      <c r="BD278" s="140"/>
      <c r="BE278" s="140"/>
      <c r="BF278" s="140"/>
      <c r="BG278" s="140"/>
      <c r="BH278" s="140"/>
      <c r="BI278" s="140"/>
      <c r="BJ278" s="140"/>
      <c r="BK278" s="140"/>
      <c r="BL278" s="140"/>
      <c r="BM278" s="140"/>
      <c r="BN278" s="140"/>
      <c r="BO278" s="140"/>
      <c r="BP278" s="140"/>
      <c r="BQ278" s="140"/>
      <c r="BR278" s="140"/>
      <c r="BS278" s="140"/>
      <c r="BT278" s="140"/>
      <c r="BU278" s="140"/>
      <c r="BV278" s="140"/>
      <c r="BW278" s="140"/>
      <c r="BX278" s="140"/>
      <c r="BY278" s="140"/>
      <c r="BZ278" s="140"/>
      <c r="CA278" s="140"/>
      <c r="CB278" s="140"/>
      <c r="CC278" s="140"/>
      <c r="CD278" s="140"/>
      <c r="CE278" s="140"/>
      <c r="CF278" s="140"/>
      <c r="CG278" s="140"/>
      <c r="CH278" s="140"/>
      <c r="CI278" s="140"/>
      <c r="CJ278" s="140"/>
      <c r="CK278" s="140"/>
      <c r="CL278" s="140"/>
      <c r="CM278" s="140"/>
      <c r="CN278" s="140"/>
      <c r="CO278" s="140"/>
      <c r="CP278" s="140"/>
      <c r="CQ278" s="140"/>
      <c r="CR278" s="140"/>
      <c r="CS278" s="140"/>
      <c r="CT278" s="140"/>
      <c r="CU278" s="140"/>
      <c r="CV278" s="140"/>
      <c r="CW278" s="140"/>
      <c r="CX278" s="140"/>
      <c r="CY278" s="140"/>
      <c r="CZ278" s="140"/>
      <c r="DA278" s="140"/>
      <c r="DB278" s="140"/>
      <c r="DC278" s="140"/>
      <c r="DD278" s="140"/>
      <c r="DE278" s="140"/>
    </row>
    <row r="279" spans="1:109" s="139" customForma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3"/>
      <c r="U279" s="143"/>
      <c r="V279" s="143"/>
      <c r="W279" s="143"/>
      <c r="X279" s="143"/>
      <c r="Y279" s="143"/>
      <c r="Z279" s="143"/>
      <c r="AA279" s="143"/>
      <c r="AC279" s="140"/>
      <c r="AD279" s="140"/>
      <c r="AE279" s="140"/>
      <c r="AF279" s="140"/>
      <c r="AG279" s="140"/>
      <c r="AH279" s="141"/>
      <c r="AI279" s="143"/>
      <c r="AJ279" s="140"/>
      <c r="AK279" s="140"/>
      <c r="AL279" s="140"/>
      <c r="AM279" s="140"/>
      <c r="AN279" s="140"/>
      <c r="AO279" s="140"/>
      <c r="AP279" s="140"/>
      <c r="AQ279" s="140"/>
      <c r="AR279" s="140"/>
      <c r="AS279" s="140"/>
      <c r="AT279" s="140"/>
      <c r="AU279" s="140"/>
      <c r="AV279" s="140"/>
      <c r="AW279" s="140"/>
      <c r="AX279" s="140"/>
      <c r="AY279" s="140"/>
      <c r="AZ279" s="140"/>
      <c r="BA279" s="140"/>
      <c r="BB279" s="140"/>
      <c r="BC279" s="140"/>
      <c r="BD279" s="140"/>
      <c r="BE279" s="140"/>
      <c r="BF279" s="140"/>
      <c r="BG279" s="140"/>
      <c r="BH279" s="140"/>
      <c r="BI279" s="140"/>
      <c r="BJ279" s="140"/>
      <c r="BK279" s="140"/>
      <c r="BL279" s="140"/>
      <c r="BM279" s="140"/>
      <c r="BN279" s="140"/>
      <c r="BO279" s="140"/>
      <c r="BP279" s="140"/>
      <c r="BQ279" s="140"/>
      <c r="BR279" s="140"/>
      <c r="BS279" s="140"/>
      <c r="BT279" s="140"/>
      <c r="BU279" s="140"/>
      <c r="BV279" s="140"/>
      <c r="BW279" s="140"/>
      <c r="BX279" s="140"/>
      <c r="BY279" s="140"/>
      <c r="BZ279" s="140"/>
      <c r="CA279" s="140"/>
      <c r="CB279" s="140"/>
      <c r="CC279" s="140"/>
      <c r="CD279" s="140"/>
      <c r="CE279" s="140"/>
      <c r="CF279" s="140"/>
      <c r="CG279" s="140"/>
      <c r="CH279" s="140"/>
      <c r="CI279" s="140"/>
      <c r="CJ279" s="140"/>
      <c r="CK279" s="140"/>
      <c r="CL279" s="140"/>
      <c r="CM279" s="140"/>
      <c r="CN279" s="140"/>
      <c r="CO279" s="140"/>
      <c r="CP279" s="140"/>
      <c r="CQ279" s="140"/>
      <c r="CR279" s="140"/>
      <c r="CS279" s="140"/>
      <c r="CT279" s="140"/>
      <c r="CU279" s="140"/>
      <c r="CV279" s="140"/>
      <c r="CW279" s="140"/>
      <c r="CX279" s="140"/>
      <c r="CY279" s="140"/>
      <c r="CZ279" s="140"/>
      <c r="DA279" s="140"/>
      <c r="DB279" s="140"/>
      <c r="DC279" s="140"/>
      <c r="DD279" s="140"/>
      <c r="DE279" s="140"/>
    </row>
    <row r="280" spans="1:109" s="139" customForma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3"/>
      <c r="U280" s="143"/>
      <c r="V280" s="143"/>
      <c r="W280" s="143"/>
      <c r="X280" s="143"/>
      <c r="Y280" s="143"/>
      <c r="Z280" s="143"/>
      <c r="AA280" s="143"/>
      <c r="AC280" s="140"/>
      <c r="AD280" s="140"/>
      <c r="AE280" s="140"/>
      <c r="AF280" s="140"/>
      <c r="AG280" s="140"/>
      <c r="AH280" s="141"/>
      <c r="AI280" s="143"/>
      <c r="AJ280" s="140"/>
      <c r="AK280" s="140"/>
      <c r="AL280" s="140"/>
      <c r="AM280" s="140"/>
      <c r="AN280" s="140"/>
      <c r="AO280" s="140"/>
      <c r="AP280" s="140"/>
      <c r="AQ280" s="140"/>
      <c r="AR280" s="140"/>
      <c r="AS280" s="140"/>
      <c r="AT280" s="140"/>
      <c r="AU280" s="140"/>
      <c r="AV280" s="140"/>
      <c r="AW280" s="140"/>
      <c r="AX280" s="140"/>
      <c r="AY280" s="140"/>
      <c r="AZ280" s="140"/>
      <c r="BA280" s="140"/>
      <c r="BB280" s="140"/>
      <c r="BC280" s="140"/>
      <c r="BD280" s="140"/>
      <c r="BE280" s="140"/>
      <c r="BF280" s="140"/>
      <c r="BG280" s="140"/>
      <c r="BH280" s="140"/>
      <c r="BI280" s="140"/>
      <c r="BJ280" s="140"/>
      <c r="BK280" s="140"/>
      <c r="BL280" s="140"/>
      <c r="BM280" s="140"/>
      <c r="BN280" s="140"/>
      <c r="BO280" s="140"/>
      <c r="BP280" s="140"/>
      <c r="BQ280" s="140"/>
      <c r="BR280" s="140"/>
      <c r="BS280" s="140"/>
      <c r="BT280" s="140"/>
      <c r="BU280" s="140"/>
      <c r="BV280" s="140"/>
      <c r="BW280" s="140"/>
      <c r="BX280" s="140"/>
      <c r="BY280" s="140"/>
      <c r="BZ280" s="140"/>
      <c r="CA280" s="140"/>
      <c r="CB280" s="140"/>
      <c r="CC280" s="140"/>
      <c r="CD280" s="140"/>
      <c r="CE280" s="140"/>
      <c r="CF280" s="140"/>
      <c r="CG280" s="140"/>
      <c r="CH280" s="140"/>
      <c r="CI280" s="140"/>
      <c r="CJ280" s="140"/>
      <c r="CK280" s="140"/>
      <c r="CL280" s="140"/>
      <c r="CM280" s="140"/>
      <c r="CN280" s="140"/>
      <c r="CO280" s="140"/>
      <c r="CP280" s="140"/>
      <c r="CQ280" s="140"/>
      <c r="CR280" s="140"/>
      <c r="CS280" s="140"/>
      <c r="CT280" s="140"/>
      <c r="CU280" s="140"/>
      <c r="CV280" s="140"/>
      <c r="CW280" s="140"/>
      <c r="CX280" s="140"/>
      <c r="CY280" s="140"/>
      <c r="CZ280" s="140"/>
      <c r="DA280" s="140"/>
      <c r="DB280" s="140"/>
      <c r="DC280" s="140"/>
      <c r="DD280" s="140"/>
      <c r="DE280" s="140"/>
    </row>
    <row r="281" spans="1:109" s="139" customForma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3"/>
      <c r="U281" s="143"/>
      <c r="V281" s="143"/>
      <c r="W281" s="143"/>
      <c r="X281" s="143"/>
      <c r="Y281" s="143"/>
      <c r="Z281" s="143"/>
      <c r="AA281" s="143"/>
      <c r="AC281" s="140"/>
      <c r="AD281" s="140"/>
      <c r="AE281" s="140"/>
      <c r="AF281" s="140"/>
      <c r="AG281" s="140"/>
      <c r="AH281" s="141"/>
      <c r="AI281" s="143"/>
      <c r="AJ281" s="140"/>
      <c r="AK281" s="140"/>
      <c r="AL281" s="140"/>
      <c r="AM281" s="140"/>
      <c r="AN281" s="140"/>
      <c r="AO281" s="140"/>
      <c r="AP281" s="140"/>
      <c r="AQ281" s="140"/>
      <c r="AR281" s="140"/>
      <c r="AS281" s="140"/>
      <c r="AT281" s="140"/>
      <c r="AU281" s="140"/>
      <c r="AV281" s="140"/>
      <c r="AW281" s="140"/>
      <c r="AX281" s="140"/>
      <c r="AY281" s="140"/>
      <c r="AZ281" s="140"/>
      <c r="BA281" s="140"/>
      <c r="BB281" s="140"/>
      <c r="BC281" s="140"/>
      <c r="BD281" s="140"/>
      <c r="BE281" s="140"/>
      <c r="BF281" s="140"/>
      <c r="BG281" s="140"/>
      <c r="BH281" s="140"/>
      <c r="BI281" s="140"/>
      <c r="BJ281" s="140"/>
      <c r="BK281" s="140"/>
      <c r="BL281" s="140"/>
      <c r="BM281" s="140"/>
      <c r="BN281" s="140"/>
      <c r="BO281" s="140"/>
      <c r="BP281" s="140"/>
      <c r="BQ281" s="140"/>
      <c r="BR281" s="140"/>
      <c r="BS281" s="140"/>
      <c r="BT281" s="140"/>
      <c r="BU281" s="140"/>
      <c r="BV281" s="140"/>
      <c r="BW281" s="140"/>
      <c r="BX281" s="140"/>
      <c r="BY281" s="140"/>
      <c r="BZ281" s="140"/>
      <c r="CA281" s="140"/>
      <c r="CB281" s="140"/>
      <c r="CC281" s="140"/>
      <c r="CD281" s="140"/>
      <c r="CE281" s="140"/>
      <c r="CF281" s="140"/>
      <c r="CG281" s="140"/>
      <c r="CH281" s="140"/>
      <c r="CI281" s="140"/>
      <c r="CJ281" s="140"/>
      <c r="CK281" s="140"/>
      <c r="CL281" s="140"/>
      <c r="CM281" s="140"/>
      <c r="CN281" s="140"/>
      <c r="CO281" s="140"/>
      <c r="CP281" s="140"/>
      <c r="CQ281" s="140"/>
      <c r="CR281" s="140"/>
      <c r="CS281" s="140"/>
      <c r="CT281" s="140"/>
      <c r="CU281" s="140"/>
      <c r="CV281" s="140"/>
      <c r="CW281" s="140"/>
      <c r="CX281" s="140"/>
      <c r="CY281" s="140"/>
      <c r="CZ281" s="140"/>
      <c r="DA281" s="140"/>
      <c r="DB281" s="140"/>
      <c r="DC281" s="140"/>
      <c r="DD281" s="140"/>
      <c r="DE281" s="140"/>
    </row>
    <row r="282" spans="1:109" s="139" customForma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3"/>
      <c r="U282" s="143"/>
      <c r="V282" s="143"/>
      <c r="W282" s="143"/>
      <c r="X282" s="143"/>
      <c r="Y282" s="143"/>
      <c r="Z282" s="143"/>
      <c r="AA282" s="143"/>
      <c r="AC282" s="140"/>
      <c r="AD282" s="140"/>
      <c r="AE282" s="140"/>
      <c r="AF282" s="140"/>
      <c r="AG282" s="140"/>
      <c r="AH282" s="141"/>
      <c r="AI282" s="143"/>
      <c r="AJ282" s="140"/>
      <c r="AK282" s="140"/>
      <c r="AL282" s="140"/>
      <c r="AM282" s="140"/>
      <c r="AN282" s="140"/>
      <c r="AO282" s="140"/>
      <c r="AP282" s="140"/>
      <c r="AQ282" s="140"/>
      <c r="AR282" s="140"/>
      <c r="AS282" s="140"/>
      <c r="AT282" s="140"/>
      <c r="AU282" s="140"/>
      <c r="AV282" s="140"/>
      <c r="AW282" s="140"/>
      <c r="AX282" s="140"/>
      <c r="AY282" s="140"/>
      <c r="AZ282" s="140"/>
      <c r="BA282" s="140"/>
      <c r="BB282" s="140"/>
      <c r="BC282" s="140"/>
      <c r="BD282" s="140"/>
      <c r="BE282" s="140"/>
      <c r="BF282" s="140"/>
      <c r="BG282" s="140"/>
      <c r="BH282" s="140"/>
      <c r="BI282" s="140"/>
      <c r="BJ282" s="140"/>
      <c r="BK282" s="140"/>
      <c r="BL282" s="140"/>
      <c r="BM282" s="140"/>
      <c r="BN282" s="140"/>
      <c r="BO282" s="140"/>
      <c r="BP282" s="140"/>
      <c r="BQ282" s="140"/>
      <c r="BR282" s="140"/>
      <c r="BS282" s="140"/>
      <c r="BT282" s="140"/>
      <c r="BU282" s="140"/>
      <c r="BV282" s="140"/>
      <c r="BW282" s="140"/>
      <c r="BX282" s="140"/>
      <c r="BY282" s="140"/>
      <c r="BZ282" s="140"/>
      <c r="CA282" s="140"/>
      <c r="CB282" s="140"/>
      <c r="CC282" s="140"/>
      <c r="CD282" s="140"/>
      <c r="CE282" s="140"/>
      <c r="CF282" s="140"/>
      <c r="CG282" s="140"/>
      <c r="CH282" s="140"/>
      <c r="CI282" s="140"/>
      <c r="CJ282" s="140"/>
      <c r="CK282" s="140"/>
      <c r="CL282" s="140"/>
      <c r="CM282" s="140"/>
      <c r="CN282" s="140"/>
      <c r="CO282" s="140"/>
      <c r="CP282" s="140"/>
      <c r="CQ282" s="140"/>
      <c r="CR282" s="140"/>
      <c r="CS282" s="140"/>
      <c r="CT282" s="140"/>
      <c r="CU282" s="140"/>
      <c r="CV282" s="140"/>
      <c r="CW282" s="140"/>
      <c r="CX282" s="140"/>
      <c r="CY282" s="140"/>
      <c r="CZ282" s="140"/>
      <c r="DA282" s="140"/>
      <c r="DB282" s="140"/>
      <c r="DC282" s="140"/>
      <c r="DD282" s="140"/>
      <c r="DE282" s="140"/>
    </row>
    <row r="283" spans="1:109" s="139" customForma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3"/>
      <c r="U283" s="143"/>
      <c r="V283" s="143"/>
      <c r="W283" s="143"/>
      <c r="X283" s="143"/>
      <c r="Y283" s="143"/>
      <c r="Z283" s="143"/>
      <c r="AA283" s="143"/>
      <c r="AC283" s="140"/>
      <c r="AD283" s="140"/>
      <c r="AE283" s="140"/>
      <c r="AF283" s="140"/>
      <c r="AG283" s="140"/>
      <c r="AH283" s="141"/>
      <c r="AI283" s="143"/>
      <c r="AJ283" s="140"/>
      <c r="AK283" s="140"/>
      <c r="AL283" s="140"/>
      <c r="AM283" s="140"/>
      <c r="AN283" s="140"/>
      <c r="AO283" s="140"/>
      <c r="AP283" s="140"/>
      <c r="AQ283" s="140"/>
      <c r="AR283" s="140"/>
      <c r="AS283" s="140"/>
      <c r="AT283" s="140"/>
      <c r="AU283" s="140"/>
      <c r="AV283" s="140"/>
      <c r="AW283" s="140"/>
      <c r="AX283" s="140"/>
      <c r="AY283" s="140"/>
      <c r="AZ283" s="140"/>
      <c r="BA283" s="140"/>
      <c r="BB283" s="140"/>
      <c r="BC283" s="140"/>
      <c r="BD283" s="140"/>
      <c r="BE283" s="140"/>
      <c r="BF283" s="140"/>
      <c r="BG283" s="140"/>
      <c r="BH283" s="140"/>
      <c r="BI283" s="140"/>
      <c r="BJ283" s="140"/>
      <c r="BK283" s="140"/>
      <c r="BL283" s="140"/>
      <c r="BM283" s="140"/>
      <c r="BN283" s="140"/>
      <c r="BO283" s="140"/>
      <c r="BP283" s="140"/>
      <c r="BQ283" s="140"/>
      <c r="BR283" s="140"/>
      <c r="BS283" s="140"/>
      <c r="BT283" s="140"/>
      <c r="BU283" s="140"/>
      <c r="BV283" s="140"/>
      <c r="BW283" s="140"/>
      <c r="BX283" s="140"/>
      <c r="BY283" s="140"/>
      <c r="BZ283" s="140"/>
      <c r="CA283" s="140"/>
      <c r="CB283" s="140"/>
      <c r="CC283" s="140"/>
      <c r="CD283" s="140"/>
      <c r="CE283" s="140"/>
      <c r="CF283" s="140"/>
      <c r="CG283" s="140"/>
      <c r="CH283" s="140"/>
      <c r="CI283" s="140"/>
      <c r="CJ283" s="140"/>
      <c r="CK283" s="140"/>
      <c r="CL283" s="140"/>
      <c r="CM283" s="140"/>
      <c r="CN283" s="140"/>
      <c r="CO283" s="140"/>
      <c r="CP283" s="140"/>
      <c r="CQ283" s="140"/>
      <c r="CR283" s="140"/>
      <c r="CS283" s="140"/>
      <c r="CT283" s="140"/>
      <c r="CU283" s="140"/>
      <c r="CV283" s="140"/>
      <c r="CW283" s="140"/>
      <c r="CX283" s="140"/>
      <c r="CY283" s="140"/>
      <c r="CZ283" s="140"/>
      <c r="DA283" s="140"/>
      <c r="DB283" s="140"/>
      <c r="DC283" s="140"/>
      <c r="DD283" s="140"/>
      <c r="DE283" s="140"/>
    </row>
    <row r="284" spans="1:109" s="139" customForma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3"/>
      <c r="U284" s="143"/>
      <c r="V284" s="143"/>
      <c r="W284" s="143"/>
      <c r="X284" s="143"/>
      <c r="Y284" s="143"/>
      <c r="Z284" s="143"/>
      <c r="AA284" s="143"/>
      <c r="AC284" s="140"/>
      <c r="AD284" s="140"/>
      <c r="AE284" s="140"/>
      <c r="AF284" s="140"/>
      <c r="AG284" s="140"/>
      <c r="AH284" s="141"/>
      <c r="AI284" s="143"/>
      <c r="AJ284" s="140"/>
      <c r="AK284" s="140"/>
      <c r="AL284" s="140"/>
      <c r="AM284" s="140"/>
      <c r="AN284" s="140"/>
      <c r="AO284" s="140"/>
      <c r="AP284" s="140"/>
      <c r="AQ284" s="140"/>
      <c r="AR284" s="140"/>
      <c r="AS284" s="140"/>
      <c r="AT284" s="140"/>
      <c r="AU284" s="140"/>
      <c r="AV284" s="140"/>
      <c r="AW284" s="140"/>
      <c r="AX284" s="140"/>
      <c r="AY284" s="140"/>
      <c r="AZ284" s="140"/>
      <c r="BA284" s="140"/>
      <c r="BB284" s="140"/>
      <c r="BC284" s="140"/>
      <c r="BD284" s="140"/>
      <c r="BE284" s="140"/>
      <c r="BF284" s="140"/>
      <c r="BG284" s="140"/>
      <c r="BH284" s="140"/>
      <c r="BI284" s="140"/>
      <c r="BJ284" s="140"/>
      <c r="BK284" s="140"/>
      <c r="BL284" s="140"/>
      <c r="BM284" s="140"/>
      <c r="BN284" s="140"/>
      <c r="BO284" s="140"/>
      <c r="BP284" s="140"/>
      <c r="BQ284" s="140"/>
      <c r="BR284" s="140"/>
      <c r="BS284" s="140"/>
      <c r="BT284" s="140"/>
      <c r="BU284" s="140"/>
      <c r="BV284" s="140"/>
      <c r="BW284" s="140"/>
      <c r="BX284" s="140"/>
      <c r="BY284" s="140"/>
      <c r="BZ284" s="140"/>
      <c r="CA284" s="140"/>
      <c r="CB284" s="140"/>
      <c r="CC284" s="140"/>
      <c r="CD284" s="140"/>
      <c r="CE284" s="140"/>
      <c r="CF284" s="140"/>
      <c r="CG284" s="140"/>
      <c r="CH284" s="140"/>
      <c r="CI284" s="140"/>
      <c r="CJ284" s="140"/>
      <c r="CK284" s="140"/>
      <c r="CL284" s="140"/>
      <c r="CM284" s="140"/>
      <c r="CN284" s="140"/>
      <c r="CO284" s="140"/>
      <c r="CP284" s="140"/>
      <c r="CQ284" s="140"/>
      <c r="CR284" s="140"/>
      <c r="CS284" s="140"/>
      <c r="CT284" s="140"/>
      <c r="CU284" s="140"/>
      <c r="CV284" s="140"/>
      <c r="CW284" s="140"/>
      <c r="CX284" s="140"/>
      <c r="CY284" s="140"/>
      <c r="CZ284" s="140"/>
      <c r="DA284" s="140"/>
      <c r="DB284" s="140"/>
      <c r="DC284" s="140"/>
      <c r="DD284" s="140"/>
      <c r="DE284" s="140"/>
    </row>
    <row r="285" spans="1:109" s="139" customForma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3"/>
      <c r="U285" s="143"/>
      <c r="V285" s="143"/>
      <c r="W285" s="143"/>
      <c r="X285" s="143"/>
      <c r="Y285" s="143"/>
      <c r="Z285" s="143"/>
      <c r="AA285" s="143"/>
      <c r="AC285" s="140"/>
      <c r="AD285" s="140"/>
      <c r="AE285" s="140"/>
      <c r="AF285" s="140"/>
      <c r="AG285" s="140"/>
      <c r="AH285" s="141"/>
      <c r="AI285" s="143"/>
      <c r="AJ285" s="140"/>
      <c r="AK285" s="140"/>
      <c r="AL285" s="140"/>
      <c r="AM285" s="140"/>
      <c r="AN285" s="140"/>
      <c r="AO285" s="140"/>
      <c r="AP285" s="140"/>
      <c r="AQ285" s="140"/>
      <c r="AR285" s="140"/>
      <c r="AS285" s="140"/>
      <c r="AT285" s="140"/>
      <c r="AU285" s="140"/>
      <c r="AV285" s="140"/>
      <c r="AW285" s="140"/>
      <c r="AX285" s="140"/>
      <c r="AY285" s="140"/>
      <c r="AZ285" s="140"/>
      <c r="BA285" s="140"/>
      <c r="BB285" s="140"/>
      <c r="BC285" s="140"/>
      <c r="BD285" s="140"/>
      <c r="BE285" s="140"/>
      <c r="BF285" s="140"/>
      <c r="BG285" s="140"/>
      <c r="BH285" s="140"/>
      <c r="BI285" s="140"/>
      <c r="BJ285" s="140"/>
      <c r="BK285" s="140"/>
      <c r="BL285" s="140"/>
      <c r="BM285" s="140"/>
      <c r="BN285" s="140"/>
      <c r="BO285" s="140"/>
      <c r="BP285" s="140"/>
      <c r="BQ285" s="140"/>
      <c r="BR285" s="140"/>
      <c r="BS285" s="140"/>
      <c r="BT285" s="140"/>
      <c r="BU285" s="140"/>
      <c r="BV285" s="140"/>
      <c r="BW285" s="140"/>
      <c r="BX285" s="140"/>
      <c r="BY285" s="140"/>
      <c r="BZ285" s="140"/>
      <c r="CA285" s="140"/>
      <c r="CB285" s="140"/>
      <c r="CC285" s="140"/>
      <c r="CD285" s="140"/>
      <c r="CE285" s="140"/>
      <c r="CF285" s="140"/>
      <c r="CG285" s="140"/>
      <c r="CH285" s="140"/>
      <c r="CI285" s="140"/>
      <c r="CJ285" s="140"/>
      <c r="CK285" s="140"/>
      <c r="CL285" s="140"/>
      <c r="CM285" s="140"/>
      <c r="CN285" s="140"/>
      <c r="CO285" s="140"/>
      <c r="CP285" s="140"/>
      <c r="CQ285" s="140"/>
      <c r="CR285" s="140"/>
      <c r="CS285" s="140"/>
      <c r="CT285" s="140"/>
      <c r="CU285" s="140"/>
      <c r="CV285" s="140"/>
      <c r="CW285" s="140"/>
      <c r="CX285" s="140"/>
      <c r="CY285" s="140"/>
      <c r="CZ285" s="140"/>
      <c r="DA285" s="140"/>
      <c r="DB285" s="140"/>
      <c r="DC285" s="140"/>
      <c r="DD285" s="140"/>
      <c r="DE285" s="140"/>
    </row>
    <row r="286" spans="1:109" s="139" customForma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3"/>
      <c r="U286" s="143"/>
      <c r="V286" s="143"/>
      <c r="W286" s="143"/>
      <c r="X286" s="143"/>
      <c r="Y286" s="143"/>
      <c r="Z286" s="143"/>
      <c r="AA286" s="143"/>
      <c r="AC286" s="140"/>
      <c r="AD286" s="140"/>
      <c r="AE286" s="140"/>
      <c r="AF286" s="140"/>
      <c r="AG286" s="140"/>
      <c r="AH286" s="141"/>
      <c r="AI286" s="143"/>
      <c r="AJ286" s="140"/>
      <c r="AK286" s="140"/>
      <c r="AL286" s="140"/>
      <c r="AM286" s="140"/>
      <c r="AN286" s="140"/>
      <c r="AO286" s="140"/>
      <c r="AP286" s="140"/>
      <c r="AQ286" s="140"/>
      <c r="AR286" s="140"/>
      <c r="AS286" s="140"/>
      <c r="AT286" s="140"/>
      <c r="AU286" s="140"/>
      <c r="AV286" s="140"/>
      <c r="AW286" s="140"/>
      <c r="AX286" s="140"/>
      <c r="AY286" s="140"/>
      <c r="AZ286" s="140"/>
      <c r="BA286" s="140"/>
      <c r="BB286" s="140"/>
      <c r="BC286" s="140"/>
      <c r="BD286" s="140"/>
      <c r="BE286" s="140"/>
      <c r="BF286" s="140"/>
      <c r="BG286" s="140"/>
      <c r="BH286" s="140"/>
      <c r="BI286" s="140"/>
      <c r="BJ286" s="140"/>
      <c r="BK286" s="140"/>
      <c r="BL286" s="140"/>
      <c r="BM286" s="140"/>
      <c r="BN286" s="140"/>
      <c r="BO286" s="140"/>
      <c r="BP286" s="140"/>
      <c r="BQ286" s="140"/>
      <c r="BR286" s="140"/>
      <c r="BS286" s="140"/>
      <c r="BT286" s="140"/>
      <c r="BU286" s="140"/>
      <c r="BV286" s="140"/>
      <c r="BW286" s="140"/>
      <c r="BX286" s="140"/>
      <c r="BY286" s="140"/>
      <c r="BZ286" s="140"/>
      <c r="CA286" s="140"/>
      <c r="CB286" s="140"/>
      <c r="CC286" s="140"/>
      <c r="CD286" s="140"/>
      <c r="CE286" s="140"/>
      <c r="CF286" s="140"/>
      <c r="CG286" s="140"/>
      <c r="CH286" s="140"/>
      <c r="CI286" s="140"/>
      <c r="CJ286" s="140"/>
      <c r="CK286" s="140"/>
      <c r="CL286" s="140"/>
      <c r="CM286" s="140"/>
      <c r="CN286" s="140"/>
      <c r="CO286" s="140"/>
      <c r="CP286" s="140"/>
      <c r="CQ286" s="140"/>
      <c r="CR286" s="140"/>
      <c r="CS286" s="140"/>
      <c r="CT286" s="140"/>
      <c r="CU286" s="140"/>
      <c r="CV286" s="140"/>
      <c r="CW286" s="140"/>
      <c r="CX286" s="140"/>
      <c r="CY286" s="140"/>
      <c r="CZ286" s="140"/>
      <c r="DA286" s="140"/>
      <c r="DB286" s="140"/>
      <c r="DC286" s="140"/>
      <c r="DD286" s="140"/>
      <c r="DE286" s="140"/>
    </row>
    <row r="287" spans="1:109" s="139" customForma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3"/>
      <c r="U287" s="143"/>
      <c r="V287" s="143"/>
      <c r="W287" s="143"/>
      <c r="X287" s="143"/>
      <c r="Y287" s="143"/>
      <c r="Z287" s="143"/>
      <c r="AA287" s="143"/>
      <c r="AC287" s="140"/>
      <c r="AD287" s="140"/>
      <c r="AE287" s="140"/>
      <c r="AF287" s="140"/>
      <c r="AG287" s="140"/>
      <c r="AH287" s="141"/>
      <c r="AI287" s="143"/>
      <c r="AJ287" s="140"/>
      <c r="AK287" s="140"/>
      <c r="AL287" s="140"/>
      <c r="AM287" s="140"/>
      <c r="AN287" s="140"/>
      <c r="AO287" s="140"/>
      <c r="AP287" s="140"/>
      <c r="AQ287" s="140"/>
      <c r="AR287" s="140"/>
      <c r="AS287" s="140"/>
      <c r="AT287" s="140"/>
      <c r="AU287" s="140"/>
      <c r="AV287" s="140"/>
      <c r="AW287" s="140"/>
      <c r="AX287" s="140"/>
      <c r="AY287" s="140"/>
      <c r="AZ287" s="140"/>
      <c r="BA287" s="140"/>
      <c r="BB287" s="140"/>
      <c r="BC287" s="140"/>
      <c r="BD287" s="140"/>
      <c r="BE287" s="140"/>
      <c r="BF287" s="140"/>
      <c r="BG287" s="140"/>
      <c r="BH287" s="140"/>
      <c r="BI287" s="140"/>
      <c r="BJ287" s="140"/>
      <c r="BK287" s="140"/>
      <c r="BL287" s="140"/>
      <c r="BM287" s="140"/>
      <c r="BN287" s="140"/>
      <c r="BO287" s="140"/>
      <c r="BP287" s="140"/>
      <c r="BQ287" s="140"/>
      <c r="BR287" s="140"/>
      <c r="BS287" s="140"/>
      <c r="BT287" s="140"/>
      <c r="BU287" s="140"/>
      <c r="BV287" s="140"/>
      <c r="BW287" s="140"/>
      <c r="BX287" s="140"/>
      <c r="BY287" s="140"/>
      <c r="BZ287" s="140"/>
      <c r="CA287" s="140"/>
      <c r="CB287" s="140"/>
      <c r="CC287" s="140"/>
      <c r="CD287" s="140"/>
      <c r="CE287" s="140"/>
      <c r="CF287" s="140"/>
      <c r="CG287" s="140"/>
      <c r="CH287" s="140"/>
      <c r="CI287" s="140"/>
      <c r="CJ287" s="140"/>
      <c r="CK287" s="140"/>
      <c r="CL287" s="140"/>
      <c r="CM287" s="140"/>
      <c r="CN287" s="140"/>
      <c r="CO287" s="140"/>
      <c r="CP287" s="140"/>
      <c r="CQ287" s="140"/>
      <c r="CR287" s="140"/>
      <c r="CS287" s="140"/>
      <c r="CT287" s="140"/>
      <c r="CU287" s="140"/>
      <c r="CV287" s="140"/>
      <c r="CW287" s="140"/>
      <c r="CX287" s="140"/>
      <c r="CY287" s="140"/>
      <c r="CZ287" s="140"/>
      <c r="DA287" s="140"/>
      <c r="DB287" s="140"/>
      <c r="DC287" s="140"/>
      <c r="DD287" s="140"/>
      <c r="DE287" s="140"/>
    </row>
    <row r="288" spans="1:109" s="139" customForma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3"/>
      <c r="U288" s="143"/>
      <c r="V288" s="143"/>
      <c r="W288" s="143"/>
      <c r="X288" s="143"/>
      <c r="Y288" s="143"/>
      <c r="Z288" s="143"/>
      <c r="AA288" s="143"/>
      <c r="AC288" s="140"/>
      <c r="AD288" s="140"/>
      <c r="AE288" s="140"/>
      <c r="AF288" s="140"/>
      <c r="AG288" s="140"/>
      <c r="AH288" s="141"/>
      <c r="AI288" s="143"/>
      <c r="AJ288" s="140"/>
      <c r="AK288" s="140"/>
      <c r="AL288" s="140"/>
      <c r="AM288" s="140"/>
      <c r="AN288" s="140"/>
      <c r="AO288" s="140"/>
      <c r="AP288" s="140"/>
      <c r="AQ288" s="140"/>
      <c r="AR288" s="140"/>
      <c r="AS288" s="140"/>
      <c r="AT288" s="140"/>
      <c r="AU288" s="140"/>
      <c r="AV288" s="140"/>
      <c r="AW288" s="140"/>
      <c r="AX288" s="140"/>
      <c r="AY288" s="140"/>
      <c r="AZ288" s="140"/>
      <c r="BA288" s="140"/>
      <c r="BB288" s="140"/>
      <c r="BC288" s="140"/>
      <c r="BD288" s="140"/>
      <c r="BE288" s="140"/>
      <c r="BF288" s="140"/>
      <c r="BG288" s="140"/>
      <c r="BH288" s="140"/>
      <c r="BI288" s="140"/>
      <c r="BJ288" s="140"/>
      <c r="BK288" s="140"/>
      <c r="BL288" s="140"/>
      <c r="BM288" s="140"/>
      <c r="BN288" s="140"/>
      <c r="BO288" s="140"/>
      <c r="BP288" s="140"/>
      <c r="BQ288" s="140"/>
      <c r="BR288" s="140"/>
      <c r="BS288" s="140"/>
      <c r="BT288" s="140"/>
      <c r="BU288" s="140"/>
      <c r="BV288" s="140"/>
      <c r="BW288" s="140"/>
      <c r="BX288" s="140"/>
      <c r="BY288" s="140"/>
      <c r="BZ288" s="140"/>
      <c r="CA288" s="140"/>
      <c r="CB288" s="140"/>
      <c r="CC288" s="140"/>
      <c r="CD288" s="140"/>
      <c r="CE288" s="140"/>
      <c r="CF288" s="140"/>
      <c r="CG288" s="140"/>
      <c r="CH288" s="140"/>
      <c r="CI288" s="140"/>
      <c r="CJ288" s="140"/>
      <c r="CK288" s="140"/>
      <c r="CL288" s="140"/>
      <c r="CM288" s="140"/>
      <c r="CN288" s="140"/>
      <c r="CO288" s="140"/>
      <c r="CP288" s="140"/>
      <c r="CQ288" s="140"/>
      <c r="CR288" s="140"/>
      <c r="CS288" s="140"/>
      <c r="CT288" s="140"/>
      <c r="CU288" s="140"/>
      <c r="CV288" s="140"/>
      <c r="CW288" s="140"/>
      <c r="CX288" s="140"/>
      <c r="CY288" s="140"/>
      <c r="CZ288" s="140"/>
      <c r="DA288" s="140"/>
      <c r="DB288" s="140"/>
      <c r="DC288" s="140"/>
      <c r="DD288" s="140"/>
      <c r="DE288" s="140"/>
    </row>
    <row r="289" spans="1:109" s="139" customForma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3"/>
      <c r="U289" s="143"/>
      <c r="V289" s="143"/>
      <c r="W289" s="143"/>
      <c r="X289" s="143"/>
      <c r="Y289" s="143"/>
      <c r="Z289" s="143"/>
      <c r="AA289" s="143"/>
      <c r="AC289" s="140"/>
      <c r="AD289" s="140"/>
      <c r="AE289" s="140"/>
      <c r="AF289" s="140"/>
      <c r="AG289" s="140"/>
      <c r="AH289" s="141"/>
      <c r="AI289" s="143"/>
      <c r="AJ289" s="140"/>
      <c r="AK289" s="140"/>
      <c r="AL289" s="140"/>
      <c r="AM289" s="140"/>
      <c r="AN289" s="140"/>
      <c r="AO289" s="140"/>
      <c r="AP289" s="140"/>
      <c r="AQ289" s="140"/>
      <c r="AR289" s="140"/>
      <c r="AS289" s="140"/>
      <c r="AT289" s="140"/>
      <c r="AU289" s="140"/>
      <c r="AV289" s="140"/>
      <c r="AW289" s="140"/>
      <c r="AX289" s="140"/>
      <c r="AY289" s="140"/>
      <c r="AZ289" s="140"/>
      <c r="BA289" s="140"/>
      <c r="BB289" s="140"/>
      <c r="BC289" s="140"/>
      <c r="BD289" s="140"/>
      <c r="BE289" s="140"/>
      <c r="BF289" s="140"/>
      <c r="BG289" s="140"/>
      <c r="BH289" s="140"/>
      <c r="BI289" s="140"/>
      <c r="BJ289" s="140"/>
      <c r="BK289" s="140"/>
      <c r="BL289" s="140"/>
      <c r="BM289" s="140"/>
      <c r="BN289" s="140"/>
      <c r="BO289" s="140"/>
      <c r="BP289" s="140"/>
      <c r="BQ289" s="140"/>
      <c r="BR289" s="140"/>
      <c r="BS289" s="140"/>
      <c r="BT289" s="140"/>
      <c r="BU289" s="140"/>
      <c r="BV289" s="140"/>
      <c r="BW289" s="140"/>
      <c r="BX289" s="140"/>
      <c r="BY289" s="140"/>
      <c r="BZ289" s="140"/>
      <c r="CA289" s="140"/>
      <c r="CB289" s="140"/>
      <c r="CC289" s="140"/>
      <c r="CD289" s="140"/>
      <c r="CE289" s="140"/>
      <c r="CF289" s="140"/>
      <c r="CG289" s="140"/>
      <c r="CH289" s="140"/>
      <c r="CI289" s="140"/>
      <c r="CJ289" s="140"/>
      <c r="CK289" s="140"/>
      <c r="CL289" s="140"/>
      <c r="CM289" s="140"/>
      <c r="CN289" s="140"/>
      <c r="CO289" s="140"/>
      <c r="CP289" s="140"/>
      <c r="CQ289" s="140"/>
      <c r="CR289" s="140"/>
      <c r="CS289" s="140"/>
      <c r="CT289" s="140"/>
      <c r="CU289" s="140"/>
      <c r="CV289" s="140"/>
      <c r="CW289" s="140"/>
      <c r="CX289" s="140"/>
      <c r="CY289" s="140"/>
      <c r="CZ289" s="140"/>
      <c r="DA289" s="140"/>
      <c r="DB289" s="140"/>
      <c r="DC289" s="140"/>
      <c r="DD289" s="140"/>
      <c r="DE289" s="140"/>
    </row>
    <row r="290" spans="1:109" s="139" customForma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3"/>
      <c r="U290" s="143"/>
      <c r="V290" s="143"/>
      <c r="W290" s="143"/>
      <c r="X290" s="143"/>
      <c r="Y290" s="143"/>
      <c r="Z290" s="143"/>
      <c r="AA290" s="143"/>
      <c r="AC290" s="140"/>
      <c r="AD290" s="140"/>
      <c r="AE290" s="140"/>
      <c r="AF290" s="140"/>
      <c r="AG290" s="140"/>
      <c r="AH290" s="141"/>
      <c r="AI290" s="143"/>
      <c r="AJ290" s="140"/>
      <c r="AK290" s="140"/>
      <c r="AL290" s="140"/>
      <c r="AM290" s="140"/>
      <c r="AN290" s="140"/>
      <c r="AO290" s="140"/>
      <c r="AP290" s="140"/>
      <c r="AQ290" s="140"/>
      <c r="AR290" s="140"/>
      <c r="AS290" s="140"/>
      <c r="AT290" s="140"/>
      <c r="AU290" s="140"/>
      <c r="AV290" s="140"/>
      <c r="AW290" s="140"/>
      <c r="AX290" s="140"/>
      <c r="AY290" s="140"/>
      <c r="AZ290" s="140"/>
      <c r="BA290" s="140"/>
      <c r="BB290" s="140"/>
      <c r="BC290" s="140"/>
      <c r="BD290" s="140"/>
      <c r="BE290" s="140"/>
      <c r="BF290" s="140"/>
      <c r="BG290" s="140"/>
      <c r="BH290" s="140"/>
      <c r="BI290" s="140"/>
      <c r="BJ290" s="140"/>
      <c r="BK290" s="140"/>
      <c r="BL290" s="140"/>
      <c r="BM290" s="140"/>
      <c r="BN290" s="140"/>
      <c r="BO290" s="140"/>
      <c r="BP290" s="140"/>
      <c r="BQ290" s="140"/>
      <c r="BR290" s="140"/>
      <c r="BS290" s="140"/>
      <c r="BT290" s="140"/>
      <c r="BU290" s="140"/>
      <c r="BV290" s="140"/>
      <c r="BW290" s="140"/>
      <c r="BX290" s="140"/>
      <c r="BY290" s="140"/>
      <c r="BZ290" s="140"/>
      <c r="CA290" s="140"/>
      <c r="CB290" s="140"/>
      <c r="CC290" s="140"/>
      <c r="CD290" s="140"/>
      <c r="CE290" s="140"/>
      <c r="CF290" s="140"/>
      <c r="CG290" s="140"/>
      <c r="CH290" s="140"/>
      <c r="CI290" s="140"/>
      <c r="CJ290" s="140"/>
      <c r="CK290" s="140"/>
      <c r="CL290" s="140"/>
      <c r="CM290" s="140"/>
      <c r="CN290" s="140"/>
      <c r="CO290" s="140"/>
      <c r="CP290" s="140"/>
      <c r="CQ290" s="140"/>
      <c r="CR290" s="140"/>
      <c r="CS290" s="140"/>
      <c r="CT290" s="140"/>
      <c r="CU290" s="140"/>
      <c r="CV290" s="140"/>
      <c r="CW290" s="140"/>
      <c r="CX290" s="140"/>
      <c r="CY290" s="140"/>
      <c r="CZ290" s="140"/>
      <c r="DA290" s="140"/>
      <c r="DB290" s="140"/>
      <c r="DC290" s="140"/>
      <c r="DD290" s="140"/>
      <c r="DE290" s="140"/>
    </row>
    <row r="291" spans="1:109" s="139" customForma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3"/>
      <c r="U291" s="143"/>
      <c r="V291" s="143"/>
      <c r="W291" s="143"/>
      <c r="X291" s="143"/>
      <c r="Y291" s="143"/>
      <c r="Z291" s="143"/>
      <c r="AA291" s="143"/>
      <c r="AC291" s="140"/>
      <c r="AD291" s="140"/>
      <c r="AE291" s="140"/>
      <c r="AF291" s="140"/>
      <c r="AG291" s="140"/>
      <c r="AH291" s="141"/>
      <c r="AI291" s="143"/>
      <c r="AJ291" s="140"/>
      <c r="AK291" s="140"/>
      <c r="AL291" s="140"/>
      <c r="AM291" s="140"/>
      <c r="AN291" s="140"/>
      <c r="AO291" s="140"/>
      <c r="AP291" s="140"/>
      <c r="AQ291" s="140"/>
      <c r="AR291" s="140"/>
      <c r="AS291" s="140"/>
      <c r="AT291" s="140"/>
      <c r="AU291" s="140"/>
      <c r="AV291" s="140"/>
      <c r="AW291" s="140"/>
      <c r="AX291" s="140"/>
      <c r="AY291" s="140"/>
      <c r="AZ291" s="140"/>
      <c r="BA291" s="140"/>
      <c r="BB291" s="140"/>
      <c r="BC291" s="140"/>
      <c r="BD291" s="140"/>
      <c r="BE291" s="140"/>
      <c r="BF291" s="140"/>
      <c r="BG291" s="140"/>
      <c r="BH291" s="140"/>
      <c r="BI291" s="140"/>
      <c r="BJ291" s="140"/>
      <c r="BK291" s="140"/>
      <c r="BL291" s="140"/>
      <c r="BM291" s="140"/>
      <c r="BN291" s="140"/>
      <c r="BO291" s="140"/>
      <c r="BP291" s="140"/>
      <c r="BQ291" s="140"/>
      <c r="BR291" s="140"/>
      <c r="BS291" s="140"/>
      <c r="BT291" s="140"/>
      <c r="BU291" s="140"/>
      <c r="BV291" s="140"/>
      <c r="BW291" s="140"/>
      <c r="BX291" s="140"/>
      <c r="BY291" s="140"/>
      <c r="BZ291" s="140"/>
      <c r="CA291" s="140"/>
      <c r="CB291" s="140"/>
      <c r="CC291" s="140"/>
      <c r="CD291" s="140"/>
      <c r="CE291" s="140"/>
      <c r="CF291" s="140"/>
      <c r="CG291" s="140"/>
      <c r="CH291" s="140"/>
      <c r="CI291" s="140"/>
      <c r="CJ291" s="140"/>
      <c r="CK291" s="140"/>
      <c r="CL291" s="140"/>
      <c r="CM291" s="140"/>
      <c r="CN291" s="140"/>
      <c r="CO291" s="140"/>
      <c r="CP291" s="140"/>
      <c r="CQ291" s="140"/>
      <c r="CR291" s="140"/>
      <c r="CS291" s="140"/>
      <c r="CT291" s="140"/>
      <c r="CU291" s="140"/>
      <c r="CV291" s="140"/>
      <c r="CW291" s="140"/>
      <c r="CX291" s="140"/>
      <c r="CY291" s="140"/>
      <c r="CZ291" s="140"/>
      <c r="DA291" s="140"/>
      <c r="DB291" s="140"/>
      <c r="DC291" s="140"/>
      <c r="DD291" s="140"/>
      <c r="DE291" s="140"/>
    </row>
    <row r="292" spans="1:109" s="139" customForma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3"/>
      <c r="U292" s="143"/>
      <c r="V292" s="143"/>
      <c r="W292" s="143"/>
      <c r="X292" s="143"/>
      <c r="Y292" s="143"/>
      <c r="Z292" s="143"/>
      <c r="AA292" s="143"/>
      <c r="AC292" s="140"/>
      <c r="AD292" s="140"/>
      <c r="AE292" s="140"/>
      <c r="AF292" s="140"/>
      <c r="AG292" s="140"/>
      <c r="AH292" s="141"/>
      <c r="AI292" s="143"/>
      <c r="AJ292" s="140"/>
      <c r="AK292" s="140"/>
      <c r="AL292" s="140"/>
      <c r="AM292" s="140"/>
      <c r="AN292" s="140"/>
      <c r="AO292" s="140"/>
      <c r="AP292" s="140"/>
      <c r="AQ292" s="140"/>
      <c r="AR292" s="140"/>
      <c r="AS292" s="140"/>
      <c r="AT292" s="140"/>
      <c r="AU292" s="140"/>
      <c r="AV292" s="140"/>
      <c r="AW292" s="140"/>
      <c r="AX292" s="140"/>
      <c r="AY292" s="140"/>
      <c r="AZ292" s="140"/>
      <c r="BA292" s="140"/>
      <c r="BB292" s="140"/>
      <c r="BC292" s="140"/>
      <c r="BD292" s="140"/>
      <c r="BE292" s="140"/>
      <c r="BF292" s="140"/>
      <c r="BG292" s="140"/>
      <c r="BH292" s="140"/>
      <c r="BI292" s="140"/>
      <c r="BJ292" s="140"/>
      <c r="BK292" s="140"/>
      <c r="BL292" s="140"/>
      <c r="BM292" s="140"/>
      <c r="BN292" s="140"/>
      <c r="BO292" s="140"/>
      <c r="BP292" s="140"/>
      <c r="BQ292" s="140"/>
      <c r="BR292" s="140"/>
      <c r="BS292" s="140"/>
      <c r="BT292" s="140"/>
      <c r="BU292" s="140"/>
      <c r="BV292" s="140"/>
      <c r="BW292" s="140"/>
      <c r="BX292" s="140"/>
      <c r="BY292" s="140"/>
      <c r="BZ292" s="140"/>
      <c r="CA292" s="140"/>
      <c r="CB292" s="140"/>
      <c r="CC292" s="140"/>
      <c r="CD292" s="140"/>
      <c r="CE292" s="140"/>
      <c r="CF292" s="140"/>
      <c r="CG292" s="140"/>
      <c r="CH292" s="140"/>
      <c r="CI292" s="140"/>
      <c r="CJ292" s="140"/>
      <c r="CK292" s="140"/>
      <c r="CL292" s="140"/>
      <c r="CM292" s="140"/>
      <c r="CN292" s="140"/>
      <c r="CO292" s="140"/>
      <c r="CP292" s="140"/>
      <c r="CQ292" s="140"/>
      <c r="CR292" s="140"/>
      <c r="CS292" s="140"/>
      <c r="CT292" s="140"/>
      <c r="CU292" s="140"/>
      <c r="CV292" s="140"/>
      <c r="CW292" s="140"/>
      <c r="CX292" s="140"/>
      <c r="CY292" s="140"/>
      <c r="CZ292" s="140"/>
      <c r="DA292" s="140"/>
      <c r="DB292" s="140"/>
      <c r="DC292" s="140"/>
      <c r="DD292" s="140"/>
      <c r="DE292" s="140"/>
    </row>
    <row r="293" spans="1:109" s="139" customForma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3"/>
      <c r="U293" s="143"/>
      <c r="V293" s="143"/>
      <c r="W293" s="143"/>
      <c r="X293" s="143"/>
      <c r="Y293" s="143"/>
      <c r="Z293" s="143"/>
      <c r="AA293" s="143"/>
      <c r="AC293" s="140"/>
      <c r="AD293" s="140"/>
      <c r="AE293" s="140"/>
      <c r="AF293" s="140"/>
      <c r="AG293" s="140"/>
      <c r="AH293" s="141"/>
      <c r="AI293" s="143"/>
      <c r="AJ293" s="140"/>
      <c r="AK293" s="140"/>
      <c r="AL293" s="140"/>
      <c r="AM293" s="140"/>
      <c r="AN293" s="140"/>
      <c r="AO293" s="140"/>
      <c r="AP293" s="140"/>
      <c r="AQ293" s="140"/>
      <c r="AR293" s="140"/>
      <c r="AS293" s="140"/>
      <c r="AT293" s="140"/>
      <c r="AU293" s="140"/>
      <c r="AV293" s="140"/>
      <c r="AW293" s="140"/>
      <c r="AX293" s="140"/>
      <c r="AY293" s="140"/>
      <c r="AZ293" s="140"/>
      <c r="BA293" s="140"/>
      <c r="BB293" s="140"/>
      <c r="BC293" s="140"/>
      <c r="BD293" s="140"/>
      <c r="BE293" s="140"/>
      <c r="BF293" s="140"/>
      <c r="BG293" s="140"/>
      <c r="BH293" s="140"/>
      <c r="BI293" s="140"/>
      <c r="BJ293" s="140"/>
      <c r="BK293" s="140"/>
      <c r="BL293" s="140"/>
      <c r="BM293" s="140"/>
      <c r="BN293" s="140"/>
      <c r="BO293" s="140"/>
      <c r="BP293" s="140"/>
      <c r="BQ293" s="140"/>
      <c r="BR293" s="140"/>
      <c r="BS293" s="140"/>
      <c r="BT293" s="140"/>
      <c r="BU293" s="140"/>
      <c r="BV293" s="140"/>
      <c r="BW293" s="140"/>
      <c r="BX293" s="140"/>
      <c r="BY293" s="140"/>
      <c r="BZ293" s="140"/>
      <c r="CA293" s="140"/>
      <c r="CB293" s="140"/>
      <c r="CC293" s="140"/>
      <c r="CD293" s="140"/>
      <c r="CE293" s="140"/>
      <c r="CF293" s="140"/>
      <c r="CG293" s="140"/>
      <c r="CH293" s="140"/>
      <c r="CI293" s="140"/>
      <c r="CJ293" s="140"/>
      <c r="CK293" s="140"/>
      <c r="CL293" s="140"/>
      <c r="CM293" s="140"/>
      <c r="CN293" s="140"/>
      <c r="CO293" s="140"/>
      <c r="CP293" s="140"/>
      <c r="CQ293" s="140"/>
      <c r="CR293" s="140"/>
      <c r="CS293" s="140"/>
      <c r="CT293" s="140"/>
      <c r="CU293" s="140"/>
      <c r="CV293" s="140"/>
      <c r="CW293" s="140"/>
      <c r="CX293" s="140"/>
      <c r="CY293" s="140"/>
      <c r="CZ293" s="140"/>
      <c r="DA293" s="140"/>
      <c r="DB293" s="140"/>
      <c r="DC293" s="140"/>
      <c r="DD293" s="140"/>
      <c r="DE293" s="140"/>
    </row>
    <row r="294" spans="1:109" s="139" customForma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3"/>
      <c r="U294" s="143"/>
      <c r="V294" s="143"/>
      <c r="W294" s="143"/>
      <c r="X294" s="143"/>
      <c r="Y294" s="143"/>
      <c r="Z294" s="143"/>
      <c r="AA294" s="143"/>
      <c r="AC294" s="140"/>
      <c r="AD294" s="140"/>
      <c r="AE294" s="140"/>
      <c r="AF294" s="140"/>
      <c r="AG294" s="140"/>
      <c r="AH294" s="141"/>
      <c r="AI294" s="143"/>
      <c r="AJ294" s="140"/>
      <c r="AK294" s="140"/>
      <c r="AL294" s="140"/>
      <c r="AM294" s="140"/>
      <c r="AN294" s="140"/>
      <c r="AO294" s="140"/>
      <c r="AP294" s="140"/>
      <c r="AQ294" s="140"/>
      <c r="AR294" s="140"/>
      <c r="AS294" s="140"/>
      <c r="AT294" s="140"/>
      <c r="AU294" s="140"/>
      <c r="AV294" s="140"/>
      <c r="AW294" s="140"/>
      <c r="AX294" s="140"/>
      <c r="AY294" s="140"/>
      <c r="AZ294" s="140"/>
      <c r="BA294" s="140"/>
      <c r="BB294" s="140"/>
      <c r="BC294" s="140"/>
      <c r="BD294" s="140"/>
      <c r="BE294" s="140"/>
      <c r="BF294" s="140"/>
      <c r="BG294" s="140"/>
      <c r="BH294" s="140"/>
      <c r="BI294" s="140"/>
      <c r="BJ294" s="140"/>
      <c r="BK294" s="140"/>
      <c r="BL294" s="140"/>
      <c r="BM294" s="140"/>
      <c r="BN294" s="140"/>
      <c r="BO294" s="140"/>
      <c r="BP294" s="140"/>
      <c r="BQ294" s="140"/>
      <c r="BR294" s="140"/>
      <c r="BS294" s="140"/>
      <c r="BT294" s="140"/>
      <c r="BU294" s="140"/>
      <c r="BV294" s="140"/>
      <c r="BW294" s="140"/>
      <c r="BX294" s="140"/>
      <c r="BY294" s="140"/>
      <c r="BZ294" s="140"/>
      <c r="CA294" s="140"/>
      <c r="CB294" s="140"/>
      <c r="CC294" s="140"/>
      <c r="CD294" s="140"/>
      <c r="CE294" s="140"/>
      <c r="CF294" s="140"/>
      <c r="CG294" s="140"/>
      <c r="CH294" s="140"/>
      <c r="CI294" s="140"/>
      <c r="CJ294" s="140"/>
      <c r="CK294" s="140"/>
      <c r="CL294" s="140"/>
      <c r="CM294" s="140"/>
      <c r="CN294" s="140"/>
      <c r="CO294" s="140"/>
      <c r="CP294" s="140"/>
      <c r="CQ294" s="140"/>
      <c r="CR294" s="140"/>
      <c r="CS294" s="140"/>
      <c r="CT294" s="140"/>
      <c r="CU294" s="140"/>
      <c r="CV294" s="140"/>
      <c r="CW294" s="140"/>
      <c r="CX294" s="140"/>
      <c r="CY294" s="140"/>
      <c r="CZ294" s="140"/>
      <c r="DA294" s="140"/>
      <c r="DB294" s="140"/>
      <c r="DC294" s="140"/>
      <c r="DD294" s="140"/>
      <c r="DE294" s="140"/>
    </row>
    <row r="295" spans="1:109" s="139" customForma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3"/>
      <c r="U295" s="143"/>
      <c r="V295" s="143"/>
      <c r="W295" s="143"/>
      <c r="X295" s="143"/>
      <c r="Y295" s="143"/>
      <c r="Z295" s="143"/>
      <c r="AA295" s="143"/>
      <c r="AC295" s="140"/>
      <c r="AD295" s="140"/>
      <c r="AE295" s="140"/>
      <c r="AF295" s="140"/>
      <c r="AG295" s="140"/>
      <c r="AH295" s="141"/>
      <c r="AI295" s="143"/>
      <c r="AJ295" s="140"/>
      <c r="AK295" s="140"/>
      <c r="AL295" s="140"/>
      <c r="AM295" s="140"/>
      <c r="AN295" s="140"/>
      <c r="AO295" s="140"/>
      <c r="AP295" s="140"/>
      <c r="AQ295" s="140"/>
      <c r="AR295" s="140"/>
      <c r="AS295" s="140"/>
      <c r="AT295" s="140"/>
      <c r="AU295" s="140"/>
      <c r="AV295" s="140"/>
      <c r="AW295" s="140"/>
      <c r="AX295" s="140"/>
      <c r="AY295" s="140"/>
      <c r="AZ295" s="140"/>
      <c r="BA295" s="140"/>
      <c r="BB295" s="140"/>
      <c r="BC295" s="140"/>
      <c r="BD295" s="140"/>
      <c r="BE295" s="140"/>
      <c r="BF295" s="140"/>
      <c r="BG295" s="140"/>
      <c r="BH295" s="140"/>
      <c r="BI295" s="140"/>
      <c r="BJ295" s="140"/>
      <c r="BK295" s="140"/>
      <c r="BL295" s="140"/>
      <c r="BM295" s="140"/>
      <c r="BN295" s="140"/>
      <c r="BO295" s="140"/>
      <c r="BP295" s="140"/>
      <c r="BQ295" s="140"/>
      <c r="BR295" s="140"/>
      <c r="BS295" s="140"/>
      <c r="BT295" s="140"/>
      <c r="BU295" s="140"/>
      <c r="BV295" s="140"/>
      <c r="BW295" s="140"/>
      <c r="BX295" s="140"/>
      <c r="BY295" s="140"/>
      <c r="BZ295" s="140"/>
      <c r="CA295" s="140"/>
      <c r="CB295" s="140"/>
      <c r="CC295" s="140"/>
      <c r="CD295" s="140"/>
      <c r="CE295" s="140"/>
      <c r="CF295" s="140"/>
      <c r="CG295" s="140"/>
      <c r="CH295" s="140"/>
      <c r="CI295" s="140"/>
      <c r="CJ295" s="140"/>
      <c r="CK295" s="140"/>
      <c r="CL295" s="140"/>
      <c r="CM295" s="140"/>
      <c r="CN295" s="140"/>
      <c r="CO295" s="140"/>
      <c r="CP295" s="140"/>
      <c r="CQ295" s="140"/>
      <c r="CR295" s="140"/>
      <c r="CS295" s="140"/>
      <c r="CT295" s="140"/>
      <c r="CU295" s="140"/>
      <c r="CV295" s="140"/>
      <c r="CW295" s="140"/>
      <c r="CX295" s="140"/>
      <c r="CY295" s="140"/>
      <c r="CZ295" s="140"/>
      <c r="DA295" s="140"/>
      <c r="DB295" s="140"/>
      <c r="DC295" s="140"/>
      <c r="DD295" s="140"/>
      <c r="DE295" s="140"/>
    </row>
    <row r="296" spans="1:109" s="139" customForma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3"/>
      <c r="U296" s="143"/>
      <c r="V296" s="143"/>
      <c r="W296" s="143"/>
      <c r="X296" s="143"/>
      <c r="Y296" s="143"/>
      <c r="Z296" s="143"/>
      <c r="AA296" s="143"/>
      <c r="AC296" s="140"/>
      <c r="AD296" s="140"/>
      <c r="AE296" s="140"/>
      <c r="AF296" s="140"/>
      <c r="AG296" s="140"/>
      <c r="AH296" s="141"/>
      <c r="AI296" s="143"/>
      <c r="AJ296" s="140"/>
      <c r="AK296" s="140"/>
      <c r="AL296" s="140"/>
      <c r="AM296" s="140"/>
      <c r="AN296" s="140"/>
      <c r="AO296" s="140"/>
      <c r="AP296" s="140"/>
      <c r="AQ296" s="140"/>
      <c r="AR296" s="140"/>
      <c r="AS296" s="140"/>
      <c r="AT296" s="140"/>
      <c r="AU296" s="140"/>
      <c r="AV296" s="140"/>
      <c r="AW296" s="140"/>
      <c r="AX296" s="140"/>
      <c r="AY296" s="140"/>
      <c r="AZ296" s="140"/>
      <c r="BA296" s="140"/>
      <c r="BB296" s="140"/>
      <c r="BC296" s="140"/>
      <c r="BD296" s="140"/>
      <c r="BE296" s="140"/>
      <c r="BF296" s="140"/>
      <c r="BG296" s="140"/>
      <c r="BH296" s="140"/>
      <c r="BI296" s="140"/>
      <c r="BJ296" s="140"/>
      <c r="BK296" s="140"/>
      <c r="BL296" s="140"/>
      <c r="BM296" s="140"/>
      <c r="BN296" s="140"/>
      <c r="BO296" s="140"/>
      <c r="BP296" s="140"/>
      <c r="BQ296" s="140"/>
      <c r="BR296" s="140"/>
      <c r="BS296" s="140"/>
      <c r="BT296" s="140"/>
      <c r="BU296" s="140"/>
      <c r="BV296" s="140"/>
      <c r="BW296" s="140"/>
      <c r="BX296" s="140"/>
      <c r="BY296" s="140"/>
      <c r="BZ296" s="140"/>
      <c r="CA296" s="140"/>
      <c r="CB296" s="140"/>
      <c r="CC296" s="140"/>
      <c r="CD296" s="140"/>
      <c r="CE296" s="140"/>
      <c r="CF296" s="140"/>
      <c r="CG296" s="140"/>
      <c r="CH296" s="140"/>
      <c r="CI296" s="140"/>
      <c r="CJ296" s="140"/>
      <c r="CK296" s="140"/>
      <c r="CL296" s="140"/>
      <c r="CM296" s="140"/>
      <c r="CN296" s="140"/>
      <c r="CO296" s="140"/>
      <c r="CP296" s="140"/>
      <c r="CQ296" s="140"/>
      <c r="CR296" s="140"/>
      <c r="CS296" s="140"/>
      <c r="CT296" s="140"/>
      <c r="CU296" s="140"/>
      <c r="CV296" s="140"/>
      <c r="CW296" s="140"/>
      <c r="CX296" s="140"/>
      <c r="CY296" s="140"/>
      <c r="CZ296" s="140"/>
      <c r="DA296" s="140"/>
      <c r="DB296" s="140"/>
      <c r="DC296" s="140"/>
      <c r="DD296" s="140"/>
      <c r="DE296" s="140"/>
    </row>
    <row r="297" spans="1:109" s="139" customForma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3"/>
      <c r="U297" s="143"/>
      <c r="V297" s="143"/>
      <c r="W297" s="143"/>
      <c r="X297" s="143"/>
      <c r="Y297" s="143"/>
      <c r="Z297" s="143"/>
      <c r="AA297" s="143"/>
      <c r="AC297" s="140"/>
      <c r="AD297" s="140"/>
      <c r="AE297" s="140"/>
      <c r="AF297" s="140"/>
      <c r="AG297" s="140"/>
      <c r="AH297" s="141"/>
      <c r="AI297" s="143"/>
      <c r="AJ297" s="140"/>
      <c r="AK297" s="140"/>
      <c r="AL297" s="140"/>
      <c r="AM297" s="140"/>
      <c r="AN297" s="140"/>
      <c r="AO297" s="140"/>
      <c r="AP297" s="140"/>
      <c r="AQ297" s="140"/>
      <c r="AR297" s="140"/>
      <c r="AS297" s="140"/>
      <c r="AT297" s="140"/>
      <c r="AU297" s="140"/>
      <c r="AV297" s="140"/>
      <c r="AW297" s="140"/>
      <c r="AX297" s="140"/>
      <c r="AY297" s="140"/>
      <c r="AZ297" s="140"/>
      <c r="BA297" s="140"/>
      <c r="BB297" s="140"/>
      <c r="BC297" s="140"/>
      <c r="BD297" s="140"/>
      <c r="BE297" s="140"/>
      <c r="BF297" s="140"/>
      <c r="BG297" s="140"/>
      <c r="BH297" s="140"/>
      <c r="BI297" s="140"/>
      <c r="BJ297" s="140"/>
      <c r="BK297" s="140"/>
      <c r="BL297" s="140"/>
      <c r="BM297" s="140"/>
      <c r="BN297" s="140"/>
      <c r="BO297" s="140"/>
      <c r="BP297" s="140"/>
      <c r="BQ297" s="140"/>
      <c r="BR297" s="140"/>
      <c r="BS297" s="140"/>
      <c r="BT297" s="140"/>
      <c r="BU297" s="140"/>
      <c r="BV297" s="140"/>
      <c r="BW297" s="140"/>
      <c r="BX297" s="140"/>
      <c r="BY297" s="140"/>
      <c r="BZ297" s="140"/>
      <c r="CA297" s="140"/>
      <c r="CB297" s="140"/>
      <c r="CC297" s="140"/>
      <c r="CD297" s="140"/>
      <c r="CE297" s="140"/>
      <c r="CF297" s="140"/>
      <c r="CG297" s="140"/>
      <c r="CH297" s="140"/>
      <c r="CI297" s="140"/>
      <c r="CJ297" s="140"/>
      <c r="CK297" s="140"/>
      <c r="CL297" s="140"/>
      <c r="CM297" s="140"/>
      <c r="CN297" s="140"/>
      <c r="CO297" s="140"/>
      <c r="CP297" s="140"/>
      <c r="CQ297" s="140"/>
      <c r="CR297" s="140"/>
      <c r="CS297" s="140"/>
      <c r="CT297" s="140"/>
      <c r="CU297" s="140"/>
      <c r="CV297" s="140"/>
      <c r="CW297" s="140"/>
      <c r="CX297" s="140"/>
      <c r="CY297" s="140"/>
      <c r="CZ297" s="140"/>
      <c r="DA297" s="140"/>
      <c r="DB297" s="140"/>
      <c r="DC297" s="140"/>
      <c r="DD297" s="140"/>
      <c r="DE297" s="140"/>
    </row>
    <row r="298" spans="1:109" s="139" customForma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3"/>
      <c r="U298" s="143"/>
      <c r="V298" s="143"/>
      <c r="W298" s="143"/>
      <c r="X298" s="143"/>
      <c r="Y298" s="143"/>
      <c r="Z298" s="143"/>
      <c r="AA298" s="143"/>
      <c r="AC298" s="140"/>
      <c r="AD298" s="140"/>
      <c r="AE298" s="140"/>
      <c r="AF298" s="140"/>
      <c r="AG298" s="140"/>
      <c r="AH298" s="141"/>
      <c r="AI298" s="143"/>
      <c r="AJ298" s="140"/>
      <c r="AK298" s="140"/>
      <c r="AL298" s="140"/>
      <c r="AM298" s="140"/>
      <c r="AN298" s="140"/>
      <c r="AO298" s="140"/>
      <c r="AP298" s="140"/>
      <c r="AQ298" s="140"/>
      <c r="AR298" s="140"/>
      <c r="AS298" s="140"/>
      <c r="AT298" s="140"/>
      <c r="AU298" s="140"/>
      <c r="AV298" s="140"/>
      <c r="AW298" s="140"/>
      <c r="AX298" s="140"/>
      <c r="AY298" s="140"/>
      <c r="AZ298" s="140"/>
      <c r="BA298" s="140"/>
      <c r="BB298" s="140"/>
      <c r="BC298" s="140"/>
      <c r="BD298" s="140"/>
      <c r="BE298" s="140"/>
      <c r="BF298" s="140"/>
      <c r="BG298" s="140"/>
      <c r="BH298" s="140"/>
      <c r="BI298" s="140"/>
      <c r="BJ298" s="140"/>
      <c r="BK298" s="140"/>
      <c r="BL298" s="140"/>
      <c r="BM298" s="140"/>
      <c r="BN298" s="140"/>
      <c r="BO298" s="140"/>
      <c r="BP298" s="140"/>
      <c r="BQ298" s="140"/>
      <c r="BR298" s="140"/>
      <c r="BS298" s="140"/>
      <c r="BT298" s="140"/>
      <c r="BU298" s="140"/>
      <c r="BV298" s="140"/>
      <c r="BW298" s="140"/>
      <c r="BX298" s="140"/>
      <c r="BY298" s="140"/>
      <c r="BZ298" s="140"/>
      <c r="CA298" s="140"/>
      <c r="CB298" s="140"/>
      <c r="CC298" s="140"/>
      <c r="CD298" s="140"/>
      <c r="CE298" s="140"/>
      <c r="CF298" s="140"/>
      <c r="CG298" s="140"/>
      <c r="CH298" s="140"/>
      <c r="CI298" s="140"/>
      <c r="CJ298" s="140"/>
      <c r="CK298" s="140"/>
      <c r="CL298" s="140"/>
      <c r="CM298" s="140"/>
      <c r="CN298" s="140"/>
      <c r="CO298" s="140"/>
      <c r="CP298" s="140"/>
      <c r="CQ298" s="140"/>
      <c r="CR298" s="140"/>
      <c r="CS298" s="140"/>
      <c r="CT298" s="140"/>
      <c r="CU298" s="140"/>
      <c r="CV298" s="140"/>
      <c r="CW298" s="140"/>
      <c r="CX298" s="140"/>
      <c r="CY298" s="140"/>
      <c r="CZ298" s="140"/>
      <c r="DA298" s="140"/>
      <c r="DB298" s="140"/>
      <c r="DC298" s="140"/>
      <c r="DD298" s="140"/>
      <c r="DE298" s="140"/>
    </row>
    <row r="299" spans="1:109" s="139" customForma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3"/>
      <c r="U299" s="143"/>
      <c r="V299" s="143"/>
      <c r="W299" s="143"/>
      <c r="X299" s="143"/>
      <c r="Y299" s="143"/>
      <c r="Z299" s="143"/>
      <c r="AA299" s="143"/>
      <c r="AC299" s="140"/>
      <c r="AD299" s="140"/>
      <c r="AE299" s="140"/>
      <c r="AF299" s="140"/>
      <c r="AG299" s="140"/>
      <c r="AH299" s="141"/>
      <c r="AI299" s="143"/>
      <c r="AJ299" s="140"/>
      <c r="AK299" s="140"/>
      <c r="AL299" s="140"/>
      <c r="AM299" s="140"/>
      <c r="AN299" s="140"/>
      <c r="AO299" s="140"/>
      <c r="AP299" s="140"/>
      <c r="AQ299" s="140"/>
      <c r="AR299" s="140"/>
      <c r="AS299" s="140"/>
      <c r="AT299" s="140"/>
      <c r="AU299" s="140"/>
      <c r="AV299" s="140"/>
      <c r="AW299" s="140"/>
      <c r="AX299" s="140"/>
      <c r="AY299" s="140"/>
      <c r="AZ299" s="140"/>
      <c r="BA299" s="140"/>
      <c r="BB299" s="140"/>
      <c r="BC299" s="140"/>
      <c r="BD299" s="140"/>
      <c r="BE299" s="140"/>
      <c r="BF299" s="140"/>
      <c r="BG299" s="140"/>
      <c r="BH299" s="140"/>
      <c r="BI299" s="140"/>
      <c r="BJ299" s="140"/>
      <c r="BK299" s="140"/>
      <c r="BL299" s="140"/>
      <c r="BM299" s="140"/>
      <c r="BN299" s="140"/>
      <c r="BO299" s="140"/>
      <c r="BP299" s="140"/>
      <c r="BQ299" s="140"/>
      <c r="BR299" s="140"/>
      <c r="BS299" s="140"/>
      <c r="BT299" s="140"/>
      <c r="BU299" s="140"/>
      <c r="BV299" s="140"/>
      <c r="BW299" s="140"/>
      <c r="BX299" s="140"/>
      <c r="BY299" s="140"/>
      <c r="BZ299" s="140"/>
      <c r="CA299" s="140"/>
      <c r="CB299" s="140"/>
      <c r="CC299" s="140"/>
      <c r="CD299" s="140"/>
      <c r="CE299" s="140"/>
      <c r="CF299" s="140"/>
      <c r="CG299" s="140"/>
      <c r="CH299" s="140"/>
      <c r="CI299" s="140"/>
      <c r="CJ299" s="140"/>
      <c r="CK299" s="140"/>
      <c r="CL299" s="140"/>
      <c r="CM299" s="140"/>
      <c r="CN299" s="140"/>
      <c r="CO299" s="140"/>
      <c r="CP299" s="140"/>
      <c r="CQ299" s="140"/>
      <c r="CR299" s="140"/>
      <c r="CS299" s="140"/>
      <c r="CT299" s="140"/>
      <c r="CU299" s="140"/>
      <c r="CV299" s="140"/>
      <c r="CW299" s="140"/>
      <c r="CX299" s="140"/>
      <c r="CY299" s="140"/>
      <c r="CZ299" s="140"/>
      <c r="DA299" s="140"/>
      <c r="DB299" s="140"/>
      <c r="DC299" s="140"/>
      <c r="DD299" s="140"/>
      <c r="DE299" s="140"/>
    </row>
    <row r="300" spans="1:109" s="139" customForma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3"/>
      <c r="U300" s="143"/>
      <c r="V300" s="143"/>
      <c r="W300" s="143"/>
      <c r="X300" s="143"/>
      <c r="Y300" s="143"/>
      <c r="Z300" s="143"/>
      <c r="AA300" s="143"/>
      <c r="AC300" s="140"/>
      <c r="AD300" s="140"/>
      <c r="AE300" s="140"/>
      <c r="AF300" s="140"/>
      <c r="AG300" s="140"/>
      <c r="AH300" s="141"/>
      <c r="AI300" s="143"/>
      <c r="AJ300" s="140"/>
      <c r="AK300" s="140"/>
      <c r="AL300" s="140"/>
      <c r="AM300" s="140"/>
      <c r="AN300" s="140"/>
      <c r="AO300" s="140"/>
      <c r="AP300" s="140"/>
      <c r="AQ300" s="140"/>
      <c r="AR300" s="140"/>
      <c r="AS300" s="140"/>
      <c r="AT300" s="140"/>
      <c r="AU300" s="140"/>
      <c r="AV300" s="140"/>
      <c r="AW300" s="140"/>
      <c r="AX300" s="140"/>
      <c r="AY300" s="140"/>
      <c r="AZ300" s="140"/>
      <c r="BA300" s="140"/>
      <c r="BB300" s="140"/>
      <c r="BC300" s="140"/>
      <c r="BD300" s="140"/>
      <c r="BE300" s="140"/>
      <c r="BF300" s="140"/>
      <c r="BG300" s="140"/>
      <c r="BH300" s="140"/>
      <c r="BI300" s="140"/>
      <c r="BJ300" s="140"/>
      <c r="BK300" s="140"/>
      <c r="BL300" s="140"/>
      <c r="BM300" s="140"/>
      <c r="BN300" s="140"/>
      <c r="BO300" s="140"/>
      <c r="BP300" s="140"/>
      <c r="BQ300" s="140"/>
      <c r="BR300" s="140"/>
      <c r="BS300" s="140"/>
      <c r="BT300" s="140"/>
      <c r="BU300" s="140"/>
      <c r="BV300" s="140"/>
      <c r="BW300" s="140"/>
      <c r="BX300" s="140"/>
      <c r="BY300" s="140"/>
      <c r="BZ300" s="140"/>
      <c r="CA300" s="140"/>
      <c r="CB300" s="140"/>
      <c r="CC300" s="140"/>
      <c r="CD300" s="140"/>
      <c r="CE300" s="140"/>
      <c r="CF300" s="140"/>
      <c r="CG300" s="140"/>
      <c r="CH300" s="140"/>
      <c r="CI300" s="140"/>
      <c r="CJ300" s="140"/>
      <c r="CK300" s="140"/>
      <c r="CL300" s="140"/>
      <c r="CM300" s="140"/>
      <c r="CN300" s="140"/>
      <c r="CO300" s="140"/>
      <c r="CP300" s="140"/>
      <c r="CQ300" s="140"/>
      <c r="CR300" s="140"/>
      <c r="CS300" s="140"/>
      <c r="CT300" s="140"/>
      <c r="CU300" s="140"/>
      <c r="CV300" s="140"/>
      <c r="CW300" s="140"/>
      <c r="CX300" s="140"/>
      <c r="CY300" s="140"/>
      <c r="CZ300" s="140"/>
      <c r="DA300" s="140"/>
      <c r="DB300" s="140"/>
      <c r="DC300" s="140"/>
      <c r="DD300" s="140"/>
      <c r="DE300" s="140"/>
    </row>
    <row r="301" spans="1:109" s="139" customForma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3"/>
      <c r="U301" s="143"/>
      <c r="V301" s="143"/>
      <c r="W301" s="143"/>
      <c r="X301" s="143"/>
      <c r="Y301" s="143"/>
      <c r="Z301" s="143"/>
      <c r="AA301" s="143"/>
      <c r="AC301" s="140"/>
      <c r="AD301" s="140"/>
      <c r="AE301" s="140"/>
      <c r="AF301" s="140"/>
      <c r="AG301" s="140"/>
      <c r="AH301" s="141"/>
      <c r="AI301" s="143"/>
      <c r="AJ301" s="140"/>
      <c r="AK301" s="140"/>
      <c r="AL301" s="140"/>
      <c r="AM301" s="140"/>
      <c r="AN301" s="140"/>
      <c r="AO301" s="140"/>
      <c r="AP301" s="140"/>
      <c r="AQ301" s="140"/>
      <c r="AR301" s="140"/>
      <c r="AS301" s="140"/>
      <c r="AT301" s="140"/>
      <c r="AU301" s="140"/>
      <c r="AV301" s="140"/>
      <c r="AW301" s="140"/>
      <c r="AX301" s="140"/>
      <c r="AY301" s="140"/>
      <c r="AZ301" s="140"/>
      <c r="BA301" s="140"/>
      <c r="BB301" s="140"/>
      <c r="BC301" s="140"/>
      <c r="BD301" s="140"/>
      <c r="BE301" s="140"/>
      <c r="BF301" s="140"/>
      <c r="BG301" s="140"/>
      <c r="BH301" s="140"/>
      <c r="BI301" s="140"/>
      <c r="BJ301" s="140"/>
      <c r="BK301" s="140"/>
      <c r="BL301" s="140"/>
      <c r="BM301" s="140"/>
      <c r="BN301" s="140"/>
      <c r="BO301" s="140"/>
      <c r="BP301" s="140"/>
      <c r="BQ301" s="140"/>
      <c r="BR301" s="140"/>
      <c r="BS301" s="140"/>
      <c r="BT301" s="140"/>
      <c r="BU301" s="140"/>
      <c r="BV301" s="140"/>
      <c r="BW301" s="140"/>
      <c r="BX301" s="140"/>
      <c r="BY301" s="140"/>
      <c r="BZ301" s="140"/>
      <c r="CA301" s="140"/>
      <c r="CB301" s="140"/>
      <c r="CC301" s="140"/>
      <c r="CD301" s="140"/>
      <c r="CE301" s="140"/>
      <c r="CF301" s="140"/>
      <c r="CG301" s="140"/>
      <c r="CH301" s="140"/>
      <c r="CI301" s="140"/>
      <c r="CJ301" s="140"/>
      <c r="CK301" s="140"/>
      <c r="CL301" s="140"/>
      <c r="CM301" s="140"/>
      <c r="CN301" s="140"/>
      <c r="CO301" s="140"/>
      <c r="CP301" s="140"/>
      <c r="CQ301" s="140"/>
      <c r="CR301" s="140"/>
      <c r="CS301" s="140"/>
      <c r="CT301" s="140"/>
      <c r="CU301" s="140"/>
      <c r="CV301" s="140"/>
      <c r="CW301" s="140"/>
      <c r="CX301" s="140"/>
      <c r="CY301" s="140"/>
      <c r="CZ301" s="140"/>
      <c r="DA301" s="140"/>
      <c r="DB301" s="140"/>
      <c r="DC301" s="140"/>
      <c r="DD301" s="140"/>
      <c r="DE301" s="140"/>
    </row>
    <row r="302" spans="1:109" s="139" customForma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3"/>
      <c r="U302" s="143"/>
      <c r="V302" s="143"/>
      <c r="W302" s="143"/>
      <c r="X302" s="143"/>
      <c r="Y302" s="143"/>
      <c r="Z302" s="143"/>
      <c r="AA302" s="143"/>
      <c r="AC302" s="140"/>
      <c r="AD302" s="140"/>
      <c r="AE302" s="140"/>
      <c r="AF302" s="140"/>
      <c r="AG302" s="140"/>
      <c r="AH302" s="141"/>
      <c r="AI302" s="143"/>
      <c r="AJ302" s="140"/>
      <c r="AK302" s="140"/>
      <c r="AL302" s="140"/>
      <c r="AM302" s="140"/>
      <c r="AN302" s="140"/>
      <c r="AO302" s="140"/>
      <c r="AP302" s="140"/>
      <c r="AQ302" s="140"/>
      <c r="AR302" s="140"/>
      <c r="AS302" s="140"/>
      <c r="AT302" s="140"/>
      <c r="AU302" s="140"/>
      <c r="AV302" s="140"/>
      <c r="AW302" s="140"/>
      <c r="AX302" s="140"/>
      <c r="AY302" s="140"/>
      <c r="AZ302" s="140"/>
      <c r="BA302" s="140"/>
      <c r="BB302" s="140"/>
      <c r="BC302" s="140"/>
      <c r="BD302" s="140"/>
      <c r="BE302" s="140"/>
      <c r="BF302" s="140"/>
      <c r="BG302" s="140"/>
      <c r="BH302" s="140"/>
      <c r="BI302" s="140"/>
      <c r="BJ302" s="140"/>
      <c r="BK302" s="140"/>
      <c r="BL302" s="140"/>
      <c r="BM302" s="140"/>
      <c r="BN302" s="140"/>
      <c r="BO302" s="140"/>
      <c r="BP302" s="140"/>
      <c r="BQ302" s="140"/>
      <c r="BR302" s="140"/>
      <c r="BS302" s="140"/>
      <c r="BT302" s="140"/>
      <c r="BU302" s="140"/>
      <c r="BV302" s="140"/>
      <c r="BW302" s="140"/>
      <c r="BX302" s="140"/>
      <c r="BY302" s="140"/>
      <c r="BZ302" s="140"/>
      <c r="CA302" s="140"/>
      <c r="CB302" s="140"/>
      <c r="CC302" s="140"/>
      <c r="CD302" s="140"/>
      <c r="CE302" s="140"/>
      <c r="CF302" s="140"/>
      <c r="CG302" s="140"/>
      <c r="CH302" s="140"/>
      <c r="CI302" s="140"/>
      <c r="CJ302" s="140"/>
      <c r="CK302" s="140"/>
      <c r="CL302" s="140"/>
      <c r="CM302" s="140"/>
      <c r="CN302" s="140"/>
      <c r="CO302" s="140"/>
      <c r="CP302" s="140"/>
      <c r="CQ302" s="140"/>
      <c r="CR302" s="140"/>
      <c r="CS302" s="140"/>
      <c r="CT302" s="140"/>
      <c r="CU302" s="140"/>
      <c r="CV302" s="140"/>
      <c r="CW302" s="140"/>
      <c r="CX302" s="140"/>
      <c r="CY302" s="140"/>
      <c r="CZ302" s="140"/>
      <c r="DA302" s="140"/>
      <c r="DB302" s="140"/>
      <c r="DC302" s="140"/>
      <c r="DD302" s="140"/>
      <c r="DE302" s="140"/>
    </row>
    <row r="303" spans="1:109" s="139" customForma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3"/>
      <c r="U303" s="143"/>
      <c r="V303" s="143"/>
      <c r="W303" s="143"/>
      <c r="X303" s="143"/>
      <c r="Y303" s="143"/>
      <c r="Z303" s="143"/>
      <c r="AA303" s="143"/>
      <c r="AC303" s="140"/>
      <c r="AD303" s="140"/>
      <c r="AE303" s="140"/>
      <c r="AF303" s="140"/>
      <c r="AG303" s="140"/>
      <c r="AH303" s="141"/>
      <c r="AI303" s="143"/>
      <c r="AJ303" s="140"/>
      <c r="AK303" s="140"/>
      <c r="AL303" s="140"/>
      <c r="AM303" s="140"/>
      <c r="AN303" s="140"/>
      <c r="AO303" s="140"/>
      <c r="AP303" s="140"/>
      <c r="AQ303" s="140"/>
      <c r="AR303" s="140"/>
      <c r="AS303" s="140"/>
      <c r="AT303" s="140"/>
      <c r="AU303" s="140"/>
      <c r="AV303" s="140"/>
      <c r="AW303" s="140"/>
      <c r="AX303" s="140"/>
      <c r="AY303" s="140"/>
      <c r="AZ303" s="140"/>
      <c r="BA303" s="140"/>
      <c r="BB303" s="140"/>
      <c r="BC303" s="140"/>
      <c r="BD303" s="140"/>
      <c r="BE303" s="140"/>
      <c r="BF303" s="140"/>
      <c r="BG303" s="140"/>
      <c r="BH303" s="140"/>
      <c r="BI303" s="140"/>
      <c r="BJ303" s="140"/>
      <c r="BK303" s="140"/>
      <c r="BL303" s="140"/>
      <c r="BM303" s="140"/>
      <c r="BN303" s="140"/>
      <c r="BO303" s="140"/>
      <c r="BP303" s="140"/>
      <c r="BQ303" s="140"/>
      <c r="BR303" s="140"/>
      <c r="BS303" s="140"/>
      <c r="BT303" s="140"/>
      <c r="BU303" s="140"/>
      <c r="BV303" s="140"/>
      <c r="BW303" s="140"/>
      <c r="BX303" s="140"/>
      <c r="BY303" s="140"/>
      <c r="BZ303" s="140"/>
      <c r="CA303" s="140"/>
      <c r="CB303" s="140"/>
      <c r="CC303" s="140"/>
      <c r="CD303" s="140"/>
      <c r="CE303" s="140"/>
      <c r="CF303" s="140"/>
      <c r="CG303" s="140"/>
      <c r="CH303" s="140"/>
      <c r="CI303" s="140"/>
      <c r="CJ303" s="140"/>
      <c r="CK303" s="140"/>
      <c r="CL303" s="140"/>
      <c r="CM303" s="140"/>
      <c r="CN303" s="140"/>
      <c r="CO303" s="140"/>
      <c r="CP303" s="140"/>
      <c r="CQ303" s="140"/>
      <c r="CR303" s="140"/>
      <c r="CS303" s="140"/>
      <c r="CT303" s="140"/>
      <c r="CU303" s="140"/>
      <c r="CV303" s="140"/>
      <c r="CW303" s="140"/>
      <c r="CX303" s="140"/>
      <c r="CY303" s="140"/>
      <c r="CZ303" s="140"/>
      <c r="DA303" s="140"/>
      <c r="DB303" s="140"/>
      <c r="DC303" s="140"/>
      <c r="DD303" s="140"/>
      <c r="DE303" s="140"/>
    </row>
    <row r="304" spans="1:109" s="139" customForma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3"/>
      <c r="U304" s="143"/>
      <c r="V304" s="143"/>
      <c r="W304" s="143"/>
      <c r="X304" s="143"/>
      <c r="Y304" s="143"/>
      <c r="Z304" s="143"/>
      <c r="AA304" s="143"/>
      <c r="AC304" s="140"/>
      <c r="AD304" s="140"/>
      <c r="AE304" s="140"/>
      <c r="AF304" s="140"/>
      <c r="AG304" s="140"/>
      <c r="AH304" s="141"/>
      <c r="AI304" s="143"/>
      <c r="AJ304" s="140"/>
      <c r="AK304" s="140"/>
      <c r="AL304" s="140"/>
      <c r="AM304" s="140"/>
      <c r="AN304" s="140"/>
      <c r="AO304" s="140"/>
      <c r="AP304" s="140"/>
      <c r="AQ304" s="140"/>
      <c r="AR304" s="140"/>
      <c r="AS304" s="140"/>
      <c r="AT304" s="140"/>
      <c r="AU304" s="140"/>
      <c r="AV304" s="140"/>
      <c r="AW304" s="140"/>
      <c r="AX304" s="140"/>
      <c r="AY304" s="140"/>
      <c r="AZ304" s="140"/>
      <c r="BA304" s="140"/>
      <c r="BB304" s="140"/>
      <c r="BC304" s="140"/>
      <c r="BD304" s="140"/>
      <c r="BE304" s="140"/>
      <c r="BF304" s="140"/>
      <c r="BG304" s="140"/>
      <c r="BH304" s="140"/>
      <c r="BI304" s="140"/>
      <c r="BJ304" s="140"/>
      <c r="BK304" s="140"/>
      <c r="BL304" s="140"/>
      <c r="BM304" s="140"/>
      <c r="BN304" s="140"/>
      <c r="BO304" s="140"/>
      <c r="BP304" s="140"/>
      <c r="BQ304" s="140"/>
      <c r="BR304" s="140"/>
      <c r="BS304" s="140"/>
      <c r="BT304" s="140"/>
      <c r="BU304" s="140"/>
      <c r="BV304" s="140"/>
      <c r="BW304" s="140"/>
      <c r="BX304" s="140"/>
      <c r="BY304" s="140"/>
      <c r="BZ304" s="140"/>
      <c r="CA304" s="140"/>
      <c r="CB304" s="140"/>
      <c r="CC304" s="140"/>
      <c r="CD304" s="140"/>
      <c r="CE304" s="140"/>
      <c r="CF304" s="140"/>
      <c r="CG304" s="140"/>
      <c r="CH304" s="140"/>
      <c r="CI304" s="140"/>
      <c r="CJ304" s="140"/>
      <c r="CK304" s="140"/>
      <c r="CL304" s="140"/>
      <c r="CM304" s="140"/>
      <c r="CN304" s="140"/>
      <c r="CO304" s="140"/>
      <c r="CP304" s="140"/>
      <c r="CQ304" s="140"/>
      <c r="CR304" s="140"/>
      <c r="CS304" s="140"/>
      <c r="CT304" s="140"/>
      <c r="CU304" s="140"/>
      <c r="CV304" s="140"/>
      <c r="CW304" s="140"/>
      <c r="CX304" s="140"/>
      <c r="CY304" s="140"/>
      <c r="CZ304" s="140"/>
      <c r="DA304" s="140"/>
      <c r="DB304" s="140"/>
      <c r="DC304" s="140"/>
      <c r="DD304" s="140"/>
      <c r="DE304" s="140"/>
    </row>
    <row r="305" spans="1:109" s="139" customForma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3"/>
      <c r="U305" s="143"/>
      <c r="V305" s="143"/>
      <c r="W305" s="143"/>
      <c r="X305" s="143"/>
      <c r="Y305" s="143"/>
      <c r="Z305" s="143"/>
      <c r="AA305" s="143"/>
      <c r="AC305" s="140"/>
      <c r="AD305" s="140"/>
      <c r="AE305" s="140"/>
      <c r="AF305" s="140"/>
      <c r="AG305" s="140"/>
      <c r="AH305" s="141"/>
      <c r="AI305" s="143"/>
      <c r="AJ305" s="140"/>
      <c r="AK305" s="140"/>
      <c r="AL305" s="140"/>
      <c r="AM305" s="140"/>
      <c r="AN305" s="140"/>
      <c r="AO305" s="140"/>
      <c r="AP305" s="140"/>
      <c r="AQ305" s="140"/>
      <c r="AR305" s="140"/>
      <c r="AS305" s="140"/>
      <c r="AT305" s="140"/>
      <c r="AU305" s="140"/>
      <c r="AV305" s="140"/>
      <c r="AW305" s="140"/>
      <c r="AX305" s="140"/>
      <c r="AY305" s="140"/>
      <c r="AZ305" s="140"/>
      <c r="BA305" s="140"/>
      <c r="BB305" s="140"/>
      <c r="BC305" s="140"/>
      <c r="BD305" s="140"/>
      <c r="BE305" s="140"/>
      <c r="BF305" s="140"/>
      <c r="BG305" s="140"/>
      <c r="BH305" s="140"/>
      <c r="BI305" s="140"/>
      <c r="BJ305" s="140"/>
      <c r="BK305" s="140"/>
      <c r="BL305" s="140"/>
      <c r="BM305" s="140"/>
      <c r="BN305" s="140"/>
      <c r="BO305" s="140"/>
      <c r="BP305" s="140"/>
      <c r="BQ305" s="140"/>
      <c r="BR305" s="140"/>
      <c r="BS305" s="140"/>
      <c r="BT305" s="140"/>
      <c r="BU305" s="140"/>
      <c r="BV305" s="140"/>
      <c r="BW305" s="140"/>
      <c r="BX305" s="140"/>
      <c r="BY305" s="140"/>
      <c r="BZ305" s="140"/>
      <c r="CA305" s="140"/>
      <c r="CB305" s="140"/>
      <c r="CC305" s="140"/>
      <c r="CD305" s="140"/>
      <c r="CE305" s="140"/>
      <c r="CF305" s="140"/>
      <c r="CG305" s="140"/>
      <c r="CH305" s="140"/>
      <c r="CI305" s="140"/>
      <c r="CJ305" s="140"/>
      <c r="CK305" s="140"/>
      <c r="CL305" s="140"/>
      <c r="CM305" s="140"/>
      <c r="CN305" s="140"/>
      <c r="CO305" s="140"/>
      <c r="CP305" s="140"/>
      <c r="CQ305" s="140"/>
      <c r="CR305" s="140"/>
      <c r="CS305" s="140"/>
      <c r="CT305" s="140"/>
      <c r="CU305" s="140"/>
      <c r="CV305" s="140"/>
      <c r="CW305" s="140"/>
      <c r="CX305" s="140"/>
      <c r="CY305" s="140"/>
      <c r="CZ305" s="140"/>
      <c r="DA305" s="140"/>
      <c r="DB305" s="140"/>
      <c r="DC305" s="140"/>
      <c r="DD305" s="140"/>
      <c r="DE305" s="140"/>
    </row>
    <row r="306" spans="1:109" s="139" customForma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3"/>
      <c r="U306" s="143"/>
      <c r="V306" s="143"/>
      <c r="W306" s="143"/>
      <c r="X306" s="143"/>
      <c r="Y306" s="143"/>
      <c r="Z306" s="143"/>
      <c r="AA306" s="143"/>
      <c r="AC306" s="140"/>
      <c r="AD306" s="140"/>
      <c r="AE306" s="140"/>
      <c r="AF306" s="140"/>
      <c r="AG306" s="140"/>
      <c r="AH306" s="141"/>
      <c r="AI306" s="143"/>
      <c r="AJ306" s="140"/>
      <c r="AK306" s="140"/>
      <c r="AL306" s="140"/>
      <c r="AM306" s="140"/>
      <c r="AN306" s="140"/>
      <c r="AO306" s="140"/>
      <c r="AP306" s="140"/>
      <c r="AQ306" s="140"/>
      <c r="AR306" s="140"/>
      <c r="AS306" s="140"/>
      <c r="AT306" s="140"/>
      <c r="AU306" s="140"/>
      <c r="AV306" s="140"/>
      <c r="AW306" s="140"/>
      <c r="AX306" s="140"/>
      <c r="AY306" s="140"/>
      <c r="AZ306" s="140"/>
      <c r="BA306" s="140"/>
      <c r="BB306" s="140"/>
      <c r="BC306" s="140"/>
      <c r="BD306" s="140"/>
      <c r="BE306" s="140"/>
      <c r="BF306" s="140"/>
      <c r="BG306" s="140"/>
      <c r="BH306" s="140"/>
      <c r="BI306" s="140"/>
      <c r="BJ306" s="140"/>
      <c r="BK306" s="140"/>
      <c r="BL306" s="140"/>
      <c r="BM306" s="140"/>
      <c r="BN306" s="140"/>
      <c r="BO306" s="140"/>
      <c r="BP306" s="140"/>
      <c r="BQ306" s="140"/>
      <c r="BR306" s="140"/>
      <c r="BS306" s="140"/>
      <c r="BT306" s="140"/>
      <c r="BU306" s="140"/>
      <c r="BV306" s="140"/>
      <c r="BW306" s="140"/>
      <c r="BX306" s="140"/>
      <c r="BY306" s="140"/>
      <c r="BZ306" s="140"/>
      <c r="CA306" s="140"/>
      <c r="CB306" s="140"/>
      <c r="CC306" s="140"/>
      <c r="CD306" s="140"/>
      <c r="CE306" s="140"/>
      <c r="CF306" s="140"/>
      <c r="CG306" s="140"/>
      <c r="CH306" s="140"/>
      <c r="CI306" s="140"/>
      <c r="CJ306" s="140"/>
      <c r="CK306" s="140"/>
      <c r="CL306" s="140"/>
      <c r="CM306" s="140"/>
      <c r="CN306" s="140"/>
      <c r="CO306" s="140"/>
      <c r="CP306" s="140"/>
      <c r="CQ306" s="140"/>
      <c r="CR306" s="140"/>
      <c r="CS306" s="140"/>
      <c r="CT306" s="140"/>
      <c r="CU306" s="140"/>
      <c r="CV306" s="140"/>
      <c r="CW306" s="140"/>
      <c r="CX306" s="140"/>
      <c r="CY306" s="140"/>
      <c r="CZ306" s="140"/>
      <c r="DA306" s="140"/>
      <c r="DB306" s="140"/>
      <c r="DC306" s="140"/>
      <c r="DD306" s="140"/>
      <c r="DE306" s="140"/>
    </row>
    <row r="307" spans="1:109" s="139" customForma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3"/>
      <c r="U307" s="143"/>
      <c r="V307" s="143"/>
      <c r="W307" s="143"/>
      <c r="X307" s="143"/>
      <c r="Y307" s="143"/>
      <c r="Z307" s="143"/>
      <c r="AA307" s="143"/>
      <c r="AC307" s="140"/>
      <c r="AD307" s="140"/>
      <c r="AE307" s="140"/>
      <c r="AF307" s="140"/>
      <c r="AG307" s="140"/>
      <c r="AH307" s="141"/>
      <c r="AI307" s="143"/>
      <c r="AJ307" s="140"/>
      <c r="AK307" s="140"/>
      <c r="AL307" s="140"/>
      <c r="AM307" s="140"/>
      <c r="AN307" s="140"/>
      <c r="AO307" s="140"/>
      <c r="AP307" s="140"/>
      <c r="AQ307" s="140"/>
      <c r="AR307" s="140"/>
      <c r="AS307" s="140"/>
      <c r="AT307" s="140"/>
      <c r="AU307" s="140"/>
      <c r="AV307" s="140"/>
      <c r="AW307" s="140"/>
      <c r="AX307" s="140"/>
      <c r="AY307" s="140"/>
      <c r="AZ307" s="140"/>
      <c r="BA307" s="140"/>
      <c r="BB307" s="140"/>
      <c r="BC307" s="140"/>
      <c r="BD307" s="140"/>
      <c r="BE307" s="140"/>
      <c r="BF307" s="140"/>
      <c r="BG307" s="140"/>
      <c r="BH307" s="140"/>
      <c r="BI307" s="140"/>
      <c r="BJ307" s="140"/>
      <c r="BK307" s="140"/>
      <c r="BL307" s="140"/>
      <c r="BM307" s="140"/>
      <c r="BN307" s="140"/>
      <c r="BO307" s="140"/>
      <c r="BP307" s="140"/>
      <c r="BQ307" s="140"/>
      <c r="BR307" s="140"/>
      <c r="BS307" s="140"/>
      <c r="BT307" s="140"/>
      <c r="BU307" s="140"/>
      <c r="BV307" s="140"/>
      <c r="BW307" s="140"/>
      <c r="BX307" s="140"/>
      <c r="BY307" s="140"/>
      <c r="BZ307" s="140"/>
      <c r="CA307" s="140"/>
      <c r="CB307" s="140"/>
      <c r="CC307" s="140"/>
      <c r="CD307" s="140"/>
      <c r="CE307" s="140"/>
      <c r="CF307" s="140"/>
      <c r="CG307" s="140"/>
      <c r="CH307" s="140"/>
      <c r="CI307" s="140"/>
      <c r="CJ307" s="140"/>
      <c r="CK307" s="140"/>
      <c r="CL307" s="140"/>
      <c r="CM307" s="140"/>
      <c r="CN307" s="140"/>
      <c r="CO307" s="140"/>
      <c r="CP307" s="140"/>
      <c r="CQ307" s="140"/>
      <c r="CR307" s="140"/>
      <c r="CS307" s="140"/>
      <c r="CT307" s="140"/>
      <c r="CU307" s="140"/>
      <c r="CV307" s="140"/>
      <c r="CW307" s="140"/>
      <c r="CX307" s="140"/>
      <c r="CY307" s="140"/>
      <c r="CZ307" s="140"/>
      <c r="DA307" s="140"/>
      <c r="DB307" s="140"/>
      <c r="DC307" s="140"/>
      <c r="DD307" s="140"/>
      <c r="DE307" s="140"/>
    </row>
    <row r="308" spans="1:109" s="139" customForma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3"/>
      <c r="U308" s="143"/>
      <c r="V308" s="143"/>
      <c r="W308" s="143"/>
      <c r="X308" s="143"/>
      <c r="Y308" s="143"/>
      <c r="Z308" s="143"/>
      <c r="AA308" s="143"/>
      <c r="AC308" s="140"/>
      <c r="AD308" s="140"/>
      <c r="AE308" s="140"/>
      <c r="AF308" s="140"/>
      <c r="AG308" s="140"/>
      <c r="AH308" s="141"/>
      <c r="AI308" s="143"/>
      <c r="AJ308" s="140"/>
      <c r="AK308" s="140"/>
      <c r="AL308" s="140"/>
      <c r="AM308" s="140"/>
      <c r="AN308" s="140"/>
      <c r="AO308" s="140"/>
      <c r="AP308" s="140"/>
      <c r="AQ308" s="140"/>
      <c r="AR308" s="140"/>
      <c r="AS308" s="140"/>
      <c r="AT308" s="140"/>
      <c r="AU308" s="140"/>
      <c r="AV308" s="140"/>
      <c r="AW308" s="140"/>
      <c r="AX308" s="140"/>
      <c r="AY308" s="140"/>
      <c r="AZ308" s="140"/>
      <c r="BA308" s="140"/>
      <c r="BB308" s="140"/>
      <c r="BC308" s="140"/>
      <c r="BD308" s="140"/>
      <c r="BE308" s="140"/>
      <c r="BF308" s="140"/>
      <c r="BG308" s="140"/>
      <c r="BH308" s="140"/>
      <c r="BI308" s="140"/>
      <c r="BJ308" s="140"/>
      <c r="BK308" s="140"/>
      <c r="BL308" s="140"/>
      <c r="BM308" s="140"/>
      <c r="BN308" s="140"/>
      <c r="BO308" s="140"/>
      <c r="BP308" s="140"/>
      <c r="BQ308" s="140"/>
      <c r="BR308" s="140"/>
      <c r="BS308" s="140"/>
      <c r="BT308" s="140"/>
      <c r="BU308" s="140"/>
      <c r="BV308" s="140"/>
      <c r="BW308" s="140"/>
      <c r="BX308" s="140"/>
      <c r="BY308" s="140"/>
      <c r="BZ308" s="140"/>
      <c r="CA308" s="140"/>
      <c r="CB308" s="140"/>
      <c r="CC308" s="140"/>
      <c r="CD308" s="140"/>
      <c r="CE308" s="140"/>
      <c r="CF308" s="140"/>
      <c r="CG308" s="140"/>
      <c r="CH308" s="140"/>
      <c r="CI308" s="140"/>
      <c r="CJ308" s="140"/>
      <c r="CK308" s="140"/>
      <c r="CL308" s="140"/>
      <c r="CM308" s="140"/>
      <c r="CN308" s="140"/>
      <c r="CO308" s="140"/>
      <c r="CP308" s="140"/>
      <c r="CQ308" s="140"/>
      <c r="CR308" s="140"/>
      <c r="CS308" s="140"/>
      <c r="CT308" s="140"/>
      <c r="CU308" s="140"/>
      <c r="CV308" s="140"/>
      <c r="CW308" s="140"/>
      <c r="CX308" s="140"/>
      <c r="CY308" s="140"/>
      <c r="CZ308" s="140"/>
      <c r="DA308" s="140"/>
      <c r="DB308" s="140"/>
      <c r="DC308" s="140"/>
      <c r="DD308" s="140"/>
      <c r="DE308" s="140"/>
    </row>
    <row r="309" spans="1:109" s="139" customForma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3"/>
      <c r="U309" s="143"/>
      <c r="V309" s="143"/>
      <c r="W309" s="143"/>
      <c r="X309" s="143"/>
      <c r="Y309" s="143"/>
      <c r="Z309" s="143"/>
      <c r="AA309" s="143"/>
      <c r="AC309" s="140"/>
      <c r="AD309" s="140"/>
      <c r="AE309" s="140"/>
      <c r="AF309" s="140"/>
      <c r="AG309" s="140"/>
      <c r="AH309" s="141"/>
      <c r="AI309" s="143"/>
      <c r="AJ309" s="140"/>
      <c r="AK309" s="140"/>
      <c r="AL309" s="140"/>
      <c r="AM309" s="140"/>
      <c r="AN309" s="140"/>
      <c r="AO309" s="140"/>
      <c r="AP309" s="140"/>
      <c r="AQ309" s="140"/>
      <c r="AR309" s="140"/>
      <c r="AS309" s="140"/>
      <c r="AT309" s="140"/>
      <c r="AU309" s="140"/>
      <c r="AV309" s="140"/>
      <c r="AW309" s="140"/>
      <c r="AX309" s="140"/>
      <c r="AY309" s="140"/>
      <c r="AZ309" s="140"/>
      <c r="BA309" s="140"/>
      <c r="BB309" s="140"/>
      <c r="BC309" s="140"/>
      <c r="BD309" s="140"/>
      <c r="BE309" s="140"/>
      <c r="BF309" s="140"/>
      <c r="BG309" s="140"/>
      <c r="BH309" s="140"/>
      <c r="BI309" s="140"/>
      <c r="BJ309" s="140"/>
      <c r="BK309" s="140"/>
      <c r="BL309" s="140"/>
      <c r="BM309" s="140"/>
      <c r="BN309" s="140"/>
      <c r="BO309" s="140"/>
      <c r="BP309" s="140"/>
      <c r="BQ309" s="140"/>
      <c r="BR309" s="140"/>
      <c r="BS309" s="140"/>
      <c r="BT309" s="140"/>
      <c r="BU309" s="140"/>
      <c r="BV309" s="140"/>
      <c r="BW309" s="140"/>
      <c r="BX309" s="140"/>
      <c r="BY309" s="140"/>
      <c r="BZ309" s="140"/>
      <c r="CA309" s="140"/>
      <c r="CB309" s="140"/>
      <c r="CC309" s="140"/>
      <c r="CD309" s="140"/>
      <c r="CE309" s="140"/>
      <c r="CF309" s="140"/>
      <c r="CG309" s="140"/>
      <c r="CH309" s="140"/>
      <c r="CI309" s="140"/>
      <c r="CJ309" s="140"/>
      <c r="CK309" s="140"/>
      <c r="CL309" s="140"/>
      <c r="CM309" s="140"/>
      <c r="CN309" s="140"/>
      <c r="CO309" s="140"/>
      <c r="CP309" s="140"/>
      <c r="CQ309" s="140"/>
      <c r="CR309" s="140"/>
      <c r="CS309" s="140"/>
      <c r="CT309" s="140"/>
      <c r="CU309" s="140"/>
      <c r="CV309" s="140"/>
      <c r="CW309" s="140"/>
      <c r="CX309" s="140"/>
      <c r="CY309" s="140"/>
      <c r="CZ309" s="140"/>
      <c r="DA309" s="140"/>
      <c r="DB309" s="140"/>
      <c r="DC309" s="140"/>
      <c r="DD309" s="140"/>
      <c r="DE309" s="140"/>
    </row>
    <row r="310" spans="1:109" s="139" customForma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3"/>
      <c r="U310" s="143"/>
      <c r="V310" s="143"/>
      <c r="W310" s="143"/>
      <c r="X310" s="143"/>
      <c r="Y310" s="143"/>
      <c r="Z310" s="143"/>
      <c r="AA310" s="143"/>
      <c r="AC310" s="140"/>
      <c r="AD310" s="140"/>
      <c r="AE310" s="140"/>
      <c r="AF310" s="140"/>
      <c r="AG310" s="140"/>
      <c r="AH310" s="141"/>
      <c r="AI310" s="143"/>
      <c r="AJ310" s="140"/>
      <c r="AK310" s="140"/>
      <c r="AL310" s="140"/>
      <c r="AM310" s="140"/>
      <c r="AN310" s="140"/>
      <c r="AO310" s="140"/>
      <c r="AP310" s="140"/>
      <c r="AQ310" s="140"/>
      <c r="AR310" s="140"/>
      <c r="AS310" s="140"/>
      <c r="AT310" s="140"/>
      <c r="AU310" s="140"/>
      <c r="AV310" s="140"/>
      <c r="AW310" s="140"/>
      <c r="AX310" s="140"/>
      <c r="AY310" s="140"/>
      <c r="AZ310" s="140"/>
      <c r="BA310" s="140"/>
      <c r="BB310" s="140"/>
      <c r="BC310" s="140"/>
      <c r="BD310" s="140"/>
      <c r="BE310" s="140"/>
      <c r="BF310" s="140"/>
      <c r="BG310" s="140"/>
      <c r="BH310" s="140"/>
      <c r="BI310" s="140"/>
      <c r="BJ310" s="140"/>
      <c r="BK310" s="140"/>
      <c r="BL310" s="140"/>
      <c r="BM310" s="140"/>
      <c r="BN310" s="140"/>
      <c r="BO310" s="140"/>
      <c r="BP310" s="140"/>
      <c r="BQ310" s="140"/>
      <c r="BR310" s="140"/>
      <c r="BS310" s="140"/>
      <c r="BT310" s="140"/>
      <c r="BU310" s="140"/>
      <c r="BV310" s="140"/>
      <c r="BW310" s="140"/>
      <c r="BX310" s="140"/>
      <c r="BY310" s="140"/>
      <c r="BZ310" s="140"/>
      <c r="CA310" s="140"/>
      <c r="CB310" s="140"/>
      <c r="CC310" s="140"/>
      <c r="CD310" s="140"/>
      <c r="CE310" s="140"/>
      <c r="CF310" s="140"/>
      <c r="CG310" s="140"/>
      <c r="CH310" s="140"/>
      <c r="CI310" s="140"/>
      <c r="CJ310" s="140"/>
      <c r="CK310" s="140"/>
      <c r="CL310" s="140"/>
      <c r="CM310" s="140"/>
      <c r="CN310" s="140"/>
      <c r="CO310" s="140"/>
      <c r="CP310" s="140"/>
      <c r="CQ310" s="140"/>
      <c r="CR310" s="140"/>
      <c r="CS310" s="140"/>
      <c r="CT310" s="140"/>
      <c r="CU310" s="140"/>
      <c r="CV310" s="140"/>
      <c r="CW310" s="140"/>
      <c r="CX310" s="140"/>
      <c r="CY310" s="140"/>
      <c r="CZ310" s="140"/>
      <c r="DA310" s="140"/>
      <c r="DB310" s="140"/>
      <c r="DC310" s="140"/>
      <c r="DD310" s="140"/>
      <c r="DE310" s="140"/>
    </row>
    <row r="311" spans="1:109" s="139" customForma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3"/>
      <c r="U311" s="143"/>
      <c r="V311" s="143"/>
      <c r="W311" s="143"/>
      <c r="X311" s="143"/>
      <c r="Y311" s="143"/>
      <c r="Z311" s="143"/>
      <c r="AA311" s="143"/>
      <c r="AC311" s="140"/>
      <c r="AD311" s="140"/>
      <c r="AE311" s="140"/>
      <c r="AF311" s="140"/>
      <c r="AG311" s="140"/>
      <c r="AH311" s="141"/>
      <c r="AI311" s="143"/>
      <c r="AJ311" s="140"/>
      <c r="AK311" s="140"/>
      <c r="AL311" s="140"/>
      <c r="AM311" s="140"/>
      <c r="AN311" s="140"/>
      <c r="AO311" s="140"/>
      <c r="AP311" s="140"/>
      <c r="AQ311" s="140"/>
      <c r="AR311" s="140"/>
      <c r="AS311" s="140"/>
      <c r="AT311" s="140"/>
      <c r="AU311" s="140"/>
      <c r="AV311" s="140"/>
      <c r="AW311" s="140"/>
      <c r="AX311" s="140"/>
      <c r="AY311" s="140"/>
      <c r="AZ311" s="140"/>
      <c r="BA311" s="140"/>
      <c r="BB311" s="140"/>
      <c r="BC311" s="140"/>
      <c r="BD311" s="140"/>
      <c r="BE311" s="140"/>
      <c r="BF311" s="140"/>
      <c r="BG311" s="140"/>
      <c r="BH311" s="140"/>
      <c r="BI311" s="140"/>
      <c r="BJ311" s="140"/>
      <c r="BK311" s="140"/>
      <c r="BL311" s="140"/>
      <c r="BM311" s="140"/>
      <c r="BN311" s="140"/>
      <c r="BO311" s="140"/>
      <c r="BP311" s="140"/>
      <c r="BQ311" s="140"/>
      <c r="BR311" s="140"/>
      <c r="BS311" s="140"/>
      <c r="BT311" s="140"/>
      <c r="BU311" s="140"/>
      <c r="BV311" s="140"/>
      <c r="BW311" s="140"/>
      <c r="BX311" s="140"/>
      <c r="BY311" s="140"/>
      <c r="BZ311" s="140"/>
      <c r="CA311" s="140"/>
      <c r="CB311" s="140"/>
      <c r="CC311" s="140"/>
      <c r="CD311" s="140"/>
      <c r="CE311" s="140"/>
      <c r="CF311" s="140"/>
      <c r="CG311" s="140"/>
      <c r="CH311" s="140"/>
      <c r="CI311" s="140"/>
      <c r="CJ311" s="140"/>
      <c r="CK311" s="140"/>
      <c r="CL311" s="140"/>
      <c r="CM311" s="140"/>
      <c r="CN311" s="140"/>
      <c r="CO311" s="140"/>
      <c r="CP311" s="140"/>
      <c r="CQ311" s="140"/>
      <c r="CR311" s="140"/>
      <c r="CS311" s="140"/>
      <c r="CT311" s="140"/>
      <c r="CU311" s="140"/>
      <c r="CV311" s="140"/>
      <c r="CW311" s="140"/>
      <c r="CX311" s="140"/>
      <c r="CY311" s="140"/>
      <c r="CZ311" s="140"/>
      <c r="DA311" s="140"/>
      <c r="DB311" s="140"/>
      <c r="DC311" s="140"/>
      <c r="DD311" s="140"/>
      <c r="DE311" s="140"/>
    </row>
    <row r="312" spans="1:109" s="139" customForma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3"/>
      <c r="U312" s="143"/>
      <c r="V312" s="143"/>
      <c r="W312" s="143"/>
      <c r="X312" s="143"/>
      <c r="Y312" s="143"/>
      <c r="Z312" s="143"/>
      <c r="AA312" s="143"/>
      <c r="AC312" s="140"/>
      <c r="AD312" s="140"/>
      <c r="AE312" s="140"/>
      <c r="AF312" s="140"/>
      <c r="AG312" s="140"/>
      <c r="AH312" s="141"/>
      <c r="AI312" s="143"/>
      <c r="AJ312" s="140"/>
      <c r="AK312" s="140"/>
      <c r="AL312" s="140"/>
      <c r="AM312" s="140"/>
      <c r="AN312" s="140"/>
      <c r="AO312" s="140"/>
      <c r="AP312" s="140"/>
      <c r="AQ312" s="140"/>
      <c r="AR312" s="140"/>
      <c r="AS312" s="140"/>
      <c r="AT312" s="140"/>
      <c r="AU312" s="140"/>
      <c r="AV312" s="140"/>
      <c r="AW312" s="140"/>
      <c r="AX312" s="140"/>
      <c r="AY312" s="140"/>
      <c r="AZ312" s="140"/>
      <c r="BA312" s="140"/>
      <c r="BB312" s="140"/>
      <c r="BC312" s="140"/>
      <c r="BD312" s="140"/>
      <c r="BE312" s="140"/>
      <c r="BF312" s="140"/>
      <c r="BG312" s="140"/>
      <c r="BH312" s="140"/>
      <c r="BI312" s="140"/>
      <c r="BJ312" s="140"/>
      <c r="BK312" s="140"/>
      <c r="BL312" s="140"/>
      <c r="BM312" s="140"/>
      <c r="BN312" s="140"/>
      <c r="BO312" s="140"/>
      <c r="BP312" s="140"/>
      <c r="BQ312" s="140"/>
      <c r="BR312" s="140"/>
      <c r="BS312" s="140"/>
      <c r="BT312" s="140"/>
      <c r="BU312" s="140"/>
      <c r="BV312" s="140"/>
      <c r="BW312" s="140"/>
      <c r="BX312" s="140"/>
      <c r="BY312" s="140"/>
      <c r="BZ312" s="140"/>
      <c r="CA312" s="140"/>
      <c r="CB312" s="140"/>
      <c r="CC312" s="140"/>
      <c r="CD312" s="140"/>
      <c r="CE312" s="140"/>
      <c r="CF312" s="140"/>
      <c r="CG312" s="140"/>
      <c r="CH312" s="140"/>
      <c r="CI312" s="140"/>
      <c r="CJ312" s="140"/>
      <c r="CK312" s="140"/>
      <c r="CL312" s="140"/>
      <c r="CM312" s="140"/>
      <c r="CN312" s="140"/>
      <c r="CO312" s="140"/>
      <c r="CP312" s="140"/>
      <c r="CQ312" s="140"/>
      <c r="CR312" s="140"/>
      <c r="CS312" s="140"/>
      <c r="CT312" s="140"/>
      <c r="CU312" s="140"/>
      <c r="CV312" s="140"/>
      <c r="CW312" s="140"/>
      <c r="CX312" s="140"/>
      <c r="CY312" s="140"/>
      <c r="CZ312" s="140"/>
      <c r="DA312" s="140"/>
      <c r="DB312" s="140"/>
      <c r="DC312" s="140"/>
      <c r="DD312" s="140"/>
      <c r="DE312" s="140"/>
    </row>
    <row r="313" spans="1:109" s="139" customForma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3"/>
      <c r="U313" s="143"/>
      <c r="V313" s="143"/>
      <c r="W313" s="143"/>
      <c r="X313" s="143"/>
      <c r="Y313" s="143"/>
      <c r="Z313" s="143"/>
      <c r="AA313" s="143"/>
      <c r="AC313" s="140"/>
      <c r="AD313" s="140"/>
      <c r="AE313" s="140"/>
      <c r="AF313" s="140"/>
      <c r="AG313" s="140"/>
      <c r="AH313" s="141"/>
      <c r="AI313" s="143"/>
      <c r="AJ313" s="140"/>
      <c r="AK313" s="140"/>
      <c r="AL313" s="140"/>
      <c r="AM313" s="140"/>
      <c r="AN313" s="140"/>
      <c r="AO313" s="140"/>
      <c r="AP313" s="140"/>
      <c r="AQ313" s="140"/>
      <c r="AR313" s="140"/>
      <c r="AS313" s="140"/>
      <c r="AT313" s="140"/>
      <c r="AU313" s="140"/>
      <c r="AV313" s="140"/>
      <c r="AW313" s="140"/>
      <c r="AX313" s="140"/>
      <c r="AY313" s="140"/>
      <c r="AZ313" s="140"/>
      <c r="BA313" s="140"/>
      <c r="BB313" s="140"/>
      <c r="BC313" s="140"/>
      <c r="BD313" s="140"/>
      <c r="BE313" s="140"/>
      <c r="BF313" s="140"/>
      <c r="BG313" s="140"/>
      <c r="BH313" s="140"/>
      <c r="BI313" s="140"/>
      <c r="BJ313" s="140"/>
      <c r="BK313" s="140"/>
      <c r="BL313" s="140"/>
      <c r="BM313" s="140"/>
      <c r="BN313" s="140"/>
      <c r="BO313" s="140"/>
      <c r="BP313" s="140"/>
      <c r="BQ313" s="140"/>
      <c r="BR313" s="140"/>
      <c r="BS313" s="140"/>
      <c r="BT313" s="140"/>
      <c r="BU313" s="140"/>
      <c r="BV313" s="140"/>
      <c r="BW313" s="140"/>
      <c r="BX313" s="140"/>
      <c r="BY313" s="140"/>
      <c r="BZ313" s="140"/>
      <c r="CA313" s="140"/>
      <c r="CB313" s="140"/>
      <c r="CC313" s="140"/>
      <c r="CD313" s="140"/>
      <c r="CE313" s="140"/>
      <c r="CF313" s="140"/>
      <c r="CG313" s="140"/>
      <c r="CH313" s="140"/>
      <c r="CI313" s="140"/>
      <c r="CJ313" s="140"/>
      <c r="CK313" s="140"/>
      <c r="CL313" s="140"/>
      <c r="CM313" s="140"/>
      <c r="CN313" s="140"/>
      <c r="CO313" s="140"/>
      <c r="CP313" s="140"/>
      <c r="CQ313" s="140"/>
      <c r="CR313" s="140"/>
      <c r="CS313" s="140"/>
      <c r="CT313" s="140"/>
      <c r="CU313" s="140"/>
      <c r="CV313" s="140"/>
      <c r="CW313" s="140"/>
      <c r="CX313" s="140"/>
      <c r="CY313" s="140"/>
      <c r="CZ313" s="140"/>
      <c r="DA313" s="140"/>
      <c r="DB313" s="140"/>
      <c r="DC313" s="140"/>
      <c r="DD313" s="140"/>
      <c r="DE313" s="140"/>
    </row>
    <row r="314" spans="1:109" s="139" customForma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3"/>
      <c r="U314" s="143"/>
      <c r="V314" s="143"/>
      <c r="W314" s="143"/>
      <c r="X314" s="143"/>
      <c r="Y314" s="143"/>
      <c r="Z314" s="143"/>
      <c r="AA314" s="143"/>
      <c r="AC314" s="140"/>
      <c r="AD314" s="140"/>
      <c r="AE314" s="140"/>
      <c r="AF314" s="140"/>
      <c r="AG314" s="140"/>
      <c r="AH314" s="141"/>
      <c r="AI314" s="143"/>
      <c r="AJ314" s="140"/>
      <c r="AK314" s="140"/>
      <c r="AL314" s="140"/>
      <c r="AM314" s="140"/>
      <c r="AN314" s="140"/>
      <c r="AO314" s="140"/>
      <c r="AP314" s="140"/>
      <c r="AQ314" s="140"/>
      <c r="AR314" s="140"/>
      <c r="AS314" s="140"/>
      <c r="AT314" s="140"/>
      <c r="AU314" s="140"/>
      <c r="AV314" s="140"/>
      <c r="AW314" s="140"/>
      <c r="AX314" s="140"/>
      <c r="AY314" s="140"/>
      <c r="AZ314" s="140"/>
      <c r="BA314" s="140"/>
      <c r="BB314" s="140"/>
      <c r="BC314" s="140"/>
      <c r="BD314" s="140"/>
      <c r="BE314" s="140"/>
      <c r="BF314" s="140"/>
      <c r="BG314" s="140"/>
      <c r="BH314" s="140"/>
      <c r="BI314" s="140"/>
      <c r="BJ314" s="140"/>
      <c r="BK314" s="140"/>
      <c r="BL314" s="140"/>
      <c r="BM314" s="140"/>
      <c r="BN314" s="140"/>
      <c r="BO314" s="140"/>
      <c r="BP314" s="140"/>
      <c r="BQ314" s="140"/>
      <c r="BR314" s="140"/>
      <c r="BS314" s="140"/>
      <c r="BT314" s="140"/>
      <c r="BU314" s="140"/>
      <c r="BV314" s="140"/>
      <c r="BW314" s="140"/>
      <c r="BX314" s="140"/>
      <c r="BY314" s="140"/>
      <c r="BZ314" s="140"/>
      <c r="CA314" s="140"/>
      <c r="CB314" s="140"/>
      <c r="CC314" s="140"/>
      <c r="CD314" s="140"/>
      <c r="CE314" s="140"/>
      <c r="CF314" s="140"/>
      <c r="CG314" s="140"/>
      <c r="CH314" s="140"/>
      <c r="CI314" s="140"/>
      <c r="CJ314" s="140"/>
      <c r="CK314" s="140"/>
      <c r="CL314" s="140"/>
      <c r="CM314" s="140"/>
      <c r="CN314" s="140"/>
      <c r="CO314" s="140"/>
      <c r="CP314" s="140"/>
      <c r="CQ314" s="140"/>
      <c r="CR314" s="140"/>
      <c r="CS314" s="140"/>
      <c r="CT314" s="140"/>
      <c r="CU314" s="140"/>
      <c r="CV314" s="140"/>
      <c r="CW314" s="140"/>
      <c r="CX314" s="140"/>
      <c r="CY314" s="140"/>
      <c r="CZ314" s="140"/>
      <c r="DA314" s="140"/>
      <c r="DB314" s="140"/>
      <c r="DC314" s="140"/>
      <c r="DD314" s="140"/>
      <c r="DE314" s="140"/>
    </row>
    <row r="315" spans="1:109" s="139" customForma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3"/>
      <c r="U315" s="143"/>
      <c r="V315" s="143"/>
      <c r="W315" s="143"/>
      <c r="X315" s="143"/>
      <c r="Y315" s="143"/>
      <c r="Z315" s="143"/>
      <c r="AA315" s="143"/>
      <c r="AC315" s="140"/>
      <c r="AD315" s="140"/>
      <c r="AE315" s="140"/>
      <c r="AF315" s="140"/>
      <c r="AG315" s="140"/>
      <c r="AH315" s="141"/>
      <c r="AI315" s="143"/>
      <c r="AJ315" s="140"/>
      <c r="AK315" s="140"/>
      <c r="AL315" s="140"/>
      <c r="AM315" s="140"/>
      <c r="AN315" s="140"/>
      <c r="AO315" s="140"/>
      <c r="AP315" s="140"/>
      <c r="AQ315" s="140"/>
      <c r="AR315" s="140"/>
      <c r="AS315" s="140"/>
      <c r="AT315" s="140"/>
      <c r="AU315" s="140"/>
      <c r="AV315" s="140"/>
      <c r="AW315" s="140"/>
      <c r="AX315" s="140"/>
      <c r="AY315" s="140"/>
      <c r="AZ315" s="140"/>
      <c r="BA315" s="140"/>
      <c r="BB315" s="140"/>
      <c r="BC315" s="140"/>
      <c r="BD315" s="140"/>
      <c r="BE315" s="140"/>
      <c r="BF315" s="140"/>
      <c r="BG315" s="140"/>
      <c r="BH315" s="140"/>
      <c r="BI315" s="140"/>
      <c r="BJ315" s="140"/>
      <c r="BK315" s="140"/>
      <c r="BL315" s="140"/>
      <c r="BM315" s="140"/>
      <c r="BN315" s="140"/>
      <c r="BO315" s="140"/>
      <c r="BP315" s="140"/>
      <c r="BQ315" s="140"/>
      <c r="BR315" s="140"/>
      <c r="BS315" s="140"/>
      <c r="BT315" s="140"/>
      <c r="BU315" s="140"/>
      <c r="BV315" s="140"/>
      <c r="BW315" s="140"/>
      <c r="BX315" s="140"/>
      <c r="BY315" s="140"/>
      <c r="BZ315" s="140"/>
      <c r="CA315" s="140"/>
      <c r="CB315" s="140"/>
      <c r="CC315" s="140"/>
      <c r="CD315" s="140"/>
      <c r="CE315" s="140"/>
      <c r="CF315" s="140"/>
      <c r="CG315" s="140"/>
      <c r="CH315" s="140"/>
      <c r="CI315" s="140"/>
      <c r="CJ315" s="140"/>
      <c r="CK315" s="140"/>
      <c r="CL315" s="140"/>
      <c r="CM315" s="140"/>
      <c r="CN315" s="140"/>
      <c r="CO315" s="140"/>
      <c r="CP315" s="140"/>
      <c r="CQ315" s="140"/>
      <c r="CR315" s="140"/>
      <c r="CS315" s="140"/>
      <c r="CT315" s="140"/>
      <c r="CU315" s="140"/>
      <c r="CV315" s="140"/>
      <c r="CW315" s="140"/>
      <c r="CX315" s="140"/>
      <c r="CY315" s="140"/>
      <c r="CZ315" s="140"/>
      <c r="DA315" s="140"/>
      <c r="DB315" s="140"/>
      <c r="DC315" s="140"/>
      <c r="DD315" s="140"/>
      <c r="DE315" s="140"/>
    </row>
    <row r="316" spans="1:109" s="139" customForma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3"/>
      <c r="U316" s="143"/>
      <c r="V316" s="143"/>
      <c r="W316" s="143"/>
      <c r="X316" s="143"/>
      <c r="Y316" s="143"/>
      <c r="Z316" s="143"/>
      <c r="AA316" s="143"/>
      <c r="AC316" s="140"/>
      <c r="AD316" s="140"/>
      <c r="AE316" s="140"/>
      <c r="AF316" s="140"/>
      <c r="AG316" s="140"/>
      <c r="AH316" s="141"/>
      <c r="AI316" s="143"/>
      <c r="AJ316" s="140"/>
      <c r="AK316" s="140"/>
      <c r="AL316" s="140"/>
      <c r="AM316" s="140"/>
      <c r="AN316" s="140"/>
      <c r="AO316" s="140"/>
      <c r="AP316" s="140"/>
      <c r="AQ316" s="140"/>
      <c r="AR316" s="140"/>
      <c r="AS316" s="140"/>
      <c r="AT316" s="140"/>
      <c r="AU316" s="140"/>
      <c r="AV316" s="140"/>
      <c r="AW316" s="140"/>
      <c r="AX316" s="140"/>
      <c r="AY316" s="140"/>
      <c r="AZ316" s="140"/>
      <c r="BA316" s="140"/>
      <c r="BB316" s="140"/>
      <c r="BC316" s="140"/>
      <c r="BD316" s="140"/>
      <c r="BE316" s="140"/>
      <c r="BF316" s="140"/>
      <c r="BG316" s="140"/>
      <c r="BH316" s="140"/>
      <c r="BI316" s="140"/>
      <c r="BJ316" s="140"/>
      <c r="BK316" s="140"/>
      <c r="BL316" s="140"/>
      <c r="BM316" s="140"/>
      <c r="BN316" s="140"/>
      <c r="BO316" s="140"/>
      <c r="BP316" s="140"/>
      <c r="BQ316" s="140"/>
      <c r="BR316" s="140"/>
      <c r="BS316" s="140"/>
      <c r="BT316" s="140"/>
      <c r="BU316" s="140"/>
      <c r="BV316" s="140"/>
      <c r="BW316" s="140"/>
      <c r="BX316" s="140"/>
      <c r="BY316" s="140"/>
      <c r="BZ316" s="140"/>
      <c r="CA316" s="140"/>
      <c r="CB316" s="140"/>
      <c r="CC316" s="140"/>
      <c r="CD316" s="140"/>
      <c r="CE316" s="140"/>
      <c r="CF316" s="140"/>
      <c r="CG316" s="140"/>
      <c r="CH316" s="140"/>
      <c r="CI316" s="140"/>
      <c r="CJ316" s="140"/>
      <c r="CK316" s="140"/>
      <c r="CL316" s="140"/>
      <c r="CM316" s="140"/>
      <c r="CN316" s="140"/>
      <c r="CO316" s="140"/>
      <c r="CP316" s="140"/>
      <c r="CQ316" s="140"/>
      <c r="CR316" s="140"/>
      <c r="CS316" s="140"/>
      <c r="CT316" s="140"/>
      <c r="CU316" s="140"/>
      <c r="CV316" s="140"/>
      <c r="CW316" s="140"/>
      <c r="CX316" s="140"/>
      <c r="CY316" s="140"/>
      <c r="CZ316" s="140"/>
      <c r="DA316" s="140"/>
      <c r="DB316" s="140"/>
      <c r="DC316" s="140"/>
      <c r="DD316" s="140"/>
      <c r="DE316" s="140"/>
    </row>
    <row r="317" spans="1:109" s="139" customForma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3"/>
      <c r="U317" s="143"/>
      <c r="V317" s="143"/>
      <c r="W317" s="143"/>
      <c r="X317" s="143"/>
      <c r="Y317" s="143"/>
      <c r="Z317" s="143"/>
      <c r="AA317" s="143"/>
      <c r="AC317" s="140"/>
      <c r="AD317" s="140"/>
      <c r="AE317" s="140"/>
      <c r="AF317" s="140"/>
      <c r="AG317" s="140"/>
      <c r="AH317" s="141"/>
      <c r="AI317" s="143"/>
      <c r="AJ317" s="140"/>
      <c r="AK317" s="140"/>
      <c r="AL317" s="140"/>
      <c r="AM317" s="140"/>
      <c r="AN317" s="140"/>
      <c r="AO317" s="140"/>
      <c r="AP317" s="140"/>
      <c r="AQ317" s="140"/>
      <c r="AR317" s="140"/>
      <c r="AS317" s="140"/>
      <c r="AT317" s="140"/>
      <c r="AU317" s="140"/>
      <c r="AV317" s="140"/>
      <c r="AW317" s="140"/>
      <c r="AX317" s="140"/>
      <c r="AY317" s="140"/>
      <c r="AZ317" s="140"/>
      <c r="BA317" s="140"/>
      <c r="BB317" s="140"/>
      <c r="BC317" s="140"/>
      <c r="BD317" s="140"/>
      <c r="BE317" s="140"/>
      <c r="BF317" s="140"/>
      <c r="BG317" s="140"/>
      <c r="BH317" s="140"/>
      <c r="BI317" s="140"/>
      <c r="BJ317" s="140"/>
      <c r="BK317" s="140"/>
      <c r="BL317" s="140"/>
      <c r="BM317" s="140"/>
      <c r="BN317" s="140"/>
      <c r="BO317" s="140"/>
      <c r="BP317" s="140"/>
      <c r="BQ317" s="140"/>
      <c r="BR317" s="140"/>
      <c r="BS317" s="140"/>
      <c r="BT317" s="140"/>
      <c r="BU317" s="140"/>
      <c r="BV317" s="140"/>
      <c r="BW317" s="140"/>
      <c r="BX317" s="140"/>
      <c r="BY317" s="140"/>
      <c r="BZ317" s="140"/>
      <c r="CA317" s="140"/>
      <c r="CB317" s="140"/>
      <c r="CC317" s="140"/>
      <c r="CD317" s="140"/>
      <c r="CE317" s="140"/>
      <c r="CF317" s="140"/>
      <c r="CG317" s="140"/>
      <c r="CH317" s="140"/>
      <c r="CI317" s="140"/>
      <c r="CJ317" s="140"/>
      <c r="CK317" s="140"/>
      <c r="CL317" s="140"/>
      <c r="CM317" s="140"/>
      <c r="CN317" s="140"/>
      <c r="CO317" s="140"/>
      <c r="CP317" s="140"/>
      <c r="CQ317" s="140"/>
      <c r="CR317" s="140"/>
      <c r="CS317" s="140"/>
      <c r="CT317" s="140"/>
      <c r="CU317" s="140"/>
      <c r="CV317" s="140"/>
      <c r="CW317" s="140"/>
      <c r="CX317" s="140"/>
      <c r="CY317" s="140"/>
      <c r="CZ317" s="140"/>
      <c r="DA317" s="140"/>
      <c r="DB317" s="140"/>
      <c r="DC317" s="140"/>
      <c r="DD317" s="140"/>
      <c r="DE317" s="140"/>
    </row>
    <row r="318" spans="1:109" s="139" customForma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3"/>
      <c r="U318" s="143"/>
      <c r="V318" s="143"/>
      <c r="W318" s="143"/>
      <c r="X318" s="143"/>
      <c r="Y318" s="143"/>
      <c r="Z318" s="143"/>
      <c r="AA318" s="143"/>
      <c r="AC318" s="140"/>
      <c r="AD318" s="140"/>
      <c r="AE318" s="140"/>
      <c r="AF318" s="140"/>
      <c r="AG318" s="140"/>
      <c r="AH318" s="141"/>
      <c r="AI318" s="143"/>
      <c r="AJ318" s="140"/>
      <c r="AK318" s="140"/>
      <c r="AL318" s="140"/>
      <c r="AM318" s="140"/>
      <c r="AN318" s="140"/>
      <c r="AO318" s="140"/>
      <c r="AP318" s="140"/>
      <c r="AQ318" s="140"/>
      <c r="AR318" s="140"/>
      <c r="AS318" s="140"/>
      <c r="AT318" s="140"/>
      <c r="AU318" s="140"/>
      <c r="AV318" s="140"/>
      <c r="AW318" s="140"/>
      <c r="AX318" s="140"/>
      <c r="AY318" s="140"/>
      <c r="AZ318" s="140"/>
      <c r="BA318" s="140"/>
      <c r="BB318" s="140"/>
      <c r="BC318" s="140"/>
      <c r="BD318" s="140"/>
      <c r="BE318" s="140"/>
      <c r="BF318" s="140"/>
      <c r="BG318" s="140"/>
      <c r="BH318" s="140"/>
      <c r="BI318" s="140"/>
      <c r="BJ318" s="140"/>
      <c r="BK318" s="140"/>
      <c r="BL318" s="140"/>
      <c r="BM318" s="140"/>
      <c r="BN318" s="140"/>
      <c r="BO318" s="140"/>
      <c r="BP318" s="140"/>
      <c r="BQ318" s="140"/>
      <c r="BR318" s="140"/>
      <c r="BS318" s="140"/>
      <c r="BT318" s="140"/>
      <c r="BU318" s="140"/>
      <c r="BV318" s="140"/>
      <c r="BW318" s="140"/>
      <c r="BX318" s="140"/>
      <c r="BY318" s="140"/>
      <c r="BZ318" s="140"/>
      <c r="CA318" s="140"/>
      <c r="CB318" s="140"/>
      <c r="CC318" s="140"/>
      <c r="CD318" s="140"/>
      <c r="CE318" s="140"/>
      <c r="CF318" s="140"/>
      <c r="CG318" s="140"/>
      <c r="CH318" s="140"/>
      <c r="CI318" s="140"/>
      <c r="CJ318" s="140"/>
      <c r="CK318" s="140"/>
      <c r="CL318" s="140"/>
      <c r="CM318" s="140"/>
      <c r="CN318" s="140"/>
      <c r="CO318" s="140"/>
      <c r="CP318" s="140"/>
      <c r="CQ318" s="140"/>
      <c r="CR318" s="140"/>
      <c r="CS318" s="140"/>
      <c r="CT318" s="140"/>
      <c r="CU318" s="140"/>
      <c r="CV318" s="140"/>
      <c r="CW318" s="140"/>
      <c r="CX318" s="140"/>
      <c r="CY318" s="140"/>
      <c r="CZ318" s="140"/>
      <c r="DA318" s="140"/>
      <c r="DB318" s="140"/>
      <c r="DC318" s="140"/>
      <c r="DD318" s="140"/>
      <c r="DE318" s="140"/>
    </row>
    <row r="319" spans="1:109" s="139" customForma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3"/>
      <c r="U319" s="143"/>
      <c r="V319" s="143"/>
      <c r="W319" s="143"/>
      <c r="X319" s="143"/>
      <c r="Y319" s="143"/>
      <c r="Z319" s="143"/>
      <c r="AA319" s="143"/>
      <c r="AC319" s="140"/>
      <c r="AD319" s="140"/>
      <c r="AE319" s="140"/>
      <c r="AF319" s="140"/>
      <c r="AG319" s="140"/>
      <c r="AH319" s="141"/>
      <c r="AI319" s="143"/>
      <c r="AJ319" s="140"/>
      <c r="AK319" s="140"/>
      <c r="AL319" s="140"/>
      <c r="AM319" s="140"/>
      <c r="AN319" s="140"/>
      <c r="AO319" s="140"/>
      <c r="AP319" s="140"/>
      <c r="AQ319" s="140"/>
      <c r="AR319" s="140"/>
      <c r="AS319" s="140"/>
      <c r="AT319" s="140"/>
      <c r="AU319" s="140"/>
      <c r="AV319" s="140"/>
      <c r="AW319" s="140"/>
      <c r="AX319" s="140"/>
      <c r="AY319" s="140"/>
      <c r="AZ319" s="140"/>
      <c r="BA319" s="140"/>
      <c r="BB319" s="140"/>
      <c r="BC319" s="140"/>
      <c r="BD319" s="140"/>
      <c r="BE319" s="140"/>
      <c r="BF319" s="140"/>
      <c r="BG319" s="140"/>
      <c r="BH319" s="140"/>
      <c r="BI319" s="140"/>
      <c r="BJ319" s="140"/>
      <c r="BK319" s="140"/>
      <c r="BL319" s="140"/>
      <c r="BM319" s="140"/>
      <c r="BN319" s="140"/>
      <c r="BO319" s="140"/>
      <c r="BP319" s="140"/>
      <c r="BQ319" s="140"/>
      <c r="BR319" s="140"/>
      <c r="BS319" s="140"/>
      <c r="BT319" s="140"/>
      <c r="BU319" s="140"/>
      <c r="BV319" s="140"/>
      <c r="BW319" s="140"/>
      <c r="BX319" s="140"/>
      <c r="BY319" s="140"/>
      <c r="BZ319" s="140"/>
      <c r="CA319" s="140"/>
      <c r="CB319" s="140"/>
      <c r="CC319" s="140"/>
      <c r="CD319" s="140"/>
      <c r="CE319" s="140"/>
      <c r="CF319" s="140"/>
      <c r="CG319" s="140"/>
      <c r="CH319" s="140"/>
      <c r="CI319" s="140"/>
      <c r="CJ319" s="140"/>
      <c r="CK319" s="140"/>
      <c r="CL319" s="140"/>
      <c r="CM319" s="140"/>
      <c r="CN319" s="140"/>
      <c r="CO319" s="140"/>
      <c r="CP319" s="140"/>
      <c r="CQ319" s="140"/>
      <c r="CR319" s="140"/>
      <c r="CS319" s="140"/>
      <c r="CT319" s="140"/>
      <c r="CU319" s="140"/>
      <c r="CV319" s="140"/>
      <c r="CW319" s="140"/>
      <c r="CX319" s="140"/>
      <c r="CY319" s="140"/>
      <c r="CZ319" s="140"/>
      <c r="DA319" s="140"/>
      <c r="DB319" s="140"/>
      <c r="DC319" s="140"/>
      <c r="DD319" s="140"/>
      <c r="DE319" s="140"/>
    </row>
    <row r="320" spans="1:109" s="139" customForma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3"/>
      <c r="U320" s="143"/>
      <c r="V320" s="143"/>
      <c r="W320" s="143"/>
      <c r="X320" s="143"/>
      <c r="Y320" s="143"/>
      <c r="Z320" s="143"/>
      <c r="AA320" s="143"/>
      <c r="AC320" s="140"/>
      <c r="AD320" s="140"/>
      <c r="AE320" s="140"/>
      <c r="AF320" s="140"/>
      <c r="AG320" s="140"/>
      <c r="AH320" s="141"/>
      <c r="AI320" s="143"/>
      <c r="AJ320" s="140"/>
      <c r="AK320" s="140"/>
      <c r="AL320" s="140"/>
      <c r="AM320" s="140"/>
      <c r="AN320" s="140"/>
      <c r="AO320" s="140"/>
      <c r="AP320" s="140"/>
      <c r="AQ320" s="140"/>
      <c r="AR320" s="140"/>
      <c r="AS320" s="140"/>
      <c r="AT320" s="140"/>
      <c r="AU320" s="140"/>
      <c r="AV320" s="140"/>
      <c r="AW320" s="140"/>
      <c r="AX320" s="140"/>
      <c r="AY320" s="140"/>
      <c r="AZ320" s="140"/>
      <c r="BA320" s="140"/>
      <c r="BB320" s="140"/>
      <c r="BC320" s="140"/>
      <c r="BD320" s="140"/>
      <c r="BE320" s="140"/>
      <c r="BF320" s="140"/>
      <c r="BG320" s="140"/>
      <c r="BH320" s="140"/>
      <c r="BI320" s="140"/>
      <c r="BJ320" s="140"/>
      <c r="BK320" s="140"/>
      <c r="BL320" s="140"/>
      <c r="BM320" s="140"/>
      <c r="BN320" s="140"/>
      <c r="BO320" s="140"/>
      <c r="BP320" s="140"/>
      <c r="BQ320" s="140"/>
      <c r="BR320" s="140"/>
      <c r="BS320" s="140"/>
      <c r="BT320" s="140"/>
      <c r="BU320" s="140"/>
      <c r="BV320" s="140"/>
      <c r="BW320" s="140"/>
      <c r="BX320" s="140"/>
      <c r="BY320" s="140"/>
      <c r="BZ320" s="140"/>
      <c r="CA320" s="140"/>
      <c r="CB320" s="140"/>
      <c r="CC320" s="140"/>
      <c r="CD320" s="140"/>
      <c r="CE320" s="140"/>
      <c r="CF320" s="140"/>
      <c r="CG320" s="140"/>
      <c r="CH320" s="140"/>
      <c r="CI320" s="140"/>
      <c r="CJ320" s="140"/>
      <c r="CK320" s="140"/>
      <c r="CL320" s="140"/>
      <c r="CM320" s="140"/>
      <c r="CN320" s="140"/>
      <c r="CO320" s="140"/>
      <c r="CP320" s="140"/>
      <c r="CQ320" s="140"/>
      <c r="CR320" s="140"/>
      <c r="CS320" s="140"/>
      <c r="CT320" s="140"/>
      <c r="CU320" s="140"/>
      <c r="CV320" s="140"/>
      <c r="CW320" s="140"/>
      <c r="CX320" s="140"/>
      <c r="CY320" s="140"/>
      <c r="CZ320" s="140"/>
      <c r="DA320" s="140"/>
      <c r="DB320" s="140"/>
      <c r="DC320" s="140"/>
      <c r="DD320" s="140"/>
      <c r="DE320" s="140"/>
    </row>
    <row r="321" spans="1:109" s="139" customForma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3"/>
      <c r="U321" s="143"/>
      <c r="V321" s="143"/>
      <c r="W321" s="143"/>
      <c r="X321" s="143"/>
      <c r="Y321" s="143"/>
      <c r="Z321" s="143"/>
      <c r="AA321" s="143"/>
      <c r="AC321" s="140"/>
      <c r="AD321" s="140"/>
      <c r="AE321" s="140"/>
      <c r="AF321" s="140"/>
      <c r="AG321" s="140"/>
      <c r="AH321" s="141"/>
      <c r="AI321" s="143"/>
      <c r="AJ321" s="140"/>
      <c r="AK321" s="140"/>
      <c r="AL321" s="140"/>
      <c r="AM321" s="140"/>
      <c r="AN321" s="140"/>
      <c r="AO321" s="140"/>
      <c r="AP321" s="140"/>
      <c r="AQ321" s="140"/>
      <c r="AR321" s="140"/>
      <c r="AS321" s="140"/>
      <c r="AT321" s="140"/>
      <c r="AU321" s="140"/>
      <c r="AV321" s="140"/>
      <c r="AW321" s="140"/>
      <c r="AX321" s="140"/>
      <c r="AY321" s="140"/>
      <c r="AZ321" s="140"/>
      <c r="BA321" s="140"/>
      <c r="BB321" s="140"/>
      <c r="BC321" s="140"/>
      <c r="BD321" s="140"/>
      <c r="BE321" s="140"/>
      <c r="BF321" s="140"/>
      <c r="BG321" s="140"/>
      <c r="BH321" s="140"/>
      <c r="BI321" s="140"/>
      <c r="BJ321" s="140"/>
      <c r="BK321" s="140"/>
      <c r="BL321" s="140"/>
      <c r="BM321" s="140"/>
      <c r="BN321" s="140"/>
      <c r="BO321" s="140"/>
      <c r="BP321" s="140"/>
      <c r="BQ321" s="140"/>
      <c r="BR321" s="140"/>
      <c r="BS321" s="140"/>
      <c r="BT321" s="140"/>
      <c r="BU321" s="140"/>
      <c r="BV321" s="140"/>
      <c r="BW321" s="140"/>
      <c r="BX321" s="140"/>
      <c r="BY321" s="140"/>
      <c r="BZ321" s="140"/>
      <c r="CA321" s="140"/>
      <c r="CB321" s="140"/>
      <c r="CC321" s="140"/>
      <c r="CD321" s="140"/>
      <c r="CE321" s="140"/>
      <c r="CF321" s="140"/>
      <c r="CG321" s="140"/>
      <c r="CH321" s="140"/>
      <c r="CI321" s="140"/>
      <c r="CJ321" s="140"/>
      <c r="CK321" s="140"/>
      <c r="CL321" s="140"/>
      <c r="CM321" s="140"/>
      <c r="CN321" s="140"/>
      <c r="CO321" s="140"/>
      <c r="CP321" s="140"/>
      <c r="CQ321" s="140"/>
      <c r="CR321" s="140"/>
      <c r="CS321" s="140"/>
      <c r="CT321" s="140"/>
      <c r="CU321" s="140"/>
      <c r="CV321" s="140"/>
      <c r="CW321" s="140"/>
      <c r="CX321" s="140"/>
      <c r="CY321" s="140"/>
      <c r="CZ321" s="140"/>
      <c r="DA321" s="140"/>
      <c r="DB321" s="140"/>
      <c r="DC321" s="140"/>
      <c r="DD321" s="140"/>
      <c r="DE321" s="140"/>
    </row>
    <row r="322" spans="1:109" s="139" customForma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3"/>
      <c r="U322" s="143"/>
      <c r="V322" s="143"/>
      <c r="W322" s="143"/>
      <c r="X322" s="143"/>
      <c r="Y322" s="143"/>
      <c r="Z322" s="143"/>
      <c r="AA322" s="143"/>
      <c r="AC322" s="140"/>
      <c r="AD322" s="140"/>
      <c r="AE322" s="140"/>
      <c r="AF322" s="140"/>
      <c r="AG322" s="140"/>
      <c r="AH322" s="141"/>
      <c r="AI322" s="143"/>
      <c r="AJ322" s="140"/>
      <c r="AK322" s="140"/>
      <c r="AL322" s="140"/>
      <c r="AM322" s="140"/>
      <c r="AN322" s="140"/>
      <c r="AO322" s="140"/>
      <c r="AP322" s="140"/>
      <c r="AQ322" s="140"/>
      <c r="AR322" s="140"/>
      <c r="AS322" s="140"/>
      <c r="AT322" s="140"/>
      <c r="AU322" s="140"/>
      <c r="AV322" s="140"/>
      <c r="AW322" s="140"/>
      <c r="AX322" s="140"/>
      <c r="AY322" s="140"/>
      <c r="AZ322" s="140"/>
      <c r="BA322" s="140"/>
      <c r="BB322" s="140"/>
      <c r="BC322" s="140"/>
      <c r="BD322" s="140"/>
      <c r="BE322" s="140"/>
      <c r="BF322" s="140"/>
      <c r="BG322" s="140"/>
      <c r="BH322" s="140"/>
      <c r="BI322" s="140"/>
      <c r="BJ322" s="140"/>
      <c r="BK322" s="140"/>
      <c r="BL322" s="140"/>
      <c r="BM322" s="140"/>
      <c r="BN322" s="140"/>
      <c r="BO322" s="140"/>
      <c r="BP322" s="140"/>
      <c r="BQ322" s="140"/>
      <c r="BR322" s="140"/>
      <c r="BS322" s="140"/>
      <c r="BT322" s="140"/>
      <c r="BU322" s="140"/>
      <c r="BV322" s="140"/>
      <c r="BW322" s="140"/>
      <c r="BX322" s="140"/>
      <c r="BY322" s="140"/>
      <c r="BZ322" s="140"/>
      <c r="CA322" s="140"/>
      <c r="CB322" s="140"/>
      <c r="CC322" s="140"/>
      <c r="CD322" s="140"/>
      <c r="CE322" s="140"/>
      <c r="CF322" s="140"/>
      <c r="CG322" s="140"/>
      <c r="CH322" s="140"/>
      <c r="CI322" s="140"/>
      <c r="CJ322" s="140"/>
      <c r="CK322" s="140"/>
      <c r="CL322" s="140"/>
      <c r="CM322" s="140"/>
      <c r="CN322" s="140"/>
      <c r="CO322" s="140"/>
      <c r="CP322" s="140"/>
      <c r="CQ322" s="140"/>
      <c r="CR322" s="140"/>
      <c r="CS322" s="140"/>
      <c r="CT322" s="140"/>
      <c r="CU322" s="140"/>
      <c r="CV322" s="140"/>
      <c r="CW322" s="140"/>
      <c r="CX322" s="140"/>
      <c r="CY322" s="140"/>
      <c r="CZ322" s="140"/>
      <c r="DA322" s="140"/>
      <c r="DB322" s="140"/>
      <c r="DC322" s="140"/>
      <c r="DD322" s="140"/>
      <c r="DE322" s="140"/>
    </row>
    <row r="323" spans="1:109" s="139" customForma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3"/>
      <c r="U323" s="143"/>
      <c r="V323" s="143"/>
      <c r="W323" s="143"/>
      <c r="X323" s="143"/>
      <c r="Y323" s="143"/>
      <c r="Z323" s="143"/>
      <c r="AA323" s="143"/>
      <c r="AC323" s="140"/>
      <c r="AD323" s="140"/>
      <c r="AE323" s="140"/>
      <c r="AF323" s="140"/>
      <c r="AG323" s="140"/>
      <c r="AH323" s="141"/>
      <c r="AI323" s="143"/>
      <c r="AJ323" s="140"/>
      <c r="AK323" s="140"/>
      <c r="AL323" s="140"/>
      <c r="AM323" s="140"/>
      <c r="AN323" s="140"/>
      <c r="AO323" s="140"/>
      <c r="AP323" s="140"/>
      <c r="AQ323" s="140"/>
      <c r="AR323" s="140"/>
      <c r="AS323" s="140"/>
      <c r="AT323" s="140"/>
      <c r="AU323" s="140"/>
      <c r="AV323" s="140"/>
      <c r="AW323" s="140"/>
      <c r="AX323" s="140"/>
      <c r="AY323" s="140"/>
      <c r="AZ323" s="140"/>
      <c r="BA323" s="140"/>
      <c r="BB323" s="140"/>
      <c r="BC323" s="140"/>
      <c r="BD323" s="140"/>
      <c r="BE323" s="140"/>
      <c r="BF323" s="140"/>
      <c r="BG323" s="140"/>
      <c r="BH323" s="140"/>
      <c r="BI323" s="140"/>
      <c r="BJ323" s="140"/>
      <c r="BK323" s="140"/>
      <c r="BL323" s="140"/>
      <c r="BM323" s="140"/>
      <c r="BN323" s="140"/>
      <c r="BO323" s="140"/>
      <c r="BP323" s="140"/>
      <c r="BQ323" s="140"/>
      <c r="BR323" s="140"/>
      <c r="BS323" s="140"/>
      <c r="BT323" s="140"/>
      <c r="BU323" s="140"/>
      <c r="BV323" s="140"/>
      <c r="BW323" s="140"/>
      <c r="BX323" s="140"/>
      <c r="BY323" s="140"/>
      <c r="BZ323" s="140"/>
      <c r="CA323" s="140"/>
      <c r="CB323" s="140"/>
      <c r="CC323" s="140"/>
      <c r="CD323" s="140"/>
      <c r="CE323" s="140"/>
      <c r="CF323" s="140"/>
      <c r="CG323" s="140"/>
      <c r="CH323" s="140"/>
      <c r="CI323" s="140"/>
      <c r="CJ323" s="140"/>
      <c r="CK323" s="140"/>
      <c r="CL323" s="140"/>
      <c r="CM323" s="140"/>
      <c r="CN323" s="140"/>
      <c r="CO323" s="140"/>
      <c r="CP323" s="140"/>
      <c r="CQ323" s="140"/>
      <c r="CR323" s="140"/>
      <c r="CS323" s="140"/>
      <c r="CT323" s="140"/>
      <c r="CU323" s="140"/>
      <c r="CV323" s="140"/>
      <c r="CW323" s="140"/>
      <c r="CX323" s="140"/>
      <c r="CY323" s="140"/>
      <c r="CZ323" s="140"/>
      <c r="DA323" s="140"/>
      <c r="DB323" s="140"/>
      <c r="DC323" s="140"/>
      <c r="DD323" s="140"/>
      <c r="DE323" s="140"/>
    </row>
    <row r="324" spans="1:109" s="139" customForma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3"/>
      <c r="U324" s="143"/>
      <c r="V324" s="143"/>
      <c r="W324" s="143"/>
      <c r="X324" s="143"/>
      <c r="Y324" s="143"/>
      <c r="Z324" s="143"/>
      <c r="AA324" s="143"/>
      <c r="AC324" s="140"/>
      <c r="AD324" s="140"/>
      <c r="AE324" s="140"/>
      <c r="AF324" s="140"/>
      <c r="AG324" s="140"/>
      <c r="AH324" s="141"/>
      <c r="AI324" s="143"/>
      <c r="AJ324" s="140"/>
      <c r="AK324" s="140"/>
      <c r="AL324" s="140"/>
      <c r="AM324" s="140"/>
      <c r="AN324" s="140"/>
      <c r="AO324" s="140"/>
      <c r="AP324" s="140"/>
      <c r="AQ324" s="140"/>
      <c r="AR324" s="140"/>
      <c r="AS324" s="140"/>
      <c r="AT324" s="140"/>
      <c r="AU324" s="140"/>
      <c r="AV324" s="140"/>
      <c r="AW324" s="140"/>
      <c r="AX324" s="140"/>
      <c r="AY324" s="140"/>
      <c r="AZ324" s="140"/>
      <c r="BA324" s="140"/>
      <c r="BB324" s="140"/>
      <c r="BC324" s="140"/>
      <c r="BD324" s="140"/>
      <c r="BE324" s="140"/>
      <c r="BF324" s="140"/>
      <c r="BG324" s="140"/>
      <c r="BH324" s="140"/>
      <c r="BI324" s="140"/>
      <c r="BJ324" s="140"/>
      <c r="BK324" s="140"/>
      <c r="BL324" s="140"/>
      <c r="BM324" s="140"/>
      <c r="BN324" s="140"/>
      <c r="BO324" s="140"/>
      <c r="BP324" s="140"/>
      <c r="BQ324" s="140"/>
      <c r="BR324" s="140"/>
      <c r="BS324" s="140"/>
      <c r="BT324" s="140"/>
      <c r="BU324" s="140"/>
      <c r="BV324" s="140"/>
      <c r="BW324" s="140"/>
      <c r="BX324" s="140"/>
      <c r="BY324" s="140"/>
      <c r="BZ324" s="140"/>
      <c r="CA324" s="140"/>
      <c r="CB324" s="140"/>
      <c r="CC324" s="140"/>
      <c r="CD324" s="140"/>
      <c r="CE324" s="140"/>
      <c r="CF324" s="140"/>
      <c r="CG324" s="140"/>
      <c r="CH324" s="140"/>
      <c r="CI324" s="140"/>
      <c r="CJ324" s="140"/>
      <c r="CK324" s="140"/>
      <c r="CL324" s="140"/>
      <c r="CM324" s="140"/>
      <c r="CN324" s="140"/>
      <c r="CO324" s="140"/>
      <c r="CP324" s="140"/>
      <c r="CQ324" s="140"/>
      <c r="CR324" s="140"/>
      <c r="CS324" s="140"/>
      <c r="CT324" s="140"/>
      <c r="CU324" s="140"/>
      <c r="CV324" s="140"/>
      <c r="CW324" s="140"/>
      <c r="CX324" s="140"/>
      <c r="CY324" s="140"/>
      <c r="CZ324" s="140"/>
      <c r="DA324" s="140"/>
      <c r="DB324" s="140"/>
      <c r="DC324" s="140"/>
      <c r="DD324" s="140"/>
      <c r="DE324" s="140"/>
    </row>
    <row r="325" spans="1:109" s="139" customForma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3"/>
      <c r="U325" s="143"/>
      <c r="V325" s="143"/>
      <c r="W325" s="143"/>
      <c r="X325" s="143"/>
      <c r="Y325" s="143"/>
      <c r="Z325" s="143"/>
      <c r="AA325" s="143"/>
      <c r="AC325" s="140"/>
      <c r="AD325" s="140"/>
      <c r="AE325" s="140"/>
      <c r="AF325" s="140"/>
      <c r="AG325" s="140"/>
      <c r="AH325" s="141"/>
      <c r="AI325" s="143"/>
      <c r="AJ325" s="140"/>
      <c r="AK325" s="140"/>
      <c r="AL325" s="140"/>
      <c r="AM325" s="140"/>
      <c r="AN325" s="140"/>
      <c r="AO325" s="140"/>
      <c r="AP325" s="140"/>
      <c r="AQ325" s="140"/>
      <c r="AR325" s="140"/>
      <c r="AS325" s="140"/>
      <c r="AT325" s="140"/>
      <c r="AU325" s="140"/>
      <c r="AV325" s="140"/>
      <c r="AW325" s="140"/>
      <c r="AX325" s="140"/>
      <c r="AY325" s="140"/>
      <c r="AZ325" s="140"/>
      <c r="BA325" s="140"/>
      <c r="BB325" s="140"/>
      <c r="BC325" s="140"/>
      <c r="BD325" s="140"/>
      <c r="BE325" s="140"/>
      <c r="BF325" s="140"/>
      <c r="BG325" s="140"/>
      <c r="BH325" s="140"/>
      <c r="BI325" s="140"/>
      <c r="BJ325" s="140"/>
      <c r="BK325" s="140"/>
      <c r="BL325" s="140"/>
      <c r="BM325" s="140"/>
      <c r="BN325" s="140"/>
      <c r="BO325" s="140"/>
      <c r="BP325" s="140"/>
      <c r="BQ325" s="140"/>
      <c r="BR325" s="140"/>
      <c r="BS325" s="140"/>
      <c r="BT325" s="140"/>
      <c r="BU325" s="140"/>
      <c r="BV325" s="140"/>
      <c r="BW325" s="140"/>
      <c r="BX325" s="140"/>
      <c r="BY325" s="140"/>
      <c r="BZ325" s="140"/>
      <c r="CA325" s="140"/>
      <c r="CB325" s="140"/>
      <c r="CC325" s="140"/>
      <c r="CD325" s="140"/>
      <c r="CE325" s="140"/>
      <c r="CF325" s="140"/>
      <c r="CG325" s="140"/>
      <c r="CH325" s="140"/>
      <c r="CI325" s="140"/>
      <c r="CJ325" s="140"/>
      <c r="CK325" s="140"/>
      <c r="CL325" s="140"/>
      <c r="CM325" s="140"/>
      <c r="CN325" s="140"/>
      <c r="CO325" s="140"/>
      <c r="CP325" s="140"/>
      <c r="CQ325" s="140"/>
      <c r="CR325" s="140"/>
      <c r="CS325" s="140"/>
      <c r="CT325" s="140"/>
      <c r="CU325" s="140"/>
      <c r="CV325" s="140"/>
      <c r="CW325" s="140"/>
      <c r="CX325" s="140"/>
      <c r="CY325" s="140"/>
      <c r="CZ325" s="140"/>
      <c r="DA325" s="140"/>
      <c r="DB325" s="140"/>
      <c r="DC325" s="140"/>
      <c r="DD325" s="140"/>
      <c r="DE325" s="140"/>
    </row>
    <row r="326" spans="1:109" s="139" customForma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3"/>
      <c r="U326" s="143"/>
      <c r="V326" s="143"/>
      <c r="W326" s="143"/>
      <c r="X326" s="143"/>
      <c r="Y326" s="143"/>
      <c r="Z326" s="143"/>
      <c r="AA326" s="143"/>
      <c r="AC326" s="140"/>
      <c r="AD326" s="140"/>
      <c r="AE326" s="140"/>
      <c r="AF326" s="140"/>
      <c r="AG326" s="140"/>
      <c r="AH326" s="141"/>
      <c r="AI326" s="143"/>
      <c r="AJ326" s="140"/>
      <c r="AK326" s="140"/>
      <c r="AL326" s="140"/>
      <c r="AM326" s="140"/>
      <c r="AN326" s="140"/>
      <c r="AO326" s="140"/>
      <c r="AP326" s="140"/>
      <c r="AQ326" s="140"/>
      <c r="AR326" s="140"/>
      <c r="AS326" s="140"/>
      <c r="AT326" s="140"/>
      <c r="AU326" s="140"/>
      <c r="AV326" s="140"/>
      <c r="AW326" s="140"/>
      <c r="AX326" s="140"/>
      <c r="AY326" s="140"/>
      <c r="AZ326" s="140"/>
      <c r="BA326" s="140"/>
      <c r="BB326" s="140"/>
      <c r="BC326" s="140"/>
      <c r="BD326" s="140"/>
      <c r="BE326" s="140"/>
      <c r="BF326" s="140"/>
      <c r="BG326" s="140"/>
      <c r="BH326" s="140"/>
      <c r="BI326" s="140"/>
      <c r="BJ326" s="140"/>
      <c r="BK326" s="140"/>
      <c r="BL326" s="140"/>
      <c r="BM326" s="140"/>
      <c r="BN326" s="140"/>
      <c r="BO326" s="140"/>
      <c r="BP326" s="140"/>
      <c r="BQ326" s="140"/>
      <c r="BR326" s="140"/>
      <c r="BS326" s="140"/>
      <c r="BT326" s="140"/>
      <c r="BU326" s="140"/>
      <c r="BV326" s="140"/>
      <c r="BW326" s="140"/>
      <c r="BX326" s="140"/>
      <c r="BY326" s="140"/>
      <c r="BZ326" s="140"/>
      <c r="CA326" s="140"/>
      <c r="CB326" s="140"/>
      <c r="CC326" s="140"/>
      <c r="CD326" s="140"/>
      <c r="CE326" s="140"/>
      <c r="CF326" s="140"/>
      <c r="CG326" s="140"/>
      <c r="CH326" s="140"/>
      <c r="CI326" s="140"/>
      <c r="CJ326" s="140"/>
      <c r="CK326" s="140"/>
      <c r="CL326" s="140"/>
      <c r="CM326" s="140"/>
      <c r="CN326" s="140"/>
      <c r="CO326" s="140"/>
      <c r="CP326" s="140"/>
      <c r="CQ326" s="140"/>
      <c r="CR326" s="140"/>
      <c r="CS326" s="140"/>
      <c r="CT326" s="140"/>
      <c r="CU326" s="140"/>
      <c r="CV326" s="140"/>
      <c r="CW326" s="140"/>
      <c r="CX326" s="140"/>
      <c r="CY326" s="140"/>
      <c r="CZ326" s="140"/>
      <c r="DA326" s="140"/>
      <c r="DB326" s="140"/>
      <c r="DC326" s="140"/>
      <c r="DD326" s="140"/>
      <c r="DE326" s="140"/>
    </row>
    <row r="327" spans="1:109" s="139" customForma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3"/>
      <c r="U327" s="143"/>
      <c r="V327" s="143"/>
      <c r="W327" s="143"/>
      <c r="X327" s="143"/>
      <c r="Y327" s="143"/>
      <c r="Z327" s="143"/>
      <c r="AA327" s="143"/>
      <c r="AC327" s="140"/>
      <c r="AD327" s="140"/>
      <c r="AE327" s="140"/>
      <c r="AF327" s="140"/>
      <c r="AG327" s="140"/>
      <c r="AH327" s="141"/>
      <c r="AI327" s="143"/>
      <c r="AJ327" s="140"/>
      <c r="AK327" s="140"/>
      <c r="AL327" s="140"/>
      <c r="AM327" s="140"/>
      <c r="AN327" s="140"/>
      <c r="AO327" s="140"/>
      <c r="AP327" s="140"/>
      <c r="AQ327" s="140"/>
      <c r="AR327" s="140"/>
      <c r="AS327" s="140"/>
      <c r="AT327" s="140"/>
      <c r="AU327" s="140"/>
      <c r="AV327" s="140"/>
      <c r="AW327" s="140"/>
      <c r="AX327" s="140"/>
      <c r="AY327" s="140"/>
      <c r="AZ327" s="140"/>
      <c r="BA327" s="140"/>
      <c r="BB327" s="140"/>
      <c r="BC327" s="140"/>
      <c r="BD327" s="140"/>
      <c r="BE327" s="140"/>
      <c r="BF327" s="140"/>
      <c r="BG327" s="140"/>
      <c r="BH327" s="140"/>
      <c r="BI327" s="140"/>
      <c r="BJ327" s="140"/>
      <c r="BK327" s="140"/>
      <c r="BL327" s="140"/>
      <c r="BM327" s="140"/>
      <c r="BN327" s="140"/>
      <c r="BO327" s="140"/>
      <c r="BP327" s="140"/>
      <c r="BQ327" s="140"/>
      <c r="BR327" s="140"/>
      <c r="BS327" s="140"/>
      <c r="BT327" s="140"/>
      <c r="BU327" s="140"/>
      <c r="BV327" s="140"/>
      <c r="BW327" s="140"/>
      <c r="BX327" s="140"/>
      <c r="BY327" s="140"/>
      <c r="BZ327" s="140"/>
      <c r="CA327" s="140"/>
      <c r="CB327" s="140"/>
      <c r="CC327" s="140"/>
      <c r="CD327" s="140"/>
      <c r="CE327" s="140"/>
      <c r="CF327" s="140"/>
      <c r="CG327" s="140"/>
      <c r="CH327" s="140"/>
      <c r="CI327" s="140"/>
      <c r="CJ327" s="140"/>
      <c r="CK327" s="140"/>
      <c r="CL327" s="140"/>
      <c r="CM327" s="140"/>
      <c r="CN327" s="140"/>
      <c r="CO327" s="140"/>
      <c r="CP327" s="140"/>
      <c r="CQ327" s="140"/>
      <c r="CR327" s="140"/>
      <c r="CS327" s="140"/>
      <c r="CT327" s="140"/>
      <c r="CU327" s="140"/>
      <c r="CV327" s="140"/>
      <c r="CW327" s="140"/>
      <c r="CX327" s="140"/>
      <c r="CY327" s="140"/>
      <c r="CZ327" s="140"/>
      <c r="DA327" s="140"/>
      <c r="DB327" s="140"/>
      <c r="DC327" s="140"/>
      <c r="DD327" s="140"/>
      <c r="DE327" s="140"/>
    </row>
    <row r="328" spans="1:109" s="139" customForma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3"/>
      <c r="U328" s="143"/>
      <c r="V328" s="143"/>
      <c r="W328" s="143"/>
      <c r="X328" s="143"/>
      <c r="Y328" s="143"/>
      <c r="Z328" s="143"/>
      <c r="AA328" s="143"/>
      <c r="AC328" s="140"/>
      <c r="AD328" s="140"/>
      <c r="AE328" s="140"/>
      <c r="AF328" s="140"/>
      <c r="AG328" s="140"/>
      <c r="AH328" s="141"/>
      <c r="AI328" s="143"/>
      <c r="AJ328" s="140"/>
      <c r="AK328" s="140"/>
      <c r="AL328" s="140"/>
      <c r="AM328" s="140"/>
      <c r="AN328" s="140"/>
      <c r="AO328" s="140"/>
      <c r="AP328" s="140"/>
      <c r="AQ328" s="140"/>
      <c r="AR328" s="140"/>
      <c r="AS328" s="140"/>
      <c r="AT328" s="140"/>
      <c r="AU328" s="140"/>
      <c r="AV328" s="140"/>
      <c r="AW328" s="140"/>
      <c r="AX328" s="140"/>
      <c r="AY328" s="140"/>
      <c r="AZ328" s="140"/>
      <c r="BA328" s="140"/>
      <c r="BB328" s="140"/>
      <c r="BC328" s="140"/>
      <c r="BD328" s="140"/>
      <c r="BE328" s="140"/>
      <c r="BF328" s="140"/>
      <c r="BG328" s="140"/>
      <c r="BH328" s="140"/>
      <c r="BI328" s="140"/>
      <c r="BJ328" s="140"/>
      <c r="BK328" s="140"/>
      <c r="BL328" s="140"/>
      <c r="BM328" s="140"/>
      <c r="BN328" s="140"/>
      <c r="BO328" s="140"/>
      <c r="BP328" s="140"/>
      <c r="BQ328" s="140"/>
      <c r="BR328" s="140"/>
      <c r="BS328" s="140"/>
      <c r="BT328" s="140"/>
      <c r="BU328" s="140"/>
      <c r="BV328" s="140"/>
      <c r="BW328" s="140"/>
      <c r="BX328" s="140"/>
      <c r="BY328" s="140"/>
      <c r="BZ328" s="140"/>
      <c r="CA328" s="140"/>
      <c r="CB328" s="140"/>
      <c r="CC328" s="140"/>
      <c r="CD328" s="140"/>
      <c r="CE328" s="140"/>
      <c r="CF328" s="140"/>
      <c r="CG328" s="140"/>
      <c r="CH328" s="140"/>
      <c r="CI328" s="140"/>
      <c r="CJ328" s="140"/>
      <c r="CK328" s="140"/>
      <c r="CL328" s="140"/>
      <c r="CM328" s="140"/>
      <c r="CN328" s="140"/>
      <c r="CO328" s="140"/>
      <c r="CP328" s="140"/>
      <c r="CQ328" s="140"/>
      <c r="CR328" s="140"/>
      <c r="CS328" s="140"/>
      <c r="CT328" s="140"/>
      <c r="CU328" s="140"/>
      <c r="CV328" s="140"/>
      <c r="CW328" s="140"/>
      <c r="CX328" s="140"/>
      <c r="CY328" s="140"/>
      <c r="CZ328" s="140"/>
      <c r="DA328" s="140"/>
      <c r="DB328" s="140"/>
      <c r="DC328" s="140"/>
      <c r="DD328" s="140"/>
      <c r="DE328" s="140"/>
    </row>
    <row r="329" spans="1:109" s="139" customForma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3"/>
      <c r="U329" s="143"/>
      <c r="V329" s="143"/>
      <c r="W329" s="143"/>
      <c r="X329" s="143"/>
      <c r="Y329" s="143"/>
      <c r="Z329" s="143"/>
      <c r="AA329" s="143"/>
      <c r="AC329" s="140"/>
      <c r="AD329" s="140"/>
      <c r="AE329" s="140"/>
      <c r="AF329" s="140"/>
      <c r="AG329" s="140"/>
      <c r="AH329" s="141"/>
      <c r="AI329" s="143"/>
      <c r="AJ329" s="140"/>
      <c r="AK329" s="140"/>
      <c r="AL329" s="140"/>
      <c r="AM329" s="140"/>
      <c r="AN329" s="140"/>
      <c r="AO329" s="140"/>
      <c r="AP329" s="140"/>
      <c r="AQ329" s="140"/>
      <c r="AR329" s="140"/>
      <c r="AS329" s="140"/>
      <c r="AT329" s="140"/>
      <c r="AU329" s="140"/>
      <c r="AV329" s="140"/>
      <c r="AW329" s="140"/>
      <c r="AX329" s="140"/>
      <c r="AY329" s="140"/>
      <c r="AZ329" s="140"/>
      <c r="BA329" s="140"/>
      <c r="BB329" s="140"/>
      <c r="BC329" s="140"/>
      <c r="BD329" s="140"/>
      <c r="BE329" s="140"/>
      <c r="BF329" s="140"/>
      <c r="BG329" s="140"/>
      <c r="BH329" s="140"/>
      <c r="BI329" s="140"/>
      <c r="BJ329" s="140"/>
      <c r="BK329" s="140"/>
      <c r="BL329" s="140"/>
      <c r="BM329" s="140"/>
      <c r="BN329" s="140"/>
      <c r="BO329" s="140"/>
      <c r="BP329" s="140"/>
      <c r="BQ329" s="140"/>
      <c r="BR329" s="140"/>
      <c r="BS329" s="140"/>
      <c r="BT329" s="140"/>
      <c r="BU329" s="140"/>
      <c r="BV329" s="140"/>
      <c r="BW329" s="140"/>
      <c r="BX329" s="140"/>
      <c r="BY329" s="140"/>
      <c r="BZ329" s="140"/>
      <c r="CA329" s="140"/>
      <c r="CB329" s="140"/>
      <c r="CC329" s="140"/>
      <c r="CD329" s="140"/>
      <c r="CE329" s="140"/>
      <c r="CF329" s="140"/>
      <c r="CG329" s="140"/>
      <c r="CH329" s="140"/>
      <c r="CI329" s="140"/>
      <c r="CJ329" s="140"/>
      <c r="CK329" s="140"/>
      <c r="CL329" s="140"/>
      <c r="CM329" s="140"/>
      <c r="CN329" s="140"/>
      <c r="CO329" s="140"/>
      <c r="CP329" s="140"/>
      <c r="CQ329" s="140"/>
      <c r="CR329" s="140"/>
      <c r="CS329" s="140"/>
      <c r="CT329" s="140"/>
      <c r="CU329" s="140"/>
      <c r="CV329" s="140"/>
      <c r="CW329" s="140"/>
      <c r="CX329" s="140"/>
      <c r="CY329" s="140"/>
      <c r="CZ329" s="140"/>
      <c r="DA329" s="140"/>
      <c r="DB329" s="140"/>
      <c r="DC329" s="140"/>
      <c r="DD329" s="140"/>
      <c r="DE329" s="140"/>
    </row>
    <row r="330" spans="1:109" s="139" customForma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3"/>
      <c r="U330" s="143"/>
      <c r="V330" s="143"/>
      <c r="W330" s="143"/>
      <c r="X330" s="143"/>
      <c r="Y330" s="143"/>
      <c r="Z330" s="143"/>
      <c r="AA330" s="143"/>
      <c r="AC330" s="140"/>
      <c r="AD330" s="140"/>
      <c r="AE330" s="140"/>
      <c r="AF330" s="140"/>
      <c r="AG330" s="140"/>
      <c r="AH330" s="141"/>
      <c r="AI330" s="143"/>
      <c r="AJ330" s="140"/>
      <c r="AK330" s="140"/>
      <c r="AL330" s="140"/>
      <c r="AM330" s="140"/>
      <c r="AN330" s="140"/>
      <c r="AO330" s="140"/>
      <c r="AP330" s="140"/>
      <c r="AQ330" s="140"/>
      <c r="AR330" s="140"/>
      <c r="AS330" s="140"/>
      <c r="AT330" s="140"/>
      <c r="AU330" s="140"/>
      <c r="AV330" s="140"/>
      <c r="AW330" s="140"/>
      <c r="AX330" s="140"/>
      <c r="AY330" s="140"/>
      <c r="AZ330" s="140"/>
      <c r="BA330" s="140"/>
      <c r="BB330" s="140"/>
      <c r="BC330" s="140"/>
      <c r="BD330" s="140"/>
      <c r="BE330" s="140"/>
      <c r="BF330" s="140"/>
      <c r="BG330" s="140"/>
      <c r="BH330" s="140"/>
      <c r="BI330" s="140"/>
      <c r="BJ330" s="140"/>
      <c r="BK330" s="140"/>
      <c r="BL330" s="140"/>
      <c r="BM330" s="140"/>
      <c r="BN330" s="140"/>
      <c r="BO330" s="140"/>
      <c r="BP330" s="140"/>
      <c r="BQ330" s="140"/>
      <c r="BR330" s="140"/>
      <c r="BS330" s="140"/>
      <c r="BT330" s="140"/>
      <c r="BU330" s="140"/>
      <c r="BV330" s="140"/>
      <c r="BW330" s="140"/>
      <c r="BX330" s="140"/>
      <c r="BY330" s="140"/>
      <c r="BZ330" s="140"/>
      <c r="CA330" s="140"/>
      <c r="CB330" s="140"/>
      <c r="CC330" s="140"/>
      <c r="CD330" s="140"/>
      <c r="CE330" s="140"/>
      <c r="CF330" s="140"/>
      <c r="CG330" s="140"/>
      <c r="CH330" s="140"/>
      <c r="CI330" s="140"/>
      <c r="CJ330" s="140"/>
      <c r="CK330" s="140"/>
      <c r="CL330" s="140"/>
      <c r="CM330" s="140"/>
      <c r="CN330" s="140"/>
      <c r="CO330" s="140"/>
      <c r="CP330" s="140"/>
      <c r="CQ330" s="140"/>
      <c r="CR330" s="140"/>
      <c r="CS330" s="140"/>
      <c r="CT330" s="140"/>
      <c r="CU330" s="140"/>
      <c r="CV330" s="140"/>
      <c r="CW330" s="140"/>
      <c r="CX330" s="140"/>
      <c r="CY330" s="140"/>
      <c r="CZ330" s="140"/>
      <c r="DA330" s="140"/>
      <c r="DB330" s="140"/>
      <c r="DC330" s="140"/>
      <c r="DD330" s="140"/>
      <c r="DE330" s="140"/>
    </row>
    <row r="331" spans="1:109" s="139" customForma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3"/>
      <c r="U331" s="143"/>
      <c r="V331" s="143"/>
      <c r="W331" s="143"/>
      <c r="X331" s="143"/>
      <c r="Y331" s="143"/>
      <c r="Z331" s="143"/>
      <c r="AA331" s="143"/>
      <c r="AC331" s="140"/>
      <c r="AD331" s="140"/>
      <c r="AE331" s="140"/>
      <c r="AF331" s="140"/>
      <c r="AG331" s="140"/>
      <c r="AH331" s="141"/>
      <c r="AI331" s="143"/>
      <c r="AJ331" s="140"/>
      <c r="AK331" s="140"/>
      <c r="AL331" s="140"/>
      <c r="AM331" s="140"/>
      <c r="AN331" s="140"/>
      <c r="AO331" s="140"/>
      <c r="AP331" s="140"/>
      <c r="AQ331" s="140"/>
      <c r="AR331" s="140"/>
      <c r="AS331" s="140"/>
      <c r="AT331" s="140"/>
      <c r="AU331" s="140"/>
      <c r="AV331" s="140"/>
      <c r="AW331" s="140"/>
      <c r="AX331" s="140"/>
      <c r="AY331" s="140"/>
      <c r="AZ331" s="140"/>
      <c r="BA331" s="140"/>
      <c r="BB331" s="140"/>
      <c r="BC331" s="140"/>
      <c r="BD331" s="140"/>
      <c r="BE331" s="140"/>
      <c r="BF331" s="140"/>
      <c r="BG331" s="140"/>
      <c r="BH331" s="140"/>
      <c r="BI331" s="140"/>
      <c r="BJ331" s="140"/>
      <c r="BK331" s="140"/>
      <c r="BL331" s="140"/>
      <c r="BM331" s="140"/>
      <c r="BN331" s="140"/>
      <c r="BO331" s="140"/>
      <c r="BP331" s="140"/>
      <c r="BQ331" s="140"/>
      <c r="BR331" s="140"/>
      <c r="BS331" s="140"/>
      <c r="BT331" s="140"/>
      <c r="BU331" s="140"/>
      <c r="BV331" s="140"/>
      <c r="BW331" s="140"/>
      <c r="BX331" s="140"/>
      <c r="BY331" s="140"/>
      <c r="BZ331" s="140"/>
      <c r="CA331" s="140"/>
      <c r="CB331" s="140"/>
      <c r="CC331" s="140"/>
      <c r="CD331" s="140"/>
      <c r="CE331" s="140"/>
      <c r="CF331" s="140"/>
      <c r="CG331" s="140"/>
      <c r="CH331" s="140"/>
      <c r="CI331" s="140"/>
      <c r="CJ331" s="140"/>
      <c r="CK331" s="140"/>
      <c r="CL331" s="140"/>
      <c r="CM331" s="140"/>
      <c r="CN331" s="140"/>
      <c r="CO331" s="140"/>
      <c r="CP331" s="140"/>
      <c r="CQ331" s="140"/>
      <c r="CR331" s="140"/>
      <c r="CS331" s="140"/>
      <c r="CT331" s="140"/>
      <c r="CU331" s="140"/>
      <c r="CV331" s="140"/>
      <c r="CW331" s="140"/>
      <c r="CX331" s="140"/>
      <c r="CY331" s="140"/>
      <c r="CZ331" s="140"/>
      <c r="DA331" s="140"/>
      <c r="DB331" s="140"/>
      <c r="DC331" s="140"/>
      <c r="DD331" s="140"/>
      <c r="DE331" s="140"/>
    </row>
    <row r="332" spans="1:109" s="139" customForma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3"/>
      <c r="U332" s="143"/>
      <c r="V332" s="143"/>
      <c r="W332" s="143"/>
      <c r="X332" s="143"/>
      <c r="Y332" s="143"/>
      <c r="Z332" s="143"/>
      <c r="AA332" s="143"/>
      <c r="AC332" s="140"/>
      <c r="AD332" s="140"/>
      <c r="AE332" s="140"/>
      <c r="AF332" s="140"/>
      <c r="AG332" s="140"/>
      <c r="AH332" s="141"/>
      <c r="AI332" s="143"/>
      <c r="AJ332" s="140"/>
      <c r="AK332" s="140"/>
      <c r="AL332" s="140"/>
      <c r="AM332" s="140"/>
      <c r="AN332" s="140"/>
      <c r="AO332" s="140"/>
      <c r="AP332" s="140"/>
      <c r="AQ332" s="140"/>
      <c r="AR332" s="140"/>
      <c r="AS332" s="140"/>
      <c r="AT332" s="140"/>
      <c r="AU332" s="140"/>
      <c r="AV332" s="140"/>
      <c r="AW332" s="140"/>
      <c r="AX332" s="140"/>
      <c r="AY332" s="140"/>
      <c r="AZ332" s="140"/>
      <c r="BA332" s="140"/>
      <c r="BB332" s="140"/>
      <c r="BC332" s="140"/>
      <c r="BD332" s="140"/>
      <c r="BE332" s="140"/>
      <c r="BF332" s="140"/>
      <c r="BG332" s="140"/>
      <c r="BH332" s="140"/>
      <c r="BI332" s="140"/>
      <c r="BJ332" s="140"/>
      <c r="BK332" s="140"/>
      <c r="BL332" s="140"/>
      <c r="BM332" s="140"/>
      <c r="BN332" s="140"/>
      <c r="BO332" s="140"/>
      <c r="BP332" s="140"/>
      <c r="BQ332" s="140"/>
      <c r="BR332" s="140"/>
      <c r="BS332" s="140"/>
      <c r="BT332" s="140"/>
      <c r="BU332" s="140"/>
      <c r="BV332" s="140"/>
      <c r="BW332" s="140"/>
      <c r="BX332" s="140"/>
      <c r="BY332" s="140"/>
      <c r="BZ332" s="140"/>
      <c r="CA332" s="140"/>
      <c r="CB332" s="140"/>
      <c r="CC332" s="140"/>
      <c r="CD332" s="140"/>
      <c r="CE332" s="140"/>
      <c r="CF332" s="140"/>
      <c r="CG332" s="140"/>
      <c r="CH332" s="140"/>
      <c r="CI332" s="140"/>
      <c r="CJ332" s="140"/>
      <c r="CK332" s="140"/>
      <c r="CL332" s="140"/>
      <c r="CM332" s="140"/>
      <c r="CN332" s="140"/>
      <c r="CO332" s="140"/>
      <c r="CP332" s="140"/>
      <c r="CQ332" s="140"/>
      <c r="CR332" s="140"/>
      <c r="CS332" s="140"/>
      <c r="CT332" s="140"/>
      <c r="CU332" s="140"/>
      <c r="CV332" s="140"/>
      <c r="CW332" s="140"/>
      <c r="CX332" s="140"/>
      <c r="CY332" s="140"/>
      <c r="CZ332" s="140"/>
      <c r="DA332" s="140"/>
      <c r="DB332" s="140"/>
      <c r="DC332" s="140"/>
      <c r="DD332" s="140"/>
      <c r="DE332" s="140"/>
    </row>
    <row r="333" spans="1:109" s="139" customForma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3"/>
      <c r="U333" s="143"/>
      <c r="V333" s="143"/>
      <c r="W333" s="143"/>
      <c r="X333" s="143"/>
      <c r="Y333" s="143"/>
      <c r="Z333" s="143"/>
      <c r="AA333" s="143"/>
      <c r="AC333" s="140"/>
      <c r="AD333" s="140"/>
      <c r="AE333" s="140"/>
      <c r="AF333" s="140"/>
      <c r="AG333" s="140"/>
      <c r="AH333" s="141"/>
      <c r="AI333" s="143"/>
      <c r="AJ333" s="140"/>
      <c r="AK333" s="140"/>
      <c r="AL333" s="140"/>
      <c r="AM333" s="140"/>
      <c r="AN333" s="140"/>
      <c r="AO333" s="140"/>
      <c r="AP333" s="140"/>
      <c r="AQ333" s="140"/>
      <c r="AR333" s="140"/>
      <c r="AS333" s="140"/>
      <c r="AT333" s="140"/>
      <c r="AU333" s="140"/>
      <c r="AV333" s="140"/>
      <c r="AW333" s="140"/>
      <c r="AX333" s="140"/>
      <c r="AY333" s="140"/>
      <c r="AZ333" s="140"/>
      <c r="BA333" s="140"/>
      <c r="BB333" s="140"/>
      <c r="BC333" s="140"/>
      <c r="BD333" s="140"/>
      <c r="BE333" s="140"/>
      <c r="BF333" s="140"/>
      <c r="BG333" s="140"/>
      <c r="BH333" s="140"/>
      <c r="BI333" s="140"/>
      <c r="BJ333" s="140"/>
      <c r="BK333" s="140"/>
      <c r="BL333" s="140"/>
      <c r="BM333" s="140"/>
      <c r="BN333" s="140"/>
      <c r="BO333" s="140"/>
      <c r="BP333" s="140"/>
      <c r="BQ333" s="140"/>
      <c r="BR333" s="140"/>
      <c r="BS333" s="140"/>
      <c r="BT333" s="140"/>
      <c r="BU333" s="140"/>
      <c r="BV333" s="140"/>
      <c r="BW333" s="140"/>
      <c r="BX333" s="140"/>
      <c r="BY333" s="140"/>
      <c r="BZ333" s="140"/>
      <c r="CA333" s="140"/>
      <c r="CB333" s="140"/>
      <c r="CC333" s="140"/>
      <c r="CD333" s="140"/>
      <c r="CE333" s="140"/>
      <c r="CF333" s="140"/>
      <c r="CG333" s="140"/>
      <c r="CH333" s="140"/>
      <c r="CI333" s="140"/>
      <c r="CJ333" s="140"/>
      <c r="CK333" s="140"/>
      <c r="CL333" s="140"/>
      <c r="CM333" s="140"/>
      <c r="CN333" s="140"/>
      <c r="CO333" s="140"/>
      <c r="CP333" s="140"/>
      <c r="CQ333" s="140"/>
      <c r="CR333" s="140"/>
      <c r="CS333" s="140"/>
      <c r="CT333" s="140"/>
      <c r="CU333" s="140"/>
      <c r="CV333" s="140"/>
      <c r="CW333" s="140"/>
      <c r="CX333" s="140"/>
      <c r="CY333" s="140"/>
      <c r="CZ333" s="140"/>
      <c r="DA333" s="140"/>
      <c r="DB333" s="140"/>
      <c r="DC333" s="140"/>
      <c r="DD333" s="140"/>
      <c r="DE333" s="140"/>
    </row>
    <row r="334" spans="1:109" s="139" customForma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3"/>
      <c r="U334" s="143"/>
      <c r="V334" s="143"/>
      <c r="W334" s="143"/>
      <c r="X334" s="143"/>
      <c r="Y334" s="143"/>
      <c r="Z334" s="143"/>
      <c r="AA334" s="143"/>
      <c r="AC334" s="140"/>
      <c r="AD334" s="140"/>
      <c r="AE334" s="140"/>
      <c r="AF334" s="140"/>
      <c r="AG334" s="140"/>
      <c r="AH334" s="141"/>
      <c r="AI334" s="143"/>
      <c r="AJ334" s="140"/>
      <c r="AK334" s="140"/>
      <c r="AL334" s="140"/>
      <c r="AM334" s="140"/>
      <c r="AN334" s="140"/>
      <c r="AO334" s="140"/>
      <c r="AP334" s="140"/>
      <c r="AQ334" s="140"/>
      <c r="AR334" s="140"/>
      <c r="AS334" s="140"/>
      <c r="AT334" s="140"/>
      <c r="AU334" s="140"/>
      <c r="AV334" s="140"/>
      <c r="AW334" s="140"/>
      <c r="AX334" s="140"/>
      <c r="AY334" s="140"/>
      <c r="AZ334" s="140"/>
      <c r="BA334" s="140"/>
      <c r="BB334" s="140"/>
      <c r="BC334" s="140"/>
      <c r="BD334" s="140"/>
      <c r="BE334" s="140"/>
      <c r="BF334" s="140"/>
      <c r="BG334" s="140"/>
      <c r="BH334" s="140"/>
      <c r="BI334" s="140"/>
      <c r="BJ334" s="140"/>
      <c r="BK334" s="140"/>
      <c r="BL334" s="140"/>
      <c r="BM334" s="140"/>
      <c r="BN334" s="140"/>
      <c r="BO334" s="140"/>
      <c r="BP334" s="140"/>
      <c r="BQ334" s="140"/>
      <c r="BR334" s="140"/>
      <c r="BS334" s="140"/>
      <c r="BT334" s="140"/>
      <c r="BU334" s="140"/>
      <c r="BV334" s="140"/>
      <c r="BW334" s="140"/>
      <c r="BX334" s="140"/>
      <c r="BY334" s="140"/>
      <c r="BZ334" s="140"/>
      <c r="CA334" s="140"/>
      <c r="CB334" s="140"/>
      <c r="CC334" s="140"/>
      <c r="CD334" s="140"/>
      <c r="CE334" s="140"/>
      <c r="CF334" s="140"/>
      <c r="CG334" s="140"/>
      <c r="CH334" s="140"/>
      <c r="CI334" s="140"/>
      <c r="CJ334" s="140"/>
      <c r="CK334" s="140"/>
      <c r="CL334" s="140"/>
      <c r="CM334" s="140"/>
      <c r="CN334" s="140"/>
      <c r="CO334" s="140"/>
      <c r="CP334" s="140"/>
      <c r="CQ334" s="140"/>
      <c r="CR334" s="140"/>
      <c r="CS334" s="140"/>
      <c r="CT334" s="140"/>
      <c r="CU334" s="140"/>
      <c r="CV334" s="140"/>
      <c r="CW334" s="140"/>
      <c r="CX334" s="140"/>
      <c r="CY334" s="140"/>
      <c r="CZ334" s="140"/>
      <c r="DA334" s="140"/>
      <c r="DB334" s="140"/>
      <c r="DC334" s="140"/>
      <c r="DD334" s="140"/>
      <c r="DE334" s="140"/>
    </row>
    <row r="335" spans="1:109" s="139" customForma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3"/>
      <c r="U335" s="143"/>
      <c r="V335" s="143"/>
      <c r="W335" s="143"/>
      <c r="X335" s="143"/>
      <c r="Y335" s="143"/>
      <c r="Z335" s="143"/>
      <c r="AA335" s="143"/>
      <c r="AC335" s="140"/>
      <c r="AD335" s="140"/>
      <c r="AE335" s="140"/>
      <c r="AF335" s="140"/>
      <c r="AG335" s="140"/>
      <c r="AH335" s="141"/>
      <c r="AI335" s="143"/>
      <c r="AJ335" s="140"/>
      <c r="AK335" s="140"/>
      <c r="AL335" s="140"/>
      <c r="AM335" s="140"/>
      <c r="AN335" s="140"/>
      <c r="AO335" s="140"/>
      <c r="AP335" s="140"/>
      <c r="AQ335" s="140"/>
      <c r="AR335" s="140"/>
      <c r="AS335" s="140"/>
      <c r="AT335" s="140"/>
      <c r="AU335" s="140"/>
      <c r="AV335" s="140"/>
      <c r="AW335" s="140"/>
      <c r="AX335" s="140"/>
      <c r="AY335" s="140"/>
      <c r="AZ335" s="140"/>
      <c r="BA335" s="140"/>
      <c r="BB335" s="140"/>
      <c r="BC335" s="140"/>
      <c r="BD335" s="140"/>
      <c r="BE335" s="140"/>
      <c r="BF335" s="140"/>
      <c r="BG335" s="140"/>
      <c r="BH335" s="140"/>
      <c r="BI335" s="140"/>
      <c r="BJ335" s="140"/>
      <c r="BK335" s="140"/>
      <c r="BL335" s="140"/>
      <c r="BM335" s="140"/>
      <c r="BN335" s="140"/>
      <c r="BO335" s="140"/>
      <c r="BP335" s="140"/>
      <c r="BQ335" s="140"/>
      <c r="BR335" s="140"/>
      <c r="BS335" s="140"/>
      <c r="BT335" s="140"/>
      <c r="BU335" s="140"/>
      <c r="BV335" s="140"/>
      <c r="BW335" s="140"/>
      <c r="BX335" s="140"/>
      <c r="BY335" s="140"/>
      <c r="BZ335" s="140"/>
      <c r="CA335" s="140"/>
      <c r="CB335" s="140"/>
      <c r="CC335" s="140"/>
      <c r="CD335" s="140"/>
      <c r="CE335" s="140"/>
      <c r="CF335" s="140"/>
      <c r="CG335" s="140"/>
      <c r="CH335" s="140"/>
      <c r="CI335" s="140"/>
      <c r="CJ335" s="140"/>
      <c r="CK335" s="140"/>
      <c r="CL335" s="140"/>
      <c r="CM335" s="140"/>
      <c r="CN335" s="140"/>
      <c r="CO335" s="140"/>
      <c r="CP335" s="140"/>
      <c r="CQ335" s="140"/>
      <c r="CR335" s="140"/>
      <c r="CS335" s="140"/>
      <c r="CT335" s="140"/>
      <c r="CU335" s="140"/>
      <c r="CV335" s="140"/>
      <c r="CW335" s="140"/>
      <c r="CX335" s="140"/>
      <c r="CY335" s="140"/>
      <c r="CZ335" s="140"/>
      <c r="DA335" s="140"/>
      <c r="DB335" s="140"/>
      <c r="DC335" s="140"/>
      <c r="DD335" s="140"/>
      <c r="DE335" s="140"/>
    </row>
    <row r="336" spans="1:109" s="139" customForma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3"/>
      <c r="U336" s="143"/>
      <c r="V336" s="143"/>
      <c r="W336" s="143"/>
      <c r="X336" s="143"/>
      <c r="Y336" s="143"/>
      <c r="Z336" s="143"/>
      <c r="AA336" s="143"/>
      <c r="AC336" s="140"/>
      <c r="AD336" s="140"/>
      <c r="AE336" s="140"/>
      <c r="AF336" s="140"/>
      <c r="AG336" s="140"/>
      <c r="AH336" s="141"/>
      <c r="AI336" s="143"/>
      <c r="AJ336" s="140"/>
      <c r="AK336" s="140"/>
      <c r="AL336" s="140"/>
      <c r="AM336" s="140"/>
      <c r="AN336" s="140"/>
      <c r="AO336" s="140"/>
      <c r="AP336" s="140"/>
      <c r="AQ336" s="140"/>
      <c r="AR336" s="140"/>
      <c r="AS336" s="140"/>
      <c r="AT336" s="140"/>
      <c r="AU336" s="140"/>
      <c r="AV336" s="140"/>
      <c r="AW336" s="140"/>
      <c r="AX336" s="140"/>
      <c r="AY336" s="140"/>
      <c r="AZ336" s="140"/>
      <c r="BA336" s="140"/>
      <c r="BB336" s="140"/>
      <c r="BC336" s="140"/>
      <c r="BD336" s="140"/>
      <c r="BE336" s="140"/>
      <c r="BF336" s="140"/>
      <c r="BG336" s="140"/>
      <c r="BH336" s="140"/>
      <c r="BI336" s="140"/>
      <c r="BJ336" s="140"/>
      <c r="BK336" s="140"/>
      <c r="BL336" s="140"/>
      <c r="BM336" s="140"/>
      <c r="BN336" s="140"/>
      <c r="BO336" s="140"/>
      <c r="BP336" s="140"/>
      <c r="BQ336" s="140"/>
      <c r="BR336" s="140"/>
      <c r="BS336" s="140"/>
      <c r="BT336" s="140"/>
      <c r="BU336" s="140"/>
      <c r="BV336" s="140"/>
      <c r="BW336" s="140"/>
      <c r="BX336" s="140"/>
      <c r="BY336" s="140"/>
      <c r="BZ336" s="140"/>
      <c r="CA336" s="140"/>
      <c r="CB336" s="140"/>
      <c r="CC336" s="140"/>
      <c r="CD336" s="140"/>
      <c r="CE336" s="140"/>
      <c r="CF336" s="140"/>
      <c r="CG336" s="140"/>
      <c r="CH336" s="140"/>
      <c r="CI336" s="140"/>
      <c r="CJ336" s="140"/>
      <c r="CK336" s="140"/>
      <c r="CL336" s="140"/>
      <c r="CM336" s="140"/>
      <c r="CN336" s="140"/>
      <c r="CO336" s="140"/>
      <c r="CP336" s="140"/>
      <c r="CQ336" s="140"/>
      <c r="CR336" s="140"/>
      <c r="CS336" s="140"/>
      <c r="CT336" s="140"/>
      <c r="CU336" s="140"/>
      <c r="CV336" s="140"/>
      <c r="CW336" s="140"/>
      <c r="CX336" s="140"/>
      <c r="CY336" s="140"/>
      <c r="CZ336" s="140"/>
      <c r="DA336" s="140"/>
      <c r="DB336" s="140"/>
      <c r="DC336" s="140"/>
      <c r="DD336" s="140"/>
      <c r="DE336" s="140"/>
    </row>
    <row r="337" spans="1:109" s="139" customForma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3"/>
      <c r="U337" s="143"/>
      <c r="V337" s="143"/>
      <c r="W337" s="143"/>
      <c r="X337" s="143"/>
      <c r="Y337" s="143"/>
      <c r="Z337" s="143"/>
      <c r="AA337" s="143"/>
      <c r="AC337" s="140"/>
      <c r="AD337" s="140"/>
      <c r="AE337" s="140"/>
      <c r="AF337" s="140"/>
      <c r="AG337" s="140"/>
      <c r="AH337" s="141"/>
      <c r="AI337" s="143"/>
      <c r="AJ337" s="140"/>
      <c r="AK337" s="140"/>
      <c r="AL337" s="140"/>
      <c r="AM337" s="140"/>
      <c r="AN337" s="140"/>
      <c r="AO337" s="140"/>
      <c r="AP337" s="140"/>
      <c r="AQ337" s="140"/>
      <c r="AR337" s="140"/>
      <c r="AS337" s="140"/>
      <c r="AT337" s="140"/>
      <c r="AU337" s="140"/>
      <c r="AV337" s="140"/>
      <c r="AW337" s="140"/>
      <c r="AX337" s="140"/>
      <c r="AY337" s="140"/>
      <c r="AZ337" s="140"/>
      <c r="BA337" s="140"/>
      <c r="BB337" s="140"/>
      <c r="BC337" s="140"/>
      <c r="BD337" s="140"/>
      <c r="BE337" s="140"/>
      <c r="BF337" s="140"/>
      <c r="BG337" s="140"/>
      <c r="BH337" s="140"/>
      <c r="BI337" s="140"/>
      <c r="BJ337" s="140"/>
      <c r="BK337" s="140"/>
      <c r="BL337" s="140"/>
      <c r="BM337" s="140"/>
      <c r="BN337" s="140"/>
      <c r="BO337" s="140"/>
      <c r="BP337" s="140"/>
      <c r="BQ337" s="140"/>
      <c r="BR337" s="140"/>
      <c r="BS337" s="140"/>
      <c r="BT337" s="140"/>
      <c r="BU337" s="140"/>
      <c r="BV337" s="140"/>
      <c r="BW337" s="140"/>
      <c r="BX337" s="140"/>
      <c r="BY337" s="140"/>
      <c r="BZ337" s="140"/>
      <c r="CA337" s="140"/>
      <c r="CB337" s="140"/>
      <c r="CC337" s="140"/>
      <c r="CD337" s="140"/>
      <c r="CE337" s="140"/>
      <c r="CF337" s="140"/>
      <c r="CG337" s="140"/>
      <c r="CH337" s="140"/>
      <c r="CI337" s="140"/>
      <c r="CJ337" s="140"/>
      <c r="CK337" s="140"/>
      <c r="CL337" s="140"/>
      <c r="CM337" s="140"/>
      <c r="CN337" s="140"/>
      <c r="CO337" s="140"/>
      <c r="CP337" s="140"/>
      <c r="CQ337" s="140"/>
      <c r="CR337" s="140"/>
      <c r="CS337" s="140"/>
      <c r="CT337" s="140"/>
      <c r="CU337" s="140"/>
      <c r="CV337" s="140"/>
      <c r="CW337" s="140"/>
      <c r="CX337" s="140"/>
      <c r="CY337" s="140"/>
      <c r="CZ337" s="140"/>
      <c r="DA337" s="140"/>
      <c r="DB337" s="140"/>
      <c r="DC337" s="140"/>
      <c r="DD337" s="140"/>
      <c r="DE337" s="140"/>
    </row>
    <row r="338" spans="1:109" s="139" customForma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3"/>
      <c r="U338" s="143"/>
      <c r="V338" s="143"/>
      <c r="W338" s="143"/>
      <c r="X338" s="143"/>
      <c r="Y338" s="143"/>
      <c r="Z338" s="143"/>
      <c r="AA338" s="143"/>
      <c r="AC338" s="140"/>
      <c r="AD338" s="140"/>
      <c r="AE338" s="140"/>
      <c r="AF338" s="140"/>
      <c r="AG338" s="140"/>
      <c r="AH338" s="141"/>
      <c r="AI338" s="143"/>
      <c r="AJ338" s="140"/>
      <c r="AK338" s="140"/>
      <c r="AL338" s="140"/>
      <c r="AM338" s="140"/>
      <c r="AN338" s="140"/>
      <c r="AO338" s="140"/>
      <c r="AP338" s="140"/>
      <c r="AQ338" s="140"/>
      <c r="AR338" s="140"/>
      <c r="AS338" s="140"/>
      <c r="AT338" s="140"/>
      <c r="AU338" s="140"/>
      <c r="AV338" s="140"/>
      <c r="AW338" s="140"/>
      <c r="AX338" s="140"/>
      <c r="AY338" s="140"/>
      <c r="AZ338" s="140"/>
      <c r="BA338" s="140"/>
      <c r="BB338" s="140"/>
      <c r="BC338" s="140"/>
      <c r="BD338" s="140"/>
      <c r="BE338" s="140"/>
      <c r="BF338" s="140"/>
      <c r="BG338" s="140"/>
      <c r="BH338" s="140"/>
      <c r="BI338" s="140"/>
      <c r="BJ338" s="140"/>
      <c r="BK338" s="140"/>
      <c r="BL338" s="140"/>
      <c r="BM338" s="140"/>
      <c r="BN338" s="140"/>
      <c r="BO338" s="140"/>
      <c r="BP338" s="140"/>
      <c r="BQ338" s="140"/>
      <c r="BR338" s="140"/>
      <c r="BS338" s="140"/>
      <c r="BT338" s="140"/>
      <c r="BU338" s="140"/>
      <c r="BV338" s="140"/>
      <c r="BW338" s="140"/>
      <c r="BX338" s="140"/>
      <c r="BY338" s="140"/>
      <c r="BZ338" s="140"/>
      <c r="CA338" s="140"/>
      <c r="CB338" s="140"/>
      <c r="CC338" s="140"/>
      <c r="CD338" s="140"/>
      <c r="CE338" s="140"/>
      <c r="CF338" s="140"/>
      <c r="CG338" s="140"/>
      <c r="CH338" s="140"/>
      <c r="CI338" s="140"/>
      <c r="CJ338" s="140"/>
      <c r="CK338" s="140"/>
      <c r="CL338" s="140"/>
      <c r="CM338" s="140"/>
      <c r="CN338" s="140"/>
      <c r="CO338" s="140"/>
      <c r="CP338" s="140"/>
      <c r="CQ338" s="140"/>
      <c r="CR338" s="140"/>
      <c r="CS338" s="140"/>
      <c r="CT338" s="140"/>
      <c r="CU338" s="140"/>
      <c r="CV338" s="140"/>
      <c r="CW338" s="140"/>
      <c r="CX338" s="140"/>
      <c r="CY338" s="140"/>
      <c r="CZ338" s="140"/>
      <c r="DA338" s="140"/>
      <c r="DB338" s="140"/>
      <c r="DC338" s="140"/>
      <c r="DD338" s="140"/>
      <c r="DE338" s="140"/>
    </row>
    <row r="339" spans="1:109" s="139" customForma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3"/>
      <c r="U339" s="143"/>
      <c r="V339" s="143"/>
      <c r="W339" s="143"/>
      <c r="X339" s="143"/>
      <c r="Y339" s="143"/>
      <c r="Z339" s="143"/>
      <c r="AA339" s="143"/>
      <c r="AC339" s="140"/>
      <c r="AD339" s="140"/>
      <c r="AE339" s="140"/>
      <c r="AF339" s="140"/>
      <c r="AG339" s="140"/>
      <c r="AH339" s="141"/>
      <c r="AI339" s="143"/>
      <c r="AJ339" s="140"/>
      <c r="AK339" s="140"/>
      <c r="AL339" s="140"/>
      <c r="AM339" s="140"/>
      <c r="AN339" s="140"/>
      <c r="AO339" s="140"/>
      <c r="AP339" s="140"/>
      <c r="AQ339" s="140"/>
      <c r="AR339" s="140"/>
      <c r="AS339" s="140"/>
      <c r="AT339" s="140"/>
      <c r="AU339" s="140"/>
      <c r="AV339" s="140"/>
      <c r="AW339" s="140"/>
      <c r="AX339" s="140"/>
      <c r="AY339" s="140"/>
      <c r="AZ339" s="140"/>
      <c r="BA339" s="140"/>
      <c r="BB339" s="140"/>
      <c r="BC339" s="140"/>
      <c r="BD339" s="140"/>
      <c r="BE339" s="140"/>
      <c r="BF339" s="140"/>
      <c r="BG339" s="140"/>
      <c r="BH339" s="140"/>
      <c r="BI339" s="140"/>
      <c r="BJ339" s="140"/>
      <c r="BK339" s="140"/>
      <c r="BL339" s="140"/>
      <c r="BM339" s="140"/>
      <c r="BN339" s="140"/>
      <c r="BO339" s="140"/>
      <c r="BP339" s="140"/>
      <c r="BQ339" s="140"/>
      <c r="BR339" s="140"/>
      <c r="BS339" s="140"/>
      <c r="BT339" s="140"/>
      <c r="BU339" s="140"/>
      <c r="BV339" s="140"/>
      <c r="BW339" s="140"/>
      <c r="BX339" s="140"/>
      <c r="BY339" s="140"/>
      <c r="BZ339" s="140"/>
      <c r="CA339" s="140"/>
      <c r="CB339" s="140"/>
      <c r="CC339" s="140"/>
      <c r="CD339" s="140"/>
      <c r="CE339" s="140"/>
      <c r="CF339" s="140"/>
      <c r="CG339" s="140"/>
      <c r="CH339" s="140"/>
      <c r="CI339" s="140"/>
      <c r="CJ339" s="140"/>
      <c r="CK339" s="140"/>
      <c r="CL339" s="140"/>
      <c r="CM339" s="140"/>
      <c r="CN339" s="140"/>
      <c r="CO339" s="140"/>
      <c r="CP339" s="140"/>
      <c r="CQ339" s="140"/>
      <c r="CR339" s="140"/>
      <c r="CS339" s="140"/>
      <c r="CT339" s="140"/>
      <c r="CU339" s="140"/>
      <c r="CV339" s="140"/>
      <c r="CW339" s="140"/>
      <c r="CX339" s="140"/>
      <c r="CY339" s="140"/>
      <c r="CZ339" s="140"/>
      <c r="DA339" s="140"/>
      <c r="DB339" s="140"/>
      <c r="DC339" s="140"/>
      <c r="DD339" s="140"/>
      <c r="DE339" s="140"/>
    </row>
    <row r="340" spans="1:109" s="139" customForma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3"/>
      <c r="U340" s="143"/>
      <c r="V340" s="143"/>
      <c r="W340" s="143"/>
      <c r="X340" s="143"/>
      <c r="Y340" s="143"/>
      <c r="Z340" s="143"/>
      <c r="AA340" s="143"/>
      <c r="AC340" s="140"/>
      <c r="AD340" s="140"/>
      <c r="AE340" s="140"/>
      <c r="AF340" s="140"/>
      <c r="AG340" s="140"/>
      <c r="AH340" s="141"/>
      <c r="AI340" s="143"/>
      <c r="AJ340" s="140"/>
      <c r="AK340" s="140"/>
      <c r="AL340" s="140"/>
      <c r="AM340" s="140"/>
      <c r="AN340" s="140"/>
      <c r="AO340" s="140"/>
      <c r="AP340" s="140"/>
      <c r="AQ340" s="140"/>
      <c r="AR340" s="140"/>
      <c r="AS340" s="140"/>
      <c r="AT340" s="140"/>
      <c r="AU340" s="140"/>
      <c r="AV340" s="140"/>
      <c r="AW340" s="140"/>
      <c r="AX340" s="140"/>
      <c r="AY340" s="140"/>
      <c r="AZ340" s="140"/>
      <c r="BA340" s="140"/>
      <c r="BB340" s="140"/>
      <c r="BC340" s="140"/>
      <c r="BD340" s="140"/>
      <c r="BE340" s="140"/>
      <c r="BF340" s="140"/>
      <c r="BG340" s="140"/>
      <c r="BH340" s="140"/>
      <c r="BI340" s="140"/>
      <c r="BJ340" s="140"/>
      <c r="BK340" s="140"/>
      <c r="BL340" s="140"/>
      <c r="BM340" s="140"/>
      <c r="BN340" s="140"/>
      <c r="BO340" s="140"/>
      <c r="BP340" s="140"/>
      <c r="BQ340" s="140"/>
      <c r="BR340" s="140"/>
      <c r="BS340" s="140"/>
      <c r="BT340" s="140"/>
      <c r="BU340" s="140"/>
      <c r="BV340" s="140"/>
      <c r="BW340" s="140"/>
      <c r="BX340" s="140"/>
      <c r="BY340" s="140"/>
      <c r="BZ340" s="140"/>
      <c r="CA340" s="140"/>
      <c r="CB340" s="140"/>
      <c r="CC340" s="140"/>
      <c r="CD340" s="140"/>
      <c r="CE340" s="140"/>
      <c r="CF340" s="140"/>
      <c r="CG340" s="140"/>
      <c r="CH340" s="140"/>
      <c r="CI340" s="140"/>
      <c r="CJ340" s="140"/>
      <c r="CK340" s="140"/>
      <c r="CL340" s="140"/>
      <c r="CM340" s="140"/>
      <c r="CN340" s="140"/>
      <c r="CO340" s="140"/>
      <c r="CP340" s="140"/>
      <c r="CQ340" s="140"/>
      <c r="CR340" s="140"/>
      <c r="CS340" s="140"/>
      <c r="CT340" s="140"/>
      <c r="CU340" s="140"/>
      <c r="CV340" s="140"/>
      <c r="CW340" s="140"/>
      <c r="CX340" s="140"/>
      <c r="CY340" s="140"/>
      <c r="CZ340" s="140"/>
      <c r="DA340" s="140"/>
      <c r="DB340" s="140"/>
      <c r="DC340" s="140"/>
      <c r="DD340" s="140"/>
      <c r="DE340" s="140"/>
    </row>
    <row r="341" spans="1:109" s="139" customForma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3"/>
      <c r="U341" s="143"/>
      <c r="V341" s="143"/>
      <c r="W341" s="143"/>
      <c r="X341" s="143"/>
      <c r="Y341" s="143"/>
      <c r="Z341" s="143"/>
      <c r="AA341" s="143"/>
      <c r="AC341" s="140"/>
      <c r="AD341" s="140"/>
      <c r="AE341" s="140"/>
      <c r="AF341" s="140"/>
      <c r="AG341" s="140"/>
      <c r="AH341" s="141"/>
      <c r="AI341" s="143"/>
      <c r="AJ341" s="140"/>
      <c r="AK341" s="140"/>
      <c r="AL341" s="140"/>
      <c r="AM341" s="140"/>
      <c r="AN341" s="140"/>
      <c r="AO341" s="140"/>
      <c r="AP341" s="140"/>
      <c r="AQ341" s="140"/>
      <c r="AR341" s="140"/>
      <c r="AS341" s="140"/>
      <c r="AT341" s="140"/>
      <c r="AU341" s="140"/>
      <c r="AV341" s="140"/>
      <c r="AW341" s="140"/>
      <c r="AX341" s="140"/>
      <c r="AY341" s="140"/>
      <c r="AZ341" s="140"/>
      <c r="BA341" s="140"/>
      <c r="BB341" s="140"/>
      <c r="BC341" s="140"/>
      <c r="BD341" s="140"/>
      <c r="BE341" s="140"/>
      <c r="BF341" s="140"/>
      <c r="BG341" s="140"/>
      <c r="BH341" s="140"/>
      <c r="BI341" s="140"/>
      <c r="BJ341" s="140"/>
      <c r="BK341" s="140"/>
      <c r="BL341" s="140"/>
      <c r="BM341" s="140"/>
      <c r="BN341" s="140"/>
      <c r="BO341" s="140"/>
      <c r="BP341" s="140"/>
      <c r="BQ341" s="140"/>
      <c r="BR341" s="140"/>
      <c r="BS341" s="140"/>
      <c r="BT341" s="140"/>
      <c r="BU341" s="140"/>
      <c r="BV341" s="140"/>
      <c r="BW341" s="140"/>
      <c r="BX341" s="140"/>
      <c r="BY341" s="140"/>
      <c r="BZ341" s="140"/>
      <c r="CA341" s="140"/>
      <c r="CB341" s="140"/>
      <c r="CC341" s="140"/>
      <c r="CD341" s="140"/>
      <c r="CE341" s="140"/>
      <c r="CF341" s="140"/>
      <c r="CG341" s="140"/>
      <c r="CH341" s="140"/>
      <c r="CI341" s="140"/>
      <c r="CJ341" s="140"/>
      <c r="CK341" s="140"/>
      <c r="CL341" s="140"/>
      <c r="CM341" s="140"/>
      <c r="CN341" s="140"/>
      <c r="CO341" s="140"/>
      <c r="CP341" s="140"/>
      <c r="CQ341" s="140"/>
      <c r="CR341" s="140"/>
      <c r="CS341" s="140"/>
      <c r="CT341" s="140"/>
      <c r="CU341" s="140"/>
      <c r="CV341" s="140"/>
      <c r="CW341" s="140"/>
      <c r="CX341" s="140"/>
      <c r="CY341" s="140"/>
      <c r="CZ341" s="140"/>
      <c r="DA341" s="140"/>
      <c r="DB341" s="140"/>
      <c r="DC341" s="140"/>
      <c r="DD341" s="140"/>
      <c r="DE341" s="140"/>
    </row>
    <row r="342" spans="1:109" s="139" customForma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3"/>
      <c r="U342" s="143"/>
      <c r="V342" s="143"/>
      <c r="W342" s="143"/>
      <c r="X342" s="143"/>
      <c r="Y342" s="143"/>
      <c r="Z342" s="143"/>
      <c r="AA342" s="143"/>
      <c r="AC342" s="140"/>
      <c r="AD342" s="140"/>
      <c r="AE342" s="140"/>
      <c r="AF342" s="140"/>
      <c r="AG342" s="140"/>
      <c r="AH342" s="141"/>
      <c r="AI342" s="143"/>
      <c r="AJ342" s="140"/>
      <c r="AK342" s="140"/>
      <c r="AL342" s="140"/>
      <c r="AM342" s="140"/>
      <c r="AN342" s="140"/>
      <c r="AO342" s="140"/>
      <c r="AP342" s="140"/>
      <c r="AQ342" s="140"/>
      <c r="AR342" s="140"/>
      <c r="AS342" s="140"/>
      <c r="AT342" s="140"/>
      <c r="AU342" s="140"/>
      <c r="AV342" s="140"/>
      <c r="AW342" s="140"/>
      <c r="AX342" s="140"/>
      <c r="AY342" s="140"/>
      <c r="AZ342" s="140"/>
      <c r="BA342" s="140"/>
      <c r="BB342" s="140"/>
      <c r="BC342" s="140"/>
      <c r="BD342" s="140"/>
      <c r="BE342" s="140"/>
      <c r="BF342" s="140"/>
      <c r="BG342" s="140"/>
      <c r="BH342" s="140"/>
      <c r="BI342" s="140"/>
      <c r="BJ342" s="140"/>
      <c r="BK342" s="140"/>
      <c r="BL342" s="140"/>
      <c r="BM342" s="140"/>
      <c r="BN342" s="140"/>
      <c r="BO342" s="140"/>
      <c r="BP342" s="140"/>
      <c r="BQ342" s="140"/>
      <c r="BR342" s="140"/>
      <c r="BS342" s="140"/>
      <c r="BT342" s="140"/>
      <c r="BU342" s="140"/>
      <c r="BV342" s="140"/>
      <c r="BW342" s="140"/>
      <c r="BX342" s="140"/>
      <c r="BY342" s="140"/>
      <c r="BZ342" s="140"/>
      <c r="CA342" s="140"/>
      <c r="CB342" s="140"/>
      <c r="CC342" s="140"/>
      <c r="CD342" s="140"/>
      <c r="CE342" s="140"/>
      <c r="CF342" s="140"/>
      <c r="CG342" s="140"/>
      <c r="CH342" s="140"/>
      <c r="CI342" s="140"/>
      <c r="CJ342" s="140"/>
      <c r="CK342" s="140"/>
      <c r="CL342" s="140"/>
      <c r="CM342" s="140"/>
      <c r="CN342" s="140"/>
      <c r="CO342" s="140"/>
      <c r="CP342" s="140"/>
      <c r="CQ342" s="140"/>
      <c r="CR342" s="140"/>
      <c r="CS342" s="140"/>
      <c r="CT342" s="140"/>
      <c r="CU342" s="140"/>
      <c r="CV342" s="140"/>
      <c r="CW342" s="140"/>
      <c r="CX342" s="140"/>
      <c r="CY342" s="140"/>
      <c r="CZ342" s="140"/>
      <c r="DA342" s="140"/>
      <c r="DB342" s="140"/>
      <c r="DC342" s="140"/>
      <c r="DD342" s="140"/>
      <c r="DE342" s="140"/>
    </row>
    <row r="343" spans="1:109" s="139" customForma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3"/>
      <c r="U343" s="143"/>
      <c r="V343" s="143"/>
      <c r="W343" s="143"/>
      <c r="X343" s="143"/>
      <c r="Y343" s="143"/>
      <c r="Z343" s="143"/>
      <c r="AA343" s="143"/>
      <c r="AC343" s="140"/>
      <c r="AD343" s="140"/>
      <c r="AE343" s="140"/>
      <c r="AF343" s="140"/>
      <c r="AG343" s="140"/>
      <c r="AH343" s="141"/>
      <c r="AI343" s="143"/>
      <c r="AJ343" s="140"/>
      <c r="AK343" s="140"/>
      <c r="AL343" s="140"/>
      <c r="AM343" s="140"/>
      <c r="AN343" s="140"/>
      <c r="AO343" s="140"/>
      <c r="AP343" s="140"/>
      <c r="AQ343" s="140"/>
      <c r="AR343" s="140"/>
      <c r="AS343" s="140"/>
      <c r="AT343" s="140"/>
      <c r="AU343" s="140"/>
      <c r="AV343" s="140"/>
      <c r="AW343" s="140"/>
      <c r="AX343" s="140"/>
      <c r="AY343" s="140"/>
      <c r="AZ343" s="140"/>
      <c r="BA343" s="140"/>
      <c r="BB343" s="140"/>
      <c r="BC343" s="140"/>
      <c r="BD343" s="140"/>
      <c r="BE343" s="140"/>
      <c r="BF343" s="140"/>
      <c r="BG343" s="140"/>
      <c r="BH343" s="140"/>
      <c r="BI343" s="140"/>
      <c r="BJ343" s="140"/>
      <c r="BK343" s="140"/>
      <c r="BL343" s="140"/>
      <c r="BM343" s="140"/>
      <c r="BN343" s="140"/>
      <c r="BO343" s="140"/>
      <c r="BP343" s="140"/>
      <c r="BQ343" s="140"/>
      <c r="BR343" s="140"/>
      <c r="BS343" s="140"/>
      <c r="BT343" s="140"/>
      <c r="BU343" s="140"/>
      <c r="BV343" s="140"/>
      <c r="BW343" s="140"/>
      <c r="BX343" s="140"/>
      <c r="BY343" s="140"/>
      <c r="BZ343" s="140"/>
      <c r="CA343" s="140"/>
      <c r="CB343" s="140"/>
      <c r="CC343" s="140"/>
      <c r="CD343" s="140"/>
      <c r="CE343" s="140"/>
      <c r="CF343" s="140"/>
      <c r="CG343" s="140"/>
      <c r="CH343" s="140"/>
      <c r="CI343" s="140"/>
      <c r="CJ343" s="140"/>
      <c r="CK343" s="140"/>
      <c r="CL343" s="140"/>
      <c r="CM343" s="140"/>
      <c r="CN343" s="140"/>
      <c r="CO343" s="140"/>
      <c r="CP343" s="140"/>
      <c r="CQ343" s="140"/>
      <c r="CR343" s="140"/>
      <c r="CS343" s="140"/>
      <c r="CT343" s="140"/>
      <c r="CU343" s="140"/>
      <c r="CV343" s="140"/>
      <c r="CW343" s="140"/>
      <c r="CX343" s="140"/>
      <c r="CY343" s="140"/>
      <c r="CZ343" s="140"/>
      <c r="DA343" s="140"/>
      <c r="DB343" s="140"/>
      <c r="DC343" s="140"/>
      <c r="DD343" s="140"/>
      <c r="DE343" s="140"/>
    </row>
    <row r="344" spans="1:109" s="139" customForma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3"/>
      <c r="U344" s="143"/>
      <c r="V344" s="143"/>
      <c r="W344" s="143"/>
      <c r="X344" s="143"/>
      <c r="Y344" s="143"/>
      <c r="Z344" s="143"/>
      <c r="AA344" s="143"/>
      <c r="AC344" s="140"/>
      <c r="AD344" s="140"/>
      <c r="AE344" s="140"/>
      <c r="AF344" s="140"/>
      <c r="AG344" s="140"/>
      <c r="AH344" s="141"/>
      <c r="AI344" s="143"/>
      <c r="AJ344" s="140"/>
      <c r="AK344" s="140"/>
      <c r="AL344" s="140"/>
      <c r="AM344" s="140"/>
      <c r="AN344" s="140"/>
      <c r="AO344" s="140"/>
      <c r="AP344" s="140"/>
      <c r="AQ344" s="140"/>
      <c r="AR344" s="140"/>
      <c r="AS344" s="140"/>
      <c r="AT344" s="140"/>
      <c r="AU344" s="140"/>
      <c r="AV344" s="140"/>
      <c r="AW344" s="140"/>
      <c r="AX344" s="140"/>
      <c r="AY344" s="140"/>
      <c r="AZ344" s="140"/>
      <c r="BA344" s="140"/>
      <c r="BB344" s="140"/>
      <c r="BC344" s="140"/>
      <c r="BD344" s="140"/>
      <c r="BE344" s="140"/>
      <c r="BF344" s="140"/>
      <c r="BG344" s="140"/>
      <c r="BH344" s="140"/>
      <c r="BI344" s="140"/>
      <c r="BJ344" s="140"/>
      <c r="BK344" s="140"/>
      <c r="BL344" s="140"/>
      <c r="BM344" s="140"/>
      <c r="BN344" s="140"/>
      <c r="BO344" s="140"/>
      <c r="BP344" s="140"/>
      <c r="BQ344" s="140"/>
      <c r="BR344" s="140"/>
      <c r="BS344" s="140"/>
      <c r="BT344" s="140"/>
      <c r="BU344" s="140"/>
      <c r="BV344" s="140"/>
      <c r="BW344" s="140"/>
      <c r="BX344" s="140"/>
      <c r="BY344" s="140"/>
      <c r="BZ344" s="140"/>
      <c r="CA344" s="140"/>
      <c r="CB344" s="140"/>
      <c r="CC344" s="140"/>
      <c r="CD344" s="140"/>
      <c r="CE344" s="140"/>
      <c r="CF344" s="140"/>
      <c r="CG344" s="140"/>
      <c r="CH344" s="140"/>
      <c r="CI344" s="140"/>
      <c r="CJ344" s="140"/>
      <c r="CK344" s="140"/>
      <c r="CL344" s="140"/>
      <c r="CM344" s="140"/>
      <c r="CN344" s="140"/>
      <c r="CO344" s="140"/>
      <c r="CP344" s="140"/>
      <c r="CQ344" s="140"/>
      <c r="CR344" s="140"/>
      <c r="CS344" s="140"/>
      <c r="CT344" s="140"/>
      <c r="CU344" s="140"/>
      <c r="CV344" s="140"/>
      <c r="CW344" s="140"/>
      <c r="CX344" s="140"/>
      <c r="CY344" s="140"/>
      <c r="CZ344" s="140"/>
      <c r="DA344" s="140"/>
      <c r="DB344" s="140"/>
      <c r="DC344" s="140"/>
      <c r="DD344" s="140"/>
      <c r="DE344" s="140"/>
    </row>
    <row r="345" spans="1:109" s="139" customForma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3"/>
      <c r="U345" s="143"/>
      <c r="V345" s="143"/>
      <c r="W345" s="143"/>
      <c r="X345" s="143"/>
      <c r="Y345" s="143"/>
      <c r="Z345" s="143"/>
      <c r="AA345" s="143"/>
      <c r="AC345" s="140"/>
      <c r="AD345" s="140"/>
      <c r="AE345" s="140"/>
      <c r="AF345" s="140"/>
      <c r="AG345" s="140"/>
      <c r="AH345" s="141"/>
      <c r="AI345" s="143"/>
      <c r="AJ345" s="140"/>
      <c r="AK345" s="140"/>
      <c r="AL345" s="140"/>
      <c r="AM345" s="140"/>
      <c r="AN345" s="140"/>
      <c r="AO345" s="140"/>
      <c r="AP345" s="140"/>
      <c r="AQ345" s="140"/>
      <c r="AR345" s="140"/>
      <c r="AS345" s="140"/>
      <c r="AT345" s="140"/>
      <c r="AU345" s="140"/>
      <c r="AV345" s="140"/>
      <c r="AW345" s="140"/>
      <c r="AX345" s="140"/>
      <c r="AY345" s="140"/>
      <c r="AZ345" s="140"/>
      <c r="BA345" s="140"/>
      <c r="BB345" s="140"/>
      <c r="BC345" s="140"/>
      <c r="BD345" s="140"/>
      <c r="BE345" s="140"/>
      <c r="BF345" s="140"/>
      <c r="BG345" s="140"/>
      <c r="BH345" s="140"/>
      <c r="BI345" s="140"/>
      <c r="BJ345" s="140"/>
      <c r="BK345" s="140"/>
      <c r="BL345" s="140"/>
      <c r="BM345" s="140"/>
      <c r="BN345" s="140"/>
      <c r="BO345" s="140"/>
      <c r="BP345" s="140"/>
      <c r="BQ345" s="140"/>
      <c r="BR345" s="140"/>
      <c r="BS345" s="140"/>
      <c r="BT345" s="140"/>
      <c r="BU345" s="140"/>
      <c r="BV345" s="140"/>
      <c r="BW345" s="140"/>
      <c r="BX345" s="140"/>
      <c r="BY345" s="140"/>
      <c r="BZ345" s="140"/>
      <c r="CA345" s="140"/>
      <c r="CB345" s="140"/>
      <c r="CC345" s="140"/>
      <c r="CD345" s="140"/>
      <c r="CE345" s="140"/>
      <c r="CF345" s="140"/>
      <c r="CG345" s="140"/>
      <c r="CH345" s="140"/>
      <c r="CI345" s="140"/>
      <c r="CJ345" s="140"/>
      <c r="CK345" s="140"/>
      <c r="CL345" s="140"/>
      <c r="CM345" s="140"/>
      <c r="CN345" s="140"/>
      <c r="CO345" s="140"/>
      <c r="CP345" s="140"/>
      <c r="CQ345" s="140"/>
      <c r="CR345" s="140"/>
      <c r="CS345" s="140"/>
      <c r="CT345" s="140"/>
      <c r="CU345" s="140"/>
      <c r="CV345" s="140"/>
      <c r="CW345" s="140"/>
      <c r="CX345" s="140"/>
      <c r="CY345" s="140"/>
      <c r="CZ345" s="140"/>
      <c r="DA345" s="140"/>
      <c r="DB345" s="140"/>
      <c r="DC345" s="140"/>
      <c r="DD345" s="140"/>
      <c r="DE345" s="140"/>
    </row>
    <row r="346" spans="1:109" s="139" customForma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3"/>
      <c r="U346" s="143"/>
      <c r="V346" s="143"/>
      <c r="W346" s="143"/>
      <c r="X346" s="143"/>
      <c r="Y346" s="143"/>
      <c r="Z346" s="143"/>
      <c r="AA346" s="143"/>
      <c r="AC346" s="140"/>
      <c r="AD346" s="140"/>
      <c r="AE346" s="140"/>
      <c r="AF346" s="140"/>
      <c r="AG346" s="140"/>
      <c r="AH346" s="141"/>
      <c r="AI346" s="143"/>
      <c r="AJ346" s="140"/>
      <c r="AK346" s="140"/>
      <c r="AL346" s="140"/>
      <c r="AM346" s="140"/>
      <c r="AN346" s="140"/>
      <c r="AO346" s="140"/>
      <c r="AP346" s="140"/>
      <c r="AQ346" s="140"/>
      <c r="AR346" s="140"/>
      <c r="AS346" s="140"/>
      <c r="AT346" s="140"/>
      <c r="AU346" s="140"/>
      <c r="AV346" s="140"/>
      <c r="AW346" s="140"/>
      <c r="AX346" s="140"/>
      <c r="AY346" s="140"/>
      <c r="AZ346" s="140"/>
      <c r="BA346" s="140"/>
      <c r="BB346" s="140"/>
      <c r="BC346" s="140"/>
      <c r="BD346" s="140"/>
      <c r="BE346" s="140"/>
      <c r="BF346" s="140"/>
      <c r="BG346" s="140"/>
      <c r="BH346" s="140"/>
      <c r="BI346" s="140"/>
      <c r="BJ346" s="140"/>
      <c r="BK346" s="140"/>
      <c r="BL346" s="140"/>
      <c r="BM346" s="140"/>
      <c r="BN346" s="140"/>
      <c r="BO346" s="140"/>
      <c r="BP346" s="140"/>
      <c r="BQ346" s="140"/>
      <c r="BR346" s="140"/>
      <c r="BS346" s="140"/>
      <c r="BT346" s="140"/>
      <c r="BU346" s="140"/>
      <c r="BV346" s="140"/>
      <c r="BW346" s="140"/>
      <c r="BX346" s="140"/>
      <c r="BY346" s="140"/>
      <c r="BZ346" s="140"/>
      <c r="CA346" s="140"/>
      <c r="CB346" s="140"/>
      <c r="CC346" s="140"/>
      <c r="CD346" s="140"/>
      <c r="CE346" s="140"/>
      <c r="CF346" s="140"/>
      <c r="CG346" s="140"/>
      <c r="CH346" s="140"/>
      <c r="CI346" s="140"/>
      <c r="CJ346" s="140"/>
      <c r="CK346" s="140"/>
      <c r="CL346" s="140"/>
      <c r="CM346" s="140"/>
      <c r="CN346" s="140"/>
      <c r="CO346" s="140"/>
      <c r="CP346" s="140"/>
      <c r="CQ346" s="140"/>
      <c r="CR346" s="140"/>
      <c r="CS346" s="140"/>
      <c r="CT346" s="140"/>
      <c r="CU346" s="140"/>
      <c r="CV346" s="140"/>
      <c r="CW346" s="140"/>
      <c r="CX346" s="140"/>
      <c r="CY346" s="140"/>
      <c r="CZ346" s="140"/>
      <c r="DA346" s="140"/>
      <c r="DB346" s="140"/>
      <c r="DC346" s="140"/>
      <c r="DD346" s="140"/>
      <c r="DE346" s="140"/>
    </row>
    <row r="347" spans="1:109" s="139" customForma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3"/>
      <c r="U347" s="143"/>
      <c r="V347" s="143"/>
      <c r="W347" s="143"/>
      <c r="X347" s="143"/>
      <c r="Y347" s="143"/>
      <c r="Z347" s="143"/>
      <c r="AA347" s="143"/>
      <c r="AC347" s="140"/>
      <c r="AD347" s="140"/>
      <c r="AE347" s="140"/>
      <c r="AF347" s="140"/>
      <c r="AG347" s="140"/>
      <c r="AH347" s="141"/>
      <c r="AI347" s="143"/>
      <c r="AJ347" s="140"/>
      <c r="AK347" s="140"/>
      <c r="AL347" s="140"/>
      <c r="AM347" s="140"/>
      <c r="AN347" s="140"/>
      <c r="AO347" s="140"/>
      <c r="AP347" s="140"/>
      <c r="AQ347" s="140"/>
      <c r="AR347" s="140"/>
      <c r="AS347" s="140"/>
      <c r="AT347" s="140"/>
      <c r="AU347" s="140"/>
      <c r="AV347" s="140"/>
      <c r="AW347" s="140"/>
      <c r="AX347" s="140"/>
      <c r="AY347" s="140"/>
      <c r="AZ347" s="140"/>
      <c r="BA347" s="140"/>
      <c r="BB347" s="140"/>
      <c r="BC347" s="140"/>
      <c r="BD347" s="140"/>
      <c r="BE347" s="140"/>
      <c r="BF347" s="140"/>
      <c r="BG347" s="140"/>
      <c r="BH347" s="140"/>
      <c r="BI347" s="140"/>
      <c r="BJ347" s="140"/>
      <c r="BK347" s="140"/>
      <c r="BL347" s="140"/>
      <c r="BM347" s="140"/>
      <c r="BN347" s="140"/>
      <c r="BO347" s="140"/>
      <c r="BP347" s="140"/>
      <c r="BQ347" s="140"/>
      <c r="BR347" s="140"/>
      <c r="BS347" s="140"/>
      <c r="BT347" s="140"/>
      <c r="BU347" s="140"/>
      <c r="BV347" s="140"/>
      <c r="BW347" s="140"/>
      <c r="BX347" s="140"/>
      <c r="BY347" s="140"/>
      <c r="BZ347" s="140"/>
      <c r="CA347" s="140"/>
      <c r="CB347" s="140"/>
      <c r="CC347" s="140"/>
      <c r="CD347" s="140"/>
      <c r="CE347" s="140"/>
      <c r="CF347" s="140"/>
      <c r="CG347" s="140"/>
      <c r="CH347" s="140"/>
      <c r="CI347" s="140"/>
      <c r="CJ347" s="140"/>
      <c r="CK347" s="140"/>
      <c r="CL347" s="140"/>
      <c r="CM347" s="140"/>
      <c r="CN347" s="140"/>
      <c r="CO347" s="140"/>
      <c r="CP347" s="140"/>
      <c r="CQ347" s="140"/>
      <c r="CR347" s="140"/>
      <c r="CS347" s="140"/>
      <c r="CT347" s="140"/>
      <c r="CU347" s="140"/>
      <c r="CV347" s="140"/>
      <c r="CW347" s="140"/>
      <c r="CX347" s="140"/>
      <c r="CY347" s="140"/>
      <c r="CZ347" s="140"/>
      <c r="DA347" s="140"/>
      <c r="DB347" s="140"/>
      <c r="DC347" s="140"/>
      <c r="DD347" s="140"/>
      <c r="DE347" s="140"/>
    </row>
    <row r="348" spans="1:109" s="139" customForma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3"/>
      <c r="U348" s="143"/>
      <c r="V348" s="143"/>
      <c r="W348" s="143"/>
      <c r="X348" s="143"/>
      <c r="Y348" s="143"/>
      <c r="Z348" s="143"/>
      <c r="AA348" s="143"/>
      <c r="AC348" s="140"/>
      <c r="AD348" s="140"/>
      <c r="AE348" s="140"/>
      <c r="AF348" s="140"/>
      <c r="AG348" s="140"/>
      <c r="AH348" s="141"/>
      <c r="AI348" s="143"/>
      <c r="AJ348" s="140"/>
      <c r="AK348" s="140"/>
      <c r="AL348" s="140"/>
      <c r="AM348" s="140"/>
      <c r="AN348" s="140"/>
      <c r="AO348" s="140"/>
      <c r="AP348" s="140"/>
      <c r="AQ348" s="140"/>
      <c r="AR348" s="140"/>
      <c r="AS348" s="140"/>
      <c r="AT348" s="140"/>
      <c r="AU348" s="140"/>
      <c r="AV348" s="140"/>
      <c r="AW348" s="140"/>
      <c r="AX348" s="140"/>
      <c r="AY348" s="140"/>
      <c r="AZ348" s="140"/>
      <c r="BA348" s="140"/>
      <c r="BB348" s="140"/>
      <c r="BC348" s="140"/>
      <c r="BD348" s="140"/>
      <c r="BE348" s="140"/>
      <c r="BF348" s="140"/>
      <c r="BG348" s="140"/>
      <c r="BH348" s="140"/>
      <c r="BI348" s="140"/>
      <c r="BJ348" s="140"/>
      <c r="BK348" s="140"/>
      <c r="BL348" s="140"/>
      <c r="BM348" s="140"/>
      <c r="BN348" s="140"/>
      <c r="BO348" s="140"/>
      <c r="BP348" s="140"/>
      <c r="BQ348" s="140"/>
      <c r="BR348" s="140"/>
      <c r="BS348" s="140"/>
      <c r="BT348" s="140"/>
      <c r="BU348" s="140"/>
      <c r="BV348" s="140"/>
      <c r="BW348" s="140"/>
      <c r="BX348" s="140"/>
      <c r="BY348" s="140"/>
      <c r="BZ348" s="140"/>
      <c r="CA348" s="140"/>
      <c r="CB348" s="140"/>
      <c r="CC348" s="140"/>
      <c r="CD348" s="140"/>
      <c r="CE348" s="140"/>
      <c r="CF348" s="140"/>
      <c r="CG348" s="140"/>
      <c r="CH348" s="140"/>
      <c r="CI348" s="140"/>
      <c r="CJ348" s="140"/>
      <c r="CK348" s="140"/>
      <c r="CL348" s="140"/>
      <c r="CM348" s="140"/>
      <c r="CN348" s="140"/>
      <c r="CO348" s="140"/>
      <c r="CP348" s="140"/>
      <c r="CQ348" s="140"/>
      <c r="CR348" s="140"/>
      <c r="CS348" s="140"/>
      <c r="CT348" s="140"/>
      <c r="CU348" s="140"/>
      <c r="CV348" s="140"/>
      <c r="CW348" s="140"/>
      <c r="CX348" s="140"/>
      <c r="CY348" s="140"/>
      <c r="CZ348" s="140"/>
      <c r="DA348" s="140"/>
      <c r="DB348" s="140"/>
      <c r="DC348" s="140"/>
      <c r="DD348" s="140"/>
      <c r="DE348" s="140"/>
    </row>
    <row r="349" spans="1:109" s="139" customForma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3"/>
      <c r="U349" s="143"/>
      <c r="V349" s="143"/>
      <c r="W349" s="143"/>
      <c r="X349" s="143"/>
      <c r="Y349" s="143"/>
      <c r="Z349" s="143"/>
      <c r="AA349" s="143"/>
      <c r="AC349" s="140"/>
      <c r="AD349" s="140"/>
      <c r="AE349" s="140"/>
      <c r="AF349" s="140"/>
      <c r="AG349" s="140"/>
      <c r="AH349" s="141"/>
      <c r="AI349" s="143"/>
      <c r="AJ349" s="140"/>
      <c r="AK349" s="140"/>
      <c r="AL349" s="140"/>
      <c r="AM349" s="140"/>
      <c r="AN349" s="140"/>
      <c r="AO349" s="140"/>
      <c r="AP349" s="140"/>
      <c r="AQ349" s="140"/>
      <c r="AR349" s="140"/>
      <c r="AS349" s="140"/>
      <c r="AT349" s="140"/>
      <c r="AU349" s="140"/>
      <c r="AV349" s="140"/>
      <c r="AW349" s="140"/>
      <c r="AX349" s="140"/>
      <c r="AY349" s="140"/>
      <c r="AZ349" s="140"/>
      <c r="BA349" s="140"/>
      <c r="BB349" s="140"/>
      <c r="BC349" s="140"/>
      <c r="BD349" s="140"/>
      <c r="BE349" s="140"/>
      <c r="BF349" s="140"/>
      <c r="BG349" s="140"/>
      <c r="BH349" s="140"/>
      <c r="BI349" s="140"/>
      <c r="BJ349" s="140"/>
      <c r="BK349" s="140"/>
      <c r="BL349" s="140"/>
      <c r="BM349" s="140"/>
      <c r="BN349" s="140"/>
      <c r="BO349" s="140"/>
      <c r="BP349" s="140"/>
      <c r="BQ349" s="140"/>
      <c r="BR349" s="140"/>
      <c r="BS349" s="140"/>
      <c r="BT349" s="140"/>
      <c r="BU349" s="140"/>
      <c r="BV349" s="140"/>
      <c r="BW349" s="140"/>
      <c r="BX349" s="140"/>
      <c r="BY349" s="140"/>
      <c r="BZ349" s="140"/>
      <c r="CA349" s="140"/>
      <c r="CB349" s="140"/>
      <c r="CC349" s="140"/>
      <c r="CD349" s="140"/>
      <c r="CE349" s="140"/>
      <c r="CF349" s="140"/>
      <c r="CG349" s="140"/>
      <c r="CH349" s="140"/>
      <c r="CI349" s="140"/>
      <c r="CJ349" s="140"/>
      <c r="CK349" s="140"/>
      <c r="CL349" s="140"/>
      <c r="CM349" s="140"/>
      <c r="CN349" s="140"/>
      <c r="CO349" s="140"/>
      <c r="CP349" s="140"/>
      <c r="CQ349" s="140"/>
      <c r="CR349" s="140"/>
      <c r="CS349" s="140"/>
      <c r="CT349" s="140"/>
      <c r="CU349" s="140"/>
      <c r="CV349" s="140"/>
      <c r="CW349" s="140"/>
      <c r="CX349" s="140"/>
      <c r="CY349" s="140"/>
      <c r="CZ349" s="140"/>
      <c r="DA349" s="140"/>
      <c r="DB349" s="140"/>
      <c r="DC349" s="140"/>
      <c r="DD349" s="140"/>
      <c r="DE349" s="140"/>
    </row>
    <row r="350" spans="1:109" s="139" customForma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3"/>
      <c r="U350" s="143"/>
      <c r="V350" s="143"/>
      <c r="W350" s="143"/>
      <c r="X350" s="143"/>
      <c r="Y350" s="143"/>
      <c r="Z350" s="143"/>
      <c r="AA350" s="143"/>
      <c r="AC350" s="140"/>
      <c r="AD350" s="140"/>
      <c r="AE350" s="140"/>
      <c r="AF350" s="140"/>
      <c r="AG350" s="140"/>
      <c r="AH350" s="141"/>
      <c r="AI350" s="143"/>
      <c r="AJ350" s="140"/>
      <c r="AK350" s="140"/>
      <c r="AL350" s="140"/>
      <c r="AM350" s="140"/>
      <c r="AN350" s="140"/>
      <c r="AO350" s="140"/>
      <c r="AP350" s="140"/>
      <c r="AQ350" s="140"/>
      <c r="AR350" s="140"/>
      <c r="AS350" s="140"/>
      <c r="AT350" s="140"/>
      <c r="AU350" s="140"/>
      <c r="AV350" s="140"/>
      <c r="AW350" s="140"/>
      <c r="AX350" s="140"/>
      <c r="AY350" s="140"/>
      <c r="AZ350" s="140"/>
      <c r="BA350" s="140"/>
      <c r="BB350" s="140"/>
      <c r="BC350" s="140"/>
      <c r="BD350" s="140"/>
      <c r="BE350" s="140"/>
      <c r="BF350" s="140"/>
      <c r="BG350" s="140"/>
      <c r="BH350" s="140"/>
      <c r="BI350" s="140"/>
      <c r="BJ350" s="140"/>
      <c r="BK350" s="140"/>
      <c r="BL350" s="140"/>
      <c r="BM350" s="140"/>
      <c r="BN350" s="140"/>
      <c r="BO350" s="140"/>
      <c r="BP350" s="140"/>
      <c r="BQ350" s="140"/>
      <c r="BR350" s="140"/>
      <c r="BS350" s="140"/>
      <c r="BT350" s="140"/>
      <c r="BU350" s="140"/>
      <c r="BV350" s="140"/>
      <c r="BW350" s="140"/>
      <c r="BX350" s="140"/>
      <c r="BY350" s="140"/>
      <c r="BZ350" s="140"/>
      <c r="CA350" s="140"/>
      <c r="CB350" s="140"/>
      <c r="CC350" s="140"/>
      <c r="CD350" s="140"/>
      <c r="CE350" s="140"/>
      <c r="CF350" s="140"/>
      <c r="CG350" s="140"/>
      <c r="CH350" s="140"/>
      <c r="CI350" s="140"/>
      <c r="CJ350" s="140"/>
      <c r="CK350" s="140"/>
      <c r="CL350" s="140"/>
      <c r="CM350" s="140"/>
      <c r="CN350" s="140"/>
      <c r="CO350" s="140"/>
      <c r="CP350" s="140"/>
      <c r="CQ350" s="140"/>
      <c r="CR350" s="140"/>
      <c r="CS350" s="140"/>
      <c r="CT350" s="140"/>
      <c r="CU350" s="140"/>
      <c r="CV350" s="140"/>
      <c r="CW350" s="140"/>
      <c r="CX350" s="140"/>
      <c r="CY350" s="140"/>
      <c r="CZ350" s="140"/>
      <c r="DA350" s="140"/>
      <c r="DB350" s="140"/>
      <c r="DC350" s="140"/>
      <c r="DD350" s="140"/>
      <c r="DE350" s="140"/>
    </row>
    <row r="351" spans="1:109" s="139" customForma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3"/>
      <c r="U351" s="143"/>
      <c r="V351" s="143"/>
      <c r="W351" s="143"/>
      <c r="X351" s="143"/>
      <c r="Y351" s="143"/>
      <c r="Z351" s="143"/>
      <c r="AA351" s="143"/>
      <c r="AC351" s="140"/>
      <c r="AD351" s="140"/>
      <c r="AE351" s="140"/>
      <c r="AF351" s="140"/>
      <c r="AG351" s="140"/>
      <c r="AH351" s="141"/>
      <c r="AI351" s="143"/>
      <c r="AJ351" s="140"/>
      <c r="AK351" s="140"/>
      <c r="AL351" s="140"/>
      <c r="AM351" s="140"/>
      <c r="AN351" s="140"/>
      <c r="AO351" s="140"/>
      <c r="AP351" s="140"/>
      <c r="AQ351" s="140"/>
      <c r="AR351" s="140"/>
      <c r="AS351" s="140"/>
      <c r="AT351" s="140"/>
      <c r="AU351" s="140"/>
      <c r="AV351" s="140"/>
      <c r="AW351" s="140"/>
      <c r="AX351" s="140"/>
      <c r="AY351" s="140"/>
      <c r="AZ351" s="140"/>
      <c r="BA351" s="140"/>
      <c r="BB351" s="140"/>
      <c r="BC351" s="140"/>
      <c r="BD351" s="140"/>
      <c r="BE351" s="140"/>
      <c r="BF351" s="140"/>
      <c r="BG351" s="140"/>
      <c r="BH351" s="140"/>
      <c r="BI351" s="140"/>
      <c r="BJ351" s="140"/>
      <c r="BK351" s="140"/>
      <c r="BL351" s="140"/>
      <c r="BM351" s="140"/>
      <c r="BN351" s="140"/>
      <c r="BO351" s="140"/>
      <c r="BP351" s="140"/>
      <c r="BQ351" s="140"/>
      <c r="BR351" s="140"/>
      <c r="BS351" s="140"/>
      <c r="BT351" s="140"/>
      <c r="BU351" s="140"/>
      <c r="BV351" s="140"/>
      <c r="BW351" s="140"/>
      <c r="BX351" s="140"/>
      <c r="BY351" s="140"/>
      <c r="BZ351" s="140"/>
      <c r="CA351" s="140"/>
      <c r="CB351" s="140"/>
      <c r="CC351" s="140"/>
      <c r="CD351" s="140"/>
      <c r="CE351" s="140"/>
      <c r="CF351" s="140"/>
      <c r="CG351" s="140"/>
      <c r="CH351" s="140"/>
      <c r="CI351" s="140"/>
      <c r="CJ351" s="140"/>
      <c r="CK351" s="140"/>
      <c r="CL351" s="140"/>
      <c r="CM351" s="140"/>
      <c r="CN351" s="140"/>
      <c r="CO351" s="140"/>
      <c r="CP351" s="140"/>
      <c r="CQ351" s="140"/>
      <c r="CR351" s="140"/>
      <c r="CS351" s="140"/>
      <c r="CT351" s="140"/>
      <c r="CU351" s="140"/>
      <c r="CV351" s="140"/>
      <c r="CW351" s="140"/>
      <c r="CX351" s="140"/>
      <c r="CY351" s="140"/>
      <c r="CZ351" s="140"/>
      <c r="DA351" s="140"/>
      <c r="DB351" s="140"/>
      <c r="DC351" s="140"/>
      <c r="DD351" s="140"/>
      <c r="DE351" s="140"/>
    </row>
    <row r="352" spans="1:109" s="139" customForma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3"/>
      <c r="U352" s="143"/>
      <c r="V352" s="143"/>
      <c r="W352" s="143"/>
      <c r="X352" s="143"/>
      <c r="Y352" s="143"/>
      <c r="Z352" s="143"/>
      <c r="AA352" s="143"/>
      <c r="AC352" s="140"/>
      <c r="AD352" s="140"/>
      <c r="AE352" s="140"/>
      <c r="AF352" s="140"/>
      <c r="AG352" s="140"/>
      <c r="AH352" s="141"/>
      <c r="AI352" s="143"/>
      <c r="AJ352" s="140"/>
      <c r="AK352" s="140"/>
      <c r="AL352" s="140"/>
      <c r="AM352" s="140"/>
      <c r="AN352" s="140"/>
      <c r="AO352" s="140"/>
      <c r="AP352" s="140"/>
      <c r="AQ352" s="140"/>
      <c r="AR352" s="140"/>
      <c r="AS352" s="140"/>
      <c r="AT352" s="140"/>
      <c r="AU352" s="140"/>
      <c r="AV352" s="140"/>
      <c r="AW352" s="140"/>
      <c r="AX352" s="140"/>
      <c r="AY352" s="140"/>
      <c r="AZ352" s="140"/>
      <c r="BA352" s="140"/>
      <c r="BB352" s="140"/>
      <c r="BC352" s="140"/>
      <c r="BD352" s="140"/>
      <c r="BE352" s="140"/>
      <c r="BF352" s="140"/>
      <c r="BG352" s="140"/>
      <c r="BH352" s="140"/>
      <c r="BI352" s="140"/>
      <c r="BJ352" s="140"/>
      <c r="BK352" s="140"/>
      <c r="BL352" s="140"/>
      <c r="BM352" s="140"/>
      <c r="BN352" s="140"/>
      <c r="BO352" s="140"/>
      <c r="BP352" s="140"/>
      <c r="BQ352" s="140"/>
      <c r="BR352" s="140"/>
      <c r="BS352" s="140"/>
      <c r="BT352" s="140"/>
      <c r="BU352" s="140"/>
      <c r="BV352" s="140"/>
      <c r="BW352" s="140"/>
      <c r="BX352" s="140"/>
      <c r="BY352" s="140"/>
      <c r="BZ352" s="140"/>
      <c r="CA352" s="140"/>
      <c r="CB352" s="140"/>
      <c r="CC352" s="140"/>
      <c r="CD352" s="140"/>
      <c r="CE352" s="140"/>
      <c r="CF352" s="140"/>
      <c r="CG352" s="140"/>
      <c r="CH352" s="140"/>
      <c r="CI352" s="140"/>
      <c r="CJ352" s="140"/>
      <c r="CK352" s="140"/>
      <c r="CL352" s="140"/>
      <c r="CM352" s="140"/>
      <c r="CN352" s="140"/>
      <c r="CO352" s="140"/>
      <c r="CP352" s="140"/>
      <c r="CQ352" s="140"/>
      <c r="CR352" s="140"/>
      <c r="CS352" s="140"/>
      <c r="CT352" s="140"/>
      <c r="CU352" s="140"/>
      <c r="CV352" s="140"/>
      <c r="CW352" s="140"/>
      <c r="CX352" s="140"/>
      <c r="CY352" s="140"/>
      <c r="CZ352" s="140"/>
      <c r="DA352" s="140"/>
      <c r="DB352" s="140"/>
      <c r="DC352" s="140"/>
      <c r="DD352" s="140"/>
      <c r="DE352" s="140"/>
    </row>
    <row r="353" spans="1:109" s="139" customForma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3"/>
      <c r="U353" s="143"/>
      <c r="V353" s="143"/>
      <c r="W353" s="143"/>
      <c r="X353" s="143"/>
      <c r="Y353" s="143"/>
      <c r="Z353" s="143"/>
      <c r="AA353" s="143"/>
      <c r="AC353" s="140"/>
      <c r="AD353" s="140"/>
      <c r="AE353" s="140"/>
      <c r="AF353" s="140"/>
      <c r="AG353" s="140"/>
      <c r="AH353" s="141"/>
      <c r="AI353" s="143"/>
      <c r="AJ353" s="140"/>
      <c r="AK353" s="140"/>
      <c r="AL353" s="140"/>
      <c r="AM353" s="140"/>
      <c r="AN353" s="140"/>
      <c r="AO353" s="140"/>
      <c r="AP353" s="140"/>
      <c r="AQ353" s="140"/>
      <c r="AR353" s="140"/>
      <c r="AS353" s="140"/>
      <c r="AT353" s="140"/>
      <c r="AU353" s="140"/>
      <c r="AV353" s="140"/>
      <c r="AW353" s="140"/>
      <c r="AX353" s="140"/>
      <c r="AY353" s="140"/>
      <c r="AZ353" s="140"/>
      <c r="BA353" s="140"/>
      <c r="BB353" s="140"/>
      <c r="BC353" s="140"/>
      <c r="BD353" s="140"/>
      <c r="BE353" s="140"/>
      <c r="BF353" s="140"/>
      <c r="BG353" s="140"/>
      <c r="BH353" s="140"/>
      <c r="BI353" s="140"/>
      <c r="BJ353" s="140"/>
      <c r="BK353" s="140"/>
      <c r="BL353" s="140"/>
      <c r="BM353" s="140"/>
      <c r="BN353" s="140"/>
      <c r="BO353" s="140"/>
      <c r="BP353" s="140"/>
      <c r="BQ353" s="140"/>
      <c r="BR353" s="140"/>
      <c r="BS353" s="140"/>
      <c r="BT353" s="140"/>
      <c r="BU353" s="140"/>
      <c r="BV353" s="140"/>
      <c r="BW353" s="140"/>
      <c r="BX353" s="140"/>
      <c r="BY353" s="140"/>
      <c r="BZ353" s="140"/>
      <c r="CA353" s="140"/>
      <c r="CB353" s="140"/>
      <c r="CC353" s="140"/>
      <c r="CD353" s="140"/>
      <c r="CE353" s="140"/>
      <c r="CF353" s="140"/>
      <c r="CG353" s="140"/>
      <c r="CH353" s="140"/>
      <c r="CI353" s="140"/>
      <c r="CJ353" s="140"/>
      <c r="CK353" s="140"/>
      <c r="CL353" s="140"/>
      <c r="CM353" s="140"/>
      <c r="CN353" s="140"/>
      <c r="CO353" s="140"/>
      <c r="CP353" s="140"/>
      <c r="CQ353" s="140"/>
      <c r="CR353" s="140"/>
      <c r="CS353" s="140"/>
      <c r="CT353" s="140"/>
      <c r="CU353" s="140"/>
      <c r="CV353" s="140"/>
      <c r="CW353" s="140"/>
      <c r="CX353" s="140"/>
      <c r="CY353" s="140"/>
      <c r="CZ353" s="140"/>
      <c r="DA353" s="140"/>
      <c r="DB353" s="140"/>
      <c r="DC353" s="140"/>
      <c r="DD353" s="140"/>
      <c r="DE353" s="140"/>
    </row>
    <row r="354" spans="1:109" s="139" customForma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3"/>
      <c r="U354" s="143"/>
      <c r="V354" s="143"/>
      <c r="W354" s="143"/>
      <c r="X354" s="143"/>
      <c r="Y354" s="143"/>
      <c r="Z354" s="143"/>
      <c r="AA354" s="143"/>
      <c r="AC354" s="140"/>
      <c r="AD354" s="140"/>
      <c r="AE354" s="140"/>
      <c r="AF354" s="140"/>
      <c r="AG354" s="140"/>
      <c r="AH354" s="141"/>
      <c r="AI354" s="143"/>
      <c r="AJ354" s="140"/>
      <c r="AK354" s="140"/>
      <c r="AL354" s="140"/>
      <c r="AM354" s="140"/>
      <c r="AN354" s="140"/>
      <c r="AO354" s="140"/>
      <c r="AP354" s="140"/>
      <c r="AQ354" s="140"/>
      <c r="AR354" s="140"/>
      <c r="AS354" s="140"/>
      <c r="AT354" s="140"/>
      <c r="AU354" s="140"/>
      <c r="AV354" s="140"/>
      <c r="AW354" s="140"/>
      <c r="AX354" s="140"/>
      <c r="AY354" s="140"/>
      <c r="AZ354" s="140"/>
      <c r="BA354" s="140"/>
      <c r="BB354" s="140"/>
      <c r="BC354" s="140"/>
      <c r="BD354" s="140"/>
      <c r="BE354" s="140"/>
      <c r="BF354" s="140"/>
      <c r="BG354" s="140"/>
      <c r="BH354" s="140"/>
      <c r="BI354" s="140"/>
      <c r="BJ354" s="140"/>
      <c r="BK354" s="140"/>
      <c r="BL354" s="140"/>
      <c r="BM354" s="140"/>
      <c r="BN354" s="140"/>
      <c r="BO354" s="140"/>
      <c r="BP354" s="140"/>
      <c r="BQ354" s="140"/>
      <c r="BR354" s="140"/>
      <c r="BS354" s="140"/>
      <c r="BT354" s="140"/>
      <c r="BU354" s="140"/>
      <c r="BV354" s="140"/>
      <c r="BW354" s="140"/>
      <c r="BX354" s="140"/>
      <c r="BY354" s="140"/>
      <c r="BZ354" s="140"/>
      <c r="CA354" s="140"/>
      <c r="CB354" s="140"/>
      <c r="CC354" s="140"/>
      <c r="CD354" s="140"/>
      <c r="CE354" s="140"/>
      <c r="CF354" s="140"/>
      <c r="CG354" s="140"/>
      <c r="CH354" s="140"/>
      <c r="CI354" s="140"/>
      <c r="CJ354" s="140"/>
      <c r="CK354" s="140"/>
      <c r="CL354" s="140"/>
      <c r="CM354" s="140"/>
      <c r="CN354" s="140"/>
      <c r="CO354" s="140"/>
      <c r="CP354" s="140"/>
      <c r="CQ354" s="140"/>
      <c r="CR354" s="140"/>
      <c r="CS354" s="140"/>
      <c r="CT354" s="140"/>
      <c r="CU354" s="140"/>
      <c r="CV354" s="140"/>
      <c r="CW354" s="140"/>
      <c r="CX354" s="140"/>
      <c r="CY354" s="140"/>
      <c r="CZ354" s="140"/>
      <c r="DA354" s="140"/>
      <c r="DB354" s="140"/>
      <c r="DC354" s="140"/>
      <c r="DD354" s="140"/>
      <c r="DE354" s="140"/>
    </row>
    <row r="355" spans="1:109" s="139" customForma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3"/>
      <c r="U355" s="143"/>
      <c r="V355" s="143"/>
      <c r="W355" s="143"/>
      <c r="X355" s="143"/>
      <c r="Y355" s="143"/>
      <c r="Z355" s="143"/>
      <c r="AA355" s="143"/>
      <c r="AC355" s="140"/>
      <c r="AD355" s="140"/>
      <c r="AE355" s="140"/>
      <c r="AF355" s="140"/>
      <c r="AG355" s="140"/>
      <c r="AH355" s="141"/>
      <c r="AI355" s="143"/>
      <c r="AJ355" s="140"/>
      <c r="AK355" s="140"/>
      <c r="AL355" s="140"/>
      <c r="AM355" s="140"/>
      <c r="AN355" s="140"/>
      <c r="AO355" s="140"/>
      <c r="AP355" s="140"/>
      <c r="AQ355" s="140"/>
      <c r="AR355" s="140"/>
      <c r="AS355" s="140"/>
      <c r="AT355" s="140"/>
      <c r="AU355" s="140"/>
      <c r="AV355" s="140"/>
      <c r="AW355" s="140"/>
      <c r="AX355" s="140"/>
      <c r="AY355" s="140"/>
      <c r="AZ355" s="140"/>
      <c r="BA355" s="140"/>
      <c r="BB355" s="140"/>
      <c r="BC355" s="140"/>
      <c r="BD355" s="140"/>
      <c r="BE355" s="140"/>
      <c r="BF355" s="140"/>
      <c r="BG355" s="140"/>
      <c r="BH355" s="140"/>
      <c r="BI355" s="140"/>
      <c r="BJ355" s="140"/>
      <c r="BK355" s="140"/>
      <c r="BL355" s="140"/>
      <c r="BM355" s="140"/>
      <c r="BN355" s="140"/>
      <c r="BO355" s="140"/>
      <c r="BP355" s="140"/>
      <c r="BQ355" s="140"/>
      <c r="BR355" s="140"/>
      <c r="BS355" s="140"/>
      <c r="BT355" s="140"/>
      <c r="BU355" s="140"/>
      <c r="BV355" s="140"/>
      <c r="BW355" s="140"/>
      <c r="BX355" s="140"/>
      <c r="BY355" s="140"/>
      <c r="BZ355" s="140"/>
      <c r="CA355" s="140"/>
      <c r="CB355" s="140"/>
      <c r="CC355" s="140"/>
      <c r="CD355" s="140"/>
      <c r="CE355" s="140"/>
      <c r="CF355" s="140"/>
      <c r="CG355" s="140"/>
      <c r="CH355" s="140"/>
      <c r="CI355" s="140"/>
      <c r="CJ355" s="140"/>
      <c r="CK355" s="140"/>
      <c r="CL355" s="140"/>
      <c r="CM355" s="140"/>
      <c r="CN355" s="140"/>
      <c r="CO355" s="140"/>
      <c r="CP355" s="140"/>
      <c r="CQ355" s="140"/>
      <c r="CR355" s="140"/>
      <c r="CS355" s="140"/>
      <c r="CT355" s="140"/>
      <c r="CU355" s="140"/>
      <c r="CV355" s="140"/>
      <c r="CW355" s="140"/>
      <c r="CX355" s="140"/>
      <c r="CY355" s="140"/>
      <c r="CZ355" s="140"/>
      <c r="DA355" s="140"/>
      <c r="DB355" s="140"/>
      <c r="DC355" s="140"/>
      <c r="DD355" s="140"/>
      <c r="DE355" s="140"/>
    </row>
    <row r="356" spans="1:109" s="139" customForma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3"/>
      <c r="U356" s="143"/>
      <c r="V356" s="143"/>
      <c r="W356" s="143"/>
      <c r="X356" s="143"/>
      <c r="Y356" s="143"/>
      <c r="Z356" s="143"/>
      <c r="AA356" s="143"/>
      <c r="AC356" s="140"/>
      <c r="AD356" s="140"/>
      <c r="AE356" s="140"/>
      <c r="AF356" s="140"/>
      <c r="AG356" s="140"/>
      <c r="AH356" s="141"/>
      <c r="AI356" s="143"/>
      <c r="AJ356" s="140"/>
      <c r="AK356" s="140"/>
      <c r="AL356" s="140"/>
      <c r="AM356" s="140"/>
      <c r="AN356" s="140"/>
      <c r="AO356" s="140"/>
      <c r="AP356" s="140"/>
      <c r="AQ356" s="140"/>
      <c r="AR356" s="140"/>
      <c r="AS356" s="140"/>
      <c r="AT356" s="140"/>
      <c r="AU356" s="140"/>
      <c r="AV356" s="140"/>
      <c r="AW356" s="140"/>
      <c r="AX356" s="140"/>
      <c r="AY356" s="140"/>
      <c r="AZ356" s="140"/>
      <c r="BA356" s="140"/>
      <c r="BB356" s="140"/>
      <c r="BC356" s="140"/>
      <c r="BD356" s="140"/>
      <c r="BE356" s="140"/>
      <c r="BF356" s="140"/>
      <c r="BG356" s="140"/>
      <c r="BH356" s="140"/>
      <c r="BI356" s="140"/>
      <c r="BJ356" s="140"/>
      <c r="BK356" s="140"/>
      <c r="BL356" s="140"/>
      <c r="BM356" s="140"/>
      <c r="BN356" s="140"/>
      <c r="BO356" s="140"/>
      <c r="BP356" s="140"/>
      <c r="BQ356" s="140"/>
      <c r="BR356" s="140"/>
      <c r="BS356" s="140"/>
      <c r="BT356" s="140"/>
      <c r="BU356" s="140"/>
      <c r="BV356" s="140"/>
      <c r="BW356" s="140"/>
      <c r="BX356" s="140"/>
      <c r="BY356" s="140"/>
      <c r="BZ356" s="140"/>
      <c r="CA356" s="140"/>
      <c r="CB356" s="140"/>
      <c r="CC356" s="140"/>
      <c r="CD356" s="140"/>
      <c r="CE356" s="140"/>
      <c r="CF356" s="140"/>
      <c r="CG356" s="140"/>
      <c r="CH356" s="140"/>
      <c r="CI356" s="140"/>
      <c r="CJ356" s="140"/>
      <c r="CK356" s="140"/>
      <c r="CL356" s="140"/>
      <c r="CM356" s="140"/>
      <c r="CN356" s="140"/>
      <c r="CO356" s="140"/>
      <c r="CP356" s="140"/>
      <c r="CQ356" s="140"/>
      <c r="CR356" s="140"/>
      <c r="CS356" s="140"/>
      <c r="CT356" s="140"/>
      <c r="CU356" s="140"/>
      <c r="CV356" s="140"/>
      <c r="CW356" s="140"/>
      <c r="CX356" s="140"/>
      <c r="CY356" s="140"/>
      <c r="CZ356" s="140"/>
      <c r="DA356" s="140"/>
      <c r="DB356" s="140"/>
      <c r="DC356" s="140"/>
      <c r="DD356" s="140"/>
      <c r="DE356" s="140"/>
    </row>
    <row r="357" spans="1:109" s="139" customForma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3"/>
      <c r="U357" s="143"/>
      <c r="V357" s="143"/>
      <c r="W357" s="143"/>
      <c r="X357" s="143"/>
      <c r="Y357" s="143"/>
      <c r="Z357" s="143"/>
      <c r="AA357" s="143"/>
      <c r="AC357" s="140"/>
      <c r="AD357" s="140"/>
      <c r="AE357" s="140"/>
      <c r="AF357" s="140"/>
      <c r="AG357" s="140"/>
      <c r="AH357" s="141"/>
      <c r="AI357" s="143"/>
      <c r="AJ357" s="140"/>
      <c r="AK357" s="140"/>
      <c r="AL357" s="140"/>
      <c r="AM357" s="140"/>
      <c r="AN357" s="140"/>
      <c r="AO357" s="140"/>
      <c r="AP357" s="140"/>
      <c r="AQ357" s="140"/>
      <c r="AR357" s="140"/>
      <c r="AS357" s="140"/>
      <c r="AT357" s="140"/>
      <c r="AU357" s="140"/>
      <c r="AV357" s="140"/>
      <c r="AW357" s="140"/>
      <c r="AX357" s="140"/>
      <c r="AY357" s="140"/>
      <c r="AZ357" s="140"/>
      <c r="BA357" s="140"/>
      <c r="BB357" s="140"/>
      <c r="BC357" s="140"/>
      <c r="BD357" s="140"/>
      <c r="BE357" s="140"/>
      <c r="BF357" s="140"/>
      <c r="BG357" s="140"/>
      <c r="BH357" s="140"/>
      <c r="BI357" s="140"/>
      <c r="BJ357" s="140"/>
      <c r="BK357" s="140"/>
      <c r="BL357" s="140"/>
      <c r="BM357" s="140"/>
      <c r="BN357" s="140"/>
      <c r="BO357" s="140"/>
      <c r="BP357" s="140"/>
      <c r="BQ357" s="140"/>
      <c r="BR357" s="140"/>
      <c r="BS357" s="140"/>
      <c r="BT357" s="140"/>
      <c r="BU357" s="140"/>
      <c r="BV357" s="140"/>
      <c r="BW357" s="140"/>
      <c r="BX357" s="140"/>
      <c r="BY357" s="140"/>
      <c r="BZ357" s="140"/>
      <c r="CA357" s="140"/>
      <c r="CB357" s="140"/>
      <c r="CC357" s="140"/>
      <c r="CD357" s="140"/>
      <c r="CE357" s="140"/>
      <c r="CF357" s="140"/>
      <c r="CG357" s="140"/>
      <c r="CH357" s="140"/>
      <c r="CI357" s="140"/>
      <c r="CJ357" s="140"/>
      <c r="CK357" s="140"/>
      <c r="CL357" s="140"/>
      <c r="CM357" s="140"/>
      <c r="CN357" s="140"/>
      <c r="CO357" s="140"/>
      <c r="CP357" s="140"/>
      <c r="CQ357" s="140"/>
      <c r="CR357" s="140"/>
      <c r="CS357" s="140"/>
      <c r="CT357" s="140"/>
      <c r="CU357" s="140"/>
      <c r="CV357" s="140"/>
      <c r="CW357" s="140"/>
      <c r="CX357" s="140"/>
      <c r="CY357" s="140"/>
      <c r="CZ357" s="140"/>
      <c r="DA357" s="140"/>
      <c r="DB357" s="140"/>
      <c r="DC357" s="140"/>
      <c r="DD357" s="140"/>
      <c r="DE357" s="140"/>
    </row>
    <row r="358" spans="1:109" s="139" customForma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3"/>
      <c r="U358" s="143"/>
      <c r="V358" s="143"/>
      <c r="W358" s="143"/>
      <c r="X358" s="143"/>
      <c r="Y358" s="143"/>
      <c r="Z358" s="143"/>
      <c r="AA358" s="143"/>
      <c r="AC358" s="140"/>
      <c r="AD358" s="140"/>
      <c r="AE358" s="140"/>
      <c r="AF358" s="140"/>
      <c r="AG358" s="140"/>
      <c r="AH358" s="141"/>
      <c r="AI358" s="143"/>
      <c r="AJ358" s="140"/>
      <c r="AK358" s="140"/>
      <c r="AL358" s="140"/>
      <c r="AM358" s="140"/>
      <c r="AN358" s="140"/>
      <c r="AO358" s="140"/>
      <c r="AP358" s="140"/>
      <c r="AQ358" s="140"/>
      <c r="AR358" s="140"/>
      <c r="AS358" s="140"/>
      <c r="AT358" s="140"/>
      <c r="AU358" s="140"/>
      <c r="AV358" s="140"/>
      <c r="AW358" s="140"/>
      <c r="AX358" s="140"/>
      <c r="AY358" s="140"/>
      <c r="AZ358" s="140"/>
      <c r="BA358" s="140"/>
      <c r="BB358" s="140"/>
      <c r="BC358" s="140"/>
      <c r="BD358" s="140"/>
      <c r="BE358" s="140"/>
      <c r="BF358" s="140"/>
      <c r="BG358" s="140"/>
      <c r="BH358" s="140"/>
      <c r="BI358" s="140"/>
      <c r="BJ358" s="140"/>
      <c r="BK358" s="140"/>
      <c r="BL358" s="140"/>
      <c r="BM358" s="140"/>
      <c r="BN358" s="140"/>
      <c r="BO358" s="140"/>
      <c r="BP358" s="140"/>
      <c r="BQ358" s="140"/>
      <c r="BR358" s="140"/>
      <c r="BS358" s="140"/>
      <c r="BT358" s="140"/>
      <c r="BU358" s="140"/>
      <c r="BV358" s="140"/>
      <c r="BW358" s="140"/>
      <c r="BX358" s="140"/>
      <c r="BY358" s="140"/>
      <c r="BZ358" s="140"/>
      <c r="CA358" s="140"/>
      <c r="CB358" s="140"/>
      <c r="CC358" s="140"/>
      <c r="CD358" s="140"/>
      <c r="CE358" s="140"/>
      <c r="CF358" s="140"/>
      <c r="CG358" s="140"/>
      <c r="CH358" s="140"/>
      <c r="CI358" s="140"/>
      <c r="CJ358" s="140"/>
      <c r="CK358" s="140"/>
      <c r="CL358" s="140"/>
      <c r="CM358" s="140"/>
      <c r="CN358" s="140"/>
      <c r="CO358" s="140"/>
      <c r="CP358" s="140"/>
      <c r="CQ358" s="140"/>
      <c r="CR358" s="140"/>
      <c r="CS358" s="140"/>
      <c r="CT358" s="140"/>
      <c r="CU358" s="140"/>
      <c r="CV358" s="140"/>
      <c r="CW358" s="140"/>
      <c r="CX358" s="140"/>
      <c r="CY358" s="140"/>
      <c r="CZ358" s="140"/>
      <c r="DA358" s="140"/>
      <c r="DB358" s="140"/>
      <c r="DC358" s="140"/>
      <c r="DD358" s="140"/>
      <c r="DE358" s="140"/>
    </row>
    <row r="359" spans="1:109" s="139" customForma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3"/>
      <c r="U359" s="143"/>
      <c r="V359" s="143"/>
      <c r="W359" s="143"/>
      <c r="X359" s="143"/>
      <c r="Y359" s="143"/>
      <c r="Z359" s="143"/>
      <c r="AA359" s="143"/>
      <c r="AC359" s="140"/>
      <c r="AD359" s="140"/>
      <c r="AE359" s="140"/>
      <c r="AF359" s="140"/>
      <c r="AG359" s="140"/>
      <c r="AH359" s="141"/>
      <c r="AI359" s="143"/>
      <c r="AJ359" s="140"/>
      <c r="AK359" s="140"/>
      <c r="AL359" s="140"/>
      <c r="AM359" s="140"/>
      <c r="AN359" s="140"/>
      <c r="AO359" s="140"/>
      <c r="AP359" s="140"/>
      <c r="AQ359" s="140"/>
      <c r="AR359" s="140"/>
      <c r="AS359" s="140"/>
      <c r="AT359" s="140"/>
      <c r="AU359" s="140"/>
      <c r="AV359" s="140"/>
      <c r="AW359" s="140"/>
      <c r="AX359" s="140"/>
      <c r="AY359" s="140"/>
      <c r="AZ359" s="140"/>
      <c r="BA359" s="140"/>
      <c r="BB359" s="140"/>
      <c r="BC359" s="140"/>
      <c r="BD359" s="140"/>
      <c r="BE359" s="140"/>
      <c r="BF359" s="140"/>
      <c r="BG359" s="140"/>
      <c r="BH359" s="140"/>
      <c r="BI359" s="140"/>
      <c r="BJ359" s="140"/>
      <c r="BK359" s="140"/>
      <c r="BL359" s="140"/>
      <c r="BM359" s="140"/>
      <c r="BN359" s="140"/>
      <c r="BO359" s="140"/>
      <c r="BP359" s="140"/>
      <c r="BQ359" s="140"/>
      <c r="BR359" s="140"/>
      <c r="BS359" s="140"/>
      <c r="BT359" s="140"/>
      <c r="BU359" s="140"/>
      <c r="BV359" s="140"/>
      <c r="BW359" s="140"/>
      <c r="BX359" s="140"/>
      <c r="BY359" s="140"/>
      <c r="BZ359" s="140"/>
      <c r="CA359" s="140"/>
      <c r="CB359" s="140"/>
      <c r="CC359" s="140"/>
      <c r="CD359" s="140"/>
      <c r="CE359" s="140"/>
      <c r="CF359" s="140"/>
      <c r="CG359" s="140"/>
      <c r="CH359" s="140"/>
      <c r="CI359" s="140"/>
      <c r="CJ359" s="140"/>
      <c r="CK359" s="140"/>
      <c r="CL359" s="140"/>
      <c r="CM359" s="140"/>
      <c r="CN359" s="140"/>
      <c r="CO359" s="140"/>
      <c r="CP359" s="140"/>
      <c r="CQ359" s="140"/>
      <c r="CR359" s="140"/>
      <c r="CS359" s="140"/>
      <c r="CT359" s="140"/>
      <c r="CU359" s="140"/>
      <c r="CV359" s="140"/>
      <c r="CW359" s="140"/>
      <c r="CX359" s="140"/>
      <c r="CY359" s="140"/>
      <c r="CZ359" s="140"/>
      <c r="DA359" s="140"/>
      <c r="DB359" s="140"/>
      <c r="DC359" s="140"/>
      <c r="DD359" s="140"/>
      <c r="DE359" s="140"/>
    </row>
    <row r="360" spans="1:109" s="139" customForma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3"/>
      <c r="U360" s="143"/>
      <c r="V360" s="143"/>
      <c r="W360" s="143"/>
      <c r="X360" s="143"/>
      <c r="Y360" s="143"/>
      <c r="Z360" s="143"/>
      <c r="AA360" s="143"/>
      <c r="AC360" s="140"/>
      <c r="AD360" s="140"/>
      <c r="AE360" s="140"/>
      <c r="AF360" s="140"/>
      <c r="AG360" s="140"/>
      <c r="AH360" s="141"/>
      <c r="AI360" s="143"/>
      <c r="AJ360" s="140"/>
      <c r="AK360" s="140"/>
      <c r="AL360" s="140"/>
      <c r="AM360" s="140"/>
      <c r="AN360" s="140"/>
      <c r="AO360" s="140"/>
      <c r="AP360" s="140"/>
      <c r="AQ360" s="140"/>
      <c r="AR360" s="140"/>
      <c r="AS360" s="140"/>
      <c r="AT360" s="140"/>
      <c r="AU360" s="140"/>
      <c r="AV360" s="140"/>
      <c r="AW360" s="140"/>
      <c r="AX360" s="140"/>
      <c r="AY360" s="140"/>
      <c r="AZ360" s="140"/>
      <c r="BA360" s="140"/>
      <c r="BB360" s="140"/>
      <c r="BC360" s="140"/>
      <c r="BD360" s="140"/>
      <c r="BE360" s="140"/>
      <c r="BF360" s="140"/>
      <c r="BG360" s="140"/>
      <c r="BH360" s="140"/>
      <c r="BI360" s="140"/>
      <c r="BJ360" s="140"/>
      <c r="BK360" s="140"/>
      <c r="BL360" s="140"/>
      <c r="BM360" s="140"/>
      <c r="BN360" s="140"/>
      <c r="BO360" s="140"/>
      <c r="BP360" s="140"/>
      <c r="BQ360" s="140"/>
      <c r="BR360" s="140"/>
      <c r="BS360" s="140"/>
      <c r="BT360" s="140"/>
      <c r="BU360" s="140"/>
      <c r="BV360" s="140"/>
      <c r="BW360" s="140"/>
      <c r="BX360" s="140"/>
      <c r="BY360" s="140"/>
      <c r="BZ360" s="140"/>
      <c r="CA360" s="140"/>
      <c r="CB360" s="140"/>
      <c r="CC360" s="140"/>
      <c r="CD360" s="140"/>
      <c r="CE360" s="140"/>
      <c r="CF360" s="140"/>
      <c r="CG360" s="140"/>
      <c r="CH360" s="140"/>
      <c r="CI360" s="140"/>
      <c r="CJ360" s="140"/>
      <c r="CK360" s="140"/>
      <c r="CL360" s="140"/>
      <c r="CM360" s="140"/>
      <c r="CN360" s="140"/>
      <c r="CO360" s="140"/>
      <c r="CP360" s="140"/>
      <c r="CQ360" s="140"/>
      <c r="CR360" s="140"/>
      <c r="CS360" s="140"/>
      <c r="CT360" s="140"/>
      <c r="CU360" s="140"/>
      <c r="CV360" s="140"/>
      <c r="CW360" s="140"/>
      <c r="CX360" s="140"/>
      <c r="CY360" s="140"/>
      <c r="CZ360" s="140"/>
      <c r="DA360" s="140"/>
      <c r="DB360" s="140"/>
      <c r="DC360" s="140"/>
      <c r="DD360" s="140"/>
      <c r="DE360" s="140"/>
    </row>
    <row r="361" spans="1:109" s="139" customForma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3"/>
      <c r="U361" s="143"/>
      <c r="V361" s="143"/>
      <c r="W361" s="143"/>
      <c r="X361" s="143"/>
      <c r="Y361" s="143"/>
      <c r="Z361" s="143"/>
      <c r="AA361" s="143"/>
      <c r="AC361" s="140"/>
      <c r="AD361" s="140"/>
      <c r="AE361" s="140"/>
      <c r="AF361" s="140"/>
      <c r="AG361" s="140"/>
      <c r="AH361" s="141"/>
      <c r="AI361" s="143"/>
      <c r="AJ361" s="140"/>
      <c r="AK361" s="140"/>
      <c r="AL361" s="140"/>
      <c r="AM361" s="140"/>
      <c r="AN361" s="140"/>
      <c r="AO361" s="140"/>
      <c r="AP361" s="140"/>
      <c r="AQ361" s="140"/>
      <c r="AR361" s="140"/>
      <c r="AS361" s="140"/>
      <c r="AT361" s="140"/>
      <c r="AU361" s="140"/>
      <c r="AV361" s="140"/>
      <c r="AW361" s="140"/>
      <c r="AX361" s="140"/>
      <c r="AY361" s="140"/>
      <c r="AZ361" s="140"/>
      <c r="BA361" s="140"/>
      <c r="BB361" s="140"/>
      <c r="BC361" s="140"/>
      <c r="BD361" s="140"/>
      <c r="BE361" s="140"/>
      <c r="BF361" s="140"/>
      <c r="BG361" s="140"/>
      <c r="BH361" s="140"/>
      <c r="BI361" s="140"/>
      <c r="BJ361" s="140"/>
      <c r="BK361" s="140"/>
      <c r="BL361" s="140"/>
      <c r="BM361" s="140"/>
      <c r="BN361" s="140"/>
      <c r="BO361" s="140"/>
      <c r="BP361" s="140"/>
      <c r="BQ361" s="140"/>
      <c r="BR361" s="140"/>
      <c r="BS361" s="140"/>
      <c r="BT361" s="140"/>
      <c r="BU361" s="140"/>
      <c r="BV361" s="140"/>
      <c r="BW361" s="140"/>
      <c r="BX361" s="140"/>
      <c r="BY361" s="140"/>
      <c r="BZ361" s="140"/>
      <c r="CA361" s="140"/>
      <c r="CB361" s="140"/>
      <c r="CC361" s="140"/>
      <c r="CD361" s="140"/>
      <c r="CE361" s="140"/>
      <c r="CF361" s="140"/>
      <c r="CG361" s="140"/>
      <c r="CH361" s="140"/>
      <c r="CI361" s="140"/>
      <c r="CJ361" s="140"/>
      <c r="CK361" s="140"/>
      <c r="CL361" s="140"/>
      <c r="CM361" s="140"/>
      <c r="CN361" s="140"/>
      <c r="CO361" s="140"/>
      <c r="CP361" s="140"/>
      <c r="CQ361" s="140"/>
      <c r="CR361" s="140"/>
      <c r="CS361" s="140"/>
      <c r="CT361" s="140"/>
      <c r="CU361" s="140"/>
      <c r="CV361" s="140"/>
      <c r="CW361" s="140"/>
      <c r="CX361" s="140"/>
      <c r="CY361" s="140"/>
      <c r="CZ361" s="140"/>
      <c r="DA361" s="140"/>
      <c r="DB361" s="140"/>
      <c r="DC361" s="140"/>
      <c r="DD361" s="140"/>
      <c r="DE361" s="140"/>
    </row>
    <row r="362" spans="1:109" s="139" customForma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3"/>
      <c r="U362" s="143"/>
      <c r="V362" s="143"/>
      <c r="W362" s="143"/>
      <c r="X362" s="143"/>
      <c r="Y362" s="143"/>
      <c r="Z362" s="143"/>
      <c r="AA362" s="143"/>
      <c r="AC362" s="140"/>
      <c r="AD362" s="140"/>
      <c r="AE362" s="140"/>
      <c r="AF362" s="140"/>
      <c r="AG362" s="140"/>
      <c r="AH362" s="141"/>
      <c r="AI362" s="143"/>
      <c r="AJ362" s="140"/>
      <c r="AK362" s="140"/>
      <c r="AL362" s="140"/>
      <c r="AM362" s="140"/>
      <c r="AN362" s="140"/>
      <c r="AO362" s="140"/>
      <c r="AP362" s="140"/>
      <c r="AQ362" s="140"/>
      <c r="AR362" s="140"/>
      <c r="AS362" s="140"/>
      <c r="AT362" s="140"/>
      <c r="AU362" s="140"/>
      <c r="AV362" s="140"/>
      <c r="AW362" s="140"/>
      <c r="AX362" s="140"/>
      <c r="AY362" s="140"/>
      <c r="AZ362" s="140"/>
      <c r="BA362" s="140"/>
      <c r="BB362" s="140"/>
      <c r="BC362" s="140"/>
      <c r="BD362" s="140"/>
      <c r="BE362" s="140"/>
      <c r="BF362" s="140"/>
      <c r="BG362" s="140"/>
      <c r="BH362" s="140"/>
      <c r="BI362" s="140"/>
      <c r="BJ362" s="140"/>
      <c r="BK362" s="140"/>
      <c r="BL362" s="140"/>
      <c r="BM362" s="140"/>
      <c r="BN362" s="140"/>
      <c r="BO362" s="140"/>
      <c r="BP362" s="140"/>
      <c r="BQ362" s="140"/>
      <c r="BR362" s="140"/>
      <c r="BS362" s="140"/>
      <c r="BT362" s="140"/>
      <c r="BU362" s="140"/>
      <c r="BV362" s="140"/>
      <c r="BW362" s="140"/>
      <c r="BX362" s="140"/>
      <c r="BY362" s="140"/>
      <c r="BZ362" s="140"/>
      <c r="CA362" s="140"/>
      <c r="CB362" s="140"/>
      <c r="CC362" s="140"/>
      <c r="CD362" s="140"/>
      <c r="CE362" s="140"/>
      <c r="CF362" s="140"/>
      <c r="CG362" s="140"/>
      <c r="CH362" s="140"/>
      <c r="CI362" s="140"/>
      <c r="CJ362" s="140"/>
      <c r="CK362" s="140"/>
      <c r="CL362" s="140"/>
      <c r="CM362" s="140"/>
      <c r="CN362" s="140"/>
      <c r="CO362" s="140"/>
      <c r="CP362" s="140"/>
      <c r="CQ362" s="140"/>
      <c r="CR362" s="140"/>
      <c r="CS362" s="140"/>
      <c r="CT362" s="140"/>
      <c r="CU362" s="140"/>
      <c r="CV362" s="140"/>
      <c r="CW362" s="140"/>
      <c r="CX362" s="140"/>
      <c r="CY362" s="140"/>
      <c r="CZ362" s="140"/>
      <c r="DA362" s="140"/>
      <c r="DB362" s="140"/>
      <c r="DC362" s="140"/>
      <c r="DD362" s="140"/>
      <c r="DE362" s="140"/>
    </row>
    <row r="363" spans="1:109" s="139" customForma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3"/>
      <c r="U363" s="143"/>
      <c r="V363" s="143"/>
      <c r="W363" s="143"/>
      <c r="X363" s="143"/>
      <c r="Y363" s="143"/>
      <c r="Z363" s="143"/>
      <c r="AA363" s="143"/>
      <c r="AC363" s="140"/>
      <c r="AD363" s="140"/>
      <c r="AE363" s="140"/>
      <c r="AF363" s="140"/>
      <c r="AG363" s="140"/>
      <c r="AH363" s="141"/>
      <c r="AI363" s="143"/>
      <c r="AJ363" s="140"/>
      <c r="AK363" s="140"/>
      <c r="AL363" s="140"/>
      <c r="AM363" s="140"/>
      <c r="AN363" s="140"/>
      <c r="AO363" s="140"/>
      <c r="AP363" s="140"/>
      <c r="AQ363" s="140"/>
      <c r="AR363" s="140"/>
      <c r="AS363" s="140"/>
      <c r="AT363" s="140"/>
      <c r="AU363" s="140"/>
      <c r="AV363" s="140"/>
      <c r="AW363" s="140"/>
      <c r="AX363" s="140"/>
      <c r="AY363" s="140"/>
      <c r="AZ363" s="140"/>
      <c r="BA363" s="140"/>
      <c r="BB363" s="140"/>
      <c r="BC363" s="140"/>
      <c r="BD363" s="140"/>
      <c r="BE363" s="140"/>
      <c r="BF363" s="140"/>
      <c r="BG363" s="140"/>
      <c r="BH363" s="140"/>
      <c r="BI363" s="140"/>
      <c r="BJ363" s="140"/>
      <c r="BK363" s="140"/>
      <c r="BL363" s="140"/>
      <c r="BM363" s="140"/>
      <c r="BN363" s="140"/>
      <c r="BO363" s="140"/>
      <c r="BP363" s="140"/>
      <c r="BQ363" s="140"/>
      <c r="BR363" s="140"/>
      <c r="BS363" s="140"/>
      <c r="BT363" s="140"/>
      <c r="BU363" s="140"/>
      <c r="BV363" s="140"/>
      <c r="BW363" s="140"/>
      <c r="BX363" s="140"/>
      <c r="BY363" s="140"/>
      <c r="BZ363" s="140"/>
      <c r="CA363" s="140"/>
      <c r="CB363" s="140"/>
      <c r="CC363" s="140"/>
      <c r="CD363" s="140"/>
      <c r="CE363" s="140"/>
      <c r="CF363" s="140"/>
      <c r="CG363" s="140"/>
      <c r="CH363" s="140"/>
      <c r="CI363" s="140"/>
      <c r="CJ363" s="140"/>
      <c r="CK363" s="140"/>
      <c r="CL363" s="140"/>
      <c r="CM363" s="140"/>
      <c r="CN363" s="140"/>
      <c r="CO363" s="140"/>
      <c r="CP363" s="140"/>
      <c r="CQ363" s="140"/>
      <c r="CR363" s="140"/>
      <c r="CS363" s="140"/>
      <c r="CT363" s="140"/>
      <c r="CU363" s="140"/>
      <c r="CV363" s="140"/>
      <c r="CW363" s="140"/>
      <c r="CX363" s="140"/>
      <c r="CY363" s="140"/>
      <c r="CZ363" s="140"/>
      <c r="DA363" s="140"/>
      <c r="DB363" s="140"/>
      <c r="DC363" s="140"/>
      <c r="DD363" s="140"/>
      <c r="DE363" s="140"/>
    </row>
  </sheetData>
  <sheetProtection formatCells="0" formatColumns="0" formatRows="0" insertColumns="0" insertRows="0" deleteColumns="0" deleteRows="0"/>
  <protectedRanges>
    <protectedRange sqref="J150:R150 E103:G103 T103:AA103 B85:G85 J83:S83 B150:G150 J118:R118 J67:AA68 E67:G68 B69:G69 J85:R85 J160:R160 J163:AA163 E138:G141 B160:G160 J162:R162 B118:G118 T71:AA73 B71:G71 J64:AA65 E63:G65 J80:S80 E110:G110 J110:S111 E72:G73 J152:S152 J63:S63 J138:S142 J69:R69 J78:S78 B52:D68 B72:D84" name="Range1_6_1_1_2"/>
    <protectedRange sqref="J58:AA58 E62:G62 E53:G53 J62:AA62 E79:G79 E131:G131 J53:AA53 J135:AA136 B49:G49 J49:AA49 J131:AA131 E74:G74 J79:AA79 B90:G90 J90:R90 J100:AA100 T119:AA119 J74:AA74 S125:AA125 E108:G109 B94:G94 J94:AA94 J108:AA109 B100:G100 E135:G136 J105:AA106 T164:AA164 J161:AA161 E105:G106 J147:R147 J153:R153 E58:G58 J86:AA87" name="Range1_1_1_1_1_1"/>
    <protectedRange sqref="J116:AA116 J125:R125 J148:AA148 B125:G125 J157:AA157 B154:D157 B152:D152 B101:D116 B99:D99 B130:D146 B148:D148" name="Range1_11_1_1_1"/>
    <protectedRange sqref="J113:AA113 E113:G113 E116:G116 J144:AA144 E144:G144 E148:G148 J154:AA154 E154:G154 E157:G157" name="Range1_6_3_1_1_1"/>
    <protectedRange sqref="J112:AA112 E112:G112 J143:AA143 E143:G143" name="Range1_6_5_3_1_1_1"/>
    <protectedRange sqref="E114:G115 J114:AA115 J145:AA146 E145:G146 E155:G156 J155:AA156" name="Range1_6_4_2_1_1"/>
    <protectedRange sqref="J120:R120 B120:G120 J88:R88 B88:G88" name="Range1_4_2_1_1_1_2_1_2_1"/>
    <protectedRange sqref="J71:R73 J103:R103" name="Range1_4_2_1_1_1_2_2_1"/>
    <protectedRange sqref="J16:R16 B16:G16" name="Range1_1_1_1_1_1_7"/>
    <protectedRange sqref="B11:D11" name="Range1_4_1_3_1_1_1_3"/>
    <protectedRange sqref="E11:G11" name="Range1_4_1_4_1_1_1_1"/>
    <protectedRange sqref="J11:R11" name="Range1_4_1_5_1_1_1_1"/>
    <protectedRange sqref="S11" name="Range1_4_1_6_1_1_1_1"/>
    <protectedRange sqref="T11:AA11" name="Range1_4_1_7_1_1_1_1"/>
    <protectedRange sqref="J19:AA19" name="Range1_4_1_1_1_1_3_1"/>
    <protectedRange sqref="B22:G22 E19:G19 J22:R22" name="Range1_1_1_1_1_1_4_1"/>
    <protectedRange sqref="B19:D19" name="Range1_4_1_3_1_1_1_4_1"/>
    <protectedRange sqref="J25:AA25" name="Range1_4_1_1_1_1_1"/>
    <protectedRange sqref="E25:G25 J45:AA45 J46:R46 J43:R43 B43:G43 J38:AA38 B38:G38 B45:G46 J34:AA34 J36:AA36 B36:G36 B34:G34" name="Range1_1_1_1_1_1_1_2"/>
    <protectedRange sqref="B25:D25" name="Range1_4_1_3_1_1_1_1"/>
    <protectedRange sqref="J44:R44 B44:G44" name="Range1_4_2_1_1_1_2_1_2_1_2_1"/>
    <protectedRange sqref="S43" name="Range1_1_1_1_1_1_1_1_1"/>
  </protectedRanges>
  <mergeCells count="861">
    <mergeCell ref="B43:D43"/>
    <mergeCell ref="E43:G43"/>
    <mergeCell ref="H43:I43"/>
    <mergeCell ref="J43:R43"/>
    <mergeCell ref="T43:AA43"/>
    <mergeCell ref="B46:D46"/>
    <mergeCell ref="E46:G46"/>
    <mergeCell ref="H46:I46"/>
    <mergeCell ref="J46:R46"/>
    <mergeCell ref="T46:AA46"/>
    <mergeCell ref="B44:D44"/>
    <mergeCell ref="E44:G44"/>
    <mergeCell ref="H44:I44"/>
    <mergeCell ref="J44:R44"/>
    <mergeCell ref="T44:AA44"/>
    <mergeCell ref="B45:D45"/>
    <mergeCell ref="E45:G45"/>
    <mergeCell ref="H45:I45"/>
    <mergeCell ref="J45:R45"/>
    <mergeCell ref="T45:AA45"/>
    <mergeCell ref="B41:D41"/>
    <mergeCell ref="E41:G41"/>
    <mergeCell ref="H41:I41"/>
    <mergeCell ref="J41:R41"/>
    <mergeCell ref="T41:AA41"/>
    <mergeCell ref="B42:D42"/>
    <mergeCell ref="E42:G42"/>
    <mergeCell ref="H42:I42"/>
    <mergeCell ref="J42:R42"/>
    <mergeCell ref="T42:AA42"/>
    <mergeCell ref="B39:D39"/>
    <mergeCell ref="E39:G39"/>
    <mergeCell ref="H39:I39"/>
    <mergeCell ref="J39:R39"/>
    <mergeCell ref="T39:AA39"/>
    <mergeCell ref="B40:D40"/>
    <mergeCell ref="E40:G40"/>
    <mergeCell ref="H40:I40"/>
    <mergeCell ref="J40:R40"/>
    <mergeCell ref="T40:AA40"/>
    <mergeCell ref="B38:D38"/>
    <mergeCell ref="E38:G38"/>
    <mergeCell ref="H38:I38"/>
    <mergeCell ref="J38:R38"/>
    <mergeCell ref="T38:AA38"/>
    <mergeCell ref="B35:D35"/>
    <mergeCell ref="E35:G35"/>
    <mergeCell ref="H35:I35"/>
    <mergeCell ref="J35:R35"/>
    <mergeCell ref="T35:AA35"/>
    <mergeCell ref="B36:D36"/>
    <mergeCell ref="E36:G36"/>
    <mergeCell ref="H36:I36"/>
    <mergeCell ref="J36:R36"/>
    <mergeCell ref="T36:AA36"/>
    <mergeCell ref="B33:D33"/>
    <mergeCell ref="E33:G33"/>
    <mergeCell ref="H33:I33"/>
    <mergeCell ref="J33:R33"/>
    <mergeCell ref="T33:AA33"/>
    <mergeCell ref="B34:D34"/>
    <mergeCell ref="E34:G34"/>
    <mergeCell ref="H34:I34"/>
    <mergeCell ref="J34:R34"/>
    <mergeCell ref="T34:AA34"/>
    <mergeCell ref="B29:D29"/>
    <mergeCell ref="E29:G29"/>
    <mergeCell ref="H29:I29"/>
    <mergeCell ref="J29:R29"/>
    <mergeCell ref="B30:D30"/>
    <mergeCell ref="E30:G30"/>
    <mergeCell ref="H30:I30"/>
    <mergeCell ref="J30:R30"/>
    <mergeCell ref="J32:R32"/>
    <mergeCell ref="B31:D31"/>
    <mergeCell ref="E31:G31"/>
    <mergeCell ref="H31:I31"/>
    <mergeCell ref="J31:R31"/>
    <mergeCell ref="B32:D32"/>
    <mergeCell ref="E32:G32"/>
    <mergeCell ref="H32:I32"/>
    <mergeCell ref="B21:D21"/>
    <mergeCell ref="E21:G21"/>
    <mergeCell ref="H21:I21"/>
    <mergeCell ref="J21:R21"/>
    <mergeCell ref="T21:AA21"/>
    <mergeCell ref="B22:D22"/>
    <mergeCell ref="E22:G22"/>
    <mergeCell ref="H22:I22"/>
    <mergeCell ref="J22:R22"/>
    <mergeCell ref="T22:AA22"/>
    <mergeCell ref="B15:D15"/>
    <mergeCell ref="E15:G15"/>
    <mergeCell ref="H15:I15"/>
    <mergeCell ref="J15:R15"/>
    <mergeCell ref="T15:AA15"/>
    <mergeCell ref="B19:D19"/>
    <mergeCell ref="E19:G19"/>
    <mergeCell ref="H19:I19"/>
    <mergeCell ref="J19:R19"/>
    <mergeCell ref="T19:AA19"/>
    <mergeCell ref="H17:I17"/>
    <mergeCell ref="J17:S17"/>
    <mergeCell ref="T20:AA20"/>
    <mergeCell ref="T18:AA18"/>
    <mergeCell ref="T17:AA17"/>
    <mergeCell ref="T12:AA12"/>
    <mergeCell ref="T30:AA30"/>
    <mergeCell ref="T29:AA29"/>
    <mergeCell ref="T28:AA28"/>
    <mergeCell ref="T27:AA27"/>
    <mergeCell ref="T26:AA26"/>
    <mergeCell ref="T25:AA25"/>
    <mergeCell ref="T24:AA24"/>
    <mergeCell ref="T23:AA23"/>
    <mergeCell ref="T13:AA13"/>
    <mergeCell ref="T14:AA14"/>
    <mergeCell ref="T16:AA16"/>
    <mergeCell ref="T52:AA52"/>
    <mergeCell ref="T51:AA51"/>
    <mergeCell ref="T50:AA50"/>
    <mergeCell ref="T49:AA49"/>
    <mergeCell ref="T48:AA48"/>
    <mergeCell ref="T47:AA47"/>
    <mergeCell ref="T92:AA92"/>
    <mergeCell ref="T91:AA91"/>
    <mergeCell ref="T90:AA90"/>
    <mergeCell ref="T87:AA87"/>
    <mergeCell ref="T85:AA85"/>
    <mergeCell ref="T69:AA69"/>
    <mergeCell ref="T56:AA56"/>
    <mergeCell ref="T54:AA54"/>
    <mergeCell ref="T53:AA53"/>
    <mergeCell ref="T84:AA84"/>
    <mergeCell ref="T71:AA71"/>
    <mergeCell ref="T63:AA63"/>
    <mergeCell ref="T89:AA89"/>
    <mergeCell ref="T88:AA88"/>
    <mergeCell ref="T86:AA86"/>
    <mergeCell ref="T77:AA77"/>
    <mergeCell ref="T73:AA73"/>
    <mergeCell ref="B153:D153"/>
    <mergeCell ref="T97:AA97"/>
    <mergeCell ref="T96:AA96"/>
    <mergeCell ref="T95:AA95"/>
    <mergeCell ref="T122:AA122"/>
    <mergeCell ref="T121:AA121"/>
    <mergeCell ref="T120:AA120"/>
    <mergeCell ref="T119:AA119"/>
    <mergeCell ref="T118:AA118"/>
    <mergeCell ref="T116:AA116"/>
    <mergeCell ref="T99:AA99"/>
    <mergeCell ref="T117:AA117"/>
    <mergeCell ref="H96:I96"/>
    <mergeCell ref="J96:R96"/>
    <mergeCell ref="B97:D97"/>
    <mergeCell ref="E97:G97"/>
    <mergeCell ref="H97:I97"/>
    <mergeCell ref="J97:R97"/>
    <mergeCell ref="B125:D125"/>
    <mergeCell ref="E125:G125"/>
    <mergeCell ref="H125:I125"/>
    <mergeCell ref="B87:D87"/>
    <mergeCell ref="E87:G87"/>
    <mergeCell ref="H87:I87"/>
    <mergeCell ref="J87:R87"/>
    <mergeCell ref="B88:D88"/>
    <mergeCell ref="E88:G88"/>
    <mergeCell ref="E151:G151"/>
    <mergeCell ref="H151:I151"/>
    <mergeCell ref="J151:R151"/>
    <mergeCell ref="J89:R89"/>
    <mergeCell ref="B90:D90"/>
    <mergeCell ref="E90:G90"/>
    <mergeCell ref="B92:D92"/>
    <mergeCell ref="E92:G92"/>
    <mergeCell ref="H92:I92"/>
    <mergeCell ref="J92:S92"/>
    <mergeCell ref="B89:D89"/>
    <mergeCell ref="E89:G89"/>
    <mergeCell ref="H89:I89"/>
    <mergeCell ref="H90:I90"/>
    <mergeCell ref="J90:R90"/>
    <mergeCell ref="B91:D91"/>
    <mergeCell ref="E91:G91"/>
    <mergeCell ref="B93:D93"/>
    <mergeCell ref="E93:G93"/>
    <mergeCell ref="H93:I93"/>
    <mergeCell ref="J93:R93"/>
    <mergeCell ref="B94:D94"/>
    <mergeCell ref="E94:G94"/>
    <mergeCell ref="H94:I94"/>
    <mergeCell ref="AC152:AE152"/>
    <mergeCell ref="B102:D102"/>
    <mergeCell ref="E103:G103"/>
    <mergeCell ref="H103:I103"/>
    <mergeCell ref="J103:R103"/>
    <mergeCell ref="T103:AA103"/>
    <mergeCell ref="T149:AA149"/>
    <mergeCell ref="T148:AA148"/>
    <mergeCell ref="T128:AA128"/>
    <mergeCell ref="T126:AA126"/>
    <mergeCell ref="T125:AA125"/>
    <mergeCell ref="J127:R127"/>
    <mergeCell ref="T127:AA127"/>
    <mergeCell ref="T124:AA124"/>
    <mergeCell ref="T123:AA123"/>
    <mergeCell ref="H124:I124"/>
    <mergeCell ref="J124:R124"/>
    <mergeCell ref="J125:R125"/>
    <mergeCell ref="B122:D122"/>
    <mergeCell ref="E122:G122"/>
    <mergeCell ref="H122:I122"/>
    <mergeCell ref="J94:R94"/>
    <mergeCell ref="B95:D95"/>
    <mergeCell ref="E95:G95"/>
    <mergeCell ref="H95:I95"/>
    <mergeCell ref="J95:R95"/>
    <mergeCell ref="B120:D120"/>
    <mergeCell ref="H118:I118"/>
    <mergeCell ref="J122:R122"/>
    <mergeCell ref="B124:D124"/>
    <mergeCell ref="E124:G124"/>
    <mergeCell ref="H113:I113"/>
    <mergeCell ref="J113:R113"/>
    <mergeCell ref="E108:G108"/>
    <mergeCell ref="H88:I88"/>
    <mergeCell ref="J88:R88"/>
    <mergeCell ref="H91:I91"/>
    <mergeCell ref="E26:G26"/>
    <mergeCell ref="H26:I26"/>
    <mergeCell ref="B28:D28"/>
    <mergeCell ref="E28:G28"/>
    <mergeCell ref="H28:I28"/>
    <mergeCell ref="J28:R28"/>
    <mergeCell ref="B73:D73"/>
    <mergeCell ref="E73:G73"/>
    <mergeCell ref="H73:I73"/>
    <mergeCell ref="J73:R73"/>
    <mergeCell ref="B68:D68"/>
    <mergeCell ref="E68:G68"/>
    <mergeCell ref="H68:I68"/>
    <mergeCell ref="J68:R68"/>
    <mergeCell ref="B70:D70"/>
    <mergeCell ref="E70:G70"/>
    <mergeCell ref="H70:I70"/>
    <mergeCell ref="J70:R70"/>
    <mergeCell ref="J69:R69"/>
    <mergeCell ref="B69:D69"/>
    <mergeCell ref="E69:G69"/>
    <mergeCell ref="B25:D25"/>
    <mergeCell ref="E25:G25"/>
    <mergeCell ref="H25:I25"/>
    <mergeCell ref="J25:R25"/>
    <mergeCell ref="B26:D26"/>
    <mergeCell ref="B98:D98"/>
    <mergeCell ref="E98:G98"/>
    <mergeCell ref="H98:I98"/>
    <mergeCell ref="J98:R98"/>
    <mergeCell ref="E84:G84"/>
    <mergeCell ref="H84:I84"/>
    <mergeCell ref="J84:R84"/>
    <mergeCell ref="B85:D85"/>
    <mergeCell ref="E85:G85"/>
    <mergeCell ref="H85:I85"/>
    <mergeCell ref="J85:R85"/>
    <mergeCell ref="B86:D86"/>
    <mergeCell ref="E86:G86"/>
    <mergeCell ref="H86:I86"/>
    <mergeCell ref="J86:R86"/>
    <mergeCell ref="B77:D77"/>
    <mergeCell ref="E77:G77"/>
    <mergeCell ref="H77:I77"/>
    <mergeCell ref="J77:R77"/>
    <mergeCell ref="T98:AA98"/>
    <mergeCell ref="B96:D96"/>
    <mergeCell ref="E96:G96"/>
    <mergeCell ref="AC63:AE63"/>
    <mergeCell ref="B79:D79"/>
    <mergeCell ref="E79:G79"/>
    <mergeCell ref="H79:I79"/>
    <mergeCell ref="J79:R79"/>
    <mergeCell ref="T79:AA79"/>
    <mergeCell ref="AC79:AE79"/>
    <mergeCell ref="T70:AA70"/>
    <mergeCell ref="T68:AA68"/>
    <mergeCell ref="B76:D76"/>
    <mergeCell ref="E76:G76"/>
    <mergeCell ref="H76:I76"/>
    <mergeCell ref="J76:R76"/>
    <mergeCell ref="T76:AA76"/>
    <mergeCell ref="AC76:AE76"/>
    <mergeCell ref="B75:D75"/>
    <mergeCell ref="E75:G75"/>
    <mergeCell ref="T94:AA94"/>
    <mergeCell ref="T93:AA93"/>
    <mergeCell ref="J91:R91"/>
    <mergeCell ref="B84:D84"/>
    <mergeCell ref="T165:AA165"/>
    <mergeCell ref="T164:AA164"/>
    <mergeCell ref="T163:AA163"/>
    <mergeCell ref="T162:AA162"/>
    <mergeCell ref="T161:AA161"/>
    <mergeCell ref="T160:AA160"/>
    <mergeCell ref="T159:AA159"/>
    <mergeCell ref="T158:AA158"/>
    <mergeCell ref="T157:AA157"/>
    <mergeCell ref="T9:AA9"/>
    <mergeCell ref="B10:D10"/>
    <mergeCell ref="E10:G10"/>
    <mergeCell ref="H10:I10"/>
    <mergeCell ref="J10:R10"/>
    <mergeCell ref="T10:AA10"/>
    <mergeCell ref="B11:D11"/>
    <mergeCell ref="E11:G11"/>
    <mergeCell ref="H11:I11"/>
    <mergeCell ref="J11:R11"/>
    <mergeCell ref="T11:AA11"/>
    <mergeCell ref="B9:D9"/>
    <mergeCell ref="E9:G9"/>
    <mergeCell ref="H9:I9"/>
    <mergeCell ref="J9:S9"/>
    <mergeCell ref="B12:D12"/>
    <mergeCell ref="E12:G12"/>
    <mergeCell ref="H12:I12"/>
    <mergeCell ref="J12:R12"/>
    <mergeCell ref="B23:D23"/>
    <mergeCell ref="E23:G23"/>
    <mergeCell ref="T32:AA32"/>
    <mergeCell ref="H23:I23"/>
    <mergeCell ref="J23:S23"/>
    <mergeCell ref="B24:D24"/>
    <mergeCell ref="E24:G24"/>
    <mergeCell ref="H24:I24"/>
    <mergeCell ref="J24:R24"/>
    <mergeCell ref="B13:D13"/>
    <mergeCell ref="E13:G13"/>
    <mergeCell ref="H13:I13"/>
    <mergeCell ref="J13:R13"/>
    <mergeCell ref="B16:D16"/>
    <mergeCell ref="E16:G16"/>
    <mergeCell ref="H16:I16"/>
    <mergeCell ref="J16:R16"/>
    <mergeCell ref="B17:D17"/>
    <mergeCell ref="B20:D20"/>
    <mergeCell ref="E20:G20"/>
    <mergeCell ref="H20:I20"/>
    <mergeCell ref="J20:R20"/>
    <mergeCell ref="B14:D14"/>
    <mergeCell ref="E14:G14"/>
    <mergeCell ref="H14:I14"/>
    <mergeCell ref="J14:R14"/>
    <mergeCell ref="E17:G17"/>
    <mergeCell ref="B165:D165"/>
    <mergeCell ref="E165:G165"/>
    <mergeCell ref="H165:I165"/>
    <mergeCell ref="J165:R165"/>
    <mergeCell ref="B163:D163"/>
    <mergeCell ref="E163:G163"/>
    <mergeCell ref="H163:I163"/>
    <mergeCell ref="J163:R163"/>
    <mergeCell ref="B164:D164"/>
    <mergeCell ref="E164:G164"/>
    <mergeCell ref="H164:I164"/>
    <mergeCell ref="J164:R164"/>
    <mergeCell ref="B162:D162"/>
    <mergeCell ref="E162:G162"/>
    <mergeCell ref="H162:I162"/>
    <mergeCell ref="J162:R162"/>
    <mergeCell ref="B159:D159"/>
    <mergeCell ref="E159:G159"/>
    <mergeCell ref="H159:I159"/>
    <mergeCell ref="J159:R159"/>
    <mergeCell ref="B160:D160"/>
    <mergeCell ref="E160:G160"/>
    <mergeCell ref="H160:I160"/>
    <mergeCell ref="J160:R160"/>
    <mergeCell ref="B161:D161"/>
    <mergeCell ref="E161:G161"/>
    <mergeCell ref="H161:I161"/>
    <mergeCell ref="J161:R161"/>
    <mergeCell ref="B157:D157"/>
    <mergeCell ref="E157:G157"/>
    <mergeCell ref="H157:I157"/>
    <mergeCell ref="J157:R157"/>
    <mergeCell ref="B158:D158"/>
    <mergeCell ref="E158:G158"/>
    <mergeCell ref="H158:I158"/>
    <mergeCell ref="J158:R158"/>
    <mergeCell ref="B156:D156"/>
    <mergeCell ref="E156:G156"/>
    <mergeCell ref="H156:I156"/>
    <mergeCell ref="J156:R156"/>
    <mergeCell ref="AC156:AE156"/>
    <mergeCell ref="B155:D155"/>
    <mergeCell ref="E155:G155"/>
    <mergeCell ref="H155:I155"/>
    <mergeCell ref="J155:R155"/>
    <mergeCell ref="T155:AA155"/>
    <mergeCell ref="AC155:AE155"/>
    <mergeCell ref="B154:D154"/>
    <mergeCell ref="E154:G154"/>
    <mergeCell ref="H154:I154"/>
    <mergeCell ref="J154:R154"/>
    <mergeCell ref="T154:AA154"/>
    <mergeCell ref="AC154:AE154"/>
    <mergeCell ref="T156:AA156"/>
    <mergeCell ref="E153:G153"/>
    <mergeCell ref="E149:G149"/>
    <mergeCell ref="H149:I149"/>
    <mergeCell ref="J149:R149"/>
    <mergeCell ref="B146:D146"/>
    <mergeCell ref="E146:G146"/>
    <mergeCell ref="H146:I146"/>
    <mergeCell ref="J146:R146"/>
    <mergeCell ref="T146:AA146"/>
    <mergeCell ref="T152:AA152"/>
    <mergeCell ref="T153:AA153"/>
    <mergeCell ref="T151:AA151"/>
    <mergeCell ref="T150:AA150"/>
    <mergeCell ref="H153:I153"/>
    <mergeCell ref="J153:R153"/>
    <mergeCell ref="B152:D152"/>
    <mergeCell ref="E152:G152"/>
    <mergeCell ref="H152:I152"/>
    <mergeCell ref="B150:D150"/>
    <mergeCell ref="E150:G150"/>
    <mergeCell ref="H150:I150"/>
    <mergeCell ref="J150:R150"/>
    <mergeCell ref="J152:R152"/>
    <mergeCell ref="B151:D151"/>
    <mergeCell ref="AC146:AE146"/>
    <mergeCell ref="B148:D148"/>
    <mergeCell ref="E148:G148"/>
    <mergeCell ref="H148:I148"/>
    <mergeCell ref="J148:R148"/>
    <mergeCell ref="B149:D149"/>
    <mergeCell ref="B147:D147"/>
    <mergeCell ref="E147:G147"/>
    <mergeCell ref="H147:I147"/>
    <mergeCell ref="J147:R147"/>
    <mergeCell ref="T147:AA147"/>
    <mergeCell ref="B145:D145"/>
    <mergeCell ref="E145:G145"/>
    <mergeCell ref="H145:I145"/>
    <mergeCell ref="J145:R145"/>
    <mergeCell ref="T145:AA145"/>
    <mergeCell ref="AC145:AE145"/>
    <mergeCell ref="B144:D144"/>
    <mergeCell ref="E144:G144"/>
    <mergeCell ref="H144:I144"/>
    <mergeCell ref="J144:R144"/>
    <mergeCell ref="T144:AA144"/>
    <mergeCell ref="AC144:AE144"/>
    <mergeCell ref="AC141:AE141"/>
    <mergeCell ref="AC140:AE140"/>
    <mergeCell ref="AC139:AE139"/>
    <mergeCell ref="B140:D140"/>
    <mergeCell ref="E140:G140"/>
    <mergeCell ref="H140:I140"/>
    <mergeCell ref="J140:R140"/>
    <mergeCell ref="T140:AA140"/>
    <mergeCell ref="B139:D139"/>
    <mergeCell ref="B141:D141"/>
    <mergeCell ref="E141:G141"/>
    <mergeCell ref="H141:I141"/>
    <mergeCell ref="J141:R141"/>
    <mergeCell ref="T141:AA141"/>
    <mergeCell ref="B143:D143"/>
    <mergeCell ref="E143:G143"/>
    <mergeCell ref="H143:I143"/>
    <mergeCell ref="J143:R143"/>
    <mergeCell ref="T143:AA143"/>
    <mergeCell ref="AC143:AE143"/>
    <mergeCell ref="B142:D142"/>
    <mergeCell ref="E142:G142"/>
    <mergeCell ref="H142:I142"/>
    <mergeCell ref="J142:R142"/>
    <mergeCell ref="T142:AA142"/>
    <mergeCell ref="AC142:AE142"/>
    <mergeCell ref="AC138:AE138"/>
    <mergeCell ref="B137:D137"/>
    <mergeCell ref="E137:G137"/>
    <mergeCell ref="H137:I137"/>
    <mergeCell ref="J137:R137"/>
    <mergeCell ref="T137:AA137"/>
    <mergeCell ref="AC137:AE137"/>
    <mergeCell ref="J139:R139"/>
    <mergeCell ref="T139:AA139"/>
    <mergeCell ref="E139:G139"/>
    <mergeCell ref="H139:I139"/>
    <mergeCell ref="B138:D138"/>
    <mergeCell ref="E138:G138"/>
    <mergeCell ref="H138:I138"/>
    <mergeCell ref="J138:R138"/>
    <mergeCell ref="T138:AA138"/>
    <mergeCell ref="H136:I136"/>
    <mergeCell ref="J136:R136"/>
    <mergeCell ref="T136:AA136"/>
    <mergeCell ref="AC136:AE136"/>
    <mergeCell ref="B134:D134"/>
    <mergeCell ref="E134:G134"/>
    <mergeCell ref="H134:I134"/>
    <mergeCell ref="J134:R134"/>
    <mergeCell ref="T134:AA134"/>
    <mergeCell ref="AC134:AE134"/>
    <mergeCell ref="B135:D135"/>
    <mergeCell ref="E135:G135"/>
    <mergeCell ref="H135:I135"/>
    <mergeCell ref="J135:R135"/>
    <mergeCell ref="T135:AA135"/>
    <mergeCell ref="AC135:AE135"/>
    <mergeCell ref="B136:D136"/>
    <mergeCell ref="E136:G136"/>
    <mergeCell ref="B133:D133"/>
    <mergeCell ref="E133:G133"/>
    <mergeCell ref="H133:I133"/>
    <mergeCell ref="J133:R133"/>
    <mergeCell ref="T133:AA133"/>
    <mergeCell ref="AC133:AE133"/>
    <mergeCell ref="B132:D132"/>
    <mergeCell ref="E132:G132"/>
    <mergeCell ref="H132:I132"/>
    <mergeCell ref="J132:R132"/>
    <mergeCell ref="T132:AA132"/>
    <mergeCell ref="AC132:AE132"/>
    <mergeCell ref="AC130:AE130"/>
    <mergeCell ref="B131:D131"/>
    <mergeCell ref="E131:G131"/>
    <mergeCell ref="H131:I131"/>
    <mergeCell ref="J131:R131"/>
    <mergeCell ref="T131:AA131"/>
    <mergeCell ref="B129:D129"/>
    <mergeCell ref="E129:G129"/>
    <mergeCell ref="H129:I129"/>
    <mergeCell ref="J129:R129"/>
    <mergeCell ref="B130:D130"/>
    <mergeCell ref="E130:G130"/>
    <mergeCell ref="H130:I130"/>
    <mergeCell ref="J130:R130"/>
    <mergeCell ref="T130:AA130"/>
    <mergeCell ref="T129:AA129"/>
    <mergeCell ref="B127:D127"/>
    <mergeCell ref="E127:G127"/>
    <mergeCell ref="H127:I127"/>
    <mergeCell ref="AC113:AE113"/>
    <mergeCell ref="B112:D112"/>
    <mergeCell ref="E112:G112"/>
    <mergeCell ref="H112:I112"/>
    <mergeCell ref="J112:R112"/>
    <mergeCell ref="T112:AA112"/>
    <mergeCell ref="AC112:AE112"/>
    <mergeCell ref="B115:D115"/>
    <mergeCell ref="E115:G115"/>
    <mergeCell ref="H115:I115"/>
    <mergeCell ref="J115:R115"/>
    <mergeCell ref="T115:AA115"/>
    <mergeCell ref="AC115:AE115"/>
    <mergeCell ref="B114:D114"/>
    <mergeCell ref="E114:G114"/>
    <mergeCell ref="H114:I114"/>
    <mergeCell ref="J114:R114"/>
    <mergeCell ref="T114:AA114"/>
    <mergeCell ref="AC114:AE114"/>
    <mergeCell ref="B113:D113"/>
    <mergeCell ref="E113:G113"/>
    <mergeCell ref="T113:AA113"/>
    <mergeCell ref="AC108:AE108"/>
    <mergeCell ref="B110:D110"/>
    <mergeCell ref="E110:G110"/>
    <mergeCell ref="H110:I110"/>
    <mergeCell ref="J110:R110"/>
    <mergeCell ref="T110:AA110"/>
    <mergeCell ref="AC110:AE110"/>
    <mergeCell ref="B111:D111"/>
    <mergeCell ref="E111:G111"/>
    <mergeCell ref="H111:I111"/>
    <mergeCell ref="J111:R111"/>
    <mergeCell ref="T111:AA111"/>
    <mergeCell ref="AC111:AE111"/>
    <mergeCell ref="H108:I108"/>
    <mergeCell ref="J108:R108"/>
    <mergeCell ref="T108:AA108"/>
    <mergeCell ref="B109:D109"/>
    <mergeCell ref="E109:G109"/>
    <mergeCell ref="H109:I109"/>
    <mergeCell ref="J109:R109"/>
    <mergeCell ref="T109:AA109"/>
    <mergeCell ref="AC109:AE109"/>
    <mergeCell ref="B108:D108"/>
    <mergeCell ref="AC105:AE105"/>
    <mergeCell ref="B107:D107"/>
    <mergeCell ref="E107:G107"/>
    <mergeCell ref="H107:I107"/>
    <mergeCell ref="J107:R107"/>
    <mergeCell ref="T107:AA107"/>
    <mergeCell ref="AC107:AE107"/>
    <mergeCell ref="B106:D106"/>
    <mergeCell ref="E106:G106"/>
    <mergeCell ref="H106:I106"/>
    <mergeCell ref="J106:R106"/>
    <mergeCell ref="T106:AA106"/>
    <mergeCell ref="AC106:AE106"/>
    <mergeCell ref="H105:I105"/>
    <mergeCell ref="J105:R105"/>
    <mergeCell ref="T105:AA105"/>
    <mergeCell ref="AC101:AE101"/>
    <mergeCell ref="B100:D100"/>
    <mergeCell ref="E100:G100"/>
    <mergeCell ref="H100:I100"/>
    <mergeCell ref="J100:R100"/>
    <mergeCell ref="T100:AA100"/>
    <mergeCell ref="B104:D104"/>
    <mergeCell ref="E104:G104"/>
    <mergeCell ref="H104:I104"/>
    <mergeCell ref="J104:R104"/>
    <mergeCell ref="T104:AA104"/>
    <mergeCell ref="AC104:AE104"/>
    <mergeCell ref="B103:D103"/>
    <mergeCell ref="E102:G102"/>
    <mergeCell ref="H102:I102"/>
    <mergeCell ref="J102:R102"/>
    <mergeCell ref="T102:AA102"/>
    <mergeCell ref="AC102:AE102"/>
    <mergeCell ref="AC103:AE103"/>
    <mergeCell ref="E101:G101"/>
    <mergeCell ref="H101:I101"/>
    <mergeCell ref="T101:AA101"/>
    <mergeCell ref="J101:R101"/>
    <mergeCell ref="AC80:AE80"/>
    <mergeCell ref="AC83:AE83"/>
    <mergeCell ref="B82:D82"/>
    <mergeCell ref="E82:G82"/>
    <mergeCell ref="H82:I82"/>
    <mergeCell ref="J82:R82"/>
    <mergeCell ref="T82:AA82"/>
    <mergeCell ref="AC82:AE82"/>
    <mergeCell ref="T83:AA83"/>
    <mergeCell ref="B81:D81"/>
    <mergeCell ref="E81:G81"/>
    <mergeCell ref="H81:I81"/>
    <mergeCell ref="J81:R81"/>
    <mergeCell ref="T81:AA81"/>
    <mergeCell ref="AC81:AE81"/>
    <mergeCell ref="J83:R83"/>
    <mergeCell ref="B83:D83"/>
    <mergeCell ref="E83:G83"/>
    <mergeCell ref="H83:I83"/>
    <mergeCell ref="B80:D80"/>
    <mergeCell ref="E80:G80"/>
    <mergeCell ref="H80:I80"/>
    <mergeCell ref="J80:R80"/>
    <mergeCell ref="T80:AA80"/>
    <mergeCell ref="AC77:AE77"/>
    <mergeCell ref="J75:R75"/>
    <mergeCell ref="T75:AA75"/>
    <mergeCell ref="AC75:AE75"/>
    <mergeCell ref="H75:I75"/>
    <mergeCell ref="B74:D74"/>
    <mergeCell ref="E74:G74"/>
    <mergeCell ref="H74:I74"/>
    <mergeCell ref="J74:R74"/>
    <mergeCell ref="T74:AA74"/>
    <mergeCell ref="AC74:AE74"/>
    <mergeCell ref="AC73:AE73"/>
    <mergeCell ref="AC71:AE71"/>
    <mergeCell ref="B72:D72"/>
    <mergeCell ref="E72:G72"/>
    <mergeCell ref="H72:I72"/>
    <mergeCell ref="J72:R72"/>
    <mergeCell ref="T72:AA72"/>
    <mergeCell ref="AC72:AE72"/>
    <mergeCell ref="B71:D71"/>
    <mergeCell ref="E71:G71"/>
    <mergeCell ref="H71:I71"/>
    <mergeCell ref="J71:R71"/>
    <mergeCell ref="H69:I69"/>
    <mergeCell ref="B65:D65"/>
    <mergeCell ref="E65:G65"/>
    <mergeCell ref="H65:I65"/>
    <mergeCell ref="J65:R65"/>
    <mergeCell ref="T65:AA65"/>
    <mergeCell ref="AC65:AE65"/>
    <mergeCell ref="T67:AA67"/>
    <mergeCell ref="B64:D64"/>
    <mergeCell ref="E64:G64"/>
    <mergeCell ref="H64:I64"/>
    <mergeCell ref="J64:R64"/>
    <mergeCell ref="T64:AA64"/>
    <mergeCell ref="AC64:AE64"/>
    <mergeCell ref="B67:D67"/>
    <mergeCell ref="E67:G67"/>
    <mergeCell ref="H67:I67"/>
    <mergeCell ref="J67:R67"/>
    <mergeCell ref="AC67:AE67"/>
    <mergeCell ref="B66:D66"/>
    <mergeCell ref="E66:G66"/>
    <mergeCell ref="H66:I66"/>
    <mergeCell ref="J66:R66"/>
    <mergeCell ref="T66:AA66"/>
    <mergeCell ref="AC66:AE66"/>
    <mergeCell ref="B62:D62"/>
    <mergeCell ref="E62:G62"/>
    <mergeCell ref="H62:I62"/>
    <mergeCell ref="J62:R62"/>
    <mergeCell ref="T62:AA62"/>
    <mergeCell ref="AC62:AE62"/>
    <mergeCell ref="B61:D61"/>
    <mergeCell ref="E61:G61"/>
    <mergeCell ref="H61:I61"/>
    <mergeCell ref="J61:R61"/>
    <mergeCell ref="T61:AA61"/>
    <mergeCell ref="AC61:AE61"/>
    <mergeCell ref="J63:R63"/>
    <mergeCell ref="B63:D63"/>
    <mergeCell ref="E63:G63"/>
    <mergeCell ref="H63:I63"/>
    <mergeCell ref="E60:G60"/>
    <mergeCell ref="H60:I60"/>
    <mergeCell ref="J60:R60"/>
    <mergeCell ref="T60:AA60"/>
    <mergeCell ref="AC60:AE60"/>
    <mergeCell ref="B59:D59"/>
    <mergeCell ref="E59:G59"/>
    <mergeCell ref="H59:I59"/>
    <mergeCell ref="J59:R59"/>
    <mergeCell ref="T59:AA59"/>
    <mergeCell ref="AC59:AE59"/>
    <mergeCell ref="J51:R51"/>
    <mergeCell ref="B54:D54"/>
    <mergeCell ref="E54:G54"/>
    <mergeCell ref="H54:I54"/>
    <mergeCell ref="J54:R54"/>
    <mergeCell ref="H52:I52"/>
    <mergeCell ref="J52:R52"/>
    <mergeCell ref="B53:D53"/>
    <mergeCell ref="E53:G53"/>
    <mergeCell ref="H53:I53"/>
    <mergeCell ref="J53:R53"/>
    <mergeCell ref="B52:D52"/>
    <mergeCell ref="E52:G52"/>
    <mergeCell ref="B128:D128"/>
    <mergeCell ref="E118:G118"/>
    <mergeCell ref="B7:D7"/>
    <mergeCell ref="E7:H7"/>
    <mergeCell ref="J7:M7"/>
    <mergeCell ref="N7:Q7"/>
    <mergeCell ref="S7:V7"/>
    <mergeCell ref="W7:AA7"/>
    <mergeCell ref="AH2:AR2"/>
    <mergeCell ref="B3:P3"/>
    <mergeCell ref="R3:AA3"/>
    <mergeCell ref="AH3:AR6"/>
    <mergeCell ref="B4:P4"/>
    <mergeCell ref="R4:AA4"/>
    <mergeCell ref="B5:P5"/>
    <mergeCell ref="R5:AA5"/>
    <mergeCell ref="H49:I49"/>
    <mergeCell ref="J49:R49"/>
    <mergeCell ref="B50:D50"/>
    <mergeCell ref="E50:G50"/>
    <mergeCell ref="H50:I50"/>
    <mergeCell ref="J50:R50"/>
    <mergeCell ref="B47:D47"/>
    <mergeCell ref="E47:G47"/>
    <mergeCell ref="B126:D126"/>
    <mergeCell ref="E126:G126"/>
    <mergeCell ref="H126:I126"/>
    <mergeCell ref="J126:R126"/>
    <mergeCell ref="B101:D101"/>
    <mergeCell ref="B121:D121"/>
    <mergeCell ref="E121:G121"/>
    <mergeCell ref="H121:I121"/>
    <mergeCell ref="J121:R121"/>
    <mergeCell ref="B123:D123"/>
    <mergeCell ref="E123:G123"/>
    <mergeCell ref="H123:I123"/>
    <mergeCell ref="J123:S123"/>
    <mergeCell ref="E119:G119"/>
    <mergeCell ref="H119:I119"/>
    <mergeCell ref="J119:R119"/>
    <mergeCell ref="B116:D116"/>
    <mergeCell ref="E116:G116"/>
    <mergeCell ref="H116:I116"/>
    <mergeCell ref="J116:R116"/>
    <mergeCell ref="B118:D118"/>
    <mergeCell ref="E120:G120"/>
    <mergeCell ref="H120:I120"/>
    <mergeCell ref="J120:R120"/>
    <mergeCell ref="E128:G128"/>
    <mergeCell ref="H128:I128"/>
    <mergeCell ref="J118:R118"/>
    <mergeCell ref="B119:D119"/>
    <mergeCell ref="B18:D18"/>
    <mergeCell ref="E18:G18"/>
    <mergeCell ref="H18:I18"/>
    <mergeCell ref="J18:R18"/>
    <mergeCell ref="J26:R26"/>
    <mergeCell ref="B27:D27"/>
    <mergeCell ref="E27:G27"/>
    <mergeCell ref="H27:I27"/>
    <mergeCell ref="J27:R27"/>
    <mergeCell ref="B99:D99"/>
    <mergeCell ref="E99:G99"/>
    <mergeCell ref="H99:I99"/>
    <mergeCell ref="J99:R99"/>
    <mergeCell ref="B117:D117"/>
    <mergeCell ref="E117:G117"/>
    <mergeCell ref="H117:I117"/>
    <mergeCell ref="J117:R117"/>
    <mergeCell ref="J128:R128"/>
    <mergeCell ref="B105:D105"/>
    <mergeCell ref="E105:G105"/>
    <mergeCell ref="AC78:AE78"/>
    <mergeCell ref="B78:D78"/>
    <mergeCell ref="E78:G78"/>
    <mergeCell ref="H78:I78"/>
    <mergeCell ref="J78:R78"/>
    <mergeCell ref="T78:AA78"/>
    <mergeCell ref="AC54:AE54"/>
    <mergeCell ref="B56:D56"/>
    <mergeCell ref="E56:G56"/>
    <mergeCell ref="H56:I56"/>
    <mergeCell ref="J56:R56"/>
    <mergeCell ref="B58:D58"/>
    <mergeCell ref="E58:G58"/>
    <mergeCell ref="H58:I58"/>
    <mergeCell ref="J58:R58"/>
    <mergeCell ref="T58:AA58"/>
    <mergeCell ref="AC58:AE58"/>
    <mergeCell ref="B57:D57"/>
    <mergeCell ref="E57:G57"/>
    <mergeCell ref="H57:I57"/>
    <mergeCell ref="J57:R57"/>
    <mergeCell ref="T57:AA57"/>
    <mergeCell ref="AC57:AE57"/>
    <mergeCell ref="B60:D60"/>
    <mergeCell ref="AC52:AE52"/>
    <mergeCell ref="AC56:AE56"/>
    <mergeCell ref="B55:D55"/>
    <mergeCell ref="E55:G55"/>
    <mergeCell ref="H55:I55"/>
    <mergeCell ref="J55:R55"/>
    <mergeCell ref="T55:AA55"/>
    <mergeCell ref="AC55:AE55"/>
    <mergeCell ref="B37:D37"/>
    <mergeCell ref="E37:G37"/>
    <mergeCell ref="H37:I37"/>
    <mergeCell ref="J37:R37"/>
    <mergeCell ref="T37:AA37"/>
    <mergeCell ref="H47:I47"/>
    <mergeCell ref="J47:S47"/>
    <mergeCell ref="B48:D48"/>
    <mergeCell ref="E48:G48"/>
    <mergeCell ref="H48:I48"/>
    <mergeCell ref="J48:R48"/>
    <mergeCell ref="B49:D49"/>
    <mergeCell ref="E49:G49"/>
    <mergeCell ref="B51:D51"/>
    <mergeCell ref="E51:G51"/>
    <mergeCell ref="H51:I51"/>
  </mergeCells>
  <conditionalFormatting sqref="B92:AA93 E131:I131 AG93 B156:AA157 B159:AA161 B163:AA165 S131:AA132 E132:R132 J62:AA62 B89:AA90 H120:I120 B119:AA119 E128:AA128 B16:AA16 E62:H62 S100:AA101 T151:AA151 B151:I151 E53:AA61 B11:AA13 B23:AA24 B47:AA51 B67:AA69 E106:AA114 E104:AA104 E133:AA145 B123:AA125 B146:AA146 B83:AA85 B95:AA95 B20:AA21 S35 E63:AA66 B52:D66 E73:AA82 B72:D82 B100:I101 B103:D114 B102:AA102 B115:AA117 B121:AA121 B130:D145 B148:AA148 B150:AA150 S37">
    <cfRule type="expression" dxfId="3540" priority="3466">
      <formula>OR($J11="Breakfast", $J11="Lunch", $J11="Dinner")</formula>
    </cfRule>
    <cfRule type="expression" dxfId="3539" priority="3467">
      <formula>SEARCH("Meeting",$J11)</formula>
    </cfRule>
    <cfRule type="expression" dxfId="3538" priority="3468">
      <formula>SEARCH(" PM",$J11)</formula>
    </cfRule>
    <cfRule type="expression" dxfId="3537" priority="3469">
      <formula>SEARCH("DB",$J11)</formula>
    </cfRule>
    <cfRule type="expression" dxfId="3536" priority="3470">
      <formula>SEARCH("Driver Arrival",$J11)</formula>
    </cfRule>
    <cfRule type="expression" dxfId="3535" priority="3471">
      <formula>SEARCH("Qualifying",$J11)</formula>
    </cfRule>
    <cfRule type="expression" dxfId="3534" priority="3472">
      <formula>SEARCH("Race",$J11)</formula>
    </cfRule>
    <cfRule type="expression" dxfId="3533" priority="3473">
      <formula>SEARCH("Practice Session",$J11)</formula>
    </cfRule>
    <cfRule type="expression" dxfId="3532" priority="3474">
      <formula>SEARCH("Press",$J11)</formula>
    </cfRule>
    <cfRule type="expression" dxfId="3531" priority="3475">
      <formula>SEARCH("Picture",$J11)</formula>
    </cfRule>
    <cfRule type="expression" dxfId="3530" priority="3476">
      <formula>SEARCH("Media",$J11)</formula>
    </cfRule>
    <cfRule type="expression" dxfId="3529" priority="3477">
      <formula>SEARCH("Interview",$J11)</formula>
    </cfRule>
    <cfRule type="expression" dxfId="3528" priority="3478">
      <formula>SEARCH("Team Principal",$J11)</formula>
    </cfRule>
    <cfRule type="expression" dxfId="3527" priority="3479">
      <formula>SEARCH("Briefing",$J11)</formula>
    </cfRule>
    <cfRule type="expression" dxfId="3526" priority="3480">
      <formula>SEARCH("Sign on",$J11)</formula>
    </cfRule>
  </conditionalFormatting>
  <conditionalFormatting sqref="B91:S91">
    <cfRule type="expression" dxfId="3525" priority="3376">
      <formula>OR($J91="Breakfast", $J91="Lunch", $J91="Dinner")</formula>
    </cfRule>
    <cfRule type="expression" dxfId="3524" priority="3377">
      <formula>SEARCH("Meeting",$J91)</formula>
    </cfRule>
    <cfRule type="expression" dxfId="3523" priority="3378">
      <formula>SEARCH(" PM",$J91)</formula>
    </cfRule>
    <cfRule type="expression" dxfId="3522" priority="3379">
      <formula>SEARCH("DB",$J91)</formula>
    </cfRule>
    <cfRule type="expression" dxfId="3521" priority="3380">
      <formula>SEARCH("Driver Arrival",$J91)</formula>
    </cfRule>
    <cfRule type="expression" dxfId="3520" priority="3381">
      <formula>SEARCH("Qualifying",$J91)</formula>
    </cfRule>
    <cfRule type="expression" dxfId="3519" priority="3382">
      <formula>SEARCH("Race",$J91)</formula>
    </cfRule>
    <cfRule type="expression" dxfId="3518" priority="3383">
      <formula>SEARCH("Practice Session",$J91)</formula>
    </cfRule>
    <cfRule type="expression" dxfId="3517" priority="3384">
      <formula>SEARCH("Press",$J91)</formula>
    </cfRule>
    <cfRule type="expression" dxfId="3516" priority="3385">
      <formula>SEARCH("Picture",$J91)</formula>
    </cfRule>
    <cfRule type="expression" dxfId="3515" priority="3386">
      <formula>SEARCH("Media",$J91)</formula>
    </cfRule>
    <cfRule type="expression" dxfId="3514" priority="3387">
      <formula>SEARCH("Interview",$J91)</formula>
    </cfRule>
    <cfRule type="expression" dxfId="3513" priority="3388">
      <formula>SEARCH("Team Principal",$J91)</formula>
    </cfRule>
    <cfRule type="expression" dxfId="3512" priority="3389">
      <formula>SEARCH("Briefing",$J91)</formula>
    </cfRule>
    <cfRule type="expression" dxfId="3511" priority="3390">
      <formula>SEARCH("Sign on",$J91)</formula>
    </cfRule>
  </conditionalFormatting>
  <conditionalFormatting sqref="T91:AA91">
    <cfRule type="expression" dxfId="3510" priority="3361">
      <formula>OR($J91="Breakfast", $J91="Lunch", $J91="Dinner")</formula>
    </cfRule>
    <cfRule type="expression" dxfId="3509" priority="3362">
      <formula>SEARCH("Meeting",$J91)</formula>
    </cfRule>
    <cfRule type="expression" dxfId="3508" priority="3363">
      <formula>SEARCH(" PM",$J91)</formula>
    </cfRule>
    <cfRule type="expression" dxfId="3507" priority="3364">
      <formula>SEARCH("DB",$J91)</formula>
    </cfRule>
    <cfRule type="expression" dxfId="3506" priority="3365">
      <formula>SEARCH("Driver Arrival",$J91)</formula>
    </cfRule>
    <cfRule type="expression" dxfId="3505" priority="3366">
      <formula>SEARCH("Qualifying",$J91)</formula>
    </cfRule>
    <cfRule type="expression" dxfId="3504" priority="3367">
      <formula>SEARCH("Race",$J91)</formula>
    </cfRule>
    <cfRule type="expression" dxfId="3503" priority="3368">
      <formula>SEARCH("Practice Session",$J91)</formula>
    </cfRule>
    <cfRule type="expression" dxfId="3502" priority="3369">
      <formula>SEARCH("Press",$J91)</formula>
    </cfRule>
    <cfRule type="expression" dxfId="3501" priority="3370">
      <formula>SEARCH("Picture",$J91)</formula>
    </cfRule>
    <cfRule type="expression" dxfId="3500" priority="3371">
      <formula>SEARCH("Media",$J91)</formula>
    </cfRule>
    <cfRule type="expression" dxfId="3499" priority="3372">
      <formula>SEARCH("Interview",$J91)</formula>
    </cfRule>
    <cfRule type="expression" dxfId="3498" priority="3373">
      <formula>SEARCH("Team Principal",$J91)</formula>
    </cfRule>
    <cfRule type="expression" dxfId="3497" priority="3374">
      <formula>SEARCH("Briefing",$J91)</formula>
    </cfRule>
    <cfRule type="expression" dxfId="3496" priority="3375">
      <formula>SEARCH("Sign on",$J91)</formula>
    </cfRule>
  </conditionalFormatting>
  <conditionalFormatting sqref="J101:R101">
    <cfRule type="expression" dxfId="3495" priority="3346">
      <formula>OR($J101="Breakfast", $J101="Lunch", $J101="Dinner")</formula>
    </cfRule>
    <cfRule type="expression" dxfId="3494" priority="3347">
      <formula>SEARCH("Meeting",$J101)</formula>
    </cfRule>
    <cfRule type="expression" dxfId="3493" priority="3348">
      <formula>SEARCH(" PM",$J101)</formula>
    </cfRule>
    <cfRule type="expression" dxfId="3492" priority="3349">
      <formula>SEARCH("DB",$J101)</formula>
    </cfRule>
    <cfRule type="expression" dxfId="3491" priority="3350">
      <formula>SEARCH("Driver Arrival",$J101)</formula>
    </cfRule>
    <cfRule type="expression" dxfId="3490" priority="3351">
      <formula>SEARCH("Qualifying",$J101)</formula>
    </cfRule>
    <cfRule type="expression" dxfId="3489" priority="3352">
      <formula>SEARCH("Race",$J101)</formula>
    </cfRule>
    <cfRule type="expression" dxfId="3488" priority="3353">
      <formula>SEARCH("Practice Session",$J101)</formula>
    </cfRule>
    <cfRule type="expression" dxfId="3487" priority="3354">
      <formula>SEARCH("Press",$J101)</formula>
    </cfRule>
    <cfRule type="expression" dxfId="3486" priority="3355">
      <formula>SEARCH("Picture",$J101)</formula>
    </cfRule>
    <cfRule type="expression" dxfId="3485" priority="3356">
      <formula>SEARCH("Media",$J101)</formula>
    </cfRule>
    <cfRule type="expression" dxfId="3484" priority="3357">
      <formula>SEARCH("Interview",$J101)</formula>
    </cfRule>
    <cfRule type="expression" dxfId="3483" priority="3358">
      <formula>SEARCH("Team Principal",$J101)</formula>
    </cfRule>
    <cfRule type="expression" dxfId="3482" priority="3359">
      <formula>SEARCH("Briefing",$J101)</formula>
    </cfRule>
    <cfRule type="expression" dxfId="3481" priority="3360">
      <formula>SEARCH("Sign on",$J101)</formula>
    </cfRule>
  </conditionalFormatting>
  <conditionalFormatting sqref="J131:R131">
    <cfRule type="expression" dxfId="3480" priority="3331">
      <formula>OR($J131="Breakfast", $J131="Lunch", $J131="Dinner")</formula>
    </cfRule>
    <cfRule type="expression" dxfId="3479" priority="3332">
      <formula>SEARCH("Meeting",$J131)</formula>
    </cfRule>
    <cfRule type="expression" dxfId="3478" priority="3333">
      <formula>SEARCH(" PM",$J131)</formula>
    </cfRule>
    <cfRule type="expression" dxfId="3477" priority="3334">
      <formula>SEARCH("DB",$J131)</formula>
    </cfRule>
    <cfRule type="expression" dxfId="3476" priority="3335">
      <formula>SEARCH("Driver Arrival",$J131)</formula>
    </cfRule>
    <cfRule type="expression" dxfId="3475" priority="3336">
      <formula>SEARCH("Qualifying",$J131)</formula>
    </cfRule>
    <cfRule type="expression" dxfId="3474" priority="3337">
      <formula>SEARCH("Race",$J131)</formula>
    </cfRule>
    <cfRule type="expression" dxfId="3473" priority="3338">
      <formula>SEARCH("Practice Session",$J131)</formula>
    </cfRule>
    <cfRule type="expression" dxfId="3472" priority="3339">
      <formula>SEARCH("Press",$J131)</formula>
    </cfRule>
    <cfRule type="expression" dxfId="3471" priority="3340">
      <formula>SEARCH("Picture",$J131)</formula>
    </cfRule>
    <cfRule type="expression" dxfId="3470" priority="3341">
      <formula>SEARCH("Media",$J131)</formula>
    </cfRule>
    <cfRule type="expression" dxfId="3469" priority="3342">
      <formula>SEARCH("Interview",$J131)</formula>
    </cfRule>
    <cfRule type="expression" dxfId="3468" priority="3343">
      <formula>SEARCH("Team Principal",$J131)</formula>
    </cfRule>
    <cfRule type="expression" dxfId="3467" priority="3344">
      <formula>SEARCH("Briefing",$J131)</formula>
    </cfRule>
    <cfRule type="expression" dxfId="3466" priority="3345">
      <formula>SEARCH("Sign on",$J131)</formula>
    </cfRule>
  </conditionalFormatting>
  <conditionalFormatting sqref="B153:AA153">
    <cfRule type="expression" dxfId="3465" priority="3316">
      <formula>OR($J153="Breakfast", $J153="Lunch", $J153="Dinner")</formula>
    </cfRule>
    <cfRule type="expression" dxfId="3464" priority="3317">
      <formula>SEARCH("Meeting",$J153)</formula>
    </cfRule>
    <cfRule type="expression" dxfId="3463" priority="3318">
      <formula>SEARCH(" PM",$J153)</formula>
    </cfRule>
    <cfRule type="expression" dxfId="3462" priority="3319">
      <formula>SEARCH("DB",$J153)</formula>
    </cfRule>
    <cfRule type="expression" dxfId="3461" priority="3320">
      <formula>SEARCH("Driver Arrival",$J153)</formula>
    </cfRule>
    <cfRule type="expression" dxfId="3460" priority="3321">
      <formula>SEARCH("Qualifying",$J153)</formula>
    </cfRule>
    <cfRule type="expression" dxfId="3459" priority="3322">
      <formula>SEARCH("Race",$J153)</formula>
    </cfRule>
    <cfRule type="expression" dxfId="3458" priority="3323">
      <formula>SEARCH("Practice Session",$J153)</formula>
    </cfRule>
    <cfRule type="expression" dxfId="3457" priority="3324">
      <formula>SEARCH("Press",$J153)</formula>
    </cfRule>
    <cfRule type="expression" dxfId="3456" priority="3325">
      <formula>SEARCH("Picture",$J153)</formula>
    </cfRule>
    <cfRule type="expression" dxfId="3455" priority="3326">
      <formula>SEARCH("Media",$J153)</formula>
    </cfRule>
    <cfRule type="expression" dxfId="3454" priority="3327">
      <formula>SEARCH("Interview",$J153)</formula>
    </cfRule>
    <cfRule type="expression" dxfId="3453" priority="3328">
      <formula>SEARCH("Team Principal",$J153)</formula>
    </cfRule>
    <cfRule type="expression" dxfId="3452" priority="3329">
      <formula>SEARCH("Briefing",$J153)</formula>
    </cfRule>
    <cfRule type="expression" dxfId="3451" priority="3330">
      <formula>SEARCH("Sign on",$J153)</formula>
    </cfRule>
  </conditionalFormatting>
  <conditionalFormatting sqref="B94:AA94">
    <cfRule type="expression" dxfId="3450" priority="3301">
      <formula>OR($J94="Breakfast", $J94="Lunch", $J94="Dinner")</formula>
    </cfRule>
    <cfRule type="expression" dxfId="3449" priority="3302">
      <formula>SEARCH("Meeting",$J94)</formula>
    </cfRule>
    <cfRule type="expression" dxfId="3448" priority="3303">
      <formula>SEARCH(" PM",$J94)</formula>
    </cfRule>
    <cfRule type="expression" dxfId="3447" priority="3304">
      <formula>SEARCH("DB",$J94)</formula>
    </cfRule>
    <cfRule type="expression" dxfId="3446" priority="3305">
      <formula>SEARCH("Driver Arrival",$J94)</formula>
    </cfRule>
    <cfRule type="expression" dxfId="3445" priority="3306">
      <formula>SEARCH("Qualifying",$J94)</formula>
    </cfRule>
    <cfRule type="expression" dxfId="3444" priority="3307">
      <formula>SEARCH("Race",$J94)</formula>
    </cfRule>
    <cfRule type="expression" dxfId="3443" priority="3308">
      <formula>SEARCH("Practice Session",$J94)</formula>
    </cfRule>
    <cfRule type="expression" dxfId="3442" priority="3309">
      <formula>SEARCH("Press",$J94)</formula>
    </cfRule>
    <cfRule type="expression" dxfId="3441" priority="3310">
      <formula>SEARCH("Picture",$J94)</formula>
    </cfRule>
    <cfRule type="expression" dxfId="3440" priority="3311">
      <formula>SEARCH("Media",$J94)</formula>
    </cfRule>
    <cfRule type="expression" dxfId="3439" priority="3312">
      <formula>SEARCH("Interview",$J94)</formula>
    </cfRule>
    <cfRule type="expression" dxfId="3438" priority="3313">
      <formula>SEARCH("Team Principal",$J94)</formula>
    </cfRule>
    <cfRule type="expression" dxfId="3437" priority="3314">
      <formula>SEARCH("Briefing",$J94)</formula>
    </cfRule>
    <cfRule type="expression" dxfId="3436" priority="3315">
      <formula>SEARCH("Sign on",$J94)</formula>
    </cfRule>
  </conditionalFormatting>
  <conditionalFormatting sqref="AG24">
    <cfRule type="expression" dxfId="3435" priority="3256">
      <formula>OR($J24="Breakfast", $J24="Lunch", $J24="Dinner")</formula>
    </cfRule>
    <cfRule type="expression" dxfId="3434" priority="3257">
      <formula>SEARCH("Meeting",$J24)</formula>
    </cfRule>
    <cfRule type="expression" dxfId="3433" priority="3258">
      <formula>SEARCH(" PM",$J24)</formula>
    </cfRule>
    <cfRule type="expression" dxfId="3432" priority="3259">
      <formula>SEARCH("DB",$J24)</formula>
    </cfRule>
    <cfRule type="expression" dxfId="3431" priority="3260">
      <formula>SEARCH("Driver Arrival",$J24)</formula>
    </cfRule>
    <cfRule type="expression" dxfId="3430" priority="3261">
      <formula>SEARCH("Qualifying",$J24)</formula>
    </cfRule>
    <cfRule type="expression" dxfId="3429" priority="3262">
      <formula>SEARCH("Race",$J24)</formula>
    </cfRule>
    <cfRule type="expression" dxfId="3428" priority="3263">
      <formula>SEARCH("Practice Session",$J24)</formula>
    </cfRule>
    <cfRule type="expression" dxfId="3427" priority="3264">
      <formula>SEARCH("Press",$J24)</formula>
    </cfRule>
    <cfRule type="expression" dxfId="3426" priority="3265">
      <formula>SEARCH("Picture",$J24)</formula>
    </cfRule>
    <cfRule type="expression" dxfId="3425" priority="3266">
      <formula>SEARCH("Media",$J24)</formula>
    </cfRule>
    <cfRule type="expression" dxfId="3424" priority="3267">
      <formula>SEARCH("Interview",$J24)</formula>
    </cfRule>
    <cfRule type="expression" dxfId="3423" priority="3268">
      <formula>SEARCH("Team Principal",$J24)</formula>
    </cfRule>
    <cfRule type="expression" dxfId="3422" priority="3269">
      <formula>SEARCH("Briefing",$J24)</formula>
    </cfRule>
    <cfRule type="expression" dxfId="3421" priority="3270">
      <formula>SEARCH("Sign on",$J24)</formula>
    </cfRule>
  </conditionalFormatting>
  <conditionalFormatting sqref="AG48">
    <cfRule type="expression" dxfId="3420" priority="3241">
      <formula>OR($J48="Breakfast", $J48="Lunch", $J48="Dinner")</formula>
    </cfRule>
    <cfRule type="expression" dxfId="3419" priority="3242">
      <formula>SEARCH("Meeting",$J48)</formula>
    </cfRule>
    <cfRule type="expression" dxfId="3418" priority="3243">
      <formula>SEARCH(" PM",$J48)</formula>
    </cfRule>
    <cfRule type="expression" dxfId="3417" priority="3244">
      <formula>SEARCH("DB",$J48)</formula>
    </cfRule>
    <cfRule type="expression" dxfId="3416" priority="3245">
      <formula>SEARCH("Driver Arrival",$J48)</formula>
    </cfRule>
    <cfRule type="expression" dxfId="3415" priority="3246">
      <formula>SEARCH("Qualifying",$J48)</formula>
    </cfRule>
    <cfRule type="expression" dxfId="3414" priority="3247">
      <formula>SEARCH("Race",$J48)</formula>
    </cfRule>
    <cfRule type="expression" dxfId="3413" priority="3248">
      <formula>SEARCH("Practice Session",$J48)</formula>
    </cfRule>
    <cfRule type="expression" dxfId="3412" priority="3249">
      <formula>SEARCH("Press",$J48)</formula>
    </cfRule>
    <cfRule type="expression" dxfId="3411" priority="3250">
      <formula>SEARCH("Picture",$J48)</formula>
    </cfRule>
    <cfRule type="expression" dxfId="3410" priority="3251">
      <formula>SEARCH("Media",$J48)</formula>
    </cfRule>
    <cfRule type="expression" dxfId="3409" priority="3252">
      <formula>SEARCH("Interview",$J48)</formula>
    </cfRule>
    <cfRule type="expression" dxfId="3408" priority="3253">
      <formula>SEARCH("Team Principal",$J48)</formula>
    </cfRule>
    <cfRule type="expression" dxfId="3407" priority="3254">
      <formula>SEARCH("Briefing",$J48)</formula>
    </cfRule>
    <cfRule type="expression" dxfId="3406" priority="3255">
      <formula>SEARCH("Sign on",$J48)</formula>
    </cfRule>
  </conditionalFormatting>
  <conditionalFormatting sqref="AG124">
    <cfRule type="expression" dxfId="3405" priority="3226">
      <formula>OR($J124="Breakfast", $J124="Lunch", $J124="Dinner")</formula>
    </cfRule>
    <cfRule type="expression" dxfId="3404" priority="3227">
      <formula>SEARCH("Meeting",$J124)</formula>
    </cfRule>
    <cfRule type="expression" dxfId="3403" priority="3228">
      <formula>SEARCH(" PM",$J124)</formula>
    </cfRule>
    <cfRule type="expression" dxfId="3402" priority="3229">
      <formula>SEARCH("DB",$J124)</formula>
    </cfRule>
    <cfRule type="expression" dxfId="3401" priority="3230">
      <formula>SEARCH("Driver Arrival",$J124)</formula>
    </cfRule>
    <cfRule type="expression" dxfId="3400" priority="3231">
      <formula>SEARCH("Qualifying",$J124)</formula>
    </cfRule>
    <cfRule type="expression" dxfId="3399" priority="3232">
      <formula>SEARCH("Race",$J124)</formula>
    </cfRule>
    <cfRule type="expression" dxfId="3398" priority="3233">
      <formula>SEARCH("Practice Session",$J124)</formula>
    </cfRule>
    <cfRule type="expression" dxfId="3397" priority="3234">
      <formula>SEARCH("Press",$J124)</formula>
    </cfRule>
    <cfRule type="expression" dxfId="3396" priority="3235">
      <formula>SEARCH("Picture",$J124)</formula>
    </cfRule>
    <cfRule type="expression" dxfId="3395" priority="3236">
      <formula>SEARCH("Media",$J124)</formula>
    </cfRule>
    <cfRule type="expression" dxfId="3394" priority="3237">
      <formula>SEARCH("Interview",$J124)</formula>
    </cfRule>
    <cfRule type="expression" dxfId="3393" priority="3238">
      <formula>SEARCH("Team Principal",$J124)</formula>
    </cfRule>
    <cfRule type="expression" dxfId="3392" priority="3239">
      <formula>SEARCH("Briefing",$J124)</formula>
    </cfRule>
    <cfRule type="expression" dxfId="3391" priority="3240">
      <formula>SEARCH("Sign on",$J124)</formula>
    </cfRule>
  </conditionalFormatting>
  <conditionalFormatting sqref="B87:AA87">
    <cfRule type="expression" dxfId="3390" priority="3211">
      <formula>OR($J87="Breakfast", $J87="Lunch", $J87="Dinner")</formula>
    </cfRule>
    <cfRule type="expression" dxfId="3389" priority="3212">
      <formula>SEARCH("Meeting",$J87)</formula>
    </cfRule>
    <cfRule type="expression" dxfId="3388" priority="3213">
      <formula>SEARCH(" PM",$J87)</formula>
    </cfRule>
    <cfRule type="expression" dxfId="3387" priority="3214">
      <formula>SEARCH("DB",$J87)</formula>
    </cfRule>
    <cfRule type="expression" dxfId="3386" priority="3215">
      <formula>SEARCH("Driver Arrival",$J87)</formula>
    </cfRule>
    <cfRule type="expression" dxfId="3385" priority="3216">
      <formula>SEARCH("Qualifying",$J87)</formula>
    </cfRule>
    <cfRule type="expression" dxfId="3384" priority="3217">
      <formula>SEARCH("Race",$J87)</formula>
    </cfRule>
    <cfRule type="expression" dxfId="3383" priority="3218">
      <formula>SEARCH("Practice Session",$J87)</formula>
    </cfRule>
    <cfRule type="expression" dxfId="3382" priority="3219">
      <formula>SEARCH("Press",$J87)</formula>
    </cfRule>
    <cfRule type="expression" dxfId="3381" priority="3220">
      <formula>SEARCH("Picture",$J87)</formula>
    </cfRule>
    <cfRule type="expression" dxfId="3380" priority="3221">
      <formula>SEARCH("Media",$J87)</formula>
    </cfRule>
    <cfRule type="expression" dxfId="3379" priority="3222">
      <formula>SEARCH("Interview",$J87)</formula>
    </cfRule>
    <cfRule type="expression" dxfId="3378" priority="3223">
      <formula>SEARCH("Team Principal",$J87)</formula>
    </cfRule>
    <cfRule type="expression" dxfId="3377" priority="3224">
      <formula>SEARCH("Briefing",$J87)</formula>
    </cfRule>
    <cfRule type="expression" dxfId="3376" priority="3225">
      <formula>SEARCH("Sign on",$J87)</formula>
    </cfRule>
  </conditionalFormatting>
  <conditionalFormatting sqref="B126:AA126">
    <cfRule type="expression" dxfId="3375" priority="3196">
      <formula>OR($J126="Breakfast", $J126="Lunch", $J126="Dinner")</formula>
    </cfRule>
    <cfRule type="expression" dxfId="3374" priority="3197">
      <formula>SEARCH("Meeting",$J126)</formula>
    </cfRule>
    <cfRule type="expression" dxfId="3373" priority="3198">
      <formula>SEARCH(" PM",$J126)</formula>
    </cfRule>
    <cfRule type="expression" dxfId="3372" priority="3199">
      <formula>SEARCH("DB",$J126)</formula>
    </cfRule>
    <cfRule type="expression" dxfId="3371" priority="3200">
      <formula>SEARCH("Driver Arrival",$J126)</formula>
    </cfRule>
    <cfRule type="expression" dxfId="3370" priority="3201">
      <formula>SEARCH("Qualifying",$J126)</formula>
    </cfRule>
    <cfRule type="expression" dxfId="3369" priority="3202">
      <formula>SEARCH("Race",$J126)</formula>
    </cfRule>
    <cfRule type="expression" dxfId="3368" priority="3203">
      <formula>SEARCH("Practice Session",$J126)</formula>
    </cfRule>
    <cfRule type="expression" dxfId="3367" priority="3204">
      <formula>SEARCH("Press",$J126)</formula>
    </cfRule>
    <cfRule type="expression" dxfId="3366" priority="3205">
      <formula>SEARCH("Picture",$J126)</formula>
    </cfRule>
    <cfRule type="expression" dxfId="3365" priority="3206">
      <formula>SEARCH("Media",$J126)</formula>
    </cfRule>
    <cfRule type="expression" dxfId="3364" priority="3207">
      <formula>SEARCH("Interview",$J126)</formula>
    </cfRule>
    <cfRule type="expression" dxfId="3363" priority="3208">
      <formula>SEARCH("Team Principal",$J126)</formula>
    </cfRule>
    <cfRule type="expression" dxfId="3362" priority="3209">
      <formula>SEARCH("Briefing",$J126)</formula>
    </cfRule>
    <cfRule type="expression" dxfId="3361" priority="3210">
      <formula>SEARCH("Sign on",$J126)</formula>
    </cfRule>
  </conditionalFormatting>
  <conditionalFormatting sqref="B122:S122">
    <cfRule type="expression" dxfId="3360" priority="3181">
      <formula>OR($J122="Breakfast", $J122="Lunch", $J122="Dinner")</formula>
    </cfRule>
    <cfRule type="expression" dxfId="3359" priority="3182">
      <formula>SEARCH("Meeting",$J122)</formula>
    </cfRule>
    <cfRule type="expression" dxfId="3358" priority="3183">
      <formula>SEARCH(" PM",$J122)</formula>
    </cfRule>
    <cfRule type="expression" dxfId="3357" priority="3184">
      <formula>SEARCH("DB",$J122)</formula>
    </cfRule>
    <cfRule type="expression" dxfId="3356" priority="3185">
      <formula>SEARCH("Driver Arrival",$J122)</formula>
    </cfRule>
    <cfRule type="expression" dxfId="3355" priority="3186">
      <formula>SEARCH("Qualifying",$J122)</formula>
    </cfRule>
    <cfRule type="expression" dxfId="3354" priority="3187">
      <formula>SEARCH("Race",$J122)</formula>
    </cfRule>
    <cfRule type="expression" dxfId="3353" priority="3188">
      <formula>SEARCH("Practice Session",$J122)</formula>
    </cfRule>
    <cfRule type="expression" dxfId="3352" priority="3189">
      <formula>SEARCH("Press",$J122)</formula>
    </cfRule>
    <cfRule type="expression" dxfId="3351" priority="3190">
      <formula>SEARCH("Picture",$J122)</formula>
    </cfRule>
    <cfRule type="expression" dxfId="3350" priority="3191">
      <formula>SEARCH("Media",$J122)</formula>
    </cfRule>
    <cfRule type="expression" dxfId="3349" priority="3192">
      <formula>SEARCH("Interview",$J122)</formula>
    </cfRule>
    <cfRule type="expression" dxfId="3348" priority="3193">
      <formula>SEARCH("Team Principal",$J122)</formula>
    </cfRule>
    <cfRule type="expression" dxfId="3347" priority="3194">
      <formula>SEARCH("Briefing",$J122)</formula>
    </cfRule>
    <cfRule type="expression" dxfId="3346" priority="3195">
      <formula>SEARCH("Sign on",$J122)</formula>
    </cfRule>
  </conditionalFormatting>
  <conditionalFormatting sqref="T122:AA122">
    <cfRule type="expression" dxfId="3345" priority="3166">
      <formula>OR($J122="Breakfast", $J122="Lunch", $J122="Dinner")</formula>
    </cfRule>
    <cfRule type="expression" dxfId="3344" priority="3167">
      <formula>SEARCH("Meeting",$J122)</formula>
    </cfRule>
    <cfRule type="expression" dxfId="3343" priority="3168">
      <formula>SEARCH(" PM",$J122)</formula>
    </cfRule>
    <cfRule type="expression" dxfId="3342" priority="3169">
      <formula>SEARCH("DB",$J122)</formula>
    </cfRule>
    <cfRule type="expression" dxfId="3341" priority="3170">
      <formula>SEARCH("Driver Arrival",$J122)</formula>
    </cfRule>
    <cfRule type="expression" dxfId="3340" priority="3171">
      <formula>SEARCH("Qualifying",$J122)</formula>
    </cfRule>
    <cfRule type="expression" dxfId="3339" priority="3172">
      <formula>SEARCH("Race",$J122)</formula>
    </cfRule>
    <cfRule type="expression" dxfId="3338" priority="3173">
      <formula>SEARCH("Practice Session",$J122)</formula>
    </cfRule>
    <cfRule type="expression" dxfId="3337" priority="3174">
      <formula>SEARCH("Press",$J122)</formula>
    </cfRule>
    <cfRule type="expression" dxfId="3336" priority="3175">
      <formula>SEARCH("Picture",$J122)</formula>
    </cfRule>
    <cfRule type="expression" dxfId="3335" priority="3176">
      <formula>SEARCH("Media",$J122)</formula>
    </cfRule>
    <cfRule type="expression" dxfId="3334" priority="3177">
      <formula>SEARCH("Interview",$J122)</formula>
    </cfRule>
    <cfRule type="expression" dxfId="3333" priority="3178">
      <formula>SEARCH("Team Principal",$J122)</formula>
    </cfRule>
    <cfRule type="expression" dxfId="3332" priority="3179">
      <formula>SEARCH("Briefing",$J122)</formula>
    </cfRule>
    <cfRule type="expression" dxfId="3331" priority="3180">
      <formula>SEARCH("Sign on",$J122)</formula>
    </cfRule>
  </conditionalFormatting>
  <conditionalFormatting sqref="B154:AA155">
    <cfRule type="expression" dxfId="3330" priority="3151">
      <formula>OR($J154="Breakfast", $J154="Lunch", $J154="Dinner")</formula>
    </cfRule>
    <cfRule type="expression" dxfId="3329" priority="3152">
      <formula>SEARCH("Meeting",$J154)</formula>
    </cfRule>
    <cfRule type="expression" dxfId="3328" priority="3153">
      <formula>SEARCH(" PM",$J154)</formula>
    </cfRule>
    <cfRule type="expression" dxfId="3327" priority="3154">
      <formula>SEARCH("DB",$J154)</formula>
    </cfRule>
    <cfRule type="expression" dxfId="3326" priority="3155">
      <formula>SEARCH("Driver Arrival",$J154)</formula>
    </cfRule>
    <cfRule type="expression" dxfId="3325" priority="3156">
      <formula>SEARCH("Qualifying",$J154)</formula>
    </cfRule>
    <cfRule type="expression" dxfId="3324" priority="3157">
      <formula>SEARCH("Race",$J154)</formula>
    </cfRule>
    <cfRule type="expression" dxfId="3323" priority="3158">
      <formula>SEARCH("Practice Session",$J154)</formula>
    </cfRule>
    <cfRule type="expression" dxfId="3322" priority="3159">
      <formula>SEARCH("Press",$J154)</formula>
    </cfRule>
    <cfRule type="expression" dxfId="3321" priority="3160">
      <formula>SEARCH("Picture",$J154)</formula>
    </cfRule>
    <cfRule type="expression" dxfId="3320" priority="3161">
      <formula>SEARCH("Media",$J154)</formula>
    </cfRule>
    <cfRule type="expression" dxfId="3319" priority="3162">
      <formula>SEARCH("Interview",$J154)</formula>
    </cfRule>
    <cfRule type="expression" dxfId="3318" priority="3163">
      <formula>SEARCH("Team Principal",$J154)</formula>
    </cfRule>
    <cfRule type="expression" dxfId="3317" priority="3164">
      <formula>SEARCH("Briefing",$J154)</formula>
    </cfRule>
    <cfRule type="expression" dxfId="3316" priority="3165">
      <formula>SEARCH("Sign on",$J154)</formula>
    </cfRule>
  </conditionalFormatting>
  <conditionalFormatting sqref="B162:I162 S162:AA162">
    <cfRule type="expression" dxfId="3315" priority="3136">
      <formula>OR($J162="Breakfast", $J162="Lunch", $J162="Dinner")</formula>
    </cfRule>
    <cfRule type="expression" dxfId="3314" priority="3137">
      <formula>SEARCH("Meeting",$J162)</formula>
    </cfRule>
    <cfRule type="expression" dxfId="3313" priority="3138">
      <formula>SEARCH(" PM",$J162)</formula>
    </cfRule>
    <cfRule type="expression" dxfId="3312" priority="3139">
      <formula>SEARCH("DB",$J162)</formula>
    </cfRule>
    <cfRule type="expression" dxfId="3311" priority="3140">
      <formula>SEARCH("Driver Arrival",$J162)</formula>
    </cfRule>
    <cfRule type="expression" dxfId="3310" priority="3141">
      <formula>SEARCH("Qualifying",$J162)</formula>
    </cfRule>
    <cfRule type="expression" dxfId="3309" priority="3142">
      <formula>SEARCH("Race",$J162)</formula>
    </cfRule>
    <cfRule type="expression" dxfId="3308" priority="3143">
      <formula>SEARCH("Practice Session",$J162)</formula>
    </cfRule>
    <cfRule type="expression" dxfId="3307" priority="3144">
      <formula>SEARCH("Press",$J162)</formula>
    </cfRule>
    <cfRule type="expression" dxfId="3306" priority="3145">
      <formula>SEARCH("Picture",$J162)</formula>
    </cfRule>
    <cfRule type="expression" dxfId="3305" priority="3146">
      <formula>SEARCH("Media",$J162)</formula>
    </cfRule>
    <cfRule type="expression" dxfId="3304" priority="3147">
      <formula>SEARCH("Interview",$J162)</formula>
    </cfRule>
    <cfRule type="expression" dxfId="3303" priority="3148">
      <formula>SEARCH("Team Principal",$J162)</formula>
    </cfRule>
    <cfRule type="expression" dxfId="3302" priority="3149">
      <formula>SEARCH("Briefing",$J162)</formula>
    </cfRule>
    <cfRule type="expression" dxfId="3301" priority="3150">
      <formula>SEARCH("Sign on",$J162)</formula>
    </cfRule>
  </conditionalFormatting>
  <conditionalFormatting sqref="B158:AA158">
    <cfRule type="expression" dxfId="3300" priority="3106">
      <formula>OR($J158="Breakfast", $J158="Lunch", $J158="Dinner")</formula>
    </cfRule>
    <cfRule type="expression" dxfId="3299" priority="3107">
      <formula>SEARCH("Meeting",$J158)</formula>
    </cfRule>
    <cfRule type="expression" dxfId="3298" priority="3108">
      <formula>SEARCH(" PM",$J158)</formula>
    </cfRule>
    <cfRule type="expression" dxfId="3297" priority="3109">
      <formula>SEARCH("DB",$J158)</formula>
    </cfRule>
    <cfRule type="expression" dxfId="3296" priority="3110">
      <formula>SEARCH("Driver Arrival",$J158)</formula>
    </cfRule>
    <cfRule type="expression" dxfId="3295" priority="3111">
      <formula>SEARCH("Qualifying",$J158)</formula>
    </cfRule>
    <cfRule type="expression" dxfId="3294" priority="3112">
      <formula>SEARCH("Race",$J158)</formula>
    </cfRule>
    <cfRule type="expression" dxfId="3293" priority="3113">
      <formula>SEARCH("Practice Session",$J158)</formula>
    </cfRule>
    <cfRule type="expression" dxfId="3292" priority="3114">
      <formula>SEARCH("Press",$J158)</formula>
    </cfRule>
    <cfRule type="expression" dxfId="3291" priority="3115">
      <formula>SEARCH("Picture",$J158)</formula>
    </cfRule>
    <cfRule type="expression" dxfId="3290" priority="3116">
      <formula>SEARCH("Media",$J158)</formula>
    </cfRule>
    <cfRule type="expression" dxfId="3289" priority="3117">
      <formula>SEARCH("Interview",$J158)</formula>
    </cfRule>
    <cfRule type="expression" dxfId="3288" priority="3118">
      <formula>SEARCH("Team Principal",$J158)</formula>
    </cfRule>
    <cfRule type="expression" dxfId="3287" priority="3119">
      <formula>SEARCH("Briefing",$J158)</formula>
    </cfRule>
    <cfRule type="expression" dxfId="3286" priority="3120">
      <formula>SEARCH("Sign on",$J158)</formula>
    </cfRule>
  </conditionalFormatting>
  <conditionalFormatting sqref="J162:R162">
    <cfRule type="expression" dxfId="3285" priority="3091">
      <formula>OR($J162="Breakfast", $J162="Lunch", $J162="Dinner")</formula>
    </cfRule>
    <cfRule type="expression" dxfId="3284" priority="3092">
      <formula>SEARCH("Meeting",$J162)</formula>
    </cfRule>
    <cfRule type="expression" dxfId="3283" priority="3093">
      <formula>SEARCH(" PM",$J162)</formula>
    </cfRule>
    <cfRule type="expression" dxfId="3282" priority="3094">
      <formula>SEARCH("DB",$J162)</formula>
    </cfRule>
    <cfRule type="expression" dxfId="3281" priority="3095">
      <formula>SEARCH("Driver Arrival",$J162)</formula>
    </cfRule>
    <cfRule type="expression" dxfId="3280" priority="3096">
      <formula>SEARCH("Qualifying",$J162)</formula>
    </cfRule>
    <cfRule type="expression" dxfId="3279" priority="3097">
      <formula>SEARCH("Race",$J162)</formula>
    </cfRule>
    <cfRule type="expression" dxfId="3278" priority="3098">
      <formula>SEARCH("Practice Session",$J162)</formula>
    </cfRule>
    <cfRule type="expression" dxfId="3277" priority="3099">
      <formula>SEARCH("Press",$J162)</formula>
    </cfRule>
    <cfRule type="expression" dxfId="3276" priority="3100">
      <formula>SEARCH("Picture",$J162)</formula>
    </cfRule>
    <cfRule type="expression" dxfId="3275" priority="3101">
      <formula>SEARCH("Media",$J162)</formula>
    </cfRule>
    <cfRule type="expression" dxfId="3274" priority="3102">
      <formula>SEARCH("Interview",$J162)</formula>
    </cfRule>
    <cfRule type="expression" dxfId="3273" priority="3103">
      <formula>SEARCH("Team Principal",$J162)</formula>
    </cfRule>
    <cfRule type="expression" dxfId="3272" priority="3104">
      <formula>SEARCH("Briefing",$J162)</formula>
    </cfRule>
    <cfRule type="expression" dxfId="3271" priority="3105">
      <formula>SEARCH("Sign on",$J162)</formula>
    </cfRule>
  </conditionalFormatting>
  <conditionalFormatting sqref="B118:R118">
    <cfRule type="expression" dxfId="3270" priority="3076">
      <formula>OR($J118="Breakfast", $J118="Lunch", $J118="Dinner")</formula>
    </cfRule>
    <cfRule type="expression" dxfId="3269" priority="3077">
      <formula>SEARCH("Meeting",$J118)</formula>
    </cfRule>
    <cfRule type="expression" dxfId="3268" priority="3078">
      <formula>SEARCH(" PM",$J118)</formula>
    </cfRule>
    <cfRule type="expression" dxfId="3267" priority="3079">
      <formula>SEARCH("DB",$J118)</formula>
    </cfRule>
    <cfRule type="expression" dxfId="3266" priority="3080">
      <formula>SEARCH("Driver Arrival",$J118)</formula>
    </cfRule>
    <cfRule type="expression" dxfId="3265" priority="3081">
      <formula>SEARCH("Qualifying",$J118)</formula>
    </cfRule>
    <cfRule type="expression" dxfId="3264" priority="3082">
      <formula>SEARCH("Race",$J118)</formula>
    </cfRule>
    <cfRule type="expression" dxfId="3263" priority="3083">
      <formula>SEARCH("Practice Session",$J118)</formula>
    </cfRule>
    <cfRule type="expression" dxfId="3262" priority="3084">
      <formula>SEARCH("Press",$J118)</formula>
    </cfRule>
    <cfRule type="expression" dxfId="3261" priority="3085">
      <formula>SEARCH("Picture",$J118)</formula>
    </cfRule>
    <cfRule type="expression" dxfId="3260" priority="3086">
      <formula>SEARCH("Media",$J118)</formula>
    </cfRule>
    <cfRule type="expression" dxfId="3259" priority="3087">
      <formula>SEARCH("Interview",$J118)</formula>
    </cfRule>
    <cfRule type="expression" dxfId="3258" priority="3088">
      <formula>SEARCH("Team Principal",$J118)</formula>
    </cfRule>
    <cfRule type="expression" dxfId="3257" priority="3089">
      <formula>SEARCH("Briefing",$J118)</formula>
    </cfRule>
    <cfRule type="expression" dxfId="3256" priority="3090">
      <formula>SEARCH("Sign on",$J118)</formula>
    </cfRule>
  </conditionalFormatting>
  <conditionalFormatting sqref="T118:AA118">
    <cfRule type="expression" dxfId="3255" priority="3061">
      <formula>OR($J118="Breakfast", $J118="Lunch", $J118="Dinner")</formula>
    </cfRule>
    <cfRule type="expression" dxfId="3254" priority="3062">
      <formula>SEARCH("Meeting",$J118)</formula>
    </cfRule>
    <cfRule type="expression" dxfId="3253" priority="3063">
      <formula>SEARCH(" PM",$J118)</formula>
    </cfRule>
    <cfRule type="expression" dxfId="3252" priority="3064">
      <formula>SEARCH("DB",$J118)</formula>
    </cfRule>
    <cfRule type="expression" dxfId="3251" priority="3065">
      <formula>SEARCH("Driver Arrival",$J118)</formula>
    </cfRule>
    <cfRule type="expression" dxfId="3250" priority="3066">
      <formula>SEARCH("Qualifying",$J118)</formula>
    </cfRule>
    <cfRule type="expression" dxfId="3249" priority="3067">
      <formula>SEARCH("Race",$J118)</formula>
    </cfRule>
    <cfRule type="expression" dxfId="3248" priority="3068">
      <formula>SEARCH("Practice Session",$J118)</formula>
    </cfRule>
    <cfRule type="expression" dxfId="3247" priority="3069">
      <formula>SEARCH("Press",$J118)</formula>
    </cfRule>
    <cfRule type="expression" dxfId="3246" priority="3070">
      <formula>SEARCH("Picture",$J118)</formula>
    </cfRule>
    <cfRule type="expression" dxfId="3245" priority="3071">
      <formula>SEARCH("Media",$J118)</formula>
    </cfRule>
    <cfRule type="expression" dxfId="3244" priority="3072">
      <formula>SEARCH("Interview",$J118)</formula>
    </cfRule>
    <cfRule type="expression" dxfId="3243" priority="3073">
      <formula>SEARCH("Team Principal",$J118)</formula>
    </cfRule>
    <cfRule type="expression" dxfId="3242" priority="3074">
      <formula>SEARCH("Briefing",$J118)</formula>
    </cfRule>
    <cfRule type="expression" dxfId="3241" priority="3075">
      <formula>SEARCH("Sign on",$J118)</formula>
    </cfRule>
  </conditionalFormatting>
  <conditionalFormatting sqref="B71:AA71">
    <cfRule type="expression" dxfId="3240" priority="3016">
      <formula>OR($J71="Breakfast", $J71="Lunch", $J71="Dinner")</formula>
    </cfRule>
    <cfRule type="expression" dxfId="3239" priority="3017">
      <formula>SEARCH("Meeting",$J71)</formula>
    </cfRule>
    <cfRule type="expression" dxfId="3238" priority="3018">
      <formula>SEARCH(" PM",$J71)</formula>
    </cfRule>
    <cfRule type="expression" dxfId="3237" priority="3019">
      <formula>SEARCH("DB",$J71)</formula>
    </cfRule>
    <cfRule type="expression" dxfId="3236" priority="3020">
      <formula>SEARCH("Driver Arrival",$J71)</formula>
    </cfRule>
    <cfRule type="expression" dxfId="3235" priority="3021">
      <formula>SEARCH("Qualifying",$J71)</formula>
    </cfRule>
    <cfRule type="expression" dxfId="3234" priority="3022">
      <formula>SEARCH("Race",$J71)</formula>
    </cfRule>
    <cfRule type="expression" dxfId="3233" priority="3023">
      <formula>SEARCH("Practice Session",$J71)</formula>
    </cfRule>
    <cfRule type="expression" dxfId="3232" priority="3024">
      <formula>SEARCH("Press",$J71)</formula>
    </cfRule>
    <cfRule type="expression" dxfId="3231" priority="3025">
      <formula>SEARCH("Picture",$J71)</formula>
    </cfRule>
    <cfRule type="expression" dxfId="3230" priority="3026">
      <formula>SEARCH("Media",$J71)</formula>
    </cfRule>
    <cfRule type="expression" dxfId="3229" priority="3027">
      <formula>SEARCH("Interview",$J71)</formula>
    </cfRule>
    <cfRule type="expression" dxfId="3228" priority="3028">
      <formula>SEARCH("Team Principal",$J71)</formula>
    </cfRule>
    <cfRule type="expression" dxfId="3227" priority="3029">
      <formula>SEARCH("Briefing",$J71)</formula>
    </cfRule>
    <cfRule type="expression" dxfId="3226" priority="3030">
      <formula>SEARCH("Sign on",$J71)</formula>
    </cfRule>
  </conditionalFormatting>
  <conditionalFormatting sqref="E72:AA72">
    <cfRule type="expression" dxfId="3225" priority="3001">
      <formula>OR($J72="Breakfast", $J72="Lunch", $J72="Dinner")</formula>
    </cfRule>
    <cfRule type="expression" dxfId="3224" priority="3002">
      <formula>SEARCH("Meeting",$J72)</formula>
    </cfRule>
    <cfRule type="expression" dxfId="3223" priority="3003">
      <formula>SEARCH(" PM",$J72)</formula>
    </cfRule>
    <cfRule type="expression" dxfId="3222" priority="3004">
      <formula>SEARCH("DB",$J72)</formula>
    </cfRule>
    <cfRule type="expression" dxfId="3221" priority="3005">
      <formula>SEARCH("Driver Arrival",$J72)</formula>
    </cfRule>
    <cfRule type="expression" dxfId="3220" priority="3006">
      <formula>SEARCH("Qualifying",$J72)</formula>
    </cfRule>
    <cfRule type="expression" dxfId="3219" priority="3007">
      <formula>SEARCH("Race",$J72)</formula>
    </cfRule>
    <cfRule type="expression" dxfId="3218" priority="3008">
      <formula>SEARCH("Practice Session",$J72)</formula>
    </cfRule>
    <cfRule type="expression" dxfId="3217" priority="3009">
      <formula>SEARCH("Press",$J72)</formula>
    </cfRule>
    <cfRule type="expression" dxfId="3216" priority="3010">
      <formula>SEARCH("Picture",$J72)</formula>
    </cfRule>
    <cfRule type="expression" dxfId="3215" priority="3011">
      <formula>SEARCH("Media",$J72)</formula>
    </cfRule>
    <cfRule type="expression" dxfId="3214" priority="3012">
      <formula>SEARCH("Interview",$J72)</formula>
    </cfRule>
    <cfRule type="expression" dxfId="3213" priority="3013">
      <formula>SEARCH("Team Principal",$J72)</formula>
    </cfRule>
    <cfRule type="expression" dxfId="3212" priority="3014">
      <formula>SEARCH("Briefing",$J72)</formula>
    </cfRule>
    <cfRule type="expression" dxfId="3211" priority="3015">
      <formula>SEARCH("Sign on",$J72)</formula>
    </cfRule>
  </conditionalFormatting>
  <conditionalFormatting sqref="E105:AA105">
    <cfRule type="expression" dxfId="3210" priority="2956">
      <formula>OR($J105="Breakfast", $J105="Lunch", $J105="Dinner")</formula>
    </cfRule>
    <cfRule type="expression" dxfId="3209" priority="2957">
      <formula>SEARCH("Meeting",$J105)</formula>
    </cfRule>
    <cfRule type="expression" dxfId="3208" priority="2958">
      <formula>SEARCH(" PM",$J105)</formula>
    </cfRule>
    <cfRule type="expression" dxfId="3207" priority="2959">
      <formula>SEARCH("DB",$J105)</formula>
    </cfRule>
    <cfRule type="expression" dxfId="3206" priority="2960">
      <formula>SEARCH("Driver Arrival",$J105)</formula>
    </cfRule>
    <cfRule type="expression" dxfId="3205" priority="2961">
      <formula>SEARCH("Qualifying",$J105)</formula>
    </cfRule>
    <cfRule type="expression" dxfId="3204" priority="2962">
      <formula>SEARCH("Race",$J105)</formula>
    </cfRule>
    <cfRule type="expression" dxfId="3203" priority="2963">
      <formula>SEARCH("Practice Session",$J105)</formula>
    </cfRule>
    <cfRule type="expression" dxfId="3202" priority="2964">
      <formula>SEARCH("Press",$J105)</formula>
    </cfRule>
    <cfRule type="expression" dxfId="3201" priority="2965">
      <formula>SEARCH("Picture",$J105)</formula>
    </cfRule>
    <cfRule type="expression" dxfId="3200" priority="2966">
      <formula>SEARCH("Media",$J105)</formula>
    </cfRule>
    <cfRule type="expression" dxfId="3199" priority="2967">
      <formula>SEARCH("Interview",$J105)</formula>
    </cfRule>
    <cfRule type="expression" dxfId="3198" priority="2968">
      <formula>SEARCH("Team Principal",$J105)</formula>
    </cfRule>
    <cfRule type="expression" dxfId="3197" priority="2969">
      <formula>SEARCH("Briefing",$J105)</formula>
    </cfRule>
    <cfRule type="expression" dxfId="3196" priority="2970">
      <formula>SEARCH("Sign on",$J105)</formula>
    </cfRule>
  </conditionalFormatting>
  <conditionalFormatting sqref="S129:AA129 B129:I129">
    <cfRule type="expression" dxfId="3195" priority="2941">
      <formula>OR($J129="Breakfast", $J129="Lunch", $J129="Dinner")</formula>
    </cfRule>
    <cfRule type="expression" dxfId="3194" priority="2942">
      <formula>SEARCH("Meeting",$J129)</formula>
    </cfRule>
    <cfRule type="expression" dxfId="3193" priority="2943">
      <formula>SEARCH(" PM",$J129)</formula>
    </cfRule>
    <cfRule type="expression" dxfId="3192" priority="2944">
      <formula>SEARCH("DB",$J129)</formula>
    </cfRule>
    <cfRule type="expression" dxfId="3191" priority="2945">
      <formula>SEARCH("Driver Arrival",$J129)</formula>
    </cfRule>
    <cfRule type="expression" dxfId="3190" priority="2946">
      <formula>SEARCH("Qualifying",$J129)</formula>
    </cfRule>
    <cfRule type="expression" dxfId="3189" priority="2947">
      <formula>SEARCH("Race",$J129)</formula>
    </cfRule>
    <cfRule type="expression" dxfId="3188" priority="2948">
      <formula>SEARCH("Practice Session",$J129)</formula>
    </cfRule>
    <cfRule type="expression" dxfId="3187" priority="2949">
      <formula>SEARCH("Press",$J129)</formula>
    </cfRule>
    <cfRule type="expression" dxfId="3186" priority="2950">
      <formula>SEARCH("Picture",$J129)</formula>
    </cfRule>
    <cfRule type="expression" dxfId="3185" priority="2951">
      <formula>SEARCH("Media",$J129)</formula>
    </cfRule>
    <cfRule type="expression" dxfId="3184" priority="2952">
      <formula>SEARCH("Interview",$J129)</formula>
    </cfRule>
    <cfRule type="expression" dxfId="3183" priority="2953">
      <formula>SEARCH("Team Principal",$J129)</formula>
    </cfRule>
    <cfRule type="expression" dxfId="3182" priority="2954">
      <formula>SEARCH("Briefing",$J129)</formula>
    </cfRule>
    <cfRule type="expression" dxfId="3181" priority="2955">
      <formula>SEARCH("Sign on",$J129)</formula>
    </cfRule>
  </conditionalFormatting>
  <conditionalFormatting sqref="J129:R129">
    <cfRule type="expression" dxfId="3180" priority="2926">
      <formula>OR($J129="Breakfast", $J129="Lunch", $J129="Dinner")</formula>
    </cfRule>
    <cfRule type="expression" dxfId="3179" priority="2927">
      <formula>SEARCH("Meeting",$J129)</formula>
    </cfRule>
    <cfRule type="expression" dxfId="3178" priority="2928">
      <formula>SEARCH(" PM",$J129)</formula>
    </cfRule>
    <cfRule type="expression" dxfId="3177" priority="2929">
      <formula>SEARCH("DB",$J129)</formula>
    </cfRule>
    <cfRule type="expression" dxfId="3176" priority="2930">
      <formula>SEARCH("Driver Arrival",$J129)</formula>
    </cfRule>
    <cfRule type="expression" dxfId="3175" priority="2931">
      <formula>SEARCH("Qualifying",$J129)</formula>
    </cfRule>
    <cfRule type="expression" dxfId="3174" priority="2932">
      <formula>SEARCH("Race",$J129)</formula>
    </cfRule>
    <cfRule type="expression" dxfId="3173" priority="2933">
      <formula>SEARCH("Practice Session",$J129)</formula>
    </cfRule>
    <cfRule type="expression" dxfId="3172" priority="2934">
      <formula>SEARCH("Press",$J129)</formula>
    </cfRule>
    <cfRule type="expression" dxfId="3171" priority="2935">
      <formula>SEARCH("Picture",$J129)</formula>
    </cfRule>
    <cfRule type="expression" dxfId="3170" priority="2936">
      <formula>SEARCH("Media",$J129)</formula>
    </cfRule>
    <cfRule type="expression" dxfId="3169" priority="2937">
      <formula>SEARCH("Interview",$J129)</formula>
    </cfRule>
    <cfRule type="expression" dxfId="3168" priority="2938">
      <formula>SEARCH("Team Principal",$J129)</formula>
    </cfRule>
    <cfRule type="expression" dxfId="3167" priority="2939">
      <formula>SEARCH("Briefing",$J129)</formula>
    </cfRule>
    <cfRule type="expression" dxfId="3166" priority="2940">
      <formula>SEARCH("Sign on",$J129)</formula>
    </cfRule>
  </conditionalFormatting>
  <conditionalFormatting sqref="J100:R100">
    <cfRule type="expression" dxfId="3165" priority="2896">
      <formula>OR($J100="Breakfast", $J100="Lunch", $J100="Dinner")</formula>
    </cfRule>
    <cfRule type="expression" dxfId="3164" priority="2897">
      <formula>SEARCH("Meeting",$J100)</formula>
    </cfRule>
    <cfRule type="expression" dxfId="3163" priority="2898">
      <formula>SEARCH(" PM",$J100)</formula>
    </cfRule>
    <cfRule type="expression" dxfId="3162" priority="2899">
      <formula>SEARCH("DB",$J100)</formula>
    </cfRule>
    <cfRule type="expression" dxfId="3161" priority="2900">
      <formula>SEARCH("Driver Arrival",$J100)</formula>
    </cfRule>
    <cfRule type="expression" dxfId="3160" priority="2901">
      <formula>SEARCH("Qualifying",$J100)</formula>
    </cfRule>
    <cfRule type="expression" dxfId="3159" priority="2902">
      <formula>SEARCH("Race",$J100)</formula>
    </cfRule>
    <cfRule type="expression" dxfId="3158" priority="2903">
      <formula>SEARCH("Practice Session",$J100)</formula>
    </cfRule>
    <cfRule type="expression" dxfId="3157" priority="2904">
      <formula>SEARCH("Press",$J100)</formula>
    </cfRule>
    <cfRule type="expression" dxfId="3156" priority="2905">
      <formula>SEARCH("Picture",$J100)</formula>
    </cfRule>
    <cfRule type="expression" dxfId="3155" priority="2906">
      <formula>SEARCH("Media",$J100)</formula>
    </cfRule>
    <cfRule type="expression" dxfId="3154" priority="2907">
      <formula>SEARCH("Interview",$J100)</formula>
    </cfRule>
    <cfRule type="expression" dxfId="3153" priority="2908">
      <formula>SEARCH("Team Principal",$J100)</formula>
    </cfRule>
    <cfRule type="expression" dxfId="3152" priority="2909">
      <formula>SEARCH("Briefing",$J100)</formula>
    </cfRule>
    <cfRule type="expression" dxfId="3151" priority="2910">
      <formula>SEARCH("Sign on",$J100)</formula>
    </cfRule>
  </conditionalFormatting>
  <conditionalFormatting sqref="S118">
    <cfRule type="expression" dxfId="3150" priority="2881">
      <formula>OR($J118="Breakfast", $J118="Lunch", $J118="Dinner")</formula>
    </cfRule>
    <cfRule type="expression" dxfId="3149" priority="2882">
      <formula>SEARCH("Meeting",$J118)</formula>
    </cfRule>
    <cfRule type="expression" dxfId="3148" priority="2883">
      <formula>SEARCH(" PM",$J118)</formula>
    </cfRule>
    <cfRule type="expression" dxfId="3147" priority="2884">
      <formula>SEARCH("DB",$J118)</formula>
    </cfRule>
    <cfRule type="expression" dxfId="3146" priority="2885">
      <formula>SEARCH("Driver Arrival",$J118)</formula>
    </cfRule>
    <cfRule type="expression" dxfId="3145" priority="2886">
      <formula>SEARCH("Qualifying",$J118)</formula>
    </cfRule>
    <cfRule type="expression" dxfId="3144" priority="2887">
      <formula>SEARCH("Race",$J118)</formula>
    </cfRule>
    <cfRule type="expression" dxfId="3143" priority="2888">
      <formula>SEARCH("Practice Session",$J118)</formula>
    </cfRule>
    <cfRule type="expression" dxfId="3142" priority="2889">
      <formula>SEARCH("Press",$J118)</formula>
    </cfRule>
    <cfRule type="expression" dxfId="3141" priority="2890">
      <formula>SEARCH("Picture",$J118)</formula>
    </cfRule>
    <cfRule type="expression" dxfId="3140" priority="2891">
      <formula>SEARCH("Media",$J118)</formula>
    </cfRule>
    <cfRule type="expression" dxfId="3139" priority="2892">
      <formula>SEARCH("Interview",$J118)</formula>
    </cfRule>
    <cfRule type="expression" dxfId="3138" priority="2893">
      <formula>SEARCH("Team Principal",$J118)</formula>
    </cfRule>
    <cfRule type="expression" dxfId="3137" priority="2894">
      <formula>SEARCH("Briefing",$J118)</formula>
    </cfRule>
    <cfRule type="expression" dxfId="3136" priority="2895">
      <formula>SEARCH("Sign on",$J118)</formula>
    </cfRule>
  </conditionalFormatting>
  <conditionalFormatting sqref="B70:AA70">
    <cfRule type="expression" dxfId="3135" priority="2866">
      <formula>OR($J70="Breakfast", $J70="Lunch", $J70="Dinner")</formula>
    </cfRule>
    <cfRule type="expression" dxfId="3134" priority="2867">
      <formula>SEARCH("Meeting",$J70)</formula>
    </cfRule>
    <cfRule type="expression" dxfId="3133" priority="2868">
      <formula>SEARCH(" PM",$J70)</formula>
    </cfRule>
    <cfRule type="expression" dxfId="3132" priority="2869">
      <formula>SEARCH("DB",$J70)</formula>
    </cfRule>
    <cfRule type="expression" dxfId="3131" priority="2870">
      <formula>SEARCH("Driver Arrival",$J70)</formula>
    </cfRule>
    <cfRule type="expression" dxfId="3130" priority="2871">
      <formula>SEARCH("Qualifying",$J70)</formula>
    </cfRule>
    <cfRule type="expression" dxfId="3129" priority="2872">
      <formula>SEARCH("Race",$J70)</formula>
    </cfRule>
    <cfRule type="expression" dxfId="3128" priority="2873">
      <formula>SEARCH("Practice Session",$J70)</formula>
    </cfRule>
    <cfRule type="expression" dxfId="3127" priority="2874">
      <formula>SEARCH("Press",$J70)</formula>
    </cfRule>
    <cfRule type="expression" dxfId="3126" priority="2875">
      <formula>SEARCH("Picture",$J70)</formula>
    </cfRule>
    <cfRule type="expression" dxfId="3125" priority="2876">
      <formula>SEARCH("Media",$J70)</formula>
    </cfRule>
    <cfRule type="expression" dxfId="3124" priority="2877">
      <formula>SEARCH("Interview",$J70)</formula>
    </cfRule>
    <cfRule type="expression" dxfId="3123" priority="2878">
      <formula>SEARCH("Team Principal",$J70)</formula>
    </cfRule>
    <cfRule type="expression" dxfId="3122" priority="2879">
      <formula>SEARCH("Briefing",$J70)</formula>
    </cfRule>
    <cfRule type="expression" dxfId="3121" priority="2880">
      <formula>SEARCH("Sign on",$J70)</formula>
    </cfRule>
  </conditionalFormatting>
  <conditionalFormatting sqref="B120:G120 J120:R120 T120:AA120">
    <cfRule type="expression" dxfId="3120" priority="2746">
      <formula>OR($J120="Breakfast", $J120="Lunch", $J120="Dinner")</formula>
    </cfRule>
    <cfRule type="expression" dxfId="3119" priority="2747">
      <formula>SEARCH("Meeting",$J120)</formula>
    </cfRule>
    <cfRule type="expression" dxfId="3118" priority="2748">
      <formula>SEARCH(" PM",$J120)</formula>
    </cfRule>
    <cfRule type="expression" dxfId="3117" priority="2749">
      <formula>SEARCH("DB",$J120)</formula>
    </cfRule>
    <cfRule type="expression" dxfId="3116" priority="2750">
      <formula>SEARCH("Driver Arrival",$J120)</formula>
    </cfRule>
    <cfRule type="expression" dxfId="3115" priority="2751">
      <formula>SEARCH("Qualifying",$J120)</formula>
    </cfRule>
    <cfRule type="expression" dxfId="3114" priority="2752">
      <formula>SEARCH("Race",$J120)</formula>
    </cfRule>
    <cfRule type="expression" dxfId="3113" priority="2753">
      <formula>SEARCH("Practice Session",$J120)</formula>
    </cfRule>
    <cfRule type="expression" dxfId="3112" priority="2754">
      <formula>SEARCH("Press",$J120)</formula>
    </cfRule>
    <cfRule type="expression" dxfId="3111" priority="2755">
      <formula>SEARCH("Picture",$J120)</formula>
    </cfRule>
    <cfRule type="expression" dxfId="3110" priority="2756">
      <formula>SEARCH("Media",$J120)</formula>
    </cfRule>
    <cfRule type="expression" dxfId="3109" priority="2757">
      <formula>SEARCH("Interview",$J120)</formula>
    </cfRule>
    <cfRule type="expression" dxfId="3108" priority="2758">
      <formula>SEARCH("Team Principal",$J120)</formula>
    </cfRule>
    <cfRule type="expression" dxfId="3107" priority="2759">
      <formula>SEARCH("Briefing",$J120)</formula>
    </cfRule>
    <cfRule type="expression" dxfId="3106" priority="2760">
      <formula>SEARCH("Sign on",$J120)</formula>
    </cfRule>
  </conditionalFormatting>
  <conditionalFormatting sqref="S120">
    <cfRule type="expression" dxfId="3105" priority="2731">
      <formula>OR($J120="Breakfast", $J120="Lunch", $J120="Dinner")</formula>
    </cfRule>
    <cfRule type="expression" dxfId="3104" priority="2732">
      <formula>SEARCH("Meeting",$J120)</formula>
    </cfRule>
    <cfRule type="expression" dxfId="3103" priority="2733">
      <formula>SEARCH(" PM",$J120)</formula>
    </cfRule>
    <cfRule type="expression" dxfId="3102" priority="2734">
      <formula>SEARCH("DB",$J120)</formula>
    </cfRule>
    <cfRule type="expression" dxfId="3101" priority="2735">
      <formula>SEARCH("Driver Arrival",$J120)</formula>
    </cfRule>
    <cfRule type="expression" dxfId="3100" priority="2736">
      <formula>SEARCH("Qualifying",$J120)</formula>
    </cfRule>
    <cfRule type="expression" dxfId="3099" priority="2737">
      <formula>SEARCH("Race",$J120)</formula>
    </cfRule>
    <cfRule type="expression" dxfId="3098" priority="2738">
      <formula>SEARCH("Practice Session",$J120)</formula>
    </cfRule>
    <cfRule type="expression" dxfId="3097" priority="2739">
      <formula>SEARCH("Press",$J120)</formula>
    </cfRule>
    <cfRule type="expression" dxfId="3096" priority="2740">
      <formula>SEARCH("Picture",$J120)</formula>
    </cfRule>
    <cfRule type="expression" dxfId="3095" priority="2741">
      <formula>SEARCH("Media",$J120)</formula>
    </cfRule>
    <cfRule type="expression" dxfId="3094" priority="2742">
      <formula>SEARCH("Interview",$J120)</formula>
    </cfRule>
    <cfRule type="expression" dxfId="3093" priority="2743">
      <formula>SEARCH("Team Principal",$J120)</formula>
    </cfRule>
    <cfRule type="expression" dxfId="3092" priority="2744">
      <formula>SEARCH("Briefing",$J120)</formula>
    </cfRule>
    <cfRule type="expression" dxfId="3091" priority="2745">
      <formula>SEARCH("Sign on",$J120)</formula>
    </cfRule>
  </conditionalFormatting>
  <conditionalFormatting sqref="E130:R130">
    <cfRule type="expression" dxfId="3090" priority="2596">
      <formula>OR($J130="Breakfast", $J130="Lunch", $J130="Dinner")</formula>
    </cfRule>
    <cfRule type="expression" dxfId="3089" priority="2597">
      <formula>SEARCH("Meeting",$J130)</formula>
    </cfRule>
    <cfRule type="expression" dxfId="3088" priority="2598">
      <formula>SEARCH(" PM",$J130)</formula>
    </cfRule>
    <cfRule type="expression" dxfId="3087" priority="2599">
      <formula>SEARCH("DB",$J130)</formula>
    </cfRule>
    <cfRule type="expression" dxfId="3086" priority="2600">
      <formula>SEARCH("Driver Arrival",$J130)</formula>
    </cfRule>
    <cfRule type="expression" dxfId="3085" priority="2601">
      <formula>SEARCH("Qualifying",$J130)</formula>
    </cfRule>
    <cfRule type="expression" dxfId="3084" priority="2602">
      <formula>SEARCH("Race",$J130)</formula>
    </cfRule>
    <cfRule type="expression" dxfId="3083" priority="2603">
      <formula>SEARCH("Practice Session",$J130)</formula>
    </cfRule>
    <cfRule type="expression" dxfId="3082" priority="2604">
      <formula>SEARCH("Press",$J130)</formula>
    </cfRule>
    <cfRule type="expression" dxfId="3081" priority="2605">
      <formula>SEARCH("Picture",$J130)</formula>
    </cfRule>
    <cfRule type="expression" dxfId="3080" priority="2606">
      <formula>SEARCH("Media",$J130)</formula>
    </cfRule>
    <cfRule type="expression" dxfId="3079" priority="2607">
      <formula>SEARCH("Interview",$J130)</formula>
    </cfRule>
    <cfRule type="expression" dxfId="3078" priority="2608">
      <formula>SEARCH("Team Principal",$J130)</formula>
    </cfRule>
    <cfRule type="expression" dxfId="3077" priority="2609">
      <formula>SEARCH("Briefing",$J130)</formula>
    </cfRule>
    <cfRule type="expression" dxfId="3076" priority="2610">
      <formula>SEARCH("Sign on",$J130)</formula>
    </cfRule>
  </conditionalFormatting>
  <conditionalFormatting sqref="T130:AA130">
    <cfRule type="expression" dxfId="3075" priority="2581">
      <formula>OR($J130="Breakfast", $J130="Lunch", $J130="Dinner")</formula>
    </cfRule>
    <cfRule type="expression" dxfId="3074" priority="2582">
      <formula>SEARCH("Meeting",$J130)</formula>
    </cfRule>
    <cfRule type="expression" dxfId="3073" priority="2583">
      <formula>SEARCH(" PM",$J130)</formula>
    </cfRule>
    <cfRule type="expression" dxfId="3072" priority="2584">
      <formula>SEARCH("DB",$J130)</formula>
    </cfRule>
    <cfRule type="expression" dxfId="3071" priority="2585">
      <formula>SEARCH("Driver Arrival",$J130)</formula>
    </cfRule>
    <cfRule type="expression" dxfId="3070" priority="2586">
      <formula>SEARCH("Qualifying",$J130)</formula>
    </cfRule>
    <cfRule type="expression" dxfId="3069" priority="2587">
      <formula>SEARCH("Race",$J130)</formula>
    </cfRule>
    <cfRule type="expression" dxfId="3068" priority="2588">
      <formula>SEARCH("Practice Session",$J130)</formula>
    </cfRule>
    <cfRule type="expression" dxfId="3067" priority="2589">
      <formula>SEARCH("Press",$J130)</formula>
    </cfRule>
    <cfRule type="expression" dxfId="3066" priority="2590">
      <formula>SEARCH("Picture",$J130)</formula>
    </cfRule>
    <cfRule type="expression" dxfId="3065" priority="2591">
      <formula>SEARCH("Media",$J130)</formula>
    </cfRule>
    <cfRule type="expression" dxfId="3064" priority="2592">
      <formula>SEARCH("Interview",$J130)</formula>
    </cfRule>
    <cfRule type="expression" dxfId="3063" priority="2593">
      <formula>SEARCH("Team Principal",$J130)</formula>
    </cfRule>
    <cfRule type="expression" dxfId="3062" priority="2594">
      <formula>SEARCH("Briefing",$J130)</formula>
    </cfRule>
    <cfRule type="expression" dxfId="3061" priority="2595">
      <formula>SEARCH("Sign on",$J130)</formula>
    </cfRule>
  </conditionalFormatting>
  <conditionalFormatting sqref="S130">
    <cfRule type="expression" dxfId="3060" priority="2566">
      <formula>OR($J130="Breakfast", $J130="Lunch", $J130="Dinner")</formula>
    </cfRule>
    <cfRule type="expression" dxfId="3059" priority="2567">
      <formula>SEARCH("Meeting",$J130)</formula>
    </cfRule>
    <cfRule type="expression" dxfId="3058" priority="2568">
      <formula>SEARCH(" PM",$J130)</formula>
    </cfRule>
    <cfRule type="expression" dxfId="3057" priority="2569">
      <formula>SEARCH("DB",$J130)</formula>
    </cfRule>
    <cfRule type="expression" dxfId="3056" priority="2570">
      <formula>SEARCH("Driver Arrival",$J130)</formula>
    </cfRule>
    <cfRule type="expression" dxfId="3055" priority="2571">
      <formula>SEARCH("Qualifying",$J130)</formula>
    </cfRule>
    <cfRule type="expression" dxfId="3054" priority="2572">
      <formula>SEARCH("Race",$J130)</formula>
    </cfRule>
    <cfRule type="expression" dxfId="3053" priority="2573">
      <formula>SEARCH("Practice Session",$J130)</formula>
    </cfRule>
    <cfRule type="expression" dxfId="3052" priority="2574">
      <formula>SEARCH("Press",$J130)</formula>
    </cfRule>
    <cfRule type="expression" dxfId="3051" priority="2575">
      <formula>SEARCH("Picture",$J130)</formula>
    </cfRule>
    <cfRule type="expression" dxfId="3050" priority="2576">
      <formula>SEARCH("Media",$J130)</formula>
    </cfRule>
    <cfRule type="expression" dxfId="3049" priority="2577">
      <formula>SEARCH("Interview",$J130)</formula>
    </cfRule>
    <cfRule type="expression" dxfId="3048" priority="2578">
      <formula>SEARCH("Team Principal",$J130)</formula>
    </cfRule>
    <cfRule type="expression" dxfId="3047" priority="2579">
      <formula>SEARCH("Briefing",$J130)</formula>
    </cfRule>
    <cfRule type="expression" dxfId="3046" priority="2580">
      <formula>SEARCH("Sign on",$J130)</formula>
    </cfRule>
  </conditionalFormatting>
  <conditionalFormatting sqref="H88:I88">
    <cfRule type="expression" dxfId="3045" priority="2551">
      <formula>OR($J88="Breakfast", $J88="Lunch", $J88="Dinner")</formula>
    </cfRule>
    <cfRule type="expression" dxfId="3044" priority="2552">
      <formula>SEARCH("Meeting",$J88)</formula>
    </cfRule>
    <cfRule type="expression" dxfId="3043" priority="2553">
      <formula>SEARCH(" PM",$J88)</formula>
    </cfRule>
    <cfRule type="expression" dxfId="3042" priority="2554">
      <formula>SEARCH("DB",$J88)</formula>
    </cfRule>
    <cfRule type="expression" dxfId="3041" priority="2555">
      <formula>SEARCH("Driver Arrival",$J88)</formula>
    </cfRule>
    <cfRule type="expression" dxfId="3040" priority="2556">
      <formula>SEARCH("Qualifying",$J88)</formula>
    </cfRule>
    <cfRule type="expression" dxfId="3039" priority="2557">
      <formula>SEARCH("Race",$J88)</formula>
    </cfRule>
    <cfRule type="expression" dxfId="3038" priority="2558">
      <formula>SEARCH("Practice Session",$J88)</formula>
    </cfRule>
    <cfRule type="expression" dxfId="3037" priority="2559">
      <formula>SEARCH("Press",$J88)</formula>
    </cfRule>
    <cfRule type="expression" dxfId="3036" priority="2560">
      <formula>SEARCH("Picture",$J88)</formula>
    </cfRule>
    <cfRule type="expression" dxfId="3035" priority="2561">
      <formula>SEARCH("Media",$J88)</formula>
    </cfRule>
    <cfRule type="expression" dxfId="3034" priority="2562">
      <formula>SEARCH("Interview",$J88)</formula>
    </cfRule>
    <cfRule type="expression" dxfId="3033" priority="2563">
      <formula>SEARCH("Team Principal",$J88)</formula>
    </cfRule>
    <cfRule type="expression" dxfId="3032" priority="2564">
      <formula>SEARCH("Briefing",$J88)</formula>
    </cfRule>
    <cfRule type="expression" dxfId="3031" priority="2565">
      <formula>SEARCH("Sign on",$J88)</formula>
    </cfRule>
  </conditionalFormatting>
  <conditionalFormatting sqref="B88:G88 J88:R88 T88:AA88">
    <cfRule type="expression" dxfId="3030" priority="2536">
      <formula>OR($J88="Breakfast", $J88="Lunch", $J88="Dinner")</formula>
    </cfRule>
    <cfRule type="expression" dxfId="3029" priority="2537">
      <formula>SEARCH("Meeting",$J88)</formula>
    </cfRule>
    <cfRule type="expression" dxfId="3028" priority="2538">
      <formula>SEARCH(" PM",$J88)</formula>
    </cfRule>
    <cfRule type="expression" dxfId="3027" priority="2539">
      <formula>SEARCH("DB",$J88)</formula>
    </cfRule>
    <cfRule type="expression" dxfId="3026" priority="2540">
      <formula>SEARCH("Driver Arrival",$J88)</formula>
    </cfRule>
    <cfRule type="expression" dxfId="3025" priority="2541">
      <formula>SEARCH("Qualifying",$J88)</formula>
    </cfRule>
    <cfRule type="expression" dxfId="3024" priority="2542">
      <formula>SEARCH("Race",$J88)</formula>
    </cfRule>
    <cfRule type="expression" dxfId="3023" priority="2543">
      <formula>SEARCH("Practice Session",$J88)</formula>
    </cfRule>
    <cfRule type="expression" dxfId="3022" priority="2544">
      <formula>SEARCH("Press",$J88)</formula>
    </cfRule>
    <cfRule type="expression" dxfId="3021" priority="2545">
      <formula>SEARCH("Picture",$J88)</formula>
    </cfRule>
    <cfRule type="expression" dxfId="3020" priority="2546">
      <formula>SEARCH("Media",$J88)</formula>
    </cfRule>
    <cfRule type="expression" dxfId="3019" priority="2547">
      <formula>SEARCH("Interview",$J88)</formula>
    </cfRule>
    <cfRule type="expression" dxfId="3018" priority="2548">
      <formula>SEARCH("Team Principal",$J88)</formula>
    </cfRule>
    <cfRule type="expression" dxfId="3017" priority="2549">
      <formula>SEARCH("Briefing",$J88)</formula>
    </cfRule>
    <cfRule type="expression" dxfId="3016" priority="2550">
      <formula>SEARCH("Sign on",$J88)</formula>
    </cfRule>
  </conditionalFormatting>
  <conditionalFormatting sqref="S88">
    <cfRule type="expression" dxfId="3015" priority="2521">
      <formula>OR($J88="Breakfast", $J88="Lunch", $J88="Dinner")</formula>
    </cfRule>
    <cfRule type="expression" dxfId="3014" priority="2522">
      <formula>SEARCH("Meeting",$J88)</formula>
    </cfRule>
    <cfRule type="expression" dxfId="3013" priority="2523">
      <formula>SEARCH(" PM",$J88)</formula>
    </cfRule>
    <cfRule type="expression" dxfId="3012" priority="2524">
      <formula>SEARCH("DB",$J88)</formula>
    </cfRule>
    <cfRule type="expression" dxfId="3011" priority="2525">
      <formula>SEARCH("Driver Arrival",$J88)</formula>
    </cfRule>
    <cfRule type="expression" dxfId="3010" priority="2526">
      <formula>SEARCH("Qualifying",$J88)</formula>
    </cfRule>
    <cfRule type="expression" dxfId="3009" priority="2527">
      <formula>SEARCH("Race",$J88)</formula>
    </cfRule>
    <cfRule type="expression" dxfId="3008" priority="2528">
      <formula>SEARCH("Practice Session",$J88)</formula>
    </cfRule>
    <cfRule type="expression" dxfId="3007" priority="2529">
      <formula>SEARCH("Press",$J88)</formula>
    </cfRule>
    <cfRule type="expression" dxfId="3006" priority="2530">
      <formula>SEARCH("Picture",$J88)</formula>
    </cfRule>
    <cfRule type="expression" dxfId="3005" priority="2531">
      <formula>SEARCH("Media",$J88)</formula>
    </cfRule>
    <cfRule type="expression" dxfId="3004" priority="2532">
      <formula>SEARCH("Interview",$J88)</formula>
    </cfRule>
    <cfRule type="expression" dxfId="3003" priority="2533">
      <formula>SEARCH("Team Principal",$J88)</formula>
    </cfRule>
    <cfRule type="expression" dxfId="3002" priority="2534">
      <formula>SEARCH("Briefing",$J88)</formula>
    </cfRule>
    <cfRule type="expression" dxfId="3001" priority="2535">
      <formula>SEARCH("Sign on",$J88)</formula>
    </cfRule>
  </conditionalFormatting>
  <conditionalFormatting sqref="B10:AA10">
    <cfRule type="expression" dxfId="3000" priority="2011">
      <formula>OR($J10="Breakfast", $J10="Lunch", $J10="Dinner")</formula>
    </cfRule>
    <cfRule type="expression" dxfId="2999" priority="2012">
      <formula>SEARCH("Meeting",$J10)</formula>
    </cfRule>
    <cfRule type="expression" dxfId="2998" priority="2013">
      <formula>SEARCH(" PM",$J10)</formula>
    </cfRule>
    <cfRule type="expression" dxfId="2997" priority="2014">
      <formula>SEARCH("DB",$J10)</formula>
    </cfRule>
    <cfRule type="expression" dxfId="2996" priority="2015">
      <formula>SEARCH("Driver Arrival",$J10)</formula>
    </cfRule>
    <cfRule type="expression" dxfId="2995" priority="2016">
      <formula>SEARCH("Qualifying",$J10)</formula>
    </cfRule>
    <cfRule type="expression" dxfId="2994" priority="2017">
      <formula>SEARCH("Race",$J10)</formula>
    </cfRule>
    <cfRule type="expression" dxfId="2993" priority="2018">
      <formula>SEARCH("Practice Session",$J10)</formula>
    </cfRule>
    <cfRule type="expression" dxfId="2992" priority="2019">
      <formula>SEARCH("Press",$J10)</formula>
    </cfRule>
    <cfRule type="expression" dxfId="2991" priority="2020">
      <formula>SEARCH("Picture",$J10)</formula>
    </cfRule>
    <cfRule type="expression" dxfId="2990" priority="2021">
      <formula>SEARCH("Media",$J10)</formula>
    </cfRule>
    <cfRule type="expression" dxfId="2989" priority="2022">
      <formula>SEARCH("Interview",$J10)</formula>
    </cfRule>
    <cfRule type="expression" dxfId="2988" priority="2023">
      <formula>SEARCH("Team Principal",$J10)</formula>
    </cfRule>
    <cfRule type="expression" dxfId="2987" priority="2024">
      <formula>SEARCH("Briefing",$J10)</formula>
    </cfRule>
    <cfRule type="expression" dxfId="2986" priority="2025">
      <formula>SEARCH("Sign on",$J10)</formula>
    </cfRule>
  </conditionalFormatting>
  <conditionalFormatting sqref="J9:S9">
    <cfRule type="expression" dxfId="2985" priority="1996">
      <formula>OR($J9="Breakfast", $J9="Lunch", $J9="Dinner")</formula>
    </cfRule>
    <cfRule type="expression" dxfId="2984" priority="1997">
      <formula>SEARCH("Meeting",$J9)</formula>
    </cfRule>
    <cfRule type="expression" dxfId="2983" priority="1998">
      <formula>SEARCH(" PM",$J9)</formula>
    </cfRule>
    <cfRule type="expression" dxfId="2982" priority="1999">
      <formula>SEARCH("DB",$J9)</formula>
    </cfRule>
    <cfRule type="expression" dxfId="2981" priority="2000">
      <formula>SEARCH("Driver Arrival",$J9)</formula>
    </cfRule>
    <cfRule type="expression" dxfId="2980" priority="2001">
      <formula>SEARCH("Qualifying",$J9)</formula>
    </cfRule>
    <cfRule type="expression" dxfId="2979" priority="2002">
      <formula>SEARCH("Race",$J9)</formula>
    </cfRule>
    <cfRule type="expression" dxfId="2978" priority="2003">
      <formula>SEARCH("Practice Session",$J9)</formula>
    </cfRule>
    <cfRule type="expression" dxfId="2977" priority="2004">
      <formula>SEARCH("Press",$J9)</formula>
    </cfRule>
    <cfRule type="expression" dxfId="2976" priority="2005">
      <formula>SEARCH("Picture",$J9)</formula>
    </cfRule>
    <cfRule type="expression" dxfId="2975" priority="2006">
      <formula>SEARCH("Media",$J9)</formula>
    </cfRule>
    <cfRule type="expression" dxfId="2974" priority="2007">
      <formula>SEARCH("Interview",$J9)</formula>
    </cfRule>
    <cfRule type="expression" dxfId="2973" priority="2008">
      <formula>SEARCH("Team Principal",$J9)</formula>
    </cfRule>
    <cfRule type="expression" dxfId="2972" priority="2009">
      <formula>SEARCH("Briefing",$J9)</formula>
    </cfRule>
    <cfRule type="expression" dxfId="2971" priority="2010">
      <formula>SEARCH("Sign on",$J9)</formula>
    </cfRule>
  </conditionalFormatting>
  <conditionalFormatting sqref="B9:I9">
    <cfRule type="expression" dxfId="2970" priority="1981">
      <formula>OR($J9="Breakfast", $J9="Lunch", $J9="Dinner")</formula>
    </cfRule>
    <cfRule type="expression" dxfId="2969" priority="1982">
      <formula>SEARCH("Meeting",$J9)</formula>
    </cfRule>
    <cfRule type="expression" dxfId="2968" priority="1983">
      <formula>SEARCH(" PM",$J9)</formula>
    </cfRule>
    <cfRule type="expression" dxfId="2967" priority="1984">
      <formula>SEARCH("DB",$J9)</formula>
    </cfRule>
    <cfRule type="expression" dxfId="2966" priority="1985">
      <formula>SEARCH("Driver Arrival",$J9)</formula>
    </cfRule>
    <cfRule type="expression" dxfId="2965" priority="1986">
      <formula>SEARCH("Qualifying",$J9)</formula>
    </cfRule>
    <cfRule type="expression" dxfId="2964" priority="1987">
      <formula>SEARCH("Race",$J9)</formula>
    </cfRule>
    <cfRule type="expression" dxfId="2963" priority="1988">
      <formula>SEARCH("Practice Session",$J9)</formula>
    </cfRule>
    <cfRule type="expression" dxfId="2962" priority="1989">
      <formula>SEARCH("Press",$J9)</formula>
    </cfRule>
    <cfRule type="expression" dxfId="2961" priority="1990">
      <formula>SEARCH("Picture",$J9)</formula>
    </cfRule>
    <cfRule type="expression" dxfId="2960" priority="1991">
      <formula>SEARCH("Media",$J9)</formula>
    </cfRule>
    <cfRule type="expression" dxfId="2959" priority="1992">
      <formula>SEARCH("Interview",$J9)</formula>
    </cfRule>
    <cfRule type="expression" dxfId="2958" priority="1993">
      <formula>SEARCH("Team Principal",$J9)</formula>
    </cfRule>
    <cfRule type="expression" dxfId="2957" priority="1994">
      <formula>SEARCH("Briefing",$J9)</formula>
    </cfRule>
    <cfRule type="expression" dxfId="2956" priority="1995">
      <formula>SEARCH("Sign on",$J9)</formula>
    </cfRule>
  </conditionalFormatting>
  <conditionalFormatting sqref="T9:AA9">
    <cfRule type="expression" dxfId="2955" priority="1966">
      <formula>OR($J9="Breakfast", $J9="Lunch", $J9="Dinner")</formula>
    </cfRule>
    <cfRule type="expression" dxfId="2954" priority="1967">
      <formula>SEARCH("Meeting",$J9)</formula>
    </cfRule>
    <cfRule type="expression" dxfId="2953" priority="1968">
      <formula>SEARCH(" PM",$J9)</formula>
    </cfRule>
    <cfRule type="expression" dxfId="2952" priority="1969">
      <formula>SEARCH("DB",$J9)</formula>
    </cfRule>
    <cfRule type="expression" dxfId="2951" priority="1970">
      <formula>SEARCH("Driver Arrival",$J9)</formula>
    </cfRule>
    <cfRule type="expression" dxfId="2950" priority="1971">
      <formula>SEARCH("Qualifying",$J9)</formula>
    </cfRule>
    <cfRule type="expression" dxfId="2949" priority="1972">
      <formula>SEARCH("Race",$J9)</formula>
    </cfRule>
    <cfRule type="expression" dxfId="2948" priority="1973">
      <formula>SEARCH("Practice Session",$J9)</formula>
    </cfRule>
    <cfRule type="expression" dxfId="2947" priority="1974">
      <formula>SEARCH("Press",$J9)</formula>
    </cfRule>
    <cfRule type="expression" dxfId="2946" priority="1975">
      <formula>SEARCH("Picture",$J9)</formula>
    </cfRule>
    <cfRule type="expression" dxfId="2945" priority="1976">
      <formula>SEARCH("Media",$J9)</formula>
    </cfRule>
    <cfRule type="expression" dxfId="2944" priority="1977">
      <formula>SEARCH("Interview",$J9)</formula>
    </cfRule>
    <cfRule type="expression" dxfId="2943" priority="1978">
      <formula>SEARCH("Team Principal",$J9)</formula>
    </cfRule>
    <cfRule type="expression" dxfId="2942" priority="1979">
      <formula>SEARCH("Briefing",$J9)</formula>
    </cfRule>
    <cfRule type="expression" dxfId="2941" priority="1980">
      <formula>SEARCH("Sign on",$J9)</formula>
    </cfRule>
  </conditionalFormatting>
  <conditionalFormatting sqref="B14:AA14">
    <cfRule type="expression" dxfId="2940" priority="1951">
      <formula>OR($J14="Breakfast", $J14="Lunch", $J14="Dinner")</formula>
    </cfRule>
    <cfRule type="expression" dxfId="2939" priority="1952">
      <formula>SEARCH("Meeting",$J14)</formula>
    </cfRule>
    <cfRule type="expression" dxfId="2938" priority="1953">
      <formula>SEARCH(" PM",$J14)</formula>
    </cfRule>
    <cfRule type="expression" dxfId="2937" priority="1954">
      <formula>SEARCH("DB",$J14)</formula>
    </cfRule>
    <cfRule type="expression" dxfId="2936" priority="1955">
      <formula>SEARCH("Driver Arrival",$J14)</formula>
    </cfRule>
    <cfRule type="expression" dxfId="2935" priority="1956">
      <formula>SEARCH("Qualifying",$J14)</formula>
    </cfRule>
    <cfRule type="expression" dxfId="2934" priority="1957">
      <formula>SEARCH("Race",$J14)</formula>
    </cfRule>
    <cfRule type="expression" dxfId="2933" priority="1958">
      <formula>SEARCH("Practice Session",$J14)</formula>
    </cfRule>
    <cfRule type="expression" dxfId="2932" priority="1959">
      <formula>SEARCH("Press",$J14)</formula>
    </cfRule>
    <cfRule type="expression" dxfId="2931" priority="1960">
      <formula>SEARCH("Picture",$J14)</formula>
    </cfRule>
    <cfRule type="expression" dxfId="2930" priority="1961">
      <formula>SEARCH("Media",$J14)</formula>
    </cfRule>
    <cfRule type="expression" dxfId="2929" priority="1962">
      <formula>SEARCH("Interview",$J14)</formula>
    </cfRule>
    <cfRule type="expression" dxfId="2928" priority="1963">
      <formula>SEARCH("Team Principal",$J14)</formula>
    </cfRule>
    <cfRule type="expression" dxfId="2927" priority="1964">
      <formula>SEARCH("Briefing",$J14)</formula>
    </cfRule>
    <cfRule type="expression" dxfId="2926" priority="1965">
      <formula>SEARCH("Sign on",$J14)</formula>
    </cfRule>
  </conditionalFormatting>
  <conditionalFormatting sqref="E52:R52">
    <cfRule type="expression" dxfId="2925" priority="1771">
      <formula>OR($J52="Breakfast", $J52="Lunch", $J52="Dinner")</formula>
    </cfRule>
    <cfRule type="expression" dxfId="2924" priority="1772">
      <formula>SEARCH("Meeting",$J52)</formula>
    </cfRule>
    <cfRule type="expression" dxfId="2923" priority="1773">
      <formula>SEARCH(" PM",$J52)</formula>
    </cfRule>
    <cfRule type="expression" dxfId="2922" priority="1774">
      <formula>SEARCH("DB",$J52)</formula>
    </cfRule>
    <cfRule type="expression" dxfId="2921" priority="1775">
      <formula>SEARCH("Driver Arrival",$J52)</formula>
    </cfRule>
    <cfRule type="expression" dxfId="2920" priority="1776">
      <formula>SEARCH("Qualifying",$J52)</formula>
    </cfRule>
    <cfRule type="expression" dxfId="2919" priority="1777">
      <formula>SEARCH("Race",$J52)</formula>
    </cfRule>
    <cfRule type="expression" dxfId="2918" priority="1778">
      <formula>SEARCH("Practice Session",$J52)</formula>
    </cfRule>
    <cfRule type="expression" dxfId="2917" priority="1779">
      <formula>SEARCH("Press",$J52)</formula>
    </cfRule>
    <cfRule type="expression" dxfId="2916" priority="1780">
      <formula>SEARCH("Picture",$J52)</formula>
    </cfRule>
    <cfRule type="expression" dxfId="2915" priority="1781">
      <formula>SEARCH("Media",$J52)</formula>
    </cfRule>
    <cfRule type="expression" dxfId="2914" priority="1782">
      <formula>SEARCH("Interview",$J52)</formula>
    </cfRule>
    <cfRule type="expression" dxfId="2913" priority="1783">
      <formula>SEARCH("Team Principal",$J52)</formula>
    </cfRule>
    <cfRule type="expression" dxfId="2912" priority="1784">
      <formula>SEARCH("Briefing",$J52)</formula>
    </cfRule>
    <cfRule type="expression" dxfId="2911" priority="1785">
      <formula>SEARCH("Sign on",$J52)</formula>
    </cfRule>
  </conditionalFormatting>
  <conditionalFormatting sqref="T52:AA52">
    <cfRule type="expression" dxfId="2910" priority="1756">
      <formula>OR($J52="Breakfast", $J52="Lunch", $J52="Dinner")</formula>
    </cfRule>
    <cfRule type="expression" dxfId="2909" priority="1757">
      <formula>SEARCH("Meeting",$J52)</formula>
    </cfRule>
    <cfRule type="expression" dxfId="2908" priority="1758">
      <formula>SEARCH(" PM",$J52)</formula>
    </cfRule>
    <cfRule type="expression" dxfId="2907" priority="1759">
      <formula>SEARCH("DB",$J52)</formula>
    </cfRule>
    <cfRule type="expression" dxfId="2906" priority="1760">
      <formula>SEARCH("Driver Arrival",$J52)</formula>
    </cfRule>
    <cfRule type="expression" dxfId="2905" priority="1761">
      <formula>SEARCH("Qualifying",$J52)</formula>
    </cfRule>
    <cfRule type="expression" dxfId="2904" priority="1762">
      <formula>SEARCH("Race",$J52)</formula>
    </cfRule>
    <cfRule type="expression" dxfId="2903" priority="1763">
      <formula>SEARCH("Practice Session",$J52)</formula>
    </cfRule>
    <cfRule type="expression" dxfId="2902" priority="1764">
      <formula>SEARCH("Press",$J52)</formula>
    </cfRule>
    <cfRule type="expression" dxfId="2901" priority="1765">
      <formula>SEARCH("Picture",$J52)</formula>
    </cfRule>
    <cfRule type="expression" dxfId="2900" priority="1766">
      <formula>SEARCH("Media",$J52)</formula>
    </cfRule>
    <cfRule type="expression" dxfId="2899" priority="1767">
      <formula>SEARCH("Interview",$J52)</formula>
    </cfRule>
    <cfRule type="expression" dxfId="2898" priority="1768">
      <formula>SEARCH("Team Principal",$J52)</formula>
    </cfRule>
    <cfRule type="expression" dxfId="2897" priority="1769">
      <formula>SEARCH("Briefing",$J52)</formula>
    </cfRule>
    <cfRule type="expression" dxfId="2896" priority="1770">
      <formula>SEARCH("Sign on",$J52)</formula>
    </cfRule>
  </conditionalFormatting>
  <conditionalFormatting sqref="S52">
    <cfRule type="expression" dxfId="2895" priority="1741">
      <formula>OR($J52="Breakfast", $J52="Lunch", $J52="Dinner")</formula>
    </cfRule>
    <cfRule type="expression" dxfId="2894" priority="1742">
      <formula>SEARCH("Meeting",$J52)</formula>
    </cfRule>
    <cfRule type="expression" dxfId="2893" priority="1743">
      <formula>SEARCH(" PM",$J52)</formula>
    </cfRule>
    <cfRule type="expression" dxfId="2892" priority="1744">
      <formula>SEARCH("DB",$J52)</formula>
    </cfRule>
    <cfRule type="expression" dxfId="2891" priority="1745">
      <formula>SEARCH("Driver Arrival",$J52)</formula>
    </cfRule>
    <cfRule type="expression" dxfId="2890" priority="1746">
      <formula>SEARCH("Qualifying",$J52)</formula>
    </cfRule>
    <cfRule type="expression" dxfId="2889" priority="1747">
      <formula>SEARCH("Race",$J52)</formula>
    </cfRule>
    <cfRule type="expression" dxfId="2888" priority="1748">
      <formula>SEARCH("Practice Session",$J52)</formula>
    </cfRule>
    <cfRule type="expression" dxfId="2887" priority="1749">
      <formula>SEARCH("Press",$J52)</formula>
    </cfRule>
    <cfRule type="expression" dxfId="2886" priority="1750">
      <formula>SEARCH("Picture",$J52)</formula>
    </cfRule>
    <cfRule type="expression" dxfId="2885" priority="1751">
      <formula>SEARCH("Media",$J52)</formula>
    </cfRule>
    <cfRule type="expression" dxfId="2884" priority="1752">
      <formula>SEARCH("Interview",$J52)</formula>
    </cfRule>
    <cfRule type="expression" dxfId="2883" priority="1753">
      <formula>SEARCH("Team Principal",$J52)</formula>
    </cfRule>
    <cfRule type="expression" dxfId="2882" priority="1754">
      <formula>SEARCH("Briefing",$J52)</formula>
    </cfRule>
    <cfRule type="expression" dxfId="2881" priority="1755">
      <formula>SEARCH("Sign on",$J52)</formula>
    </cfRule>
  </conditionalFormatting>
  <conditionalFormatting sqref="B128:D128">
    <cfRule type="expression" dxfId="2880" priority="1681">
      <formula>OR($J128="Breakfast", $J128="Lunch", $J128="Dinner")</formula>
    </cfRule>
    <cfRule type="expression" dxfId="2879" priority="1682">
      <formula>SEARCH("Meeting",$J128)</formula>
    </cfRule>
    <cfRule type="expression" dxfId="2878" priority="1683">
      <formula>SEARCH(" PM",$J128)</formula>
    </cfRule>
    <cfRule type="expression" dxfId="2877" priority="1684">
      <formula>SEARCH("DB",$J128)</formula>
    </cfRule>
    <cfRule type="expression" dxfId="2876" priority="1685">
      <formula>SEARCH("Driver Arrival",$J128)</formula>
    </cfRule>
    <cfRule type="expression" dxfId="2875" priority="1686">
      <formula>SEARCH("Qualifying",$J128)</formula>
    </cfRule>
    <cfRule type="expression" dxfId="2874" priority="1687">
      <formula>SEARCH("Race",$J128)</formula>
    </cfRule>
    <cfRule type="expression" dxfId="2873" priority="1688">
      <formula>SEARCH("Practice Session",$J128)</formula>
    </cfRule>
    <cfRule type="expression" dxfId="2872" priority="1689">
      <formula>SEARCH("Press",$J128)</formula>
    </cfRule>
    <cfRule type="expression" dxfId="2871" priority="1690">
      <formula>SEARCH("Picture",$J128)</formula>
    </cfRule>
    <cfRule type="expression" dxfId="2870" priority="1691">
      <formula>SEARCH("Media",$J128)</formula>
    </cfRule>
    <cfRule type="expression" dxfId="2869" priority="1692">
      <formula>SEARCH("Interview",$J128)</formula>
    </cfRule>
    <cfRule type="expression" dxfId="2868" priority="1693">
      <formula>SEARCH("Team Principal",$J128)</formula>
    </cfRule>
    <cfRule type="expression" dxfId="2867" priority="1694">
      <formula>SEARCH("Briefing",$J128)</formula>
    </cfRule>
    <cfRule type="expression" dxfId="2866" priority="1695">
      <formula>SEARCH("Sign on",$J128)</formula>
    </cfRule>
  </conditionalFormatting>
  <conditionalFormatting sqref="B152:AA152">
    <cfRule type="expression" dxfId="2865" priority="1606">
      <formula>OR($J152="Breakfast", $J152="Lunch", $J152="Dinner")</formula>
    </cfRule>
    <cfRule type="expression" dxfId="2864" priority="1607">
      <formula>SEARCH("Meeting",$J152)</formula>
    </cfRule>
    <cfRule type="expression" dxfId="2863" priority="1608">
      <formula>SEARCH(" PM",$J152)</formula>
    </cfRule>
    <cfRule type="expression" dxfId="2862" priority="1609">
      <formula>SEARCH("DB",$J152)</formula>
    </cfRule>
    <cfRule type="expression" dxfId="2861" priority="1610">
      <formula>SEARCH("Driver Arrival",$J152)</formula>
    </cfRule>
    <cfRule type="expression" dxfId="2860" priority="1611">
      <formula>SEARCH("Qualifying",$J152)</formula>
    </cfRule>
    <cfRule type="expression" dxfId="2859" priority="1612">
      <formula>SEARCH("Race",$J152)</formula>
    </cfRule>
    <cfRule type="expression" dxfId="2858" priority="1613">
      <formula>SEARCH("Practice Session",$J152)</formula>
    </cfRule>
    <cfRule type="expression" dxfId="2857" priority="1614">
      <formula>SEARCH("Press",$J152)</formula>
    </cfRule>
    <cfRule type="expression" dxfId="2856" priority="1615">
      <formula>SEARCH("Picture",$J152)</formula>
    </cfRule>
    <cfRule type="expression" dxfId="2855" priority="1616">
      <formula>SEARCH("Media",$J152)</formula>
    </cfRule>
    <cfRule type="expression" dxfId="2854" priority="1617">
      <formula>SEARCH("Interview",$J152)</formula>
    </cfRule>
    <cfRule type="expression" dxfId="2853" priority="1618">
      <formula>SEARCH("Team Principal",$J152)</formula>
    </cfRule>
    <cfRule type="expression" dxfId="2852" priority="1619">
      <formula>SEARCH("Briefing",$J152)</formula>
    </cfRule>
    <cfRule type="expression" dxfId="2851" priority="1620">
      <formula>SEARCH("Sign on",$J152)</formula>
    </cfRule>
  </conditionalFormatting>
  <conditionalFormatting sqref="B18:AA18">
    <cfRule type="expression" dxfId="2850" priority="1426">
      <formula>OR($J18="Breakfast", $J18="Lunch", $J18="Dinner")</formula>
    </cfRule>
    <cfRule type="expression" dxfId="2849" priority="1427">
      <formula>SEARCH("Meeting",$J18)</formula>
    </cfRule>
    <cfRule type="expression" dxfId="2848" priority="1428">
      <formula>SEARCH(" PM",$J18)</formula>
    </cfRule>
    <cfRule type="expression" dxfId="2847" priority="1429">
      <formula>SEARCH("DB",$J18)</formula>
    </cfRule>
    <cfRule type="expression" dxfId="2846" priority="1430">
      <formula>SEARCH("Driver Arrival",$J18)</formula>
    </cfRule>
    <cfRule type="expression" dxfId="2845" priority="1431">
      <formula>SEARCH("Qualifying",$J18)</formula>
    </cfRule>
    <cfRule type="expression" dxfId="2844" priority="1432">
      <formula>SEARCH("Race",$J18)</formula>
    </cfRule>
    <cfRule type="expression" dxfId="2843" priority="1433">
      <formula>SEARCH("Practice Session",$J18)</formula>
    </cfRule>
    <cfRule type="expression" dxfId="2842" priority="1434">
      <formula>SEARCH("Press",$J18)</formula>
    </cfRule>
    <cfRule type="expression" dxfId="2841" priority="1435">
      <formula>SEARCH("Picture",$J18)</formula>
    </cfRule>
    <cfRule type="expression" dxfId="2840" priority="1436">
      <formula>SEARCH("Media",$J18)</formula>
    </cfRule>
    <cfRule type="expression" dxfId="2839" priority="1437">
      <formula>SEARCH("Interview",$J18)</formula>
    </cfRule>
    <cfRule type="expression" dxfId="2838" priority="1438">
      <formula>SEARCH("Team Principal",$J18)</formula>
    </cfRule>
    <cfRule type="expression" dxfId="2837" priority="1439">
      <formula>SEARCH("Briefing",$J18)</formula>
    </cfRule>
    <cfRule type="expression" dxfId="2836" priority="1440">
      <formula>SEARCH("Sign on",$J18)</formula>
    </cfRule>
  </conditionalFormatting>
  <conditionalFormatting sqref="J17:S17">
    <cfRule type="expression" dxfId="2835" priority="1411">
      <formula>OR($J17="Breakfast", $J17="Lunch", $J17="Dinner")</formula>
    </cfRule>
    <cfRule type="expression" dxfId="2834" priority="1412">
      <formula>SEARCH("Meeting",$J17)</formula>
    </cfRule>
    <cfRule type="expression" dxfId="2833" priority="1413">
      <formula>SEARCH(" PM",$J17)</formula>
    </cfRule>
    <cfRule type="expression" dxfId="2832" priority="1414">
      <formula>SEARCH("DB",$J17)</formula>
    </cfRule>
    <cfRule type="expression" dxfId="2831" priority="1415">
      <formula>SEARCH("Driver Arrival",$J17)</formula>
    </cfRule>
    <cfRule type="expression" dxfId="2830" priority="1416">
      <formula>SEARCH("Qualifying",$J17)</formula>
    </cfRule>
    <cfRule type="expression" dxfId="2829" priority="1417">
      <formula>SEARCH("Race",$J17)</formula>
    </cfRule>
    <cfRule type="expression" dxfId="2828" priority="1418">
      <formula>SEARCH("Practice Session",$J17)</formula>
    </cfRule>
    <cfRule type="expression" dxfId="2827" priority="1419">
      <formula>SEARCH("Press",$J17)</formula>
    </cfRule>
    <cfRule type="expression" dxfId="2826" priority="1420">
      <formula>SEARCH("Picture",$J17)</formula>
    </cfRule>
    <cfRule type="expression" dxfId="2825" priority="1421">
      <formula>SEARCH("Media",$J17)</formula>
    </cfRule>
    <cfRule type="expression" dxfId="2824" priority="1422">
      <formula>SEARCH("Interview",$J17)</formula>
    </cfRule>
    <cfRule type="expression" dxfId="2823" priority="1423">
      <formula>SEARCH("Team Principal",$J17)</formula>
    </cfRule>
    <cfRule type="expression" dxfId="2822" priority="1424">
      <formula>SEARCH("Briefing",$J17)</formula>
    </cfRule>
    <cfRule type="expression" dxfId="2821" priority="1425">
      <formula>SEARCH("Sign on",$J17)</formula>
    </cfRule>
  </conditionalFormatting>
  <conditionalFormatting sqref="B17:I17">
    <cfRule type="expression" dxfId="2820" priority="1396">
      <formula>OR($J17="Breakfast", $J17="Lunch", $J17="Dinner")</formula>
    </cfRule>
    <cfRule type="expression" dxfId="2819" priority="1397">
      <formula>SEARCH("Meeting",$J17)</formula>
    </cfRule>
    <cfRule type="expression" dxfId="2818" priority="1398">
      <formula>SEARCH(" PM",$J17)</formula>
    </cfRule>
    <cfRule type="expression" dxfId="2817" priority="1399">
      <formula>SEARCH("DB",$J17)</formula>
    </cfRule>
    <cfRule type="expression" dxfId="2816" priority="1400">
      <formula>SEARCH("Driver Arrival",$J17)</formula>
    </cfRule>
    <cfRule type="expression" dxfId="2815" priority="1401">
      <formula>SEARCH("Qualifying",$J17)</formula>
    </cfRule>
    <cfRule type="expression" dxfId="2814" priority="1402">
      <formula>SEARCH("Race",$J17)</formula>
    </cfRule>
    <cfRule type="expression" dxfId="2813" priority="1403">
      <formula>SEARCH("Practice Session",$J17)</formula>
    </cfRule>
    <cfRule type="expression" dxfId="2812" priority="1404">
      <formula>SEARCH("Press",$J17)</formula>
    </cfRule>
    <cfRule type="expression" dxfId="2811" priority="1405">
      <formula>SEARCH("Picture",$J17)</formula>
    </cfRule>
    <cfRule type="expression" dxfId="2810" priority="1406">
      <formula>SEARCH("Media",$J17)</formula>
    </cfRule>
    <cfRule type="expression" dxfId="2809" priority="1407">
      <formula>SEARCH("Interview",$J17)</formula>
    </cfRule>
    <cfRule type="expression" dxfId="2808" priority="1408">
      <formula>SEARCH("Team Principal",$J17)</formula>
    </cfRule>
    <cfRule type="expression" dxfId="2807" priority="1409">
      <formula>SEARCH("Briefing",$J17)</formula>
    </cfRule>
    <cfRule type="expression" dxfId="2806" priority="1410">
      <formula>SEARCH("Sign on",$J17)</formula>
    </cfRule>
  </conditionalFormatting>
  <conditionalFormatting sqref="T17:AA17">
    <cfRule type="expression" dxfId="2805" priority="1381">
      <formula>OR($J17="Breakfast", $J17="Lunch", $J17="Dinner")</formula>
    </cfRule>
    <cfRule type="expression" dxfId="2804" priority="1382">
      <formula>SEARCH("Meeting",$J17)</formula>
    </cfRule>
    <cfRule type="expression" dxfId="2803" priority="1383">
      <formula>SEARCH(" PM",$J17)</formula>
    </cfRule>
    <cfRule type="expression" dxfId="2802" priority="1384">
      <formula>SEARCH("DB",$J17)</formula>
    </cfRule>
    <cfRule type="expression" dxfId="2801" priority="1385">
      <formula>SEARCH("Driver Arrival",$J17)</formula>
    </cfRule>
    <cfRule type="expression" dxfId="2800" priority="1386">
      <formula>SEARCH("Qualifying",$J17)</formula>
    </cfRule>
    <cfRule type="expression" dxfId="2799" priority="1387">
      <formula>SEARCH("Race",$J17)</formula>
    </cfRule>
    <cfRule type="expression" dxfId="2798" priority="1388">
      <formula>SEARCH("Practice Session",$J17)</formula>
    </cfRule>
    <cfRule type="expression" dxfId="2797" priority="1389">
      <formula>SEARCH("Press",$J17)</formula>
    </cfRule>
    <cfRule type="expression" dxfId="2796" priority="1390">
      <formula>SEARCH("Picture",$J17)</formula>
    </cfRule>
    <cfRule type="expression" dxfId="2795" priority="1391">
      <formula>SEARCH("Media",$J17)</formula>
    </cfRule>
    <cfRule type="expression" dxfId="2794" priority="1392">
      <formula>SEARCH("Interview",$J17)</formula>
    </cfRule>
    <cfRule type="expression" dxfId="2793" priority="1393">
      <formula>SEARCH("Team Principal",$J17)</formula>
    </cfRule>
    <cfRule type="expression" dxfId="2792" priority="1394">
      <formula>SEARCH("Briefing",$J17)</formula>
    </cfRule>
    <cfRule type="expression" dxfId="2791" priority="1395">
      <formula>SEARCH("Sign on",$J17)</formula>
    </cfRule>
  </conditionalFormatting>
  <conditionalFormatting sqref="E103:AA103">
    <cfRule type="expression" dxfId="2790" priority="1006">
      <formula>OR($J103="Breakfast", $J103="Lunch", $J103="Dinner")</formula>
    </cfRule>
    <cfRule type="expression" dxfId="2789" priority="1007">
      <formula>SEARCH("Meeting",$J103)</formula>
    </cfRule>
    <cfRule type="expression" dxfId="2788" priority="1008">
      <formula>SEARCH(" PM",$J103)</formula>
    </cfRule>
    <cfRule type="expression" dxfId="2787" priority="1009">
      <formula>SEARCH("DB",$J103)</formula>
    </cfRule>
    <cfRule type="expression" dxfId="2786" priority="1010">
      <formula>SEARCH("Driver Arrival",$J103)</formula>
    </cfRule>
    <cfRule type="expression" dxfId="2785" priority="1011">
      <formula>SEARCH("Qualifying",$J103)</formula>
    </cfRule>
    <cfRule type="expression" dxfId="2784" priority="1012">
      <formula>SEARCH("Race",$J103)</formula>
    </cfRule>
    <cfRule type="expression" dxfId="2783" priority="1013">
      <formula>SEARCH("Practice Session",$J103)</formula>
    </cfRule>
    <cfRule type="expression" dxfId="2782" priority="1014">
      <formula>SEARCH("Press",$J103)</formula>
    </cfRule>
    <cfRule type="expression" dxfId="2781" priority="1015">
      <formula>SEARCH("Picture",$J103)</formula>
    </cfRule>
    <cfRule type="expression" dxfId="2780" priority="1016">
      <formula>SEARCH("Media",$J103)</formula>
    </cfRule>
    <cfRule type="expression" dxfId="2779" priority="1017">
      <formula>SEARCH("Interview",$J103)</formula>
    </cfRule>
    <cfRule type="expression" dxfId="2778" priority="1018">
      <formula>SEARCH("Team Principal",$J103)</formula>
    </cfRule>
    <cfRule type="expression" dxfId="2777" priority="1019">
      <formula>SEARCH("Briefing",$J103)</formula>
    </cfRule>
    <cfRule type="expression" dxfId="2776" priority="1020">
      <formula>SEARCH("Sign on",$J103)</formula>
    </cfRule>
  </conditionalFormatting>
  <conditionalFormatting sqref="B96:AA96">
    <cfRule type="expression" dxfId="2775" priority="736">
      <formula>OR($J96="Breakfast", $J96="Lunch", $J96="Dinner")</formula>
    </cfRule>
    <cfRule type="expression" dxfId="2774" priority="737">
      <formula>SEARCH("Meeting",$J96)</formula>
    </cfRule>
    <cfRule type="expression" dxfId="2773" priority="738">
      <formula>SEARCH(" PM",$J96)</formula>
    </cfRule>
    <cfRule type="expression" dxfId="2772" priority="739">
      <formula>SEARCH("DB",$J96)</formula>
    </cfRule>
    <cfRule type="expression" dxfId="2771" priority="740">
      <formula>SEARCH("Driver Arrival",$J96)</formula>
    </cfRule>
    <cfRule type="expression" dxfId="2770" priority="741">
      <formula>SEARCH("Qualifying",$J96)</formula>
    </cfRule>
    <cfRule type="expression" dxfId="2769" priority="742">
      <formula>SEARCH("Race",$J96)</formula>
    </cfRule>
    <cfRule type="expression" dxfId="2768" priority="743">
      <formula>SEARCH("Practice Session",$J96)</formula>
    </cfRule>
    <cfRule type="expression" dxfId="2767" priority="744">
      <formula>SEARCH("Press",$J96)</formula>
    </cfRule>
    <cfRule type="expression" dxfId="2766" priority="745">
      <formula>SEARCH("Picture",$J96)</formula>
    </cfRule>
    <cfRule type="expression" dxfId="2765" priority="746">
      <formula>SEARCH("Media",$J96)</formula>
    </cfRule>
    <cfRule type="expression" dxfId="2764" priority="747">
      <formula>SEARCH("Interview",$J96)</formula>
    </cfRule>
    <cfRule type="expression" dxfId="2763" priority="748">
      <formula>SEARCH("Team Principal",$J96)</formula>
    </cfRule>
    <cfRule type="expression" dxfId="2762" priority="749">
      <formula>SEARCH("Briefing",$J96)</formula>
    </cfRule>
    <cfRule type="expression" dxfId="2761" priority="750">
      <formula>SEARCH("Sign on",$J96)</formula>
    </cfRule>
  </conditionalFormatting>
  <conditionalFormatting sqref="B97:AA97">
    <cfRule type="expression" dxfId="2760" priority="721">
      <formula>OR($J97="Breakfast", $J97="Lunch", $J97="Dinner")</formula>
    </cfRule>
    <cfRule type="expression" dxfId="2759" priority="722">
      <formula>SEARCH("Meeting",$J97)</formula>
    </cfRule>
    <cfRule type="expression" dxfId="2758" priority="723">
      <formula>SEARCH(" PM",$J97)</formula>
    </cfRule>
    <cfRule type="expression" dxfId="2757" priority="724">
      <formula>SEARCH("DB",$J97)</formula>
    </cfRule>
    <cfRule type="expression" dxfId="2756" priority="725">
      <formula>SEARCH("Driver Arrival",$J97)</formula>
    </cfRule>
    <cfRule type="expression" dxfId="2755" priority="726">
      <formula>SEARCH("Qualifying",$J97)</formula>
    </cfRule>
    <cfRule type="expression" dxfId="2754" priority="727">
      <formula>SEARCH("Race",$J97)</formula>
    </cfRule>
    <cfRule type="expression" dxfId="2753" priority="728">
      <formula>SEARCH("Practice Session",$J97)</formula>
    </cfRule>
    <cfRule type="expression" dxfId="2752" priority="729">
      <formula>SEARCH("Press",$J97)</formula>
    </cfRule>
    <cfRule type="expression" dxfId="2751" priority="730">
      <formula>SEARCH("Picture",$J97)</formula>
    </cfRule>
    <cfRule type="expression" dxfId="2750" priority="731">
      <formula>SEARCH("Media",$J97)</formula>
    </cfRule>
    <cfRule type="expression" dxfId="2749" priority="732">
      <formula>SEARCH("Interview",$J97)</formula>
    </cfRule>
    <cfRule type="expression" dxfId="2748" priority="733">
      <formula>SEARCH("Team Principal",$J97)</formula>
    </cfRule>
    <cfRule type="expression" dxfId="2747" priority="734">
      <formula>SEARCH("Briefing",$J97)</formula>
    </cfRule>
    <cfRule type="expression" dxfId="2746" priority="735">
      <formula>SEARCH("Sign on",$J97)</formula>
    </cfRule>
  </conditionalFormatting>
  <conditionalFormatting sqref="S98:AA98 B98:I98">
    <cfRule type="expression" dxfId="2745" priority="706">
      <formula>OR($J98="Breakfast", $J98="Lunch", $J98="Dinner")</formula>
    </cfRule>
    <cfRule type="expression" dxfId="2744" priority="707">
      <formula>SEARCH("Meeting",$J98)</formula>
    </cfRule>
    <cfRule type="expression" dxfId="2743" priority="708">
      <formula>SEARCH(" PM",$J98)</formula>
    </cfRule>
    <cfRule type="expression" dxfId="2742" priority="709">
      <formula>SEARCH("DB",$J98)</formula>
    </cfRule>
    <cfRule type="expression" dxfId="2741" priority="710">
      <formula>SEARCH("Driver Arrival",$J98)</formula>
    </cfRule>
    <cfRule type="expression" dxfId="2740" priority="711">
      <formula>SEARCH("Qualifying",$J98)</formula>
    </cfRule>
    <cfRule type="expression" dxfId="2739" priority="712">
      <formula>SEARCH("Race",$J98)</formula>
    </cfRule>
    <cfRule type="expression" dxfId="2738" priority="713">
      <formula>SEARCH("Practice Session",$J98)</formula>
    </cfRule>
    <cfRule type="expression" dxfId="2737" priority="714">
      <formula>SEARCH("Press",$J98)</formula>
    </cfRule>
    <cfRule type="expression" dxfId="2736" priority="715">
      <formula>SEARCH("Picture",$J98)</formula>
    </cfRule>
    <cfRule type="expression" dxfId="2735" priority="716">
      <formula>SEARCH("Media",$J98)</formula>
    </cfRule>
    <cfRule type="expression" dxfId="2734" priority="717">
      <formula>SEARCH("Interview",$J98)</formula>
    </cfRule>
    <cfRule type="expression" dxfId="2733" priority="718">
      <formula>SEARCH("Team Principal",$J98)</formula>
    </cfRule>
    <cfRule type="expression" dxfId="2732" priority="719">
      <formula>SEARCH("Briefing",$J98)</formula>
    </cfRule>
    <cfRule type="expression" dxfId="2731" priority="720">
      <formula>SEARCH("Sign on",$J98)</formula>
    </cfRule>
  </conditionalFormatting>
  <conditionalFormatting sqref="J98:R98">
    <cfRule type="expression" dxfId="2730" priority="691">
      <formula>OR($J98="Breakfast", $J98="Lunch", $J98="Dinner")</formula>
    </cfRule>
    <cfRule type="expression" dxfId="2729" priority="692">
      <formula>SEARCH("Meeting",$J98)</formula>
    </cfRule>
    <cfRule type="expression" dxfId="2728" priority="693">
      <formula>SEARCH(" PM",$J98)</formula>
    </cfRule>
    <cfRule type="expression" dxfId="2727" priority="694">
      <formula>SEARCH("DB",$J98)</formula>
    </cfRule>
    <cfRule type="expression" dxfId="2726" priority="695">
      <formula>SEARCH("Driver Arrival",$J98)</formula>
    </cfRule>
    <cfRule type="expression" dxfId="2725" priority="696">
      <formula>SEARCH("Qualifying",$J98)</formula>
    </cfRule>
    <cfRule type="expression" dxfId="2724" priority="697">
      <formula>SEARCH("Race",$J98)</formula>
    </cfRule>
    <cfRule type="expression" dxfId="2723" priority="698">
      <formula>SEARCH("Practice Session",$J98)</formula>
    </cfRule>
    <cfRule type="expression" dxfId="2722" priority="699">
      <formula>SEARCH("Press",$J98)</formula>
    </cfRule>
    <cfRule type="expression" dxfId="2721" priority="700">
      <formula>SEARCH("Picture",$J98)</formula>
    </cfRule>
    <cfRule type="expression" dxfId="2720" priority="701">
      <formula>SEARCH("Media",$J98)</formula>
    </cfRule>
    <cfRule type="expression" dxfId="2719" priority="702">
      <formula>SEARCH("Interview",$J98)</formula>
    </cfRule>
    <cfRule type="expression" dxfId="2718" priority="703">
      <formula>SEARCH("Team Principal",$J98)</formula>
    </cfRule>
    <cfRule type="expression" dxfId="2717" priority="704">
      <formula>SEARCH("Briefing",$J98)</formula>
    </cfRule>
    <cfRule type="expression" dxfId="2716" priority="705">
      <formula>SEARCH("Sign on",$J98)</formula>
    </cfRule>
  </conditionalFormatting>
  <conditionalFormatting sqref="B127:AA127">
    <cfRule type="expression" dxfId="2715" priority="676">
      <formula>OR($J127="Breakfast", $J127="Lunch", $J127="Dinner")</formula>
    </cfRule>
    <cfRule type="expression" dxfId="2714" priority="677">
      <formula>SEARCH("Meeting",$J127)</formula>
    </cfRule>
    <cfRule type="expression" dxfId="2713" priority="678">
      <formula>SEARCH(" PM",$J127)</formula>
    </cfRule>
    <cfRule type="expression" dxfId="2712" priority="679">
      <formula>SEARCH("DB",$J127)</formula>
    </cfRule>
    <cfRule type="expression" dxfId="2711" priority="680">
      <formula>SEARCH("Driver Arrival",$J127)</formula>
    </cfRule>
    <cfRule type="expression" dxfId="2710" priority="681">
      <formula>SEARCH("Qualifying",$J127)</formula>
    </cfRule>
    <cfRule type="expression" dxfId="2709" priority="682">
      <formula>SEARCH("Race",$J127)</formula>
    </cfRule>
    <cfRule type="expression" dxfId="2708" priority="683">
      <formula>SEARCH("Practice Session",$J127)</formula>
    </cfRule>
    <cfRule type="expression" dxfId="2707" priority="684">
      <formula>SEARCH("Press",$J127)</formula>
    </cfRule>
    <cfRule type="expression" dxfId="2706" priority="685">
      <formula>SEARCH("Picture",$J127)</formula>
    </cfRule>
    <cfRule type="expression" dxfId="2705" priority="686">
      <formula>SEARCH("Media",$J127)</formula>
    </cfRule>
    <cfRule type="expression" dxfId="2704" priority="687">
      <formula>SEARCH("Interview",$J127)</formula>
    </cfRule>
    <cfRule type="expression" dxfId="2703" priority="688">
      <formula>SEARCH("Team Principal",$J127)</formula>
    </cfRule>
    <cfRule type="expression" dxfId="2702" priority="689">
      <formula>SEARCH("Briefing",$J127)</formula>
    </cfRule>
    <cfRule type="expression" dxfId="2701" priority="690">
      <formula>SEARCH("Sign on",$J127)</formula>
    </cfRule>
  </conditionalFormatting>
  <conditionalFormatting sqref="B15:AA15">
    <cfRule type="expression" dxfId="2700" priority="646">
      <formula>OR($J15="Breakfast", $J15="Lunch", $J15="Dinner")</formula>
    </cfRule>
    <cfRule type="expression" dxfId="2699" priority="647">
      <formula>SEARCH("Meeting",$J15)</formula>
    </cfRule>
    <cfRule type="expression" dxfId="2698" priority="648">
      <formula>SEARCH(" PM",$J15)</formula>
    </cfRule>
    <cfRule type="expression" dxfId="2697" priority="649">
      <formula>SEARCH("DB",$J15)</formula>
    </cfRule>
    <cfRule type="expression" dxfId="2696" priority="650">
      <formula>SEARCH("Driver Arrival",$J15)</formula>
    </cfRule>
    <cfRule type="expression" dxfId="2695" priority="651">
      <formula>SEARCH("Qualifying",$J15)</formula>
    </cfRule>
    <cfRule type="expression" dxfId="2694" priority="652">
      <formula>SEARCH("Race",$J15)</formula>
    </cfRule>
    <cfRule type="expression" dxfId="2693" priority="653">
      <formula>SEARCH("Practice Session",$J15)</formula>
    </cfRule>
    <cfRule type="expression" dxfId="2692" priority="654">
      <formula>SEARCH("Press",$J15)</formula>
    </cfRule>
    <cfRule type="expression" dxfId="2691" priority="655">
      <formula>SEARCH("Picture",$J15)</formula>
    </cfRule>
    <cfRule type="expression" dxfId="2690" priority="656">
      <formula>SEARCH("Media",$J15)</formula>
    </cfRule>
    <cfRule type="expression" dxfId="2689" priority="657">
      <formula>SEARCH("Interview",$J15)</formula>
    </cfRule>
    <cfRule type="expression" dxfId="2688" priority="658">
      <formula>SEARCH("Team Principal",$J15)</formula>
    </cfRule>
    <cfRule type="expression" dxfId="2687" priority="659">
      <formula>SEARCH("Briefing",$J15)</formula>
    </cfRule>
    <cfRule type="expression" dxfId="2686" priority="660">
      <formula>SEARCH("Sign on",$J15)</formula>
    </cfRule>
  </conditionalFormatting>
  <conditionalFormatting sqref="E19:AA19 B22:AA22">
    <cfRule type="expression" dxfId="2685" priority="616">
      <formula>OR($J19="Breakfast", $J19="Lunch", $J19="Dinner")</formula>
    </cfRule>
    <cfRule type="expression" dxfId="2684" priority="617">
      <formula>SEARCH("Meeting",$J19)</formula>
    </cfRule>
    <cfRule type="expression" dxfId="2683" priority="618">
      <formula>SEARCH(" PM",$J19)</formula>
    </cfRule>
    <cfRule type="expression" dxfId="2682" priority="619">
      <formula>SEARCH("DB",$J19)</formula>
    </cfRule>
    <cfRule type="expression" dxfId="2681" priority="620">
      <formula>SEARCH("Driver Arrival",$J19)</formula>
    </cfRule>
    <cfRule type="expression" dxfId="2680" priority="621">
      <formula>SEARCH("Qualifying",$J19)</formula>
    </cfRule>
    <cfRule type="expression" dxfId="2679" priority="622">
      <formula>SEARCH("Race",$J19)</formula>
    </cfRule>
    <cfRule type="expression" dxfId="2678" priority="623">
      <formula>SEARCH("Practice Session",$J19)</formula>
    </cfRule>
    <cfRule type="expression" dxfId="2677" priority="624">
      <formula>SEARCH("Press",$J19)</formula>
    </cfRule>
    <cfRule type="expression" dxfId="2676" priority="625">
      <formula>SEARCH("Picture",$J19)</formula>
    </cfRule>
    <cfRule type="expression" dxfId="2675" priority="626">
      <formula>SEARCH("Media",$J19)</formula>
    </cfRule>
    <cfRule type="expression" dxfId="2674" priority="627">
      <formula>SEARCH("Interview",$J19)</formula>
    </cfRule>
    <cfRule type="expression" dxfId="2673" priority="628">
      <formula>SEARCH("Team Principal",$J19)</formula>
    </cfRule>
    <cfRule type="expression" dxfId="2672" priority="629">
      <formula>SEARCH("Briefing",$J19)</formula>
    </cfRule>
    <cfRule type="expression" dxfId="2671" priority="630">
      <formula>SEARCH("Sign on",$J19)</formula>
    </cfRule>
  </conditionalFormatting>
  <conditionalFormatting sqref="B19:D19">
    <cfRule type="expression" dxfId="2670" priority="601">
      <formula>OR($J19="Breakfast", $J19="Lunch", $J19="Dinner")</formula>
    </cfRule>
    <cfRule type="expression" dxfId="2669" priority="602">
      <formula>SEARCH("Meeting",$J19)</formula>
    </cfRule>
    <cfRule type="expression" dxfId="2668" priority="603">
      <formula>SEARCH(" PM",$J19)</formula>
    </cfRule>
    <cfRule type="expression" dxfId="2667" priority="604">
      <formula>SEARCH("DB",$J19)</formula>
    </cfRule>
    <cfRule type="expression" dxfId="2666" priority="605">
      <formula>SEARCH("Driver Arrival",$J19)</formula>
    </cfRule>
    <cfRule type="expression" dxfId="2665" priority="606">
      <formula>SEARCH("Qualifying",$J19)</formula>
    </cfRule>
    <cfRule type="expression" dxfId="2664" priority="607">
      <formula>SEARCH("Race",$J19)</formula>
    </cfRule>
    <cfRule type="expression" dxfId="2663" priority="608">
      <formula>SEARCH("Practice Session",$J19)</formula>
    </cfRule>
    <cfRule type="expression" dxfId="2662" priority="609">
      <formula>SEARCH("Press",$J19)</formula>
    </cfRule>
    <cfRule type="expression" dxfId="2661" priority="610">
      <formula>SEARCH("Picture",$J19)</formula>
    </cfRule>
    <cfRule type="expression" dxfId="2660" priority="611">
      <formula>SEARCH("Media",$J19)</formula>
    </cfRule>
    <cfRule type="expression" dxfId="2659" priority="612">
      <formula>SEARCH("Interview",$J19)</formula>
    </cfRule>
    <cfRule type="expression" dxfId="2658" priority="613">
      <formula>SEARCH("Team Principal",$J19)</formula>
    </cfRule>
    <cfRule type="expression" dxfId="2657" priority="614">
      <formula>SEARCH("Briefing",$J19)</formula>
    </cfRule>
    <cfRule type="expression" dxfId="2656" priority="615">
      <formula>SEARCH("Sign on",$J19)</formula>
    </cfRule>
  </conditionalFormatting>
  <conditionalFormatting sqref="E25:AA25 H29:I29 H44:I44 B32:AA33 B43:R43 T43:AA43 B30:T30 B35:R35 B26:AA28 B45:AA46 B42:AA42 T35:AA35 B38:AA39">
    <cfRule type="expression" dxfId="2655" priority="586">
      <formula>OR($J25="Breakfast", $J25="Lunch", $J25="Dinner")</formula>
    </cfRule>
    <cfRule type="expression" dxfId="2654" priority="587">
      <formula>SEARCH("Meeting",$J25)</formula>
    </cfRule>
    <cfRule type="expression" dxfId="2653" priority="588">
      <formula>SEARCH(" PM",$J25)</formula>
    </cfRule>
    <cfRule type="expression" dxfId="2652" priority="589">
      <formula>SEARCH("DB",$J25)</formula>
    </cfRule>
    <cfRule type="expression" dxfId="2651" priority="590">
      <formula>SEARCH("Driver Arrival",$J25)</formula>
    </cfRule>
    <cfRule type="expression" dxfId="2650" priority="591">
      <formula>SEARCH("Qualifying",$J25)</formula>
    </cfRule>
    <cfRule type="expression" dxfId="2649" priority="592">
      <formula>SEARCH("Race",$J25)</formula>
    </cfRule>
    <cfRule type="expression" dxfId="2648" priority="593">
      <formula>SEARCH("Practice Session",$J25)</formula>
    </cfRule>
    <cfRule type="expression" dxfId="2647" priority="594">
      <formula>SEARCH("Press",$J25)</formula>
    </cfRule>
    <cfRule type="expression" dxfId="2646" priority="595">
      <formula>SEARCH("Picture",$J25)</formula>
    </cfRule>
    <cfRule type="expression" dxfId="2645" priority="596">
      <formula>SEARCH("Media",$J25)</formula>
    </cfRule>
    <cfRule type="expression" dxfId="2644" priority="597">
      <formula>SEARCH("Interview",$J25)</formula>
    </cfRule>
    <cfRule type="expression" dxfId="2643" priority="598">
      <formula>SEARCH("Team Principal",$J25)</formula>
    </cfRule>
    <cfRule type="expression" dxfId="2642" priority="599">
      <formula>SEARCH("Briefing",$J25)</formula>
    </cfRule>
    <cfRule type="expression" dxfId="2641" priority="600">
      <formula>SEARCH("Sign on",$J25)</formula>
    </cfRule>
  </conditionalFormatting>
  <conditionalFormatting sqref="B25:D25">
    <cfRule type="expression" dxfId="2640" priority="571">
      <formula>OR($J25="Breakfast", $J25="Lunch", $J25="Dinner")</formula>
    </cfRule>
    <cfRule type="expression" dxfId="2639" priority="572">
      <formula>SEARCH("Meeting",$J25)</formula>
    </cfRule>
    <cfRule type="expression" dxfId="2638" priority="573">
      <formula>SEARCH(" PM",$J25)</formula>
    </cfRule>
    <cfRule type="expression" dxfId="2637" priority="574">
      <formula>SEARCH("DB",$J25)</formula>
    </cfRule>
    <cfRule type="expression" dxfId="2636" priority="575">
      <formula>SEARCH("Driver Arrival",$J25)</formula>
    </cfRule>
    <cfRule type="expression" dxfId="2635" priority="576">
      <formula>SEARCH("Qualifying",$J25)</formula>
    </cfRule>
    <cfRule type="expression" dxfId="2634" priority="577">
      <formula>SEARCH("Race",$J25)</formula>
    </cfRule>
    <cfRule type="expression" dxfId="2633" priority="578">
      <formula>SEARCH("Practice Session",$J25)</formula>
    </cfRule>
    <cfRule type="expression" dxfId="2632" priority="579">
      <formula>SEARCH("Press",$J25)</formula>
    </cfRule>
    <cfRule type="expression" dxfId="2631" priority="580">
      <formula>SEARCH("Picture",$J25)</formula>
    </cfRule>
    <cfRule type="expression" dxfId="2630" priority="581">
      <formula>SEARCH("Media",$J25)</formula>
    </cfRule>
    <cfRule type="expression" dxfId="2629" priority="582">
      <formula>SEARCH("Interview",$J25)</formula>
    </cfRule>
    <cfRule type="expression" dxfId="2628" priority="583">
      <formula>SEARCH("Team Principal",$J25)</formula>
    </cfRule>
    <cfRule type="expression" dxfId="2627" priority="584">
      <formula>SEARCH("Briefing",$J25)</formula>
    </cfRule>
    <cfRule type="expression" dxfId="2626" priority="585">
      <formula>SEARCH("Sign on",$J25)</formula>
    </cfRule>
  </conditionalFormatting>
  <conditionalFormatting sqref="B29:G29 J29:AA29">
    <cfRule type="expression" dxfId="2625" priority="556">
      <formula>OR($J29="Breakfast", $J29="Lunch", $J29="Dinner")</formula>
    </cfRule>
    <cfRule type="expression" dxfId="2624" priority="557">
      <formula>SEARCH("Meeting",$J29)</formula>
    </cfRule>
    <cfRule type="expression" dxfId="2623" priority="558">
      <formula>SEARCH(" PM",$J29)</formula>
    </cfRule>
    <cfRule type="expression" dxfId="2622" priority="559">
      <formula>SEARCH("DB",$J29)</formula>
    </cfRule>
    <cfRule type="expression" dxfId="2621" priority="560">
      <formula>SEARCH("Driver Arrival",$J29)</formula>
    </cfRule>
    <cfRule type="expression" dxfId="2620" priority="561">
      <formula>SEARCH("Qualifying",$J29)</formula>
    </cfRule>
    <cfRule type="expression" dxfId="2619" priority="562">
      <formula>SEARCH("Race",$J29)</formula>
    </cfRule>
    <cfRule type="expression" dxfId="2618" priority="563">
      <formula>SEARCH("Practice Session",$J29)</formula>
    </cfRule>
    <cfRule type="expression" dxfId="2617" priority="564">
      <formula>SEARCH("Press",$J29)</formula>
    </cfRule>
    <cfRule type="expression" dxfId="2616" priority="565">
      <formula>SEARCH("Picture",$J29)</formula>
    </cfRule>
    <cfRule type="expression" dxfId="2615" priority="566">
      <formula>SEARCH("Media",$J29)</formula>
    </cfRule>
    <cfRule type="expression" dxfId="2614" priority="567">
      <formula>SEARCH("Interview",$J29)</formula>
    </cfRule>
    <cfRule type="expression" dxfId="2613" priority="568">
      <formula>SEARCH("Team Principal",$J29)</formula>
    </cfRule>
    <cfRule type="expression" dxfId="2612" priority="569">
      <formula>SEARCH("Briefing",$J29)</formula>
    </cfRule>
    <cfRule type="expression" dxfId="2611" priority="570">
      <formula>SEARCH("Sign on",$J29)</formula>
    </cfRule>
  </conditionalFormatting>
  <conditionalFormatting sqref="B44:G44 J44:R44 T44:AA44">
    <cfRule type="expression" dxfId="2610" priority="541">
      <formula>OR($J44="Breakfast", $J44="Lunch", $J44="Dinner")</formula>
    </cfRule>
    <cfRule type="expression" dxfId="2609" priority="542">
      <formula>SEARCH("Meeting",$J44)</formula>
    </cfRule>
    <cfRule type="expression" dxfId="2608" priority="543">
      <formula>SEARCH(" PM",$J44)</formula>
    </cfRule>
    <cfRule type="expression" dxfId="2607" priority="544">
      <formula>SEARCH("DB",$J44)</formula>
    </cfRule>
    <cfRule type="expression" dxfId="2606" priority="545">
      <formula>SEARCH("Driver Arrival",$J44)</formula>
    </cfRule>
    <cfRule type="expression" dxfId="2605" priority="546">
      <formula>SEARCH("Qualifying",$J44)</formula>
    </cfRule>
    <cfRule type="expression" dxfId="2604" priority="547">
      <formula>SEARCH("Race",$J44)</formula>
    </cfRule>
    <cfRule type="expression" dxfId="2603" priority="548">
      <formula>SEARCH("Practice Session",$J44)</formula>
    </cfRule>
    <cfRule type="expression" dxfId="2602" priority="549">
      <formula>SEARCH("Press",$J44)</formula>
    </cfRule>
    <cfRule type="expression" dxfId="2601" priority="550">
      <formula>SEARCH("Picture",$J44)</formula>
    </cfRule>
    <cfRule type="expression" dxfId="2600" priority="551">
      <formula>SEARCH("Media",$J44)</formula>
    </cfRule>
    <cfRule type="expression" dxfId="2599" priority="552">
      <formula>SEARCH("Interview",$J44)</formula>
    </cfRule>
    <cfRule type="expression" dxfId="2598" priority="553">
      <formula>SEARCH("Team Principal",$J44)</formula>
    </cfRule>
    <cfRule type="expression" dxfId="2597" priority="554">
      <formula>SEARCH("Briefing",$J44)</formula>
    </cfRule>
    <cfRule type="expression" dxfId="2596" priority="555">
      <formula>SEARCH("Sign on",$J44)</formula>
    </cfRule>
  </conditionalFormatting>
  <conditionalFormatting sqref="S44">
    <cfRule type="expression" dxfId="2595" priority="526">
      <formula>OR($J44="Breakfast", $J44="Lunch", $J44="Dinner")</formula>
    </cfRule>
    <cfRule type="expression" dxfId="2594" priority="527">
      <formula>SEARCH("Meeting",$J44)</formula>
    </cfRule>
    <cfRule type="expression" dxfId="2593" priority="528">
      <formula>SEARCH(" PM",$J44)</formula>
    </cfRule>
    <cfRule type="expression" dxfId="2592" priority="529">
      <formula>SEARCH("DB",$J44)</formula>
    </cfRule>
    <cfRule type="expression" dxfId="2591" priority="530">
      <formula>SEARCH("Driver Arrival",$J44)</formula>
    </cfRule>
    <cfRule type="expression" dxfId="2590" priority="531">
      <formula>SEARCH("Qualifying",$J44)</formula>
    </cfRule>
    <cfRule type="expression" dxfId="2589" priority="532">
      <formula>SEARCH("Race",$J44)</formula>
    </cfRule>
    <cfRule type="expression" dxfId="2588" priority="533">
      <formula>SEARCH("Practice Session",$J44)</formula>
    </cfRule>
    <cfRule type="expression" dxfId="2587" priority="534">
      <formula>SEARCH("Press",$J44)</formula>
    </cfRule>
    <cfRule type="expression" dxfId="2586" priority="535">
      <formula>SEARCH("Picture",$J44)</formula>
    </cfRule>
    <cfRule type="expression" dxfId="2585" priority="536">
      <formula>SEARCH("Media",$J44)</formula>
    </cfRule>
    <cfRule type="expression" dxfId="2584" priority="537">
      <formula>SEARCH("Interview",$J44)</formula>
    </cfRule>
    <cfRule type="expression" dxfId="2583" priority="538">
      <formula>SEARCH("Team Principal",$J44)</formula>
    </cfRule>
    <cfRule type="expression" dxfId="2582" priority="539">
      <formula>SEARCH("Briefing",$J44)</formula>
    </cfRule>
    <cfRule type="expression" dxfId="2581" priority="540">
      <formula>SEARCH("Sign on",$J44)</formula>
    </cfRule>
  </conditionalFormatting>
  <conditionalFormatting sqref="S43">
    <cfRule type="expression" dxfId="2580" priority="511">
      <formula>OR($J43="Breakfast", $J43="Lunch", $J43="Dinner")</formula>
    </cfRule>
    <cfRule type="expression" dxfId="2579" priority="512">
      <formula>SEARCH("Meeting",$J43)</formula>
    </cfRule>
    <cfRule type="expression" dxfId="2578" priority="513">
      <formula>SEARCH(" PM",$J43)</formula>
    </cfRule>
    <cfRule type="expression" dxfId="2577" priority="514">
      <formula>SEARCH("DB",$J43)</formula>
    </cfRule>
    <cfRule type="expression" dxfId="2576" priority="515">
      <formula>SEARCH("Driver Arrival",$J43)</formula>
    </cfRule>
    <cfRule type="expression" dxfId="2575" priority="516">
      <formula>SEARCH("Qualifying",$J43)</formula>
    </cfRule>
    <cfRule type="expression" dxfId="2574" priority="517">
      <formula>SEARCH("Race",$J43)</formula>
    </cfRule>
    <cfRule type="expression" dxfId="2573" priority="518">
      <formula>SEARCH("Practice Session",$J43)</formula>
    </cfRule>
    <cfRule type="expression" dxfId="2572" priority="519">
      <formula>SEARCH("Press",$J43)</formula>
    </cfRule>
    <cfRule type="expression" dxfId="2571" priority="520">
      <formula>SEARCH("Picture",$J43)</formula>
    </cfRule>
    <cfRule type="expression" dxfId="2570" priority="521">
      <formula>SEARCH("Media",$J43)</formula>
    </cfRule>
    <cfRule type="expression" dxfId="2569" priority="522">
      <formula>SEARCH("Interview",$J43)</formula>
    </cfRule>
    <cfRule type="expression" dxfId="2568" priority="523">
      <formula>SEARCH("Team Principal",$J43)</formula>
    </cfRule>
    <cfRule type="expression" dxfId="2567" priority="524">
      <formula>SEARCH("Briefing",$J43)</formula>
    </cfRule>
    <cfRule type="expression" dxfId="2566" priority="525">
      <formula>SEARCH("Sign on",$J43)</formula>
    </cfRule>
  </conditionalFormatting>
  <conditionalFormatting sqref="H34:I34">
    <cfRule type="expression" dxfId="2565" priority="481">
      <formula>OR($J34="Breakfast", $J34="Lunch", $J34="Dinner")</formula>
    </cfRule>
    <cfRule type="expression" dxfId="2564" priority="482">
      <formula>SEARCH("Meeting",$J34)</formula>
    </cfRule>
    <cfRule type="expression" dxfId="2563" priority="483">
      <formula>SEARCH(" PM",$J34)</formula>
    </cfRule>
    <cfRule type="expression" dxfId="2562" priority="484">
      <formula>SEARCH("DB",$J34)</formula>
    </cfRule>
    <cfRule type="expression" dxfId="2561" priority="485">
      <formula>SEARCH("Driver Arrival",$J34)</formula>
    </cfRule>
    <cfRule type="expression" dxfId="2560" priority="486">
      <formula>SEARCH("Qualifying",$J34)</formula>
    </cfRule>
    <cfRule type="expression" dxfId="2559" priority="487">
      <formula>SEARCH("Race",$J34)</formula>
    </cfRule>
    <cfRule type="expression" dxfId="2558" priority="488">
      <formula>SEARCH("Practice Session",$J34)</formula>
    </cfRule>
    <cfRule type="expression" dxfId="2557" priority="489">
      <formula>SEARCH("Press",$J34)</formula>
    </cfRule>
    <cfRule type="expression" dxfId="2556" priority="490">
      <formula>SEARCH("Picture",$J34)</formula>
    </cfRule>
    <cfRule type="expression" dxfId="2555" priority="491">
      <formula>SEARCH("Media",$J34)</formula>
    </cfRule>
    <cfRule type="expression" dxfId="2554" priority="492">
      <formula>SEARCH("Interview",$J34)</formula>
    </cfRule>
    <cfRule type="expression" dxfId="2553" priority="493">
      <formula>SEARCH("Team Principal",$J34)</formula>
    </cfRule>
    <cfRule type="expression" dxfId="2552" priority="494">
      <formula>SEARCH("Briefing",$J34)</formula>
    </cfRule>
    <cfRule type="expression" dxfId="2551" priority="495">
      <formula>SEARCH("Sign on",$J34)</formula>
    </cfRule>
  </conditionalFormatting>
  <conditionalFormatting sqref="E34:G34 J34:AA34">
    <cfRule type="expression" dxfId="2550" priority="466">
      <formula>OR($J34="Breakfast", $J34="Lunch", $J34="Dinner")</formula>
    </cfRule>
    <cfRule type="expression" dxfId="2549" priority="467">
      <formula>SEARCH("Meeting",$J34)</formula>
    </cfRule>
    <cfRule type="expression" dxfId="2548" priority="468">
      <formula>SEARCH(" PM",$J34)</formula>
    </cfRule>
    <cfRule type="expression" dxfId="2547" priority="469">
      <formula>SEARCH("DB",$J34)</formula>
    </cfRule>
    <cfRule type="expression" dxfId="2546" priority="470">
      <formula>SEARCH("Driver Arrival",$J34)</formula>
    </cfRule>
    <cfRule type="expression" dxfId="2545" priority="471">
      <formula>SEARCH("Qualifying",$J34)</formula>
    </cfRule>
    <cfRule type="expression" dxfId="2544" priority="472">
      <formula>SEARCH("Race",$J34)</formula>
    </cfRule>
    <cfRule type="expression" dxfId="2543" priority="473">
      <formula>SEARCH("Practice Session",$J34)</formula>
    </cfRule>
    <cfRule type="expression" dxfId="2542" priority="474">
      <formula>SEARCH("Press",$J34)</formula>
    </cfRule>
    <cfRule type="expression" dxfId="2541" priority="475">
      <formula>SEARCH("Picture",$J34)</formula>
    </cfRule>
    <cfRule type="expression" dxfId="2540" priority="476">
      <formula>SEARCH("Media",$J34)</formula>
    </cfRule>
    <cfRule type="expression" dxfId="2539" priority="477">
      <formula>SEARCH("Interview",$J34)</formula>
    </cfRule>
    <cfRule type="expression" dxfId="2538" priority="478">
      <formula>SEARCH("Team Principal",$J34)</formula>
    </cfRule>
    <cfRule type="expression" dxfId="2537" priority="479">
      <formula>SEARCH("Briefing",$J34)</formula>
    </cfRule>
    <cfRule type="expression" dxfId="2536" priority="480">
      <formula>SEARCH("Sign on",$J34)</formula>
    </cfRule>
  </conditionalFormatting>
  <conditionalFormatting sqref="B34:D34">
    <cfRule type="expression" dxfId="2535" priority="451">
      <formula>OR($J34="Breakfast", $J34="Lunch", $J34="Dinner")</formula>
    </cfRule>
    <cfRule type="expression" dxfId="2534" priority="452">
      <formula>SEARCH("Meeting",$J34)</formula>
    </cfRule>
    <cfRule type="expression" dxfId="2533" priority="453">
      <formula>SEARCH(" PM",$J34)</formula>
    </cfRule>
    <cfRule type="expression" dxfId="2532" priority="454">
      <formula>SEARCH("DB",$J34)</formula>
    </cfRule>
    <cfRule type="expression" dxfId="2531" priority="455">
      <formula>SEARCH("Driver Arrival",$J34)</formula>
    </cfRule>
    <cfRule type="expression" dxfId="2530" priority="456">
      <formula>SEARCH("Qualifying",$J34)</formula>
    </cfRule>
    <cfRule type="expression" dxfId="2529" priority="457">
      <formula>SEARCH("Race",$J34)</formula>
    </cfRule>
    <cfRule type="expression" dxfId="2528" priority="458">
      <formula>SEARCH("Practice Session",$J34)</formula>
    </cfRule>
    <cfRule type="expression" dxfId="2527" priority="459">
      <formula>SEARCH("Press",$J34)</formula>
    </cfRule>
    <cfRule type="expression" dxfId="2526" priority="460">
      <formula>SEARCH("Picture",$J34)</formula>
    </cfRule>
    <cfRule type="expression" dxfId="2525" priority="461">
      <formula>SEARCH("Media",$J34)</formula>
    </cfRule>
    <cfRule type="expression" dxfId="2524" priority="462">
      <formula>SEARCH("Interview",$J34)</formula>
    </cfRule>
    <cfRule type="expression" dxfId="2523" priority="463">
      <formula>SEARCH("Team Principal",$J34)</formula>
    </cfRule>
    <cfRule type="expression" dxfId="2522" priority="464">
      <formula>SEARCH("Briefing",$J34)</formula>
    </cfRule>
    <cfRule type="expression" dxfId="2521" priority="465">
      <formula>SEARCH("Sign on",$J34)</formula>
    </cfRule>
  </conditionalFormatting>
  <conditionalFormatting sqref="B40:I40 B41:AA41">
    <cfRule type="expression" dxfId="2520" priority="256">
      <formula>OR($J40="Breakfast", $J40="Lunch", $J40="Dinner")</formula>
    </cfRule>
    <cfRule type="expression" dxfId="2519" priority="257">
      <formula>SEARCH("Meeting",$J40)</formula>
    </cfRule>
    <cfRule type="expression" dxfId="2518" priority="258">
      <formula>SEARCH(" PM",$J40)</formula>
    </cfRule>
    <cfRule type="expression" dxfId="2517" priority="259">
      <formula>SEARCH("DB",$J40)</formula>
    </cfRule>
    <cfRule type="expression" dxfId="2516" priority="260">
      <formula>SEARCH("Driver Arrival",$J40)</formula>
    </cfRule>
    <cfRule type="expression" dxfId="2515" priority="261">
      <formula>SEARCH("Qualifying",$J40)</formula>
    </cfRule>
    <cfRule type="expression" dxfId="2514" priority="262">
      <formula>SEARCH("Race",$J40)</formula>
    </cfRule>
    <cfRule type="expression" dxfId="2513" priority="263">
      <formula>SEARCH("Practice Session",$J40)</formula>
    </cfRule>
    <cfRule type="expression" dxfId="2512" priority="264">
      <formula>SEARCH("Press",$J40)</formula>
    </cfRule>
    <cfRule type="expression" dxfId="2511" priority="265">
      <formula>SEARCH("Picture",$J40)</formula>
    </cfRule>
    <cfRule type="expression" dxfId="2510" priority="266">
      <formula>SEARCH("Media",$J40)</formula>
    </cfRule>
    <cfRule type="expression" dxfId="2509" priority="267">
      <formula>SEARCH("Interview",$J40)</formula>
    </cfRule>
    <cfRule type="expression" dxfId="2508" priority="268">
      <formula>SEARCH("Team Principal",$J40)</formula>
    </cfRule>
    <cfRule type="expression" dxfId="2507" priority="269">
      <formula>SEARCH("Briefing",$J40)</formula>
    </cfRule>
    <cfRule type="expression" dxfId="2506" priority="270">
      <formula>SEARCH("Sign on",$J40)</formula>
    </cfRule>
  </conditionalFormatting>
  <conditionalFormatting sqref="S40:AA40">
    <cfRule type="expression" dxfId="2505" priority="241">
      <formula>OR($J40="Breakfast", $J40="Lunch", $J40="Dinner")</formula>
    </cfRule>
    <cfRule type="expression" dxfId="2504" priority="242">
      <formula>SEARCH("Meeting",$J40)</formula>
    </cfRule>
    <cfRule type="expression" dxfId="2503" priority="243">
      <formula>SEARCH(" PM",$J40)</formula>
    </cfRule>
    <cfRule type="expression" dxfId="2502" priority="244">
      <formula>SEARCH("DB",$J40)</formula>
    </cfRule>
    <cfRule type="expression" dxfId="2501" priority="245">
      <formula>SEARCH("Driver Arrival",$J40)</formula>
    </cfRule>
    <cfRule type="expression" dxfId="2500" priority="246">
      <formula>SEARCH("Qualifying",$J40)</formula>
    </cfRule>
    <cfRule type="expression" dxfId="2499" priority="247">
      <formula>SEARCH("Race",$J40)</formula>
    </cfRule>
    <cfRule type="expression" dxfId="2498" priority="248">
      <formula>SEARCH("Practice Session",$J40)</formula>
    </cfRule>
    <cfRule type="expression" dxfId="2497" priority="249">
      <formula>SEARCH("Press",$J40)</formula>
    </cfRule>
    <cfRule type="expression" dxfId="2496" priority="250">
      <formula>SEARCH("Picture",$J40)</formula>
    </cfRule>
    <cfRule type="expression" dxfId="2495" priority="251">
      <formula>SEARCH("Media",$J40)</formula>
    </cfRule>
    <cfRule type="expression" dxfId="2494" priority="252">
      <formula>SEARCH("Interview",$J40)</formula>
    </cfRule>
    <cfRule type="expression" dxfId="2493" priority="253">
      <formula>SEARCH("Team Principal",$J40)</formula>
    </cfRule>
    <cfRule type="expression" dxfId="2492" priority="254">
      <formula>SEARCH("Briefing",$J40)</formula>
    </cfRule>
    <cfRule type="expression" dxfId="2491" priority="255">
      <formula>SEARCH("Sign on",$J40)</formula>
    </cfRule>
  </conditionalFormatting>
  <conditionalFormatting sqref="J40:R40">
    <cfRule type="expression" dxfId="2490" priority="226">
      <formula>OR($J40="Breakfast", $J40="Lunch", $J40="Dinner")</formula>
    </cfRule>
    <cfRule type="expression" dxfId="2489" priority="227">
      <formula>SEARCH("Meeting",$J40)</formula>
    </cfRule>
    <cfRule type="expression" dxfId="2488" priority="228">
      <formula>SEARCH(" PM",$J40)</formula>
    </cfRule>
    <cfRule type="expression" dxfId="2487" priority="229">
      <formula>SEARCH("DB",$J40)</formula>
    </cfRule>
    <cfRule type="expression" dxfId="2486" priority="230">
      <formula>SEARCH("Driver Arrival",$J40)</formula>
    </cfRule>
    <cfRule type="expression" dxfId="2485" priority="231">
      <formula>SEARCH("Qualifying",$J40)</formula>
    </cfRule>
    <cfRule type="expression" dxfId="2484" priority="232">
      <formula>SEARCH("Race",$J40)</formula>
    </cfRule>
    <cfRule type="expression" dxfId="2483" priority="233">
      <formula>SEARCH("Practice Session",$J40)</formula>
    </cfRule>
    <cfRule type="expression" dxfId="2482" priority="234">
      <formula>SEARCH("Press",$J40)</formula>
    </cfRule>
    <cfRule type="expression" dxfId="2481" priority="235">
      <formula>SEARCH("Picture",$J40)</formula>
    </cfRule>
    <cfRule type="expression" dxfId="2480" priority="236">
      <formula>SEARCH("Media",$J40)</formula>
    </cfRule>
    <cfRule type="expression" dxfId="2479" priority="237">
      <formula>SEARCH("Interview",$J40)</formula>
    </cfRule>
    <cfRule type="expression" dxfId="2478" priority="238">
      <formula>SEARCH("Team Principal",$J40)</formula>
    </cfRule>
    <cfRule type="expression" dxfId="2477" priority="239">
      <formula>SEARCH("Briefing",$J40)</formula>
    </cfRule>
    <cfRule type="expression" dxfId="2476" priority="240">
      <formula>SEARCH("Sign on",$J40)</formula>
    </cfRule>
  </conditionalFormatting>
  <conditionalFormatting sqref="B31:S31">
    <cfRule type="expression" dxfId="2475" priority="181">
      <formula>OR($J31="Breakfast", $J31="Lunch", $J31="Dinner")</formula>
    </cfRule>
    <cfRule type="expression" dxfId="2474" priority="182">
      <formula>SEARCH("Meeting",$J31)</formula>
    </cfRule>
    <cfRule type="expression" dxfId="2473" priority="183">
      <formula>SEARCH(" PM",$J31)</formula>
    </cfRule>
    <cfRule type="expression" dxfId="2472" priority="184">
      <formula>SEARCH("DB",$J31)</formula>
    </cfRule>
    <cfRule type="expression" dxfId="2471" priority="185">
      <formula>SEARCH("Driver Arrival",$J31)</formula>
    </cfRule>
    <cfRule type="expression" dxfId="2470" priority="186">
      <formula>SEARCH("Qualifying",$J31)</formula>
    </cfRule>
    <cfRule type="expression" dxfId="2469" priority="187">
      <formula>SEARCH("Race",$J31)</formula>
    </cfRule>
    <cfRule type="expression" dxfId="2468" priority="188">
      <formula>SEARCH("Practice Session",$J31)</formula>
    </cfRule>
    <cfRule type="expression" dxfId="2467" priority="189">
      <formula>SEARCH("Press",$J31)</formula>
    </cfRule>
    <cfRule type="expression" dxfId="2466" priority="190">
      <formula>SEARCH("Picture",$J31)</formula>
    </cfRule>
    <cfRule type="expression" dxfId="2465" priority="191">
      <formula>SEARCH("Media",$J31)</formula>
    </cfRule>
    <cfRule type="expression" dxfId="2464" priority="192">
      <formula>SEARCH("Interview",$J31)</formula>
    </cfRule>
    <cfRule type="expression" dxfId="2463" priority="193">
      <formula>SEARCH("Team Principal",$J31)</formula>
    </cfRule>
    <cfRule type="expression" dxfId="2462" priority="194">
      <formula>SEARCH("Briefing",$J31)</formula>
    </cfRule>
    <cfRule type="expression" dxfId="2461" priority="195">
      <formula>SEARCH("Sign on",$J31)</formula>
    </cfRule>
  </conditionalFormatting>
  <conditionalFormatting sqref="B37:R37 T37:AA37">
    <cfRule type="expression" dxfId="2460" priority="121">
      <formula>OR($J37="Breakfast", $J37="Lunch", $J37="Dinner")</formula>
    </cfRule>
    <cfRule type="expression" dxfId="2459" priority="122">
      <formula>SEARCH("Meeting",$J37)</formula>
    </cfRule>
    <cfRule type="expression" dxfId="2458" priority="123">
      <formula>SEARCH(" PM",$J37)</formula>
    </cfRule>
    <cfRule type="expression" dxfId="2457" priority="124">
      <formula>SEARCH("DB",$J37)</formula>
    </cfRule>
    <cfRule type="expression" dxfId="2456" priority="125">
      <formula>SEARCH("Driver Arrival",$J37)</formula>
    </cfRule>
    <cfRule type="expression" dxfId="2455" priority="126">
      <formula>SEARCH("Qualifying",$J37)</formula>
    </cfRule>
    <cfRule type="expression" dxfId="2454" priority="127">
      <formula>SEARCH("Race",$J37)</formula>
    </cfRule>
    <cfRule type="expression" dxfId="2453" priority="128">
      <formula>SEARCH("Practice Session",$J37)</formula>
    </cfRule>
    <cfRule type="expression" dxfId="2452" priority="129">
      <formula>SEARCH("Press",$J37)</formula>
    </cfRule>
    <cfRule type="expression" dxfId="2451" priority="130">
      <formula>SEARCH("Picture",$J37)</formula>
    </cfRule>
    <cfRule type="expression" dxfId="2450" priority="131">
      <formula>SEARCH("Media",$J37)</formula>
    </cfRule>
    <cfRule type="expression" dxfId="2449" priority="132">
      <formula>SEARCH("Interview",$J37)</formula>
    </cfRule>
    <cfRule type="expression" dxfId="2448" priority="133">
      <formula>SEARCH("Team Principal",$J37)</formula>
    </cfRule>
    <cfRule type="expression" dxfId="2447" priority="134">
      <formula>SEARCH("Briefing",$J37)</formula>
    </cfRule>
    <cfRule type="expression" dxfId="2446" priority="135">
      <formula>SEARCH("Sign on",$J37)</formula>
    </cfRule>
  </conditionalFormatting>
  <conditionalFormatting sqref="B99:D99">
    <cfRule type="expression" dxfId="2445" priority="106">
      <formula>OR($J99="Breakfast", $J99="Lunch", $J99="Dinner")</formula>
    </cfRule>
    <cfRule type="expression" dxfId="2444" priority="107">
      <formula>SEARCH("Meeting",$J99)</formula>
    </cfRule>
    <cfRule type="expression" dxfId="2443" priority="108">
      <formula>SEARCH(" PM",$J99)</formula>
    </cfRule>
    <cfRule type="expression" dxfId="2442" priority="109">
      <formula>SEARCH("DB",$J99)</formula>
    </cfRule>
    <cfRule type="expression" dxfId="2441" priority="110">
      <formula>SEARCH("Driver Arrival",$J99)</formula>
    </cfRule>
    <cfRule type="expression" dxfId="2440" priority="111">
      <formula>SEARCH("Qualifying",$J99)</formula>
    </cfRule>
    <cfRule type="expression" dxfId="2439" priority="112">
      <formula>SEARCH("Race",$J99)</formula>
    </cfRule>
    <cfRule type="expression" dxfId="2438" priority="113">
      <formula>SEARCH("Practice Session",$J99)</formula>
    </cfRule>
    <cfRule type="expression" dxfId="2437" priority="114">
      <formula>SEARCH("Press",$J99)</formula>
    </cfRule>
    <cfRule type="expression" dxfId="2436" priority="115">
      <formula>SEARCH("Picture",$J99)</formula>
    </cfRule>
    <cfRule type="expression" dxfId="2435" priority="116">
      <formula>SEARCH("Media",$J99)</formula>
    </cfRule>
    <cfRule type="expression" dxfId="2434" priority="117">
      <formula>SEARCH("Interview",$J99)</formula>
    </cfRule>
    <cfRule type="expression" dxfId="2433" priority="118">
      <formula>SEARCH("Team Principal",$J99)</formula>
    </cfRule>
    <cfRule type="expression" dxfId="2432" priority="119">
      <formula>SEARCH("Briefing",$J99)</formula>
    </cfRule>
    <cfRule type="expression" dxfId="2431" priority="120">
      <formula>SEARCH("Sign on",$J99)</formula>
    </cfRule>
  </conditionalFormatting>
  <conditionalFormatting sqref="E99:AA99">
    <cfRule type="expression" dxfId="2430" priority="91">
      <formula>OR($J99="Breakfast", $J99="Lunch", $J99="Dinner")</formula>
    </cfRule>
    <cfRule type="expression" dxfId="2429" priority="92">
      <formula>SEARCH("Meeting",$J99)</formula>
    </cfRule>
    <cfRule type="expression" dxfId="2428" priority="93">
      <formula>SEARCH(" PM",$J99)</formula>
    </cfRule>
    <cfRule type="expression" dxfId="2427" priority="94">
      <formula>SEARCH("DB",$J99)</formula>
    </cfRule>
    <cfRule type="expression" dxfId="2426" priority="95">
      <formula>SEARCH("Driver Arrival",$J99)</formula>
    </cfRule>
    <cfRule type="expression" dxfId="2425" priority="96">
      <formula>SEARCH("Qualifying",$J99)</formula>
    </cfRule>
    <cfRule type="expression" dxfId="2424" priority="97">
      <formula>SEARCH("Race",$J99)</formula>
    </cfRule>
    <cfRule type="expression" dxfId="2423" priority="98">
      <formula>SEARCH("Practice Session",$J99)</formula>
    </cfRule>
    <cfRule type="expression" dxfId="2422" priority="99">
      <formula>SEARCH("Press",$J99)</formula>
    </cfRule>
    <cfRule type="expression" dxfId="2421" priority="100">
      <formula>SEARCH("Picture",$J99)</formula>
    </cfRule>
    <cfRule type="expression" dxfId="2420" priority="101">
      <formula>SEARCH("Media",$J99)</formula>
    </cfRule>
    <cfRule type="expression" dxfId="2419" priority="102">
      <formula>SEARCH("Interview",$J99)</formula>
    </cfRule>
    <cfRule type="expression" dxfId="2418" priority="103">
      <formula>SEARCH("Team Principal",$J99)</formula>
    </cfRule>
    <cfRule type="expression" dxfId="2417" priority="104">
      <formula>SEARCH("Briefing",$J99)</formula>
    </cfRule>
    <cfRule type="expression" dxfId="2416" priority="105">
      <formula>SEARCH("Sign on",$J99)</formula>
    </cfRule>
  </conditionalFormatting>
  <conditionalFormatting sqref="B147:AA147">
    <cfRule type="expression" dxfId="2415" priority="76">
      <formula>OR($J147="Breakfast", $J147="Lunch", $J147="Dinner")</formula>
    </cfRule>
    <cfRule type="expression" dxfId="2414" priority="77">
      <formula>SEARCH("Meeting",$J147)</formula>
    </cfRule>
    <cfRule type="expression" dxfId="2413" priority="78">
      <formula>SEARCH(" PM",$J147)</formula>
    </cfRule>
    <cfRule type="expression" dxfId="2412" priority="79">
      <formula>SEARCH("DB",$J147)</formula>
    </cfRule>
    <cfRule type="expression" dxfId="2411" priority="80">
      <formula>SEARCH("Driver Arrival",$J147)</formula>
    </cfRule>
    <cfRule type="expression" dxfId="2410" priority="81">
      <formula>SEARCH("Qualifying",$J147)</formula>
    </cfRule>
    <cfRule type="expression" dxfId="2409" priority="82">
      <formula>SEARCH("Race",$J147)</formula>
    </cfRule>
    <cfRule type="expression" dxfId="2408" priority="83">
      <formula>SEARCH("Practice Session",$J147)</formula>
    </cfRule>
    <cfRule type="expression" dxfId="2407" priority="84">
      <formula>SEARCH("Press",$J147)</formula>
    </cfRule>
    <cfRule type="expression" dxfId="2406" priority="85">
      <formula>SEARCH("Picture",$J147)</formula>
    </cfRule>
    <cfRule type="expression" dxfId="2405" priority="86">
      <formula>SEARCH("Media",$J147)</formula>
    </cfRule>
    <cfRule type="expression" dxfId="2404" priority="87">
      <formula>SEARCH("Interview",$J147)</formula>
    </cfRule>
    <cfRule type="expression" dxfId="2403" priority="88">
      <formula>SEARCH("Team Principal",$J147)</formula>
    </cfRule>
    <cfRule type="expression" dxfId="2402" priority="89">
      <formula>SEARCH("Briefing",$J147)</formula>
    </cfRule>
    <cfRule type="expression" dxfId="2401" priority="90">
      <formula>SEARCH("Sign on",$J147)</formula>
    </cfRule>
  </conditionalFormatting>
  <conditionalFormatting sqref="B149:AA149">
    <cfRule type="expression" dxfId="2400" priority="61">
      <formula>OR($J149="Breakfast", $J149="Lunch", $J149="Dinner")</formula>
    </cfRule>
    <cfRule type="expression" dxfId="2399" priority="62">
      <formula>SEARCH("Meeting",$J149)</formula>
    </cfRule>
    <cfRule type="expression" dxfId="2398" priority="63">
      <formula>SEARCH(" PM",$J149)</formula>
    </cfRule>
    <cfRule type="expression" dxfId="2397" priority="64">
      <formula>SEARCH("DB",$J149)</formula>
    </cfRule>
    <cfRule type="expression" dxfId="2396" priority="65">
      <formula>SEARCH("Driver Arrival",$J149)</formula>
    </cfRule>
    <cfRule type="expression" dxfId="2395" priority="66">
      <formula>SEARCH("Qualifying",$J149)</formula>
    </cfRule>
    <cfRule type="expression" dxfId="2394" priority="67">
      <formula>SEARCH("Race",$J149)</formula>
    </cfRule>
    <cfRule type="expression" dxfId="2393" priority="68">
      <formula>SEARCH("Practice Session",$J149)</formula>
    </cfRule>
    <cfRule type="expression" dxfId="2392" priority="69">
      <formula>SEARCH("Press",$J149)</formula>
    </cfRule>
    <cfRule type="expression" dxfId="2391" priority="70">
      <formula>SEARCH("Picture",$J149)</formula>
    </cfRule>
    <cfRule type="expression" dxfId="2390" priority="71">
      <formula>SEARCH("Media",$J149)</formula>
    </cfRule>
    <cfRule type="expression" dxfId="2389" priority="72">
      <formula>SEARCH("Interview",$J149)</formula>
    </cfRule>
    <cfRule type="expression" dxfId="2388" priority="73">
      <formula>SEARCH("Team Principal",$J149)</formula>
    </cfRule>
    <cfRule type="expression" dxfId="2387" priority="74">
      <formula>SEARCH("Briefing",$J149)</formula>
    </cfRule>
    <cfRule type="expression" dxfId="2386" priority="75">
      <formula>SEARCH("Sign on",$J149)</formula>
    </cfRule>
  </conditionalFormatting>
  <conditionalFormatting sqref="B86:AA86">
    <cfRule type="expression" dxfId="2385" priority="46">
      <formula>OR($J86="Breakfast", $J86="Lunch", $J86="Dinner")</formula>
    </cfRule>
    <cfRule type="expression" dxfId="2384" priority="47">
      <formula>SEARCH("Meeting",$J86)</formula>
    </cfRule>
    <cfRule type="expression" dxfId="2383" priority="48">
      <formula>SEARCH(" PM",$J86)</formula>
    </cfRule>
    <cfRule type="expression" dxfId="2382" priority="49">
      <formula>SEARCH("DB",$J86)</formula>
    </cfRule>
    <cfRule type="expression" dxfId="2381" priority="50">
      <formula>SEARCH("Driver Arrival",$J86)</formula>
    </cfRule>
    <cfRule type="expression" dxfId="2380" priority="51">
      <formula>SEARCH("Qualifying",$J86)</formula>
    </cfRule>
    <cfRule type="expression" dxfId="2379" priority="52">
      <formula>SEARCH("Race",$J86)</formula>
    </cfRule>
    <cfRule type="expression" dxfId="2378" priority="53">
      <formula>SEARCH("Practice Session",$J86)</formula>
    </cfRule>
    <cfRule type="expression" dxfId="2377" priority="54">
      <formula>SEARCH("Press",$J86)</formula>
    </cfRule>
    <cfRule type="expression" dxfId="2376" priority="55">
      <formula>SEARCH("Picture",$J86)</formula>
    </cfRule>
    <cfRule type="expression" dxfId="2375" priority="56">
      <formula>SEARCH("Media",$J86)</formula>
    </cfRule>
    <cfRule type="expression" dxfId="2374" priority="57">
      <formula>SEARCH("Interview",$J86)</formula>
    </cfRule>
    <cfRule type="expression" dxfId="2373" priority="58">
      <formula>SEARCH("Team Principal",$J86)</formula>
    </cfRule>
    <cfRule type="expression" dxfId="2372" priority="59">
      <formula>SEARCH("Briefing",$J86)</formula>
    </cfRule>
    <cfRule type="expression" dxfId="2371" priority="60">
      <formula>SEARCH("Sign on",$J86)</formula>
    </cfRule>
  </conditionalFormatting>
  <conditionalFormatting sqref="H36:I36">
    <cfRule type="expression" dxfId="2370" priority="31">
      <formula>OR($J36="Breakfast", $J36="Lunch", $J36="Dinner")</formula>
    </cfRule>
    <cfRule type="expression" dxfId="2369" priority="32">
      <formula>SEARCH("Meeting",$J36)</formula>
    </cfRule>
    <cfRule type="expression" dxfId="2368" priority="33">
      <formula>SEARCH(" PM",$J36)</formula>
    </cfRule>
    <cfRule type="expression" dxfId="2367" priority="34">
      <formula>SEARCH("DB",$J36)</formula>
    </cfRule>
    <cfRule type="expression" dxfId="2366" priority="35">
      <formula>SEARCH("Driver Arrival",$J36)</formula>
    </cfRule>
    <cfRule type="expression" dxfId="2365" priority="36">
      <formula>SEARCH("Qualifying",$J36)</formula>
    </cfRule>
    <cfRule type="expression" dxfId="2364" priority="37">
      <formula>SEARCH("Race",$J36)</formula>
    </cfRule>
    <cfRule type="expression" dxfId="2363" priority="38">
      <formula>SEARCH("Practice Session",$J36)</formula>
    </cfRule>
    <cfRule type="expression" dxfId="2362" priority="39">
      <formula>SEARCH("Press",$J36)</formula>
    </cfRule>
    <cfRule type="expression" dxfId="2361" priority="40">
      <formula>SEARCH("Picture",$J36)</formula>
    </cfRule>
    <cfRule type="expression" dxfId="2360" priority="41">
      <formula>SEARCH("Media",$J36)</formula>
    </cfRule>
    <cfRule type="expression" dxfId="2359" priority="42">
      <formula>SEARCH("Interview",$J36)</formula>
    </cfRule>
    <cfRule type="expression" dxfId="2358" priority="43">
      <formula>SEARCH("Team Principal",$J36)</formula>
    </cfRule>
    <cfRule type="expression" dxfId="2357" priority="44">
      <formula>SEARCH("Briefing",$J36)</formula>
    </cfRule>
    <cfRule type="expression" dxfId="2356" priority="45">
      <formula>SEARCH("Sign on",$J36)</formula>
    </cfRule>
  </conditionalFormatting>
  <conditionalFormatting sqref="E36:G36 J36:AA36">
    <cfRule type="expression" dxfId="2355" priority="16">
      <formula>OR($J36="Breakfast", $J36="Lunch", $J36="Dinner")</formula>
    </cfRule>
    <cfRule type="expression" dxfId="2354" priority="17">
      <formula>SEARCH("Meeting",$J36)</formula>
    </cfRule>
    <cfRule type="expression" dxfId="2353" priority="18">
      <formula>SEARCH(" PM",$J36)</formula>
    </cfRule>
    <cfRule type="expression" dxfId="2352" priority="19">
      <formula>SEARCH("DB",$J36)</formula>
    </cfRule>
    <cfRule type="expression" dxfId="2351" priority="20">
      <formula>SEARCH("Driver Arrival",$J36)</formula>
    </cfRule>
    <cfRule type="expression" dxfId="2350" priority="21">
      <formula>SEARCH("Qualifying",$J36)</formula>
    </cfRule>
    <cfRule type="expression" dxfId="2349" priority="22">
      <formula>SEARCH("Race",$J36)</formula>
    </cfRule>
    <cfRule type="expression" dxfId="2348" priority="23">
      <formula>SEARCH("Practice Session",$J36)</formula>
    </cfRule>
    <cfRule type="expression" dxfId="2347" priority="24">
      <formula>SEARCH("Press",$J36)</formula>
    </cfRule>
    <cfRule type="expression" dxfId="2346" priority="25">
      <formula>SEARCH("Picture",$J36)</formula>
    </cfRule>
    <cfRule type="expression" dxfId="2345" priority="26">
      <formula>SEARCH("Media",$J36)</formula>
    </cfRule>
    <cfRule type="expression" dxfId="2344" priority="27">
      <formula>SEARCH("Interview",$J36)</formula>
    </cfRule>
    <cfRule type="expression" dxfId="2343" priority="28">
      <formula>SEARCH("Team Principal",$J36)</formula>
    </cfRule>
    <cfRule type="expression" dxfId="2342" priority="29">
      <formula>SEARCH("Briefing",$J36)</formula>
    </cfRule>
    <cfRule type="expression" dxfId="2341" priority="30">
      <formula>SEARCH("Sign on",$J36)</formula>
    </cfRule>
  </conditionalFormatting>
  <conditionalFormatting sqref="B36:D36">
    <cfRule type="expression" dxfId="2340" priority="1">
      <formula>OR($J36="Breakfast", $J36="Lunch", $J36="Dinner")</formula>
    </cfRule>
    <cfRule type="expression" dxfId="2339" priority="2">
      <formula>SEARCH("Meeting",$J36)</formula>
    </cfRule>
    <cfRule type="expression" dxfId="2338" priority="3">
      <formula>SEARCH(" PM",$J36)</formula>
    </cfRule>
    <cfRule type="expression" dxfId="2337" priority="4">
      <formula>SEARCH("DB",$J36)</formula>
    </cfRule>
    <cfRule type="expression" dxfId="2336" priority="5">
      <formula>SEARCH("Driver Arrival",$J36)</formula>
    </cfRule>
    <cfRule type="expression" dxfId="2335" priority="6">
      <formula>SEARCH("Qualifying",$J36)</formula>
    </cfRule>
    <cfRule type="expression" dxfId="2334" priority="7">
      <formula>SEARCH("Race",$J36)</formula>
    </cfRule>
    <cfRule type="expression" dxfId="2333" priority="8">
      <formula>SEARCH("Practice Session",$J36)</formula>
    </cfRule>
    <cfRule type="expression" dxfId="2332" priority="9">
      <formula>SEARCH("Press",$J36)</formula>
    </cfRule>
    <cfRule type="expression" dxfId="2331" priority="10">
      <formula>SEARCH("Picture",$J36)</formula>
    </cfRule>
    <cfRule type="expression" dxfId="2330" priority="11">
      <formula>SEARCH("Media",$J36)</formula>
    </cfRule>
    <cfRule type="expression" dxfId="2329" priority="12">
      <formula>SEARCH("Interview",$J36)</formula>
    </cfRule>
    <cfRule type="expression" dxfId="2328" priority="13">
      <formula>SEARCH("Team Principal",$J36)</formula>
    </cfRule>
    <cfRule type="expression" dxfId="2327" priority="14">
      <formula>SEARCH("Briefing",$J36)</formula>
    </cfRule>
    <cfRule type="expression" dxfId="2326" priority="15">
      <formula>SEARCH("Sign on",$J36)</formula>
    </cfRule>
  </conditionalFormatting>
  <dataValidations disablePrompts="1" count="3">
    <dataValidation type="list" allowBlank="1" showInputMessage="1" showErrorMessage="1" sqref="AG153 AG9:AG22 AG49:AG91 AG94:AG122 AG125:AG151 AG25:AG46" xr:uid="{F6DD3572-5C75-4F7D-8A05-081E7ACF11A5}">
      <formula1>"x"</formula1>
    </dataValidation>
    <dataValidation type="list" allowBlank="1" showDropDown="1" showInputMessage="1" showErrorMessage="1" sqref="AC50:AD51 AC95:AD95 AC127:AD127 AC125:AD125 AC27" xr:uid="{A562B9FF-5B3F-4ACB-AF37-CFBC77C114B0}">
      <formula1>$AI$1</formula1>
    </dataValidation>
    <dataValidation type="list" allowBlank="1" showDropDown="1" showInputMessage="1" showErrorMessage="1" sqref="AC88 AC89:AD94 AC129 AC19:AC21 AC128:AD128 AC120 AC130:AD165 AC96:AD97 AC126:AD126 AC9:AD18 AD19 AC22:AD22 AD23:AD25 AC23:AC26 AC46:AD49 AC52:AD87 AC98 AC99:AD119 AC121:AD124 AC28:AC45" xr:uid="{F1E83004-8383-4AA1-9043-6BA48674A9B2}">
      <formula1>$AI$1:$AI$2</formula1>
    </dataValidation>
  </dataValidations>
  <pageMargins left="0.23622047244094491" right="0.23622047244094491" top="0.39370078740157483" bottom="0.39370078740157483" header="0.31496062992125984" footer="0.31496062992125984"/>
  <pageSetup paperSize="9"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B7AFC-F847-470F-926D-10857A7A6318}">
  <sheetPr codeName="Sheet18">
    <tabColor rgb="FFFF0000"/>
    <pageSetUpPr fitToPage="1"/>
  </sheetPr>
  <dimension ref="A1:DE357"/>
  <sheetViews>
    <sheetView showGridLines="0" zoomScale="90" zoomScaleNormal="90" workbookViewId="0">
      <pane ySplit="7" topLeftCell="A129" activePane="bottomLeft" state="frozen"/>
      <selection pane="bottomLeft" activeCell="W7" sqref="B2:AA7"/>
    </sheetView>
  </sheetViews>
  <sheetFormatPr defaultColWidth="4.7109375" defaultRowHeight="16.899999999999999"/>
  <cols>
    <col min="1" max="1" width="0.7109375" style="140" customWidth="1"/>
    <col min="2" max="3" width="3.7109375" style="140" customWidth="1"/>
    <col min="4" max="4" width="1.42578125" style="140" customWidth="1"/>
    <col min="5" max="6" width="3.7109375" style="140" customWidth="1"/>
    <col min="7" max="7" width="1.42578125" style="140" customWidth="1"/>
    <col min="8" max="8" width="3.7109375" style="140" customWidth="1"/>
    <col min="9" max="9" width="4.7109375" style="140" customWidth="1"/>
    <col min="10" max="13" width="3.7109375" style="140" customWidth="1"/>
    <col min="14" max="14" width="5.140625" style="140" customWidth="1"/>
    <col min="15" max="15" width="6.28515625" style="140" customWidth="1"/>
    <col min="16" max="16" width="9.28515625" style="140" customWidth="1"/>
    <col min="17" max="17" width="6.42578125" style="140" customWidth="1"/>
    <col min="18" max="18" width="7.42578125" style="140" customWidth="1"/>
    <col min="19" max="19" width="25.28515625" style="140" customWidth="1"/>
    <col min="20" max="26" width="3.7109375" style="140" customWidth="1"/>
    <col min="27" max="27" width="10.7109375" style="140" customWidth="1"/>
    <col min="28" max="28" width="0.7109375" style="139" customWidth="1"/>
    <col min="29" max="32" width="10.7109375" style="140" customWidth="1"/>
    <col min="33" max="33" width="21.140625" style="140" customWidth="1"/>
    <col min="34" max="34" width="4" style="141" customWidth="1"/>
    <col min="35" max="35" width="4.140625" style="143" customWidth="1"/>
    <col min="36" max="36" width="4.7109375" style="140" customWidth="1"/>
    <col min="37" max="16384" width="4.7109375" style="140"/>
  </cols>
  <sheetData>
    <row r="1" spans="1:44" ht="6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I1" s="142" t="s">
        <v>202</v>
      </c>
    </row>
    <row r="2" spans="1:44" ht="56.25" customHeight="1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H2" s="324" t="s">
        <v>203</v>
      </c>
      <c r="AI2" s="324"/>
      <c r="AJ2" s="324"/>
      <c r="AK2" s="324"/>
      <c r="AL2" s="324"/>
      <c r="AM2" s="324"/>
      <c r="AN2" s="324"/>
      <c r="AO2" s="324"/>
      <c r="AP2" s="324"/>
      <c r="AQ2" s="324"/>
      <c r="AR2" s="324"/>
    </row>
    <row r="3" spans="1:44" ht="24.75" customHeight="1">
      <c r="A3" s="139"/>
      <c r="B3" s="325" t="s">
        <v>204</v>
      </c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R3" s="326" t="s">
        <v>205</v>
      </c>
      <c r="S3" s="326"/>
      <c r="T3" s="326"/>
      <c r="U3" s="326"/>
      <c r="V3" s="326"/>
      <c r="W3" s="326"/>
      <c r="X3" s="326"/>
      <c r="Y3" s="326"/>
      <c r="Z3" s="326"/>
      <c r="AA3" s="326"/>
      <c r="AH3" s="327" t="s">
        <v>206</v>
      </c>
      <c r="AI3" s="328"/>
      <c r="AJ3" s="328"/>
      <c r="AK3" s="328"/>
      <c r="AL3" s="328"/>
      <c r="AM3" s="328"/>
      <c r="AN3" s="328"/>
      <c r="AO3" s="328"/>
      <c r="AP3" s="328"/>
      <c r="AQ3" s="328"/>
      <c r="AR3" s="328"/>
    </row>
    <row r="4" spans="1:44" ht="24.75" customHeight="1">
      <c r="A4" s="139"/>
      <c r="B4" s="329" t="s">
        <v>207</v>
      </c>
      <c r="C4" s="329"/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R4" s="330" t="s">
        <v>208</v>
      </c>
      <c r="S4" s="330"/>
      <c r="T4" s="330"/>
      <c r="U4" s="330"/>
      <c r="V4" s="330"/>
      <c r="W4" s="330"/>
      <c r="X4" s="330"/>
      <c r="Y4" s="330"/>
      <c r="Z4" s="330"/>
      <c r="AA4" s="330"/>
      <c r="AH4" s="328"/>
      <c r="AI4" s="328"/>
      <c r="AJ4" s="328"/>
      <c r="AK4" s="328"/>
      <c r="AL4" s="328"/>
      <c r="AM4" s="328"/>
      <c r="AN4" s="328"/>
      <c r="AO4" s="328"/>
      <c r="AP4" s="328"/>
      <c r="AQ4" s="328"/>
      <c r="AR4" s="328"/>
    </row>
    <row r="5" spans="1:44" ht="24.75" customHeight="1">
      <c r="A5" s="139"/>
      <c r="B5" s="331" t="s">
        <v>316</v>
      </c>
      <c r="C5" s="331"/>
      <c r="D5" s="331"/>
      <c r="E5" s="331"/>
      <c r="F5" s="331"/>
      <c r="G5" s="331"/>
      <c r="H5" s="331"/>
      <c r="I5" s="331"/>
      <c r="J5" s="331"/>
      <c r="K5" s="331"/>
      <c r="L5" s="331"/>
      <c r="M5" s="331"/>
      <c r="N5" s="331"/>
      <c r="O5" s="331"/>
      <c r="P5" s="331"/>
      <c r="Q5" s="139"/>
      <c r="R5" s="332" t="s">
        <v>210</v>
      </c>
      <c r="S5" s="332"/>
      <c r="T5" s="332"/>
      <c r="U5" s="332"/>
      <c r="V5" s="332"/>
      <c r="W5" s="332"/>
      <c r="X5" s="332"/>
      <c r="Y5" s="332"/>
      <c r="Z5" s="332"/>
      <c r="AA5" s="332"/>
      <c r="AH5" s="328"/>
      <c r="AI5" s="328"/>
      <c r="AJ5" s="328"/>
      <c r="AK5" s="328"/>
      <c r="AL5" s="328"/>
      <c r="AM5" s="328"/>
      <c r="AN5" s="328"/>
      <c r="AO5" s="328"/>
      <c r="AP5" s="328"/>
      <c r="AQ5" s="328"/>
      <c r="AR5" s="328"/>
    </row>
    <row r="6" spans="1:44" ht="24.6" customHeight="1">
      <c r="A6" s="139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H6" s="328"/>
      <c r="AI6" s="328"/>
      <c r="AJ6" s="328"/>
      <c r="AK6" s="328"/>
      <c r="AL6" s="328"/>
      <c r="AM6" s="328"/>
      <c r="AN6" s="328"/>
      <c r="AO6" s="328"/>
      <c r="AP6" s="328"/>
      <c r="AQ6" s="328"/>
      <c r="AR6" s="328"/>
    </row>
    <row r="7" spans="1:44" s="149" customFormat="1">
      <c r="A7" s="145"/>
      <c r="B7" s="321" t="s">
        <v>3</v>
      </c>
      <c r="C7" s="321"/>
      <c r="D7" s="321"/>
      <c r="E7" s="322" t="str">
        <f>'[4]Event Info'!B1</f>
        <v>Race</v>
      </c>
      <c r="F7" s="322"/>
      <c r="G7" s="322"/>
      <c r="H7" s="322"/>
      <c r="I7" s="146"/>
      <c r="J7" s="321" t="s">
        <v>5</v>
      </c>
      <c r="K7" s="321"/>
      <c r="L7" s="321"/>
      <c r="M7" s="321"/>
      <c r="N7" s="322" t="s">
        <v>6</v>
      </c>
      <c r="O7" s="322"/>
      <c r="P7" s="322"/>
      <c r="Q7" s="322"/>
      <c r="R7" s="146"/>
      <c r="S7" s="321" t="s">
        <v>10</v>
      </c>
      <c r="T7" s="321"/>
      <c r="U7" s="321"/>
      <c r="V7" s="321"/>
      <c r="W7" s="323" t="s">
        <v>104</v>
      </c>
      <c r="X7" s="322"/>
      <c r="Y7" s="322"/>
      <c r="Z7" s="322"/>
      <c r="AA7" s="322"/>
      <c r="AB7" s="147"/>
      <c r="AC7" s="148"/>
      <c r="AD7" s="148"/>
      <c r="AI7" s="150"/>
    </row>
    <row r="8" spans="1:44" s="154" customFormat="1" ht="15" customHeight="1">
      <c r="A8" s="153"/>
      <c r="B8" s="415" t="s">
        <v>212</v>
      </c>
      <c r="C8" s="416"/>
      <c r="D8" s="416"/>
      <c r="E8" s="407"/>
      <c r="F8" s="407"/>
      <c r="G8" s="407"/>
      <c r="H8" s="299"/>
      <c r="I8" s="299"/>
      <c r="J8" s="407" t="s">
        <v>317</v>
      </c>
      <c r="K8" s="407"/>
      <c r="L8" s="407"/>
      <c r="M8" s="407"/>
      <c r="N8" s="407"/>
      <c r="O8" s="407"/>
      <c r="P8" s="407"/>
      <c r="Q8" s="407"/>
      <c r="R8" s="407"/>
      <c r="S8" s="407"/>
      <c r="T8" s="417"/>
      <c r="U8" s="417"/>
      <c r="V8" s="417"/>
      <c r="W8" s="417"/>
      <c r="X8" s="417"/>
      <c r="Y8" s="417"/>
      <c r="Z8" s="417"/>
      <c r="AA8" s="418"/>
      <c r="AB8" s="153"/>
      <c r="AC8" s="140"/>
      <c r="AD8" s="195" t="s">
        <v>318</v>
      </c>
      <c r="AF8" s="155"/>
      <c r="AG8" s="188"/>
      <c r="AI8" s="143"/>
      <c r="AJ8" s="140"/>
      <c r="AN8" s="154" t="s">
        <v>13</v>
      </c>
    </row>
    <row r="9" spans="1:44" s="154" customFormat="1" ht="15" customHeight="1">
      <c r="A9" s="153"/>
      <c r="B9" s="301" t="s">
        <v>193</v>
      </c>
      <c r="C9" s="302"/>
      <c r="D9" s="302"/>
      <c r="E9" s="302" t="s">
        <v>194</v>
      </c>
      <c r="F9" s="302"/>
      <c r="G9" s="302"/>
      <c r="H9" s="303" t="s">
        <v>214</v>
      </c>
      <c r="I9" s="304"/>
      <c r="J9" s="305" t="s">
        <v>215</v>
      </c>
      <c r="K9" s="306"/>
      <c r="L9" s="306"/>
      <c r="M9" s="306"/>
      <c r="N9" s="306"/>
      <c r="O9" s="306"/>
      <c r="P9" s="306"/>
      <c r="Q9" s="306"/>
      <c r="R9" s="306"/>
      <c r="S9" s="136" t="s">
        <v>216</v>
      </c>
      <c r="T9" s="419" t="s">
        <v>217</v>
      </c>
      <c r="U9" s="420"/>
      <c r="V9" s="420"/>
      <c r="W9" s="420"/>
      <c r="X9" s="420"/>
      <c r="Y9" s="420"/>
      <c r="Z9" s="420"/>
      <c r="AA9" s="421"/>
      <c r="AB9" s="153"/>
      <c r="AC9" s="248"/>
      <c r="AD9" s="195"/>
      <c r="AF9" s="155"/>
      <c r="AG9" s="189"/>
      <c r="AI9" s="150"/>
      <c r="AJ9" s="149"/>
    </row>
    <row r="10" spans="1:44" s="154" customFormat="1" ht="15" customHeight="1">
      <c r="A10" s="153"/>
      <c r="B10" s="283">
        <v>0.29166666666666669</v>
      </c>
      <c r="C10" s="284"/>
      <c r="D10" s="285"/>
      <c r="E10" s="286"/>
      <c r="F10" s="284"/>
      <c r="G10" s="287"/>
      <c r="H10" s="288"/>
      <c r="I10" s="289"/>
      <c r="J10" s="290" t="s">
        <v>218</v>
      </c>
      <c r="K10" s="291"/>
      <c r="L10" s="291"/>
      <c r="M10" s="291"/>
      <c r="N10" s="291"/>
      <c r="O10" s="291"/>
      <c r="P10" s="291"/>
      <c r="Q10" s="291"/>
      <c r="R10" s="291"/>
      <c r="S10" s="137"/>
      <c r="T10" s="292"/>
      <c r="U10" s="297"/>
      <c r="V10" s="297"/>
      <c r="W10" s="297"/>
      <c r="X10" s="297"/>
      <c r="Y10" s="297"/>
      <c r="Z10" s="297"/>
      <c r="AA10" s="298"/>
      <c r="AB10" s="153"/>
      <c r="AF10" s="155"/>
      <c r="AG10" s="186"/>
      <c r="AI10" s="156"/>
    </row>
    <row r="11" spans="1:44" s="154" customFormat="1" ht="15" customHeight="1">
      <c r="A11" s="153"/>
      <c r="B11" s="283">
        <v>0.3125</v>
      </c>
      <c r="C11" s="284"/>
      <c r="D11" s="285"/>
      <c r="E11" s="286"/>
      <c r="F11" s="284"/>
      <c r="G11" s="287"/>
      <c r="H11" s="288" t="str">
        <f>IF(E11="","",IF(E11-B11&lt;0,"24:00"-(B11-E11),E11-B11))</f>
        <v/>
      </c>
      <c r="I11" s="289"/>
      <c r="J11" s="290" t="s">
        <v>219</v>
      </c>
      <c r="K11" s="291"/>
      <c r="L11" s="291"/>
      <c r="M11" s="291"/>
      <c r="N11" s="291"/>
      <c r="O11" s="291"/>
      <c r="P11" s="291"/>
      <c r="Q11" s="291"/>
      <c r="R11" s="291"/>
      <c r="S11" s="137"/>
      <c r="T11" s="296"/>
      <c r="U11" s="293"/>
      <c r="V11" s="293"/>
      <c r="W11" s="293"/>
      <c r="X11" s="293"/>
      <c r="Y11" s="293"/>
      <c r="Z11" s="293"/>
      <c r="AA11" s="294"/>
      <c r="AB11" s="153"/>
      <c r="AF11" s="155"/>
      <c r="AG11" s="186"/>
      <c r="AI11" s="156"/>
    </row>
    <row r="12" spans="1:44" s="154" customFormat="1" ht="15" customHeight="1">
      <c r="A12" s="153"/>
      <c r="B12" s="283">
        <v>0.33333333333333331</v>
      </c>
      <c r="C12" s="284"/>
      <c r="D12" s="285"/>
      <c r="E12" s="286"/>
      <c r="F12" s="284"/>
      <c r="G12" s="287"/>
      <c r="H12" s="288" t="str">
        <f>IF(E12="","",IF(E12-B12&lt;0,"24:00"-(B12-E12),E12-B12))</f>
        <v/>
      </c>
      <c r="I12" s="289"/>
      <c r="J12" s="290" t="s">
        <v>220</v>
      </c>
      <c r="K12" s="291"/>
      <c r="L12" s="291"/>
      <c r="M12" s="291"/>
      <c r="N12" s="291"/>
      <c r="O12" s="291"/>
      <c r="P12" s="291"/>
      <c r="Q12" s="291"/>
      <c r="R12" s="291"/>
      <c r="S12" s="137"/>
      <c r="T12" s="296"/>
      <c r="U12" s="293"/>
      <c r="V12" s="293"/>
      <c r="W12" s="293"/>
      <c r="X12" s="293"/>
      <c r="Y12" s="293"/>
      <c r="Z12" s="293"/>
      <c r="AA12" s="294"/>
      <c r="AB12" s="153"/>
      <c r="AF12" s="155"/>
      <c r="AG12" s="186"/>
      <c r="AI12" s="156"/>
    </row>
    <row r="13" spans="1:44" s="154" customFormat="1" ht="15" customHeight="1">
      <c r="A13" s="153"/>
      <c r="B13" s="283">
        <v>0.5</v>
      </c>
      <c r="C13" s="284"/>
      <c r="D13" s="285"/>
      <c r="E13" s="286">
        <v>0.625</v>
      </c>
      <c r="F13" s="284"/>
      <c r="G13" s="287"/>
      <c r="H13" s="288">
        <f>SUM(E13-B13)</f>
        <v>0.125</v>
      </c>
      <c r="I13" s="289"/>
      <c r="J13" s="290" t="s">
        <v>221</v>
      </c>
      <c r="K13" s="291"/>
      <c r="L13" s="291"/>
      <c r="M13" s="291"/>
      <c r="N13" s="291"/>
      <c r="O13" s="291"/>
      <c r="P13" s="291"/>
      <c r="Q13" s="291"/>
      <c r="R13" s="291"/>
      <c r="S13" s="137" t="s">
        <v>226</v>
      </c>
      <c r="T13" s="292"/>
      <c r="U13" s="293"/>
      <c r="V13" s="293"/>
      <c r="W13" s="293"/>
      <c r="X13" s="293"/>
      <c r="Y13" s="293"/>
      <c r="Z13" s="293"/>
      <c r="AA13" s="294"/>
      <c r="AB13" s="153"/>
      <c r="AF13" s="155"/>
      <c r="AG13" s="186"/>
      <c r="AI13" s="156"/>
    </row>
    <row r="14" spans="1:44" s="154" customFormat="1" ht="15" customHeight="1">
      <c r="A14" s="153"/>
      <c r="B14" s="283">
        <v>0.83333333333333337</v>
      </c>
      <c r="C14" s="284"/>
      <c r="D14" s="285"/>
      <c r="E14" s="286"/>
      <c r="F14" s="284"/>
      <c r="G14" s="287"/>
      <c r="H14" s="288"/>
      <c r="I14" s="289"/>
      <c r="J14" s="290" t="s">
        <v>224</v>
      </c>
      <c r="K14" s="291"/>
      <c r="L14" s="291"/>
      <c r="M14" s="291"/>
      <c r="N14" s="291"/>
      <c r="O14" s="291"/>
      <c r="P14" s="291"/>
      <c r="Q14" s="291"/>
      <c r="R14" s="295"/>
      <c r="S14" s="137"/>
      <c r="T14" s="296"/>
      <c r="U14" s="297"/>
      <c r="V14" s="297"/>
      <c r="W14" s="297"/>
      <c r="X14" s="297"/>
      <c r="Y14" s="297"/>
      <c r="Z14" s="297"/>
      <c r="AA14" s="298"/>
      <c r="AB14" s="153"/>
      <c r="AF14" s="155"/>
      <c r="AG14" s="186"/>
      <c r="AI14" s="156"/>
    </row>
    <row r="15" spans="1:44" s="154" customFormat="1" ht="15" customHeight="1">
      <c r="A15" s="153"/>
      <c r="B15" s="415" t="s">
        <v>212</v>
      </c>
      <c r="C15" s="416"/>
      <c r="D15" s="416"/>
      <c r="E15" s="407"/>
      <c r="F15" s="407"/>
      <c r="G15" s="407"/>
      <c r="H15" s="299"/>
      <c r="I15" s="299"/>
      <c r="J15" s="407" t="s">
        <v>319</v>
      </c>
      <c r="K15" s="407"/>
      <c r="L15" s="407"/>
      <c r="M15" s="407"/>
      <c r="N15" s="407"/>
      <c r="O15" s="407"/>
      <c r="P15" s="407"/>
      <c r="Q15" s="407"/>
      <c r="R15" s="407"/>
      <c r="S15" s="407"/>
      <c r="T15" s="417"/>
      <c r="U15" s="417"/>
      <c r="V15" s="417"/>
      <c r="W15" s="417"/>
      <c r="X15" s="417"/>
      <c r="Y15" s="417"/>
      <c r="Z15" s="417"/>
      <c r="AA15" s="418"/>
      <c r="AB15" s="153"/>
      <c r="AC15" s="140"/>
      <c r="AD15" s="195" t="s">
        <v>318</v>
      </c>
      <c r="AF15" s="155"/>
      <c r="AG15" s="188"/>
      <c r="AI15" s="143"/>
      <c r="AJ15" s="140"/>
      <c r="AN15" s="154" t="s">
        <v>13</v>
      </c>
    </row>
    <row r="16" spans="1:44" s="154" customFormat="1" ht="15" customHeight="1">
      <c r="A16" s="153"/>
      <c r="B16" s="301" t="s">
        <v>193</v>
      </c>
      <c r="C16" s="302"/>
      <c r="D16" s="302"/>
      <c r="E16" s="302" t="s">
        <v>194</v>
      </c>
      <c r="F16" s="302"/>
      <c r="G16" s="302"/>
      <c r="H16" s="303" t="s">
        <v>214</v>
      </c>
      <c r="I16" s="304"/>
      <c r="J16" s="305" t="s">
        <v>215</v>
      </c>
      <c r="K16" s="306"/>
      <c r="L16" s="306"/>
      <c r="M16" s="306"/>
      <c r="N16" s="306"/>
      <c r="O16" s="306"/>
      <c r="P16" s="306"/>
      <c r="Q16" s="306"/>
      <c r="R16" s="306"/>
      <c r="S16" s="136" t="s">
        <v>216</v>
      </c>
      <c r="T16" s="419" t="s">
        <v>217</v>
      </c>
      <c r="U16" s="420"/>
      <c r="V16" s="420"/>
      <c r="W16" s="420"/>
      <c r="X16" s="420"/>
      <c r="Y16" s="420"/>
      <c r="Z16" s="420"/>
      <c r="AA16" s="421"/>
      <c r="AB16" s="153"/>
      <c r="AC16" s="248"/>
      <c r="AD16" s="195"/>
      <c r="AF16" s="155"/>
      <c r="AG16" s="189"/>
      <c r="AI16" s="150"/>
      <c r="AJ16" s="149"/>
    </row>
    <row r="17" spans="1:49" customFormat="1" ht="15" customHeight="1">
      <c r="B17" s="283">
        <v>0.29166666666666669</v>
      </c>
      <c r="C17" s="284"/>
      <c r="D17" s="285"/>
      <c r="E17" s="286"/>
      <c r="F17" s="284"/>
      <c r="G17" s="287"/>
      <c r="H17" s="288" t="str">
        <f>IF(E17="","",IF(E17-B17&lt;0,"24:00"-(B17-E17),E17-B17))</f>
        <v/>
      </c>
      <c r="I17" s="289"/>
      <c r="J17" s="290" t="s">
        <v>218</v>
      </c>
      <c r="K17" s="291"/>
      <c r="L17" s="291"/>
      <c r="M17" s="291"/>
      <c r="N17" s="291"/>
      <c r="O17" s="291"/>
      <c r="P17" s="291"/>
      <c r="Q17" s="291"/>
      <c r="R17" s="295"/>
      <c r="S17" s="137"/>
      <c r="T17" s="296"/>
      <c r="U17" s="297"/>
      <c r="V17" s="297"/>
      <c r="W17" s="297"/>
      <c r="X17" s="297"/>
      <c r="Y17" s="297"/>
      <c r="Z17" s="297"/>
      <c r="AA17" s="298"/>
      <c r="AB17" s="139"/>
      <c r="AC17" s="248"/>
      <c r="AD17" s="140"/>
      <c r="AE17" s="140"/>
      <c r="AF17" s="155"/>
      <c r="AG17" s="187"/>
      <c r="AM17" t="s">
        <v>13</v>
      </c>
    </row>
    <row r="18" spans="1:49" customFormat="1" ht="15" customHeight="1">
      <c r="B18" s="283">
        <v>0.32291666666666669</v>
      </c>
      <c r="C18" s="284"/>
      <c r="D18" s="285"/>
      <c r="E18" s="286"/>
      <c r="F18" s="284"/>
      <c r="G18" s="287"/>
      <c r="H18" s="288" t="str">
        <f>IF(E18="","",IF(E18-B18&lt;0,"24:00"-(B18-E18),E18-B18))</f>
        <v/>
      </c>
      <c r="I18" s="289"/>
      <c r="J18" s="290" t="s">
        <v>219</v>
      </c>
      <c r="K18" s="291"/>
      <c r="L18" s="291"/>
      <c r="M18" s="291"/>
      <c r="N18" s="291"/>
      <c r="O18" s="291"/>
      <c r="P18" s="291"/>
      <c r="Q18" s="291"/>
      <c r="R18" s="295"/>
      <c r="S18" s="137"/>
      <c r="T18" s="292"/>
      <c r="U18" s="293"/>
      <c r="V18" s="293"/>
      <c r="W18" s="293"/>
      <c r="X18" s="293"/>
      <c r="Y18" s="293"/>
      <c r="Z18" s="293"/>
      <c r="AA18" s="294"/>
      <c r="AB18" s="139"/>
      <c r="AC18" s="248"/>
      <c r="AD18" s="195"/>
      <c r="AE18" s="140"/>
      <c r="AF18" s="155"/>
      <c r="AG18" s="187" t="s">
        <v>202</v>
      </c>
      <c r="AL18" t="s">
        <v>13</v>
      </c>
    </row>
    <row r="19" spans="1:49" s="154" customFormat="1" ht="15" customHeight="1">
      <c r="A19" s="153"/>
      <c r="B19" s="283">
        <v>0.5</v>
      </c>
      <c r="C19" s="284"/>
      <c r="D19" s="285"/>
      <c r="E19" s="286">
        <v>0.625</v>
      </c>
      <c r="F19" s="284"/>
      <c r="G19" s="287"/>
      <c r="H19" s="288">
        <f t="shared" ref="H19" si="0">IF(E19="","",IF(E19-B19&lt;0,"24:00"-(B19-E19),E19-B19))</f>
        <v>0.125</v>
      </c>
      <c r="I19" s="289"/>
      <c r="J19" s="290" t="s">
        <v>221</v>
      </c>
      <c r="K19" s="291"/>
      <c r="L19" s="291"/>
      <c r="M19" s="291"/>
      <c r="N19" s="291"/>
      <c r="O19" s="291"/>
      <c r="P19" s="291"/>
      <c r="Q19" s="291"/>
      <c r="R19" s="295"/>
      <c r="S19" s="137" t="s">
        <v>226</v>
      </c>
      <c r="T19" s="296"/>
      <c r="U19" s="297"/>
      <c r="V19" s="297"/>
      <c r="W19" s="297"/>
      <c r="X19" s="297"/>
      <c r="Y19" s="297"/>
      <c r="Z19" s="297"/>
      <c r="AA19" s="298"/>
      <c r="AB19" s="153"/>
      <c r="AC19" s="258" t="s">
        <v>13</v>
      </c>
      <c r="AD19" s="195"/>
      <c r="AF19" s="155"/>
      <c r="AG19" s="187" t="s">
        <v>202</v>
      </c>
      <c r="AI19" s="156"/>
      <c r="AP19" s="194"/>
      <c r="AW19" s="154" t="s">
        <v>13</v>
      </c>
    </row>
    <row r="20" spans="1:49" ht="15" customHeight="1">
      <c r="A20" s="139"/>
      <c r="B20" s="283">
        <v>0.52083333333333337</v>
      </c>
      <c r="C20" s="284"/>
      <c r="D20" s="285"/>
      <c r="E20" s="286"/>
      <c r="F20" s="284"/>
      <c r="G20" s="287"/>
      <c r="H20" s="288" t="str">
        <f>IF(E20="","",IF(E20-B20&lt;0,"24:00"-(B20-E20),E20-B20))</f>
        <v/>
      </c>
      <c r="I20" s="289"/>
      <c r="J20" s="290" t="s">
        <v>264</v>
      </c>
      <c r="K20" s="291"/>
      <c r="L20" s="291"/>
      <c r="M20" s="291"/>
      <c r="N20" s="291"/>
      <c r="O20" s="291"/>
      <c r="P20" s="291"/>
      <c r="Q20" s="291"/>
      <c r="R20" s="295"/>
      <c r="S20" s="137"/>
      <c r="T20" s="292"/>
      <c r="U20" s="297"/>
      <c r="V20" s="297"/>
      <c r="W20" s="297"/>
      <c r="X20" s="297"/>
      <c r="Y20" s="297"/>
      <c r="Z20" s="297"/>
      <c r="AA20" s="298"/>
      <c r="AB20" s="153"/>
      <c r="AC20" s="258"/>
      <c r="AD20" s="195"/>
      <c r="AE20" s="154"/>
      <c r="AF20" s="155"/>
      <c r="AG20" s="187" t="s">
        <v>202</v>
      </c>
    </row>
    <row r="21" spans="1:49" ht="27.6" customHeight="1">
      <c r="A21" s="139"/>
      <c r="B21" s="1000">
        <v>0.58333333333333337</v>
      </c>
      <c r="C21" s="1001"/>
      <c r="D21" s="1002"/>
      <c r="E21" s="1003">
        <v>0.70833333333333337</v>
      </c>
      <c r="F21" s="1001"/>
      <c r="G21" s="1004"/>
      <c r="H21" s="400">
        <f t="shared" ref="H21:H23" si="1">IF(E21="","",IF(E21-B21&lt;0,"24:00"-(B21-E21),E21-B21))</f>
        <v>0.125</v>
      </c>
      <c r="I21" s="401"/>
      <c r="J21" s="1005" t="s">
        <v>320</v>
      </c>
      <c r="K21" s="1006"/>
      <c r="L21" s="1006"/>
      <c r="M21" s="1006"/>
      <c r="N21" s="1006"/>
      <c r="O21" s="1006"/>
      <c r="P21" s="1006"/>
      <c r="Q21" s="1006"/>
      <c r="R21" s="1007"/>
      <c r="S21" s="261" t="s">
        <v>321</v>
      </c>
      <c r="T21" s="1008" t="s">
        <v>322</v>
      </c>
      <c r="U21" s="1009"/>
      <c r="V21" s="1009"/>
      <c r="W21" s="1009"/>
      <c r="X21" s="1009"/>
      <c r="Y21" s="1009"/>
      <c r="Z21" s="1009"/>
      <c r="AA21" s="1010"/>
      <c r="AB21" s="153"/>
      <c r="AC21" s="258"/>
      <c r="AD21" s="195"/>
      <c r="AE21" s="154"/>
      <c r="AF21" s="155"/>
      <c r="AG21" s="187"/>
    </row>
    <row r="22" spans="1:49" s="154" customFormat="1" ht="15" customHeight="1">
      <c r="A22" s="153"/>
      <c r="B22" s="283">
        <v>0.59027777777777779</v>
      </c>
      <c r="C22" s="284"/>
      <c r="D22" s="285"/>
      <c r="E22" s="286">
        <v>0.62152777777777779</v>
      </c>
      <c r="F22" s="284"/>
      <c r="G22" s="287"/>
      <c r="H22" s="288">
        <f t="shared" si="1"/>
        <v>3.125E-2</v>
      </c>
      <c r="I22" s="289"/>
      <c r="J22" s="290" t="s">
        <v>323</v>
      </c>
      <c r="K22" s="291"/>
      <c r="L22" s="291"/>
      <c r="M22" s="291"/>
      <c r="N22" s="291"/>
      <c r="O22" s="291"/>
      <c r="P22" s="291"/>
      <c r="Q22" s="291"/>
      <c r="R22" s="295"/>
      <c r="S22" s="137"/>
      <c r="T22" s="296"/>
      <c r="U22" s="297"/>
      <c r="V22" s="297"/>
      <c r="W22" s="297"/>
      <c r="X22" s="297"/>
      <c r="Y22" s="297"/>
      <c r="Z22" s="297"/>
      <c r="AA22" s="298"/>
      <c r="AB22" s="153"/>
      <c r="AC22" s="258"/>
      <c r="AD22" s="195"/>
      <c r="AF22" s="155"/>
      <c r="AG22" s="187"/>
      <c r="AI22" s="156"/>
      <c r="AP22" s="194"/>
    </row>
    <row r="23" spans="1:49" s="154" customFormat="1" ht="15" customHeight="1">
      <c r="A23" s="153"/>
      <c r="B23" s="283">
        <v>0.625</v>
      </c>
      <c r="C23" s="284"/>
      <c r="D23" s="285"/>
      <c r="E23" s="286">
        <v>0.66666666666666663</v>
      </c>
      <c r="F23" s="284"/>
      <c r="G23" s="287"/>
      <c r="H23" s="288">
        <f t="shared" si="1"/>
        <v>4.166666666666663E-2</v>
      </c>
      <c r="I23" s="289"/>
      <c r="J23" s="290" t="s">
        <v>246</v>
      </c>
      <c r="K23" s="291"/>
      <c r="L23" s="291"/>
      <c r="M23" s="291"/>
      <c r="N23" s="291"/>
      <c r="O23" s="291"/>
      <c r="P23" s="291"/>
      <c r="Q23" s="291"/>
      <c r="R23" s="295"/>
      <c r="S23" s="137"/>
      <c r="T23" s="296"/>
      <c r="U23" s="293"/>
      <c r="V23" s="293"/>
      <c r="W23" s="293"/>
      <c r="X23" s="293"/>
      <c r="Y23" s="293"/>
      <c r="Z23" s="293"/>
      <c r="AA23" s="294"/>
      <c r="AB23" s="153"/>
      <c r="AC23" s="258"/>
      <c r="AD23" s="195"/>
      <c r="AF23" s="155"/>
      <c r="AG23" s="187" t="s">
        <v>202</v>
      </c>
      <c r="AI23" s="156"/>
    </row>
    <row r="24" spans="1:49" s="154" customFormat="1" ht="15" customHeight="1">
      <c r="A24" s="153"/>
      <c r="B24" s="283">
        <v>0.6875</v>
      </c>
      <c r="C24" s="284"/>
      <c r="D24" s="285"/>
      <c r="E24" s="286"/>
      <c r="F24" s="284"/>
      <c r="G24" s="287"/>
      <c r="H24" s="288">
        <f>E24-B24</f>
        <v>-0.6875</v>
      </c>
      <c r="I24" s="289"/>
      <c r="J24" s="290" t="s">
        <v>231</v>
      </c>
      <c r="K24" s="291"/>
      <c r="L24" s="291"/>
      <c r="M24" s="291"/>
      <c r="N24" s="291"/>
      <c r="O24" s="291"/>
      <c r="P24" s="291"/>
      <c r="Q24" s="291"/>
      <c r="R24" s="295"/>
      <c r="T24" s="296"/>
      <c r="U24" s="293"/>
      <c r="V24" s="293"/>
      <c r="W24" s="293"/>
      <c r="X24" s="293"/>
      <c r="Y24" s="293"/>
      <c r="Z24" s="293"/>
      <c r="AA24" s="294"/>
      <c r="AB24" s="153"/>
      <c r="AC24" s="258"/>
      <c r="AD24" s="195"/>
      <c r="AF24" s="155"/>
      <c r="AG24" s="187" t="s">
        <v>202</v>
      </c>
      <c r="AI24" s="156"/>
      <c r="AL24" s="154" t="s">
        <v>13</v>
      </c>
      <c r="AM24" s="154" t="s">
        <v>13</v>
      </c>
    </row>
    <row r="25" spans="1:49" s="154" customFormat="1" ht="15" customHeight="1">
      <c r="A25" s="153"/>
      <c r="B25" s="283">
        <v>0.75</v>
      </c>
      <c r="C25" s="284"/>
      <c r="D25" s="285"/>
      <c r="E25" s="286"/>
      <c r="F25" s="284"/>
      <c r="G25" s="287"/>
      <c r="H25" s="288" t="str">
        <f t="shared" ref="H25:H26" si="2">IF(E25="","",IF(E25-B25&lt;0,"24:00"-(B25-E25),E25-B25))</f>
        <v/>
      </c>
      <c r="I25" s="289"/>
      <c r="J25" s="290" t="s">
        <v>324</v>
      </c>
      <c r="K25" s="291"/>
      <c r="L25" s="291"/>
      <c r="M25" s="291"/>
      <c r="N25" s="291"/>
      <c r="O25" s="291"/>
      <c r="P25" s="291"/>
      <c r="Q25" s="291"/>
      <c r="R25" s="295"/>
      <c r="S25" s="137"/>
      <c r="T25" s="296"/>
      <c r="U25" s="297"/>
      <c r="V25" s="297"/>
      <c r="W25" s="297"/>
      <c r="X25" s="297"/>
      <c r="Y25" s="297"/>
      <c r="Z25" s="297"/>
      <c r="AA25" s="298"/>
      <c r="AB25" s="153"/>
      <c r="AC25" s="258"/>
      <c r="AD25" s="195"/>
      <c r="AF25" s="155"/>
      <c r="AG25" s="187"/>
      <c r="AI25" s="156"/>
      <c r="AP25" s="194"/>
    </row>
    <row r="26" spans="1:49" s="154" customFormat="1" ht="15" customHeight="1">
      <c r="A26" s="153"/>
      <c r="B26" s="283">
        <v>0.79166666666666663</v>
      </c>
      <c r="C26" s="284"/>
      <c r="D26" s="285"/>
      <c r="E26" s="286"/>
      <c r="F26" s="284"/>
      <c r="G26" s="287"/>
      <c r="H26" s="288" t="str">
        <f t="shared" si="2"/>
        <v/>
      </c>
      <c r="I26" s="289"/>
      <c r="J26" s="290" t="s">
        <v>224</v>
      </c>
      <c r="K26" s="291"/>
      <c r="L26" s="291"/>
      <c r="M26" s="291"/>
      <c r="N26" s="291"/>
      <c r="O26" s="291"/>
      <c r="P26" s="291"/>
      <c r="Q26" s="291"/>
      <c r="R26" s="295"/>
      <c r="S26" s="137"/>
      <c r="T26" s="296"/>
      <c r="U26" s="297"/>
      <c r="V26" s="297"/>
      <c r="W26" s="297"/>
      <c r="X26" s="297"/>
      <c r="Y26" s="297"/>
      <c r="Z26" s="297"/>
      <c r="AA26" s="298"/>
      <c r="AB26" s="153"/>
      <c r="AC26" s="258"/>
      <c r="AF26" s="155"/>
      <c r="AG26" s="187"/>
      <c r="AI26" s="156"/>
      <c r="AN26" s="154" t="s">
        <v>13</v>
      </c>
    </row>
    <row r="27" spans="1:49" customFormat="1" ht="15" customHeight="1">
      <c r="B27" s="415" t="s">
        <v>212</v>
      </c>
      <c r="C27" s="416"/>
      <c r="D27" s="416"/>
      <c r="E27" s="407"/>
      <c r="F27" s="407"/>
      <c r="G27" s="407"/>
      <c r="H27" s="299"/>
      <c r="I27" s="299"/>
      <c r="J27" s="407" t="s">
        <v>325</v>
      </c>
      <c r="K27" s="407"/>
      <c r="L27" s="407"/>
      <c r="M27" s="407"/>
      <c r="N27" s="407"/>
      <c r="O27" s="407"/>
      <c r="P27" s="407"/>
      <c r="Q27" s="407"/>
      <c r="R27" s="407"/>
      <c r="S27" s="407"/>
      <c r="T27" s="445"/>
      <c r="U27" s="445"/>
      <c r="V27" s="445"/>
      <c r="W27" s="445"/>
      <c r="X27" s="445"/>
      <c r="Y27" s="445"/>
      <c r="Z27" s="445"/>
      <c r="AA27" s="446"/>
      <c r="AB27" s="139"/>
      <c r="AC27" s="140"/>
      <c r="AD27" s="140"/>
      <c r="AE27" s="140"/>
      <c r="AF27" s="155"/>
      <c r="AG27" s="183"/>
    </row>
    <row r="28" spans="1:49" customFormat="1" ht="15" customHeight="1">
      <c r="B28" s="301" t="s">
        <v>193</v>
      </c>
      <c r="C28" s="302"/>
      <c r="D28" s="302"/>
      <c r="E28" s="302" t="s">
        <v>194</v>
      </c>
      <c r="F28" s="302"/>
      <c r="G28" s="302"/>
      <c r="H28" s="303" t="s">
        <v>214</v>
      </c>
      <c r="I28" s="304"/>
      <c r="J28" s="305" t="s">
        <v>215</v>
      </c>
      <c r="K28" s="306"/>
      <c r="L28" s="306"/>
      <c r="M28" s="306"/>
      <c r="N28" s="306"/>
      <c r="O28" s="306"/>
      <c r="P28" s="306"/>
      <c r="Q28" s="306"/>
      <c r="R28" s="306"/>
      <c r="S28" s="136" t="s">
        <v>216</v>
      </c>
      <c r="T28" s="419" t="s">
        <v>217</v>
      </c>
      <c r="U28" s="425"/>
      <c r="V28" s="425"/>
      <c r="W28" s="425"/>
      <c r="X28" s="425"/>
      <c r="Y28" s="425"/>
      <c r="Z28" s="425"/>
      <c r="AA28" s="426"/>
      <c r="AB28" s="139"/>
      <c r="AC28" s="140"/>
      <c r="AD28" s="140"/>
      <c r="AE28" s="140"/>
      <c r="AF28" s="155"/>
      <c r="AG28" s="189"/>
      <c r="AP28" t="s">
        <v>13</v>
      </c>
    </row>
    <row r="29" spans="1:49" customFormat="1" ht="15" customHeight="1">
      <c r="B29" s="283">
        <v>0.29166666666666669</v>
      </c>
      <c r="C29" s="284"/>
      <c r="D29" s="285"/>
      <c r="E29" s="286"/>
      <c r="F29" s="284"/>
      <c r="G29" s="287"/>
      <c r="H29" s="288" t="str">
        <f>IF(E29="","",IF(E29-B29&lt;0,"24:00"-(B29-E29),E29-B29))</f>
        <v/>
      </c>
      <c r="I29" s="289"/>
      <c r="J29" s="290" t="s">
        <v>218</v>
      </c>
      <c r="K29" s="291"/>
      <c r="L29" s="291"/>
      <c r="M29" s="291"/>
      <c r="N29" s="291"/>
      <c r="O29" s="291"/>
      <c r="P29" s="291"/>
      <c r="Q29" s="291"/>
      <c r="R29" s="295"/>
      <c r="S29" s="137"/>
      <c r="T29" s="296"/>
      <c r="U29" s="297"/>
      <c r="V29" s="297"/>
      <c r="W29" s="297"/>
      <c r="X29" s="297"/>
      <c r="Y29" s="297"/>
      <c r="Z29" s="297"/>
      <c r="AA29" s="298"/>
      <c r="AB29" s="139"/>
      <c r="AC29" s="140"/>
      <c r="AD29" s="140"/>
      <c r="AE29" s="140"/>
      <c r="AF29" s="155"/>
      <c r="AG29" s="187"/>
      <c r="AM29" t="s">
        <v>13</v>
      </c>
    </row>
    <row r="30" spans="1:49" customFormat="1" ht="15" customHeight="1">
      <c r="B30" s="283">
        <v>0.32291666666666669</v>
      </c>
      <c r="C30" s="284"/>
      <c r="D30" s="285"/>
      <c r="E30" s="286"/>
      <c r="F30" s="284"/>
      <c r="G30" s="287"/>
      <c r="H30" s="288" t="str">
        <f>IF(E30="","",IF(E30-B30&lt;0,"24:00"-(B30-E30),E30-B30))</f>
        <v/>
      </c>
      <c r="I30" s="289"/>
      <c r="J30" s="290" t="s">
        <v>219</v>
      </c>
      <c r="K30" s="291"/>
      <c r="L30" s="291"/>
      <c r="M30" s="291"/>
      <c r="N30" s="291"/>
      <c r="O30" s="291"/>
      <c r="P30" s="291"/>
      <c r="Q30" s="291"/>
      <c r="R30" s="295"/>
      <c r="S30" s="137"/>
      <c r="T30" s="292"/>
      <c r="U30" s="293"/>
      <c r="V30" s="293"/>
      <c r="W30" s="293"/>
      <c r="X30" s="293"/>
      <c r="Y30" s="293"/>
      <c r="Z30" s="293"/>
      <c r="AA30" s="294"/>
      <c r="AB30" s="139"/>
      <c r="AC30" s="140"/>
      <c r="AD30" s="195"/>
      <c r="AE30" s="140"/>
      <c r="AF30" s="155"/>
      <c r="AG30" s="187" t="s">
        <v>202</v>
      </c>
      <c r="AL30" t="s">
        <v>13</v>
      </c>
    </row>
    <row r="31" spans="1:49" s="154" customFormat="1" ht="15" customHeight="1">
      <c r="A31" s="153"/>
      <c r="B31" s="283">
        <v>0.34375</v>
      </c>
      <c r="C31" s="284"/>
      <c r="D31" s="285"/>
      <c r="E31" s="286"/>
      <c r="F31" s="284"/>
      <c r="G31" s="287"/>
      <c r="H31" s="288" t="str">
        <f t="shared" ref="H31" si="3">IF(E31="","",IF(E31-B31&lt;0,"24:00"-(B31-E31),E31-B31))</f>
        <v/>
      </c>
      <c r="I31" s="289"/>
      <c r="J31" s="290" t="s">
        <v>326</v>
      </c>
      <c r="K31" s="291"/>
      <c r="L31" s="291"/>
      <c r="M31" s="291"/>
      <c r="N31" s="291"/>
      <c r="O31" s="291"/>
      <c r="P31" s="291"/>
      <c r="Q31" s="291"/>
      <c r="R31" s="295"/>
      <c r="S31" s="137"/>
      <c r="T31" s="296" t="s">
        <v>300</v>
      </c>
      <c r="U31" s="293"/>
      <c r="V31" s="293"/>
      <c r="W31" s="293"/>
      <c r="X31" s="293"/>
      <c r="Y31" s="293"/>
      <c r="Z31" s="293"/>
      <c r="AA31" s="294"/>
      <c r="AB31"/>
      <c r="AC31"/>
      <c r="AD31"/>
      <c r="AE31"/>
      <c r="AF31"/>
      <c r="AG31" s="187" t="s">
        <v>202</v>
      </c>
      <c r="AH31"/>
      <c r="AI31" s="156"/>
      <c r="AP31" s="154" t="s">
        <v>13</v>
      </c>
    </row>
    <row r="32" spans="1:49" s="154" customFormat="1" ht="15" customHeight="1">
      <c r="A32" s="153"/>
      <c r="B32" s="283">
        <v>0.36458333333333331</v>
      </c>
      <c r="C32" s="284"/>
      <c r="D32" s="285"/>
      <c r="E32" s="286"/>
      <c r="F32" s="284"/>
      <c r="G32" s="287"/>
      <c r="H32" s="288" t="str">
        <f t="shared" ref="H32" si="4">IF(E32="","",IF(E32-B32&lt;0,"24:00"-(B32-E32),E32-B32))</f>
        <v/>
      </c>
      <c r="I32" s="289"/>
      <c r="J32" s="290" t="s">
        <v>223</v>
      </c>
      <c r="K32" s="291"/>
      <c r="L32" s="291"/>
      <c r="M32" s="291"/>
      <c r="N32" s="291"/>
      <c r="O32" s="291"/>
      <c r="P32" s="291"/>
      <c r="Q32" s="291"/>
      <c r="R32" s="295"/>
      <c r="S32" s="137" t="s">
        <v>327</v>
      </c>
      <c r="T32" s="296" t="s">
        <v>328</v>
      </c>
      <c r="U32" s="293"/>
      <c r="V32" s="293"/>
      <c r="W32" s="293"/>
      <c r="X32" s="293"/>
      <c r="Y32" s="293"/>
      <c r="Z32" s="293"/>
      <c r="AA32" s="294"/>
      <c r="AB32"/>
      <c r="AC32"/>
      <c r="AD32"/>
      <c r="AE32"/>
      <c r="AF32"/>
      <c r="AG32" s="187" t="s">
        <v>202</v>
      </c>
      <c r="AH32"/>
      <c r="AI32" s="156"/>
      <c r="AP32" s="154" t="s">
        <v>13</v>
      </c>
    </row>
    <row r="33" spans="1:109" ht="15" customHeight="1">
      <c r="A33" s="139"/>
      <c r="B33" s="344">
        <v>0.40972222222222221</v>
      </c>
      <c r="C33" s="345"/>
      <c r="D33" s="346"/>
      <c r="E33" s="347"/>
      <c r="F33" s="345"/>
      <c r="G33" s="348"/>
      <c r="H33" s="349" t="str">
        <f t="shared" ref="H33:H38" si="5">IF(E33="","",IF(E33-B33&lt;0,"24:00"-(B33-E33),E33-B33))</f>
        <v/>
      </c>
      <c r="I33" s="350"/>
      <c r="J33" s="373" t="s">
        <v>329</v>
      </c>
      <c r="K33" s="374"/>
      <c r="L33" s="374"/>
      <c r="M33" s="374"/>
      <c r="N33" s="374"/>
      <c r="O33" s="374"/>
      <c r="P33" s="374"/>
      <c r="Q33" s="374"/>
      <c r="R33" s="375"/>
      <c r="S33" s="198"/>
      <c r="T33" s="358"/>
      <c r="U33" s="354"/>
      <c r="V33" s="354"/>
      <c r="W33" s="354"/>
      <c r="X33" s="354"/>
      <c r="Y33" s="354"/>
      <c r="Z33" s="354"/>
      <c r="AA33" s="355"/>
      <c r="AB33" s="153"/>
      <c r="AC33" s="258"/>
      <c r="AD33" s="195"/>
      <c r="AE33" s="154"/>
      <c r="AF33" s="155"/>
      <c r="AG33" s="187" t="s">
        <v>202</v>
      </c>
    </row>
    <row r="34" spans="1:109" s="154" customFormat="1" ht="15" customHeight="1">
      <c r="A34" s="153"/>
      <c r="B34" s="309">
        <v>0.41666666666666669</v>
      </c>
      <c r="C34" s="310"/>
      <c r="D34" s="311"/>
      <c r="E34" s="315"/>
      <c r="F34" s="310"/>
      <c r="G34" s="316"/>
      <c r="H34" s="317" t="str">
        <f t="shared" si="5"/>
        <v/>
      </c>
      <c r="I34" s="318"/>
      <c r="J34" s="319" t="s">
        <v>234</v>
      </c>
      <c r="K34" s="320"/>
      <c r="L34" s="320"/>
      <c r="M34" s="320"/>
      <c r="N34" s="320"/>
      <c r="O34" s="320"/>
      <c r="P34" s="320"/>
      <c r="Q34" s="320"/>
      <c r="R34" s="461"/>
      <c r="S34" s="159"/>
      <c r="T34" s="386"/>
      <c r="U34" s="387"/>
      <c r="V34" s="387"/>
      <c r="W34" s="387"/>
      <c r="X34" s="387"/>
      <c r="Y34" s="387"/>
      <c r="Z34" s="387"/>
      <c r="AA34" s="388"/>
      <c r="AB34" s="153"/>
      <c r="AD34" s="195"/>
      <c r="AF34" s="155"/>
      <c r="AG34" s="187"/>
      <c r="AI34" s="156"/>
      <c r="AR34" s="154" t="s">
        <v>13</v>
      </c>
    </row>
    <row r="35" spans="1:109" ht="15" customHeight="1">
      <c r="A35" s="139"/>
      <c r="B35" s="984">
        <v>0.4201388888888889</v>
      </c>
      <c r="C35" s="985"/>
      <c r="D35" s="986"/>
      <c r="E35" s="987">
        <v>0.4513888888888889</v>
      </c>
      <c r="F35" s="985"/>
      <c r="G35" s="988"/>
      <c r="H35" s="989">
        <f t="shared" si="5"/>
        <v>3.125E-2</v>
      </c>
      <c r="I35" s="990"/>
      <c r="J35" s="991" t="s">
        <v>330</v>
      </c>
      <c r="K35" s="992"/>
      <c r="L35" s="992"/>
      <c r="M35" s="992"/>
      <c r="N35" s="992"/>
      <c r="O35" s="992"/>
      <c r="P35" s="992"/>
      <c r="Q35" s="992"/>
      <c r="R35" s="996"/>
      <c r="S35" s="262" t="s">
        <v>331</v>
      </c>
      <c r="T35" s="993"/>
      <c r="U35" s="994"/>
      <c r="V35" s="994"/>
      <c r="W35" s="994"/>
      <c r="X35" s="994"/>
      <c r="Y35" s="994"/>
      <c r="Z35" s="994"/>
      <c r="AA35" s="995"/>
      <c r="AB35" s="153"/>
      <c r="AC35" s="258"/>
      <c r="AD35" s="195"/>
      <c r="AE35" s="154"/>
      <c r="AF35" s="155"/>
      <c r="AG35" s="187" t="s">
        <v>202</v>
      </c>
    </row>
    <row r="36" spans="1:109" s="154" customFormat="1" ht="15" customHeight="1">
      <c r="A36" s="153"/>
      <c r="B36" s="283">
        <v>0.41666666666666669</v>
      </c>
      <c r="C36" s="284"/>
      <c r="D36" s="285"/>
      <c r="E36" s="286">
        <v>0.66666666666666663</v>
      </c>
      <c r="F36" s="284"/>
      <c r="G36" s="287"/>
      <c r="H36" s="288">
        <f t="shared" si="5"/>
        <v>0.24999999999999994</v>
      </c>
      <c r="I36" s="289"/>
      <c r="J36" s="290" t="s">
        <v>236</v>
      </c>
      <c r="K36" s="291"/>
      <c r="L36" s="291"/>
      <c r="M36" s="291"/>
      <c r="N36" s="291"/>
      <c r="O36" s="291"/>
      <c r="P36" s="291"/>
      <c r="Q36" s="291"/>
      <c r="R36" s="295"/>
      <c r="S36" s="137" t="s">
        <v>237</v>
      </c>
      <c r="T36" s="292" t="s">
        <v>332</v>
      </c>
      <c r="U36" s="293"/>
      <c r="V36" s="293"/>
      <c r="W36" s="293"/>
      <c r="X36" s="293"/>
      <c r="Y36" s="293"/>
      <c r="Z36" s="293"/>
      <c r="AA36" s="294"/>
      <c r="AB36" s="153"/>
      <c r="AD36" s="195"/>
      <c r="AF36" s="155"/>
      <c r="AG36" s="187"/>
      <c r="AI36" s="156"/>
      <c r="AP36" s="154" t="s">
        <v>13</v>
      </c>
    </row>
    <row r="37" spans="1:109" ht="15" customHeight="1">
      <c r="A37" s="139"/>
      <c r="B37" s="1055">
        <v>0.4375</v>
      </c>
      <c r="C37" s="1056"/>
      <c r="D37" s="1057"/>
      <c r="E37" s="1058"/>
      <c r="F37" s="1056"/>
      <c r="G37" s="1059"/>
      <c r="H37" s="1060" t="str">
        <f t="shared" si="5"/>
        <v/>
      </c>
      <c r="I37" s="1061"/>
      <c r="J37" s="373" t="s">
        <v>333</v>
      </c>
      <c r="K37" s="374"/>
      <c r="L37" s="374"/>
      <c r="M37" s="374"/>
      <c r="N37" s="374"/>
      <c r="O37" s="374"/>
      <c r="P37" s="374"/>
      <c r="Q37" s="374"/>
      <c r="R37" s="375"/>
      <c r="S37" s="259"/>
      <c r="T37" s="1062"/>
      <c r="U37" s="1063"/>
      <c r="V37" s="1063"/>
      <c r="W37" s="1063"/>
      <c r="X37" s="1063"/>
      <c r="Y37" s="1063"/>
      <c r="Z37" s="1063"/>
      <c r="AA37" s="1064"/>
      <c r="AB37" s="153"/>
      <c r="AC37" s="154"/>
      <c r="AD37" s="195"/>
      <c r="AE37" s="154"/>
      <c r="AF37" s="155"/>
      <c r="AG37" s="187" t="s">
        <v>202</v>
      </c>
    </row>
    <row r="38" spans="1:109" ht="15" customHeight="1">
      <c r="A38" s="139"/>
      <c r="B38" s="984">
        <v>0.44097222222222221</v>
      </c>
      <c r="C38" s="985"/>
      <c r="D38" s="986"/>
      <c r="E38" s="987">
        <v>0.44444444444444442</v>
      </c>
      <c r="F38" s="985"/>
      <c r="G38" s="988"/>
      <c r="H38" s="989">
        <f t="shared" si="5"/>
        <v>3.4722222222222099E-3</v>
      </c>
      <c r="I38" s="990"/>
      <c r="J38" s="991" t="s">
        <v>334</v>
      </c>
      <c r="K38" s="992"/>
      <c r="L38" s="992"/>
      <c r="M38" s="992"/>
      <c r="N38" s="992"/>
      <c r="O38" s="992"/>
      <c r="P38" s="992"/>
      <c r="Q38" s="992"/>
      <c r="R38" s="996"/>
      <c r="S38" s="262" t="s">
        <v>335</v>
      </c>
      <c r="T38" s="993" t="s">
        <v>336</v>
      </c>
      <c r="U38" s="994"/>
      <c r="V38" s="994"/>
      <c r="W38" s="994"/>
      <c r="X38" s="994"/>
      <c r="Y38" s="994"/>
      <c r="Z38" s="994"/>
      <c r="AA38" s="995"/>
      <c r="AB38" s="153"/>
      <c r="AC38" s="258"/>
      <c r="AD38" s="195"/>
      <c r="AE38" s="154"/>
      <c r="AF38" s="155"/>
      <c r="AG38" s="187" t="s">
        <v>202</v>
      </c>
    </row>
    <row r="39" spans="1:109" s="139" customFormat="1" ht="15" customHeight="1">
      <c r="B39" s="283">
        <v>0.45833333333333331</v>
      </c>
      <c r="C39" s="284"/>
      <c r="D39" s="285"/>
      <c r="E39" s="286">
        <v>0.5</v>
      </c>
      <c r="F39" s="284"/>
      <c r="G39" s="287"/>
      <c r="H39" s="288">
        <f t="shared" ref="H39" si="6">IF(E39="","",IF(E39-B39&lt;0,"24:00"-(B39-E39),E39-B39))</f>
        <v>4.1666666666666685E-2</v>
      </c>
      <c r="I39" s="289"/>
      <c r="J39" s="307" t="s">
        <v>337</v>
      </c>
      <c r="K39" s="308"/>
      <c r="L39" s="308"/>
      <c r="M39" s="308"/>
      <c r="N39" s="308"/>
      <c r="O39" s="308"/>
      <c r="P39" s="308"/>
      <c r="Q39" s="308"/>
      <c r="R39" s="308"/>
      <c r="S39" s="138" t="s">
        <v>266</v>
      </c>
      <c r="T39" s="370" t="s">
        <v>267</v>
      </c>
      <c r="U39" s="371"/>
      <c r="V39" s="371"/>
      <c r="W39" s="371"/>
      <c r="X39" s="371"/>
      <c r="Y39" s="371"/>
      <c r="Z39" s="371"/>
      <c r="AA39" s="372"/>
      <c r="AB39" s="153"/>
      <c r="AC39" s="281" t="s">
        <v>262</v>
      </c>
      <c r="AD39" s="282"/>
      <c r="AE39" s="282"/>
      <c r="AF39" s="155">
        <v>6.25E-2</v>
      </c>
      <c r="AG39" s="184" t="s">
        <v>202</v>
      </c>
      <c r="AH39" s="140"/>
      <c r="AI39" s="143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</row>
    <row r="40" spans="1:109" s="154" customFormat="1" ht="15" customHeight="1">
      <c r="A40" s="153"/>
      <c r="B40" s="283">
        <v>0.5</v>
      </c>
      <c r="C40" s="284"/>
      <c r="D40" s="285"/>
      <c r="E40" s="286">
        <v>0.625</v>
      </c>
      <c r="F40" s="284"/>
      <c r="G40" s="287"/>
      <c r="H40" s="288">
        <f t="shared" ref="H40" si="7">IF(E40="","",IF(E40-B40&lt;0,"24:00"-(B40-E40),E40-B40))</f>
        <v>0.125</v>
      </c>
      <c r="I40" s="289"/>
      <c r="J40" s="290" t="s">
        <v>221</v>
      </c>
      <c r="K40" s="291"/>
      <c r="L40" s="291"/>
      <c r="M40" s="291"/>
      <c r="N40" s="291"/>
      <c r="O40" s="291"/>
      <c r="P40" s="291"/>
      <c r="Q40" s="291"/>
      <c r="R40" s="295"/>
      <c r="S40" s="137" t="s">
        <v>226</v>
      </c>
      <c r="T40" s="296"/>
      <c r="U40" s="297"/>
      <c r="V40" s="297"/>
      <c r="W40" s="297"/>
      <c r="X40" s="297"/>
      <c r="Y40" s="297"/>
      <c r="Z40" s="297"/>
      <c r="AA40" s="298"/>
      <c r="AB40" s="153"/>
      <c r="AC40" s="154" t="s">
        <v>13</v>
      </c>
      <c r="AD40" s="195"/>
      <c r="AF40" s="155"/>
      <c r="AG40" s="187" t="s">
        <v>202</v>
      </c>
      <c r="AI40" s="156"/>
      <c r="AP40" s="194"/>
      <c r="AW40" s="154" t="s">
        <v>13</v>
      </c>
    </row>
    <row r="41" spans="1:109" ht="15" customHeight="1">
      <c r="A41" s="139"/>
      <c r="B41" s="283">
        <v>0.51388888888888884</v>
      </c>
      <c r="C41" s="284"/>
      <c r="D41" s="285"/>
      <c r="E41" s="286">
        <v>0.53472222222222221</v>
      </c>
      <c r="F41" s="284"/>
      <c r="G41" s="287"/>
      <c r="H41" s="288">
        <f>IF(E41="","",IF(E41-B41&lt;0,"24:00"-(B41-E41),E41-B41))</f>
        <v>2.083333333333337E-2</v>
      </c>
      <c r="I41" s="289"/>
      <c r="J41" s="290" t="s">
        <v>242</v>
      </c>
      <c r="K41" s="291"/>
      <c r="L41" s="291"/>
      <c r="M41" s="291"/>
      <c r="N41" s="291"/>
      <c r="O41" s="291"/>
      <c r="P41" s="291"/>
      <c r="Q41" s="291"/>
      <c r="R41" s="295"/>
      <c r="S41" s="137"/>
      <c r="T41" s="296"/>
      <c r="U41" s="293"/>
      <c r="V41" s="293"/>
      <c r="W41" s="293"/>
      <c r="X41" s="293"/>
      <c r="Y41" s="293"/>
      <c r="Z41" s="293"/>
      <c r="AA41" s="294"/>
      <c r="AB41" s="153"/>
      <c r="AC41" s="154"/>
      <c r="AD41" s="195"/>
      <c r="AE41" s="154"/>
      <c r="AF41" s="155"/>
      <c r="AG41" s="187" t="s">
        <v>202</v>
      </c>
      <c r="AM41" s="140" t="s">
        <v>13</v>
      </c>
      <c r="AQ41" s="140" t="s">
        <v>13</v>
      </c>
    </row>
    <row r="42" spans="1:109" ht="15" customHeight="1">
      <c r="A42" s="202">
        <v>0.46875</v>
      </c>
      <c r="B42" s="984">
        <v>0.52083333333333337</v>
      </c>
      <c r="C42" s="985"/>
      <c r="D42" s="986"/>
      <c r="E42" s="987">
        <v>0.53125</v>
      </c>
      <c r="F42" s="985"/>
      <c r="G42" s="988"/>
      <c r="H42" s="989">
        <f>IF(E42="","",IF(E42-B42&lt;0,"24:00"-(B42-E42),E42-B42))</f>
        <v>1.041666666666663E-2</v>
      </c>
      <c r="I42" s="990"/>
      <c r="J42" s="991" t="s">
        <v>338</v>
      </c>
      <c r="K42" s="992"/>
      <c r="L42" s="992"/>
      <c r="M42" s="992"/>
      <c r="N42" s="992"/>
      <c r="O42" s="992"/>
      <c r="P42" s="992"/>
      <c r="Q42" s="992"/>
      <c r="R42" s="996"/>
      <c r="S42" s="262" t="s">
        <v>339</v>
      </c>
      <c r="T42" s="993" t="s">
        <v>340</v>
      </c>
      <c r="U42" s="994"/>
      <c r="V42" s="994"/>
      <c r="W42" s="994"/>
      <c r="X42" s="994"/>
      <c r="Y42" s="994"/>
      <c r="Z42" s="994"/>
      <c r="AA42" s="995"/>
      <c r="AB42" s="153"/>
      <c r="AC42" s="258"/>
      <c r="AD42" s="195"/>
      <c r="AE42" s="154"/>
      <c r="AF42" s="155"/>
      <c r="AG42" s="187" t="s">
        <v>202</v>
      </c>
    </row>
    <row r="43" spans="1:109" ht="15" customHeight="1">
      <c r="A43" s="139"/>
      <c r="B43" s="283">
        <f>B48-AF43</f>
        <v>0.54166666666666663</v>
      </c>
      <c r="C43" s="284"/>
      <c r="D43" s="285"/>
      <c r="E43" s="286">
        <v>0.54513888888888884</v>
      </c>
      <c r="F43" s="284"/>
      <c r="G43" s="287"/>
      <c r="H43" s="288">
        <f t="shared" ref="H43" si="8">IF(E43="","",IF(E43-B43&lt;0,"24:00"-(B43-E43),E43-B43))</f>
        <v>3.4722222222222099E-3</v>
      </c>
      <c r="I43" s="289"/>
      <c r="J43" s="290" t="s">
        <v>341</v>
      </c>
      <c r="K43" s="291"/>
      <c r="L43" s="291"/>
      <c r="M43" s="291"/>
      <c r="N43" s="291"/>
      <c r="O43" s="291"/>
      <c r="P43" s="291"/>
      <c r="Q43" s="291"/>
      <c r="R43" s="291"/>
      <c r="S43" s="137"/>
      <c r="T43" s="292"/>
      <c r="U43" s="297"/>
      <c r="V43" s="297"/>
      <c r="W43" s="297"/>
      <c r="X43" s="297"/>
      <c r="Y43" s="297"/>
      <c r="Z43" s="297"/>
      <c r="AA43" s="298"/>
      <c r="AC43" s="281" t="s">
        <v>262</v>
      </c>
      <c r="AD43" s="282"/>
      <c r="AE43" s="282"/>
      <c r="AF43" s="155">
        <v>8.3333333333333329E-2</v>
      </c>
      <c r="AG43" s="187" t="s">
        <v>202</v>
      </c>
      <c r="AH43" s="154"/>
    </row>
    <row r="44" spans="1:109" ht="15" customHeight="1">
      <c r="A44" s="139"/>
      <c r="B44" s="283">
        <v>0.54513888888888884</v>
      </c>
      <c r="C44" s="284"/>
      <c r="D44" s="285"/>
      <c r="E44" s="286">
        <v>0.54861111111111116</v>
      </c>
      <c r="F44" s="284"/>
      <c r="G44" s="287"/>
      <c r="H44" s="288">
        <f t="shared" ref="H44" si="9">IF(E44="","",IF(E44-B44&lt;0,"24:00"-(B44-E44),E44-B44))</f>
        <v>3.4722222222223209E-3</v>
      </c>
      <c r="I44" s="289"/>
      <c r="J44" s="290" t="s">
        <v>342</v>
      </c>
      <c r="K44" s="291"/>
      <c r="L44" s="291"/>
      <c r="M44" s="291"/>
      <c r="N44" s="291"/>
      <c r="O44" s="291"/>
      <c r="P44" s="291"/>
      <c r="Q44" s="291"/>
      <c r="R44" s="291"/>
      <c r="S44" s="137"/>
      <c r="T44" s="292"/>
      <c r="U44" s="297"/>
      <c r="V44" s="297"/>
      <c r="W44" s="297"/>
      <c r="X44" s="297"/>
      <c r="Y44" s="297"/>
      <c r="Z44" s="297"/>
      <c r="AA44" s="298"/>
      <c r="AC44" s="281" t="s">
        <v>262</v>
      </c>
      <c r="AD44" s="282"/>
      <c r="AE44" s="282"/>
      <c r="AF44" s="155">
        <v>8.3333333333333329E-2</v>
      </c>
      <c r="AG44" s="187" t="s">
        <v>202</v>
      </c>
      <c r="AH44" s="154"/>
    </row>
    <row r="45" spans="1:109" ht="15" customHeight="1">
      <c r="A45" s="139"/>
      <c r="B45" s="283">
        <v>0.54861111111111116</v>
      </c>
      <c r="C45" s="284"/>
      <c r="D45" s="285"/>
      <c r="E45" s="286">
        <v>0.55208333333333337</v>
      </c>
      <c r="F45" s="284"/>
      <c r="G45" s="287"/>
      <c r="H45" s="288">
        <f t="shared" ref="H45" si="10">IF(E45="","",IF(E45-B45&lt;0,"24:00"-(B45-E45),E45-B45))</f>
        <v>3.4722222222222099E-3</v>
      </c>
      <c r="I45" s="289"/>
      <c r="J45" s="290" t="s">
        <v>343</v>
      </c>
      <c r="K45" s="291"/>
      <c r="L45" s="291"/>
      <c r="M45" s="291"/>
      <c r="N45" s="291"/>
      <c r="O45" s="291"/>
      <c r="P45" s="291"/>
      <c r="Q45" s="291"/>
      <c r="R45" s="291"/>
      <c r="S45" s="137"/>
      <c r="T45" s="292"/>
      <c r="U45" s="297"/>
      <c r="V45" s="297"/>
      <c r="W45" s="297"/>
      <c r="X45" s="297"/>
      <c r="Y45" s="297"/>
      <c r="Z45" s="297"/>
      <c r="AA45" s="298"/>
      <c r="AC45" s="281" t="s">
        <v>262</v>
      </c>
      <c r="AD45" s="282"/>
      <c r="AE45" s="282"/>
      <c r="AF45" s="155">
        <v>8.3333333333333329E-2</v>
      </c>
      <c r="AG45" s="187" t="s">
        <v>202</v>
      </c>
      <c r="AH45" s="154"/>
    </row>
    <row r="46" spans="1:109" s="139" customFormat="1" ht="15" customHeight="1">
      <c r="B46" s="283">
        <f>B48-AF46</f>
        <v>0.56597222222222221</v>
      </c>
      <c r="C46" s="284"/>
      <c r="D46" s="285"/>
      <c r="E46" s="286"/>
      <c r="F46" s="284"/>
      <c r="G46" s="287"/>
      <c r="H46" s="288" t="str">
        <f t="shared" ref="H46" si="11">IF(E46="","",IF(E46-B46&lt;0,"24:00"-(B46-E46),E46-B46))</f>
        <v/>
      </c>
      <c r="I46" s="289"/>
      <c r="J46" s="290" t="s">
        <v>302</v>
      </c>
      <c r="K46" s="291"/>
      <c r="L46" s="291"/>
      <c r="M46" s="291"/>
      <c r="N46" s="291"/>
      <c r="O46" s="291"/>
      <c r="P46" s="291"/>
      <c r="Q46" s="291"/>
      <c r="R46" s="291"/>
      <c r="S46" s="137"/>
      <c r="T46" s="296" t="s">
        <v>344</v>
      </c>
      <c r="U46" s="293"/>
      <c r="V46" s="293"/>
      <c r="W46" s="293"/>
      <c r="X46" s="293"/>
      <c r="Y46" s="293"/>
      <c r="Z46" s="293"/>
      <c r="AA46" s="294"/>
      <c r="AB46" s="153"/>
      <c r="AC46" s="281" t="s">
        <v>262</v>
      </c>
      <c r="AD46" s="282"/>
      <c r="AE46" s="282"/>
      <c r="AF46" s="155">
        <v>5.9027777777777783E-2</v>
      </c>
      <c r="AG46" s="184" t="s">
        <v>202</v>
      </c>
      <c r="AH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K46" s="140"/>
      <c r="CL46" s="140"/>
      <c r="CM46" s="140"/>
      <c r="CN46" s="140"/>
      <c r="CO46" s="140"/>
      <c r="CP46" s="140"/>
      <c r="CQ46" s="140"/>
      <c r="CR46" s="140"/>
      <c r="CS46" s="140"/>
      <c r="CT46" s="140"/>
      <c r="CU46" s="140"/>
      <c r="CV46" s="140"/>
      <c r="CW46" s="140"/>
      <c r="CX46" s="140"/>
      <c r="CY46" s="140"/>
      <c r="CZ46" s="140"/>
      <c r="DA46" s="140"/>
      <c r="DB46" s="140"/>
      <c r="DC46" s="140"/>
      <c r="DD46" s="140"/>
      <c r="DE46" s="140"/>
    </row>
    <row r="47" spans="1:109" s="154" customFormat="1" ht="15" customHeight="1">
      <c r="A47" s="153"/>
      <c r="B47" s="283">
        <v>0.61458333333333337</v>
      </c>
      <c r="C47" s="284"/>
      <c r="D47" s="285"/>
      <c r="E47" s="286"/>
      <c r="F47" s="284"/>
      <c r="G47" s="287"/>
      <c r="H47" s="288" t="str">
        <f t="shared" ref="H47" si="12">IF(E47="","",IF(E47-B47&lt;0,"24:00"-(B47-E47),E47-B47))</f>
        <v/>
      </c>
      <c r="I47" s="289"/>
      <c r="J47" s="290" t="s">
        <v>276</v>
      </c>
      <c r="K47" s="291"/>
      <c r="L47" s="291"/>
      <c r="M47" s="291"/>
      <c r="N47" s="291"/>
      <c r="O47" s="291"/>
      <c r="P47" s="291"/>
      <c r="Q47" s="291"/>
      <c r="R47" s="291"/>
      <c r="S47" s="137"/>
      <c r="T47" s="292"/>
      <c r="U47" s="293"/>
      <c r="V47" s="293"/>
      <c r="W47" s="293"/>
      <c r="X47" s="293"/>
      <c r="Y47" s="293"/>
      <c r="Z47" s="293"/>
      <c r="AA47" s="294"/>
      <c r="AB47" s="153"/>
      <c r="AC47" s="281" t="s">
        <v>262</v>
      </c>
      <c r="AD47" s="282"/>
      <c r="AE47" s="282"/>
      <c r="AF47" s="155">
        <v>1.3888888888888888E-2</v>
      </c>
      <c r="AG47" s="187" t="s">
        <v>202</v>
      </c>
      <c r="AH47" s="140"/>
      <c r="AI47" s="156"/>
    </row>
    <row r="48" spans="1:109" ht="15" customHeight="1">
      <c r="A48" s="139"/>
      <c r="B48" s="1013">
        <v>0.625</v>
      </c>
      <c r="C48" s="1014"/>
      <c r="D48" s="1015"/>
      <c r="E48" s="1016">
        <v>0.63541666666666663</v>
      </c>
      <c r="F48" s="1014"/>
      <c r="G48" s="1017"/>
      <c r="H48" s="1018">
        <f>IF(E48="","",IF(E48-B48&lt;0,"24:00"-(B48-E48),E48-B48))</f>
        <v>1.041666666666663E-2</v>
      </c>
      <c r="I48" s="1019"/>
      <c r="J48" s="1020" t="s">
        <v>345</v>
      </c>
      <c r="K48" s="1021"/>
      <c r="L48" s="1021"/>
      <c r="M48" s="1021"/>
      <c r="N48" s="1021"/>
      <c r="O48" s="1021"/>
      <c r="P48" s="1021"/>
      <c r="Q48" s="1021"/>
      <c r="R48" s="1022"/>
      <c r="S48" s="260" t="s">
        <v>346</v>
      </c>
      <c r="T48" s="997" t="s">
        <v>347</v>
      </c>
      <c r="U48" s="998"/>
      <c r="V48" s="998"/>
      <c r="W48" s="998"/>
      <c r="X48" s="998"/>
      <c r="Y48" s="998"/>
      <c r="Z48" s="998"/>
      <c r="AA48" s="999"/>
      <c r="AB48" s="153"/>
      <c r="AC48" s="154"/>
      <c r="AD48" s="195"/>
      <c r="AE48" s="154"/>
      <c r="AF48" s="155"/>
      <c r="AG48" s="187" t="s">
        <v>202</v>
      </c>
      <c r="AM48" s="140" t="s">
        <v>13</v>
      </c>
      <c r="AQ48" s="140" t="s">
        <v>13</v>
      </c>
    </row>
    <row r="49" spans="1:109" ht="15" customHeight="1">
      <c r="A49" s="139"/>
      <c r="B49" s="283">
        <v>0.66319444444444442</v>
      </c>
      <c r="C49" s="284"/>
      <c r="D49" s="285"/>
      <c r="E49" s="286">
        <v>0.68402777777777779</v>
      </c>
      <c r="F49" s="284"/>
      <c r="G49" s="287"/>
      <c r="H49" s="288">
        <f>IF(E49="","",IF(E49-B49&lt;0,"24:00"-(B49-E49),E49-B49))</f>
        <v>2.083333333333337E-2</v>
      </c>
      <c r="I49" s="289"/>
      <c r="J49" s="290" t="s">
        <v>348</v>
      </c>
      <c r="K49" s="291"/>
      <c r="L49" s="291"/>
      <c r="M49" s="291"/>
      <c r="N49" s="291"/>
      <c r="O49" s="291"/>
      <c r="P49" s="291"/>
      <c r="Q49" s="291"/>
      <c r="R49" s="295"/>
      <c r="S49" s="137"/>
      <c r="T49" s="296"/>
      <c r="U49" s="293"/>
      <c r="V49" s="293"/>
      <c r="W49" s="293"/>
      <c r="X49" s="293"/>
      <c r="Y49" s="293"/>
      <c r="Z49" s="293"/>
      <c r="AA49" s="294"/>
      <c r="AB49" s="153"/>
      <c r="AC49" s="154"/>
      <c r="AD49" s="195"/>
      <c r="AE49" s="154"/>
      <c r="AF49" s="155"/>
      <c r="AG49" s="187" t="s">
        <v>202</v>
      </c>
      <c r="AM49" s="140" t="s">
        <v>13</v>
      </c>
      <c r="AQ49" s="140" t="s">
        <v>13</v>
      </c>
    </row>
    <row r="50" spans="1:109" ht="15" customHeight="1">
      <c r="A50" s="202">
        <v>0.46875</v>
      </c>
      <c r="B50" s="984">
        <v>0.66666666666666663</v>
      </c>
      <c r="C50" s="985"/>
      <c r="D50" s="986"/>
      <c r="E50" s="987">
        <v>0.67708333333333337</v>
      </c>
      <c r="F50" s="985"/>
      <c r="G50" s="988"/>
      <c r="H50" s="989">
        <f>IF(E50="","",IF(E50-B50&lt;0,"24:00"-(B50-E50),E50-B50))</f>
        <v>1.0416666666666741E-2</v>
      </c>
      <c r="I50" s="990"/>
      <c r="J50" s="991" t="s">
        <v>349</v>
      </c>
      <c r="K50" s="992"/>
      <c r="L50" s="992"/>
      <c r="M50" s="992"/>
      <c r="N50" s="992"/>
      <c r="O50" s="992"/>
      <c r="P50" s="992"/>
      <c r="Q50" s="992"/>
      <c r="R50" s="996"/>
      <c r="S50" s="262" t="s">
        <v>350</v>
      </c>
      <c r="T50" s="993"/>
      <c r="U50" s="994"/>
      <c r="V50" s="994"/>
      <c r="W50" s="994"/>
      <c r="X50" s="994"/>
      <c r="Y50" s="994"/>
      <c r="Z50" s="994"/>
      <c r="AA50" s="995"/>
      <c r="AB50" s="153"/>
      <c r="AC50" s="258"/>
      <c r="AD50" s="195"/>
      <c r="AE50" s="154"/>
      <c r="AF50" s="155"/>
      <c r="AG50" s="187" t="s">
        <v>202</v>
      </c>
    </row>
    <row r="51" spans="1:109" ht="15" customHeight="1">
      <c r="A51" s="202">
        <v>0.46875</v>
      </c>
      <c r="B51" s="984">
        <v>0.67708333333333337</v>
      </c>
      <c r="C51" s="985"/>
      <c r="D51" s="986"/>
      <c r="E51" s="987">
        <v>0.6875</v>
      </c>
      <c r="F51" s="985"/>
      <c r="G51" s="988"/>
      <c r="H51" s="989">
        <f>IF(E51="","",IF(E51-B51&lt;0,"24:00"-(B51-E51),E51-B51))</f>
        <v>1.041666666666663E-2</v>
      </c>
      <c r="I51" s="990"/>
      <c r="J51" s="991" t="s">
        <v>351</v>
      </c>
      <c r="K51" s="992"/>
      <c r="L51" s="992"/>
      <c r="M51" s="992"/>
      <c r="N51" s="992"/>
      <c r="O51" s="992"/>
      <c r="P51" s="992"/>
      <c r="Q51" s="992"/>
      <c r="R51" s="996"/>
      <c r="S51" s="262" t="s">
        <v>339</v>
      </c>
      <c r="T51" s="993" t="s">
        <v>340</v>
      </c>
      <c r="U51" s="994"/>
      <c r="V51" s="994"/>
      <c r="W51" s="994"/>
      <c r="X51" s="994"/>
      <c r="Y51" s="994"/>
      <c r="Z51" s="994"/>
      <c r="AA51" s="995"/>
      <c r="AB51" s="153"/>
      <c r="AC51" s="258"/>
      <c r="AD51" s="195"/>
      <c r="AE51" s="154"/>
      <c r="AF51" s="155"/>
      <c r="AG51" s="187" t="s">
        <v>202</v>
      </c>
    </row>
    <row r="52" spans="1:109" s="154" customFormat="1" ht="15" customHeight="1">
      <c r="A52" s="153"/>
      <c r="B52" s="283">
        <v>0.72916666666666663</v>
      </c>
      <c r="C52" s="284"/>
      <c r="D52" s="285"/>
      <c r="E52" s="286">
        <v>0.75</v>
      </c>
      <c r="F52" s="284"/>
      <c r="G52" s="287"/>
      <c r="H52" s="288">
        <f t="shared" ref="H52" si="13">IF(E52="","",IF(E52-B52&lt;0,"24:00"-(B52-E52),E52-B52))</f>
        <v>2.083333333333337E-2</v>
      </c>
      <c r="I52" s="289"/>
      <c r="J52" s="290" t="s">
        <v>254</v>
      </c>
      <c r="K52" s="291"/>
      <c r="L52" s="291"/>
      <c r="M52" s="291"/>
      <c r="N52" s="291"/>
      <c r="O52" s="291"/>
      <c r="P52" s="291"/>
      <c r="Q52" s="291"/>
      <c r="R52" s="295"/>
      <c r="S52" s="137" t="s">
        <v>291</v>
      </c>
      <c r="T52" s="292" t="s">
        <v>332</v>
      </c>
      <c r="U52" s="297"/>
      <c r="V52" s="297"/>
      <c r="W52" s="297"/>
      <c r="X52" s="297"/>
      <c r="Y52" s="297"/>
      <c r="Z52" s="297"/>
      <c r="AA52" s="298"/>
      <c r="AB52" s="153"/>
      <c r="AD52" s="195"/>
      <c r="AF52" s="155"/>
      <c r="AG52" s="187" t="s">
        <v>202</v>
      </c>
      <c r="AI52" s="156"/>
      <c r="AO52" s="154" t="s">
        <v>13</v>
      </c>
    </row>
    <row r="53" spans="1:109" s="154" customFormat="1" ht="15" customHeight="1">
      <c r="A53" s="153"/>
      <c r="B53" s="283" t="s">
        <v>53</v>
      </c>
      <c r="C53" s="284"/>
      <c r="D53" s="285"/>
      <c r="E53" s="286"/>
      <c r="F53" s="284"/>
      <c r="G53" s="287"/>
      <c r="H53" s="288"/>
      <c r="I53" s="289"/>
      <c r="J53" s="290" t="s">
        <v>224</v>
      </c>
      <c r="K53" s="291"/>
      <c r="L53" s="291"/>
      <c r="M53" s="291"/>
      <c r="N53" s="291"/>
      <c r="O53" s="291"/>
      <c r="P53" s="291"/>
      <c r="Q53" s="291"/>
      <c r="R53" s="295"/>
      <c r="S53" s="137" t="s">
        <v>350</v>
      </c>
      <c r="T53" s="296" t="s">
        <v>251</v>
      </c>
      <c r="U53" s="297"/>
      <c r="V53" s="297"/>
      <c r="W53" s="297"/>
      <c r="X53" s="297"/>
      <c r="Y53" s="297"/>
      <c r="Z53" s="297"/>
      <c r="AA53" s="298"/>
      <c r="AB53" s="153"/>
      <c r="AF53" s="155"/>
      <c r="AG53" s="187"/>
      <c r="AI53" s="156"/>
      <c r="AN53" s="154" t="s">
        <v>13</v>
      </c>
    </row>
    <row r="54" spans="1:109" s="154" customFormat="1" ht="15" customHeight="1">
      <c r="A54" s="153"/>
      <c r="B54" s="337" t="s">
        <v>212</v>
      </c>
      <c r="C54" s="338"/>
      <c r="D54" s="338"/>
      <c r="E54" s="300"/>
      <c r="F54" s="300"/>
      <c r="G54" s="300"/>
      <c r="H54" s="299"/>
      <c r="I54" s="299"/>
      <c r="J54" s="300" t="s">
        <v>352</v>
      </c>
      <c r="K54" s="300"/>
      <c r="L54" s="300"/>
      <c r="M54" s="300"/>
      <c r="N54" s="300"/>
      <c r="O54" s="300"/>
      <c r="P54" s="300"/>
      <c r="Q54" s="300"/>
      <c r="R54" s="300"/>
      <c r="S54" s="300"/>
      <c r="T54" s="1011"/>
      <c r="U54" s="1011"/>
      <c r="V54" s="1011"/>
      <c r="W54" s="1011"/>
      <c r="X54" s="1011"/>
      <c r="Y54" s="1011"/>
      <c r="Z54" s="1011"/>
      <c r="AA54" s="1012"/>
      <c r="AB54" s="153"/>
      <c r="AF54" s="155"/>
      <c r="AG54" s="183"/>
      <c r="AI54" s="156"/>
      <c r="AO54" s="154" t="s">
        <v>13</v>
      </c>
    </row>
    <row r="55" spans="1:109" s="154" customFormat="1" ht="15" customHeight="1">
      <c r="A55" s="153"/>
      <c r="B55" s="301" t="s">
        <v>193</v>
      </c>
      <c r="C55" s="302"/>
      <c r="D55" s="302"/>
      <c r="E55" s="302" t="s">
        <v>194</v>
      </c>
      <c r="F55" s="302"/>
      <c r="G55" s="302"/>
      <c r="H55" s="303" t="s">
        <v>214</v>
      </c>
      <c r="I55" s="304"/>
      <c r="J55" s="305" t="s">
        <v>215</v>
      </c>
      <c r="K55" s="306"/>
      <c r="L55" s="306"/>
      <c r="M55" s="306"/>
      <c r="N55" s="306"/>
      <c r="O55" s="306"/>
      <c r="P55" s="306"/>
      <c r="Q55" s="306"/>
      <c r="R55" s="306"/>
      <c r="S55" s="136" t="s">
        <v>216</v>
      </c>
      <c r="T55" s="419" t="s">
        <v>217</v>
      </c>
      <c r="U55" s="420"/>
      <c r="V55" s="420"/>
      <c r="W55" s="420"/>
      <c r="X55" s="420"/>
      <c r="Y55" s="420"/>
      <c r="Z55" s="420"/>
      <c r="AA55" s="421"/>
      <c r="AB55" s="139"/>
      <c r="AF55" s="155"/>
      <c r="AG55" s="189"/>
      <c r="AI55" s="156"/>
      <c r="AP55" s="154" t="s">
        <v>13</v>
      </c>
    </row>
    <row r="56" spans="1:109" s="154" customFormat="1" ht="15" customHeight="1">
      <c r="A56" s="153"/>
      <c r="B56" s="339">
        <v>0.22916666666666666</v>
      </c>
      <c r="C56" s="340"/>
      <c r="D56" s="341"/>
      <c r="E56" s="342"/>
      <c r="F56" s="340"/>
      <c r="G56" s="343"/>
      <c r="H56" s="333" t="str">
        <f t="shared" ref="H56:H89" si="14">IF(E56="","",IF(E56-B56&lt;0,"24:00"-(B56-E56),E56-B56))</f>
        <v/>
      </c>
      <c r="I56" s="334"/>
      <c r="J56" s="335" t="s">
        <v>218</v>
      </c>
      <c r="K56" s="336"/>
      <c r="L56" s="336"/>
      <c r="M56" s="336"/>
      <c r="N56" s="336"/>
      <c r="O56" s="336"/>
      <c r="P56" s="336"/>
      <c r="Q56" s="336"/>
      <c r="R56" s="336"/>
      <c r="S56" s="164"/>
      <c r="T56" s="422"/>
      <c r="U56" s="1023"/>
      <c r="V56" s="1023"/>
      <c r="W56" s="1023"/>
      <c r="X56" s="1023"/>
      <c r="Y56" s="1023"/>
      <c r="Z56" s="1023"/>
      <c r="AA56" s="1024"/>
      <c r="AB56" s="153"/>
      <c r="AC56" s="140"/>
      <c r="AD56" s="140"/>
      <c r="AE56" s="140"/>
      <c r="AF56" s="155"/>
      <c r="AG56" s="193"/>
      <c r="AI56" s="156"/>
    </row>
    <row r="57" spans="1:109" s="154" customFormat="1" ht="15" customHeight="1">
      <c r="A57" s="153"/>
      <c r="B57" s="283">
        <v>0.23958333333333334</v>
      </c>
      <c r="C57" s="284"/>
      <c r="D57" s="285"/>
      <c r="E57" s="286"/>
      <c r="F57" s="284"/>
      <c r="G57" s="287"/>
      <c r="H57" s="288" t="str">
        <f t="shared" si="14"/>
        <v/>
      </c>
      <c r="I57" s="289"/>
      <c r="J57" s="290" t="s">
        <v>219</v>
      </c>
      <c r="K57" s="291"/>
      <c r="L57" s="291"/>
      <c r="M57" s="291"/>
      <c r="N57" s="291"/>
      <c r="O57" s="291"/>
      <c r="P57" s="291"/>
      <c r="Q57" s="291"/>
      <c r="R57" s="291"/>
      <c r="S57" s="137"/>
      <c r="T57" s="296" t="s">
        <v>261</v>
      </c>
      <c r="U57" s="293"/>
      <c r="V57" s="293"/>
      <c r="W57" s="293"/>
      <c r="X57" s="293"/>
      <c r="Y57" s="293"/>
      <c r="Z57" s="293"/>
      <c r="AA57" s="294"/>
      <c r="AB57" s="153"/>
      <c r="AF57" s="155"/>
      <c r="AG57" s="186"/>
      <c r="AI57" s="156"/>
    </row>
    <row r="58" spans="1:109" s="154" customFormat="1" ht="15" customHeight="1">
      <c r="A58" s="153"/>
      <c r="B58" s="283">
        <v>0.27083333333333331</v>
      </c>
      <c r="C58" s="284"/>
      <c r="D58" s="285"/>
      <c r="E58" s="286"/>
      <c r="F58" s="284"/>
      <c r="G58" s="287"/>
      <c r="H58" s="288" t="str">
        <f t="shared" si="14"/>
        <v/>
      </c>
      <c r="I58" s="289"/>
      <c r="J58" s="290" t="s">
        <v>228</v>
      </c>
      <c r="K58" s="291"/>
      <c r="L58" s="291"/>
      <c r="M58" s="291"/>
      <c r="N58" s="291"/>
      <c r="O58" s="291"/>
      <c r="P58" s="291"/>
      <c r="Q58" s="291"/>
      <c r="R58" s="291"/>
      <c r="S58" s="137"/>
      <c r="T58" s="296" t="s">
        <v>261</v>
      </c>
      <c r="U58" s="293"/>
      <c r="V58" s="293"/>
      <c r="W58" s="293"/>
      <c r="X58" s="293"/>
      <c r="Y58" s="293"/>
      <c r="Z58" s="293"/>
      <c r="AA58" s="294"/>
      <c r="AB58" s="153"/>
      <c r="AF58" s="155"/>
      <c r="AG58" s="186"/>
      <c r="AI58" s="156"/>
    </row>
    <row r="59" spans="1:109" s="154" customFormat="1" ht="15" customHeight="1">
      <c r="A59" s="153"/>
      <c r="B59" s="309">
        <v>0.28472222222222221</v>
      </c>
      <c r="C59" s="310"/>
      <c r="D59" s="311"/>
      <c r="E59" s="315"/>
      <c r="F59" s="310"/>
      <c r="G59" s="316"/>
      <c r="H59" s="317" t="str">
        <f t="shared" si="14"/>
        <v/>
      </c>
      <c r="I59" s="318"/>
      <c r="J59" s="319" t="s">
        <v>258</v>
      </c>
      <c r="K59" s="320"/>
      <c r="L59" s="320"/>
      <c r="M59" s="320"/>
      <c r="N59" s="320"/>
      <c r="O59" s="320"/>
      <c r="P59" s="320"/>
      <c r="Q59" s="320"/>
      <c r="R59" s="320"/>
      <c r="S59" s="159"/>
      <c r="T59" s="366" t="s">
        <v>353</v>
      </c>
      <c r="U59" s="387"/>
      <c r="V59" s="387"/>
      <c r="W59" s="387"/>
      <c r="X59" s="387"/>
      <c r="Y59" s="387"/>
      <c r="Z59" s="387"/>
      <c r="AA59" s="388"/>
      <c r="AB59" s="139"/>
      <c r="AD59" s="140"/>
      <c r="AE59" s="140"/>
      <c r="AF59" s="155"/>
      <c r="AG59" s="191" t="s">
        <v>202</v>
      </c>
      <c r="AH59" s="141"/>
      <c r="AI59" s="156"/>
    </row>
    <row r="60" spans="1:109" ht="15" customHeight="1">
      <c r="A60" s="139"/>
      <c r="B60" s="283">
        <f t="shared" ref="B60:B67" si="15">$B$71-AF60</f>
        <v>0.28472222222222227</v>
      </c>
      <c r="C60" s="284"/>
      <c r="D60" s="285"/>
      <c r="E60" s="286">
        <v>0.28819444444444442</v>
      </c>
      <c r="F60" s="284"/>
      <c r="G60" s="287"/>
      <c r="H60" s="288">
        <f t="shared" si="14"/>
        <v>3.4722222222221544E-3</v>
      </c>
      <c r="I60" s="289"/>
      <c r="J60" s="290" t="s">
        <v>341</v>
      </c>
      <c r="K60" s="291"/>
      <c r="L60" s="291"/>
      <c r="M60" s="291"/>
      <c r="N60" s="291"/>
      <c r="O60" s="291"/>
      <c r="P60" s="291"/>
      <c r="Q60" s="291"/>
      <c r="R60" s="291"/>
      <c r="S60" s="137"/>
      <c r="T60" s="292"/>
      <c r="U60" s="297"/>
      <c r="V60" s="297"/>
      <c r="W60" s="297"/>
      <c r="X60" s="297"/>
      <c r="Y60" s="297"/>
      <c r="Z60" s="297"/>
      <c r="AA60" s="298"/>
      <c r="AC60" s="281" t="s">
        <v>262</v>
      </c>
      <c r="AD60" s="282"/>
      <c r="AE60" s="282"/>
      <c r="AF60" s="155">
        <v>8.3333333333333329E-2</v>
      </c>
      <c r="AG60" s="187" t="s">
        <v>202</v>
      </c>
      <c r="AH60" s="154"/>
    </row>
    <row r="61" spans="1:109" s="154" customFormat="1" ht="15" customHeight="1">
      <c r="A61" s="153"/>
      <c r="B61" s="283">
        <f t="shared" si="15"/>
        <v>0.29166666666666669</v>
      </c>
      <c r="C61" s="284"/>
      <c r="D61" s="285"/>
      <c r="E61" s="286">
        <v>0.2951388888888889</v>
      </c>
      <c r="F61" s="284"/>
      <c r="G61" s="287"/>
      <c r="H61" s="288">
        <f t="shared" si="14"/>
        <v>3.4722222222222099E-3</v>
      </c>
      <c r="I61" s="289"/>
      <c r="J61" s="290" t="s">
        <v>342</v>
      </c>
      <c r="K61" s="291"/>
      <c r="L61" s="291"/>
      <c r="M61" s="291"/>
      <c r="N61" s="291"/>
      <c r="O61" s="291"/>
      <c r="P61" s="291"/>
      <c r="Q61" s="291"/>
      <c r="R61" s="291"/>
      <c r="S61" s="137"/>
      <c r="T61" s="292"/>
      <c r="U61" s="297"/>
      <c r="V61" s="297"/>
      <c r="W61" s="297"/>
      <c r="X61" s="297"/>
      <c r="Y61" s="297"/>
      <c r="Z61" s="297"/>
      <c r="AA61" s="298"/>
      <c r="AB61" s="139"/>
      <c r="AC61" s="281" t="s">
        <v>262</v>
      </c>
      <c r="AD61" s="282"/>
      <c r="AE61" s="282"/>
      <c r="AF61" s="155">
        <v>7.6388888888888895E-2</v>
      </c>
      <c r="AG61" s="187" t="s">
        <v>202</v>
      </c>
      <c r="AH61" s="139"/>
      <c r="AI61" s="156"/>
    </row>
    <row r="62" spans="1:109" s="139" customFormat="1" ht="15" customHeight="1">
      <c r="B62" s="283">
        <f t="shared" si="15"/>
        <v>0.30208333333333337</v>
      </c>
      <c r="C62" s="284"/>
      <c r="D62" s="285"/>
      <c r="E62" s="286"/>
      <c r="F62" s="284"/>
      <c r="G62" s="287"/>
      <c r="H62" s="288" t="str">
        <f t="shared" si="14"/>
        <v/>
      </c>
      <c r="I62" s="289"/>
      <c r="J62" s="290" t="s">
        <v>264</v>
      </c>
      <c r="K62" s="291"/>
      <c r="L62" s="291"/>
      <c r="M62" s="291"/>
      <c r="N62" s="291"/>
      <c r="O62" s="291"/>
      <c r="P62" s="291"/>
      <c r="Q62" s="291"/>
      <c r="R62" s="291"/>
      <c r="S62" s="137"/>
      <c r="T62" s="292"/>
      <c r="U62" s="297"/>
      <c r="V62" s="297"/>
      <c r="W62" s="297"/>
      <c r="X62" s="297"/>
      <c r="Y62" s="297"/>
      <c r="Z62" s="297"/>
      <c r="AA62" s="298"/>
      <c r="AB62" s="153"/>
      <c r="AC62" s="281" t="s">
        <v>262</v>
      </c>
      <c r="AD62" s="282"/>
      <c r="AE62" s="282"/>
      <c r="AF62" s="155">
        <v>6.5972222222222224E-2</v>
      </c>
      <c r="AG62" s="187" t="s">
        <v>202</v>
      </c>
      <c r="AI62" s="143"/>
      <c r="AJ62" s="140"/>
      <c r="AK62" s="140"/>
      <c r="AL62" s="140"/>
      <c r="AM62" s="140" t="s">
        <v>13</v>
      </c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140"/>
      <c r="BP62" s="140"/>
      <c r="BQ62" s="140"/>
      <c r="BR62" s="140"/>
      <c r="BS62" s="140"/>
      <c r="BT62" s="140"/>
      <c r="BU62" s="140"/>
      <c r="BV62" s="140"/>
      <c r="BW62" s="140"/>
      <c r="BX62" s="140"/>
      <c r="BY62" s="140"/>
      <c r="BZ62" s="140"/>
      <c r="CA62" s="140"/>
      <c r="CB62" s="140"/>
      <c r="CC62" s="140"/>
      <c r="CD62" s="140"/>
      <c r="CE62" s="140"/>
      <c r="CF62" s="140"/>
      <c r="CG62" s="140"/>
      <c r="CH62" s="140"/>
      <c r="CI62" s="140"/>
      <c r="CJ62" s="140"/>
      <c r="CK62" s="140"/>
      <c r="CL62" s="140"/>
      <c r="CM62" s="140"/>
      <c r="CN62" s="140"/>
      <c r="CO62" s="140"/>
      <c r="CP62" s="140"/>
      <c r="CQ62" s="140"/>
      <c r="CR62" s="140"/>
      <c r="CS62" s="140"/>
      <c r="CT62" s="140"/>
      <c r="CU62" s="140"/>
      <c r="CV62" s="140"/>
      <c r="CW62" s="140"/>
      <c r="CX62" s="140"/>
      <c r="CY62" s="140"/>
      <c r="CZ62" s="140"/>
      <c r="DA62" s="140"/>
      <c r="DB62" s="140"/>
      <c r="DC62" s="140"/>
      <c r="DD62" s="140"/>
      <c r="DE62" s="140"/>
    </row>
    <row r="63" spans="1:109" s="139" customFormat="1" ht="15" customHeight="1">
      <c r="B63" s="283">
        <f t="shared" si="15"/>
        <v>0.29861111111111116</v>
      </c>
      <c r="C63" s="284"/>
      <c r="D63" s="285"/>
      <c r="E63" s="286">
        <v>0.30208333333333331</v>
      </c>
      <c r="F63" s="284"/>
      <c r="G63" s="287"/>
      <c r="H63" s="288">
        <f t="shared" si="14"/>
        <v>3.4722222222221544E-3</v>
      </c>
      <c r="I63" s="289"/>
      <c r="J63" s="290" t="s">
        <v>343</v>
      </c>
      <c r="K63" s="291"/>
      <c r="L63" s="291"/>
      <c r="M63" s="291"/>
      <c r="N63" s="291"/>
      <c r="O63" s="291"/>
      <c r="P63" s="291"/>
      <c r="Q63" s="291"/>
      <c r="R63" s="291"/>
      <c r="S63" s="137"/>
      <c r="T63" s="292"/>
      <c r="U63" s="297"/>
      <c r="V63" s="297"/>
      <c r="W63" s="297"/>
      <c r="X63" s="297"/>
      <c r="Y63" s="297"/>
      <c r="Z63" s="297"/>
      <c r="AA63" s="298"/>
      <c r="AB63" s="153"/>
      <c r="AC63" s="281" t="s">
        <v>262</v>
      </c>
      <c r="AD63" s="282"/>
      <c r="AE63" s="282"/>
      <c r="AF63" s="155">
        <v>6.9444444444444448E-2</v>
      </c>
      <c r="AG63" s="187" t="s">
        <v>202</v>
      </c>
      <c r="AI63" s="143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140"/>
      <c r="BP63" s="140"/>
      <c r="BQ63" s="140"/>
      <c r="BR63" s="140"/>
      <c r="BS63" s="140"/>
      <c r="BT63" s="140"/>
      <c r="BU63" s="140"/>
      <c r="BV63" s="140"/>
      <c r="BW63" s="140"/>
      <c r="BX63" s="140"/>
      <c r="BY63" s="140"/>
      <c r="BZ63" s="140"/>
      <c r="CA63" s="140"/>
      <c r="CB63" s="140"/>
      <c r="CC63" s="140"/>
      <c r="CD63" s="140"/>
      <c r="CE63" s="140"/>
      <c r="CF63" s="140"/>
      <c r="CG63" s="140"/>
      <c r="CH63" s="140"/>
      <c r="CI63" s="140"/>
      <c r="CJ63" s="140"/>
      <c r="CK63" s="140"/>
      <c r="CL63" s="140"/>
      <c r="CM63" s="140"/>
      <c r="CN63" s="140"/>
      <c r="CO63" s="140"/>
      <c r="CP63" s="140"/>
      <c r="CQ63" s="140"/>
      <c r="CR63" s="140"/>
      <c r="CS63" s="140"/>
      <c r="CT63" s="140"/>
      <c r="CU63" s="140"/>
      <c r="CV63" s="140"/>
      <c r="CW63" s="140"/>
      <c r="CX63" s="140"/>
      <c r="CY63" s="140"/>
      <c r="CZ63" s="140"/>
      <c r="DA63" s="140"/>
      <c r="DB63" s="140"/>
      <c r="DC63" s="140"/>
      <c r="DD63" s="140"/>
      <c r="DE63" s="140"/>
    </row>
    <row r="64" spans="1:109" s="139" customFormat="1" ht="15" customHeight="1">
      <c r="B64" s="283">
        <f t="shared" si="15"/>
        <v>0.30555555555555558</v>
      </c>
      <c r="C64" s="284"/>
      <c r="D64" s="285"/>
      <c r="E64" s="286"/>
      <c r="F64" s="284"/>
      <c r="G64" s="287"/>
      <c r="H64" s="288" t="str">
        <f t="shared" si="14"/>
        <v/>
      </c>
      <c r="I64" s="289"/>
      <c r="J64" s="307" t="s">
        <v>265</v>
      </c>
      <c r="K64" s="308"/>
      <c r="L64" s="308"/>
      <c r="M64" s="308"/>
      <c r="N64" s="308"/>
      <c r="O64" s="308"/>
      <c r="P64" s="308"/>
      <c r="Q64" s="308"/>
      <c r="R64" s="308"/>
      <c r="S64" s="138"/>
      <c r="T64" s="370" t="s">
        <v>267</v>
      </c>
      <c r="U64" s="371"/>
      <c r="V64" s="371"/>
      <c r="W64" s="371"/>
      <c r="X64" s="371"/>
      <c r="Y64" s="371"/>
      <c r="Z64" s="371"/>
      <c r="AA64" s="372"/>
      <c r="AB64" s="153"/>
      <c r="AC64" s="281" t="s">
        <v>262</v>
      </c>
      <c r="AD64" s="282"/>
      <c r="AE64" s="282"/>
      <c r="AF64" s="155">
        <v>6.25E-2</v>
      </c>
      <c r="AG64" s="184" t="s">
        <v>202</v>
      </c>
      <c r="AH64" s="140"/>
      <c r="AI64" s="143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140"/>
      <c r="BP64" s="140"/>
      <c r="BQ64" s="140"/>
      <c r="BR64" s="140"/>
      <c r="BS64" s="140"/>
      <c r="BT64" s="140"/>
      <c r="BU64" s="140"/>
      <c r="BV64" s="140"/>
      <c r="BW64" s="140"/>
      <c r="BX64" s="140"/>
      <c r="BY64" s="140"/>
      <c r="BZ64" s="140"/>
      <c r="CA64" s="140"/>
      <c r="CB64" s="140"/>
      <c r="CC64" s="140"/>
      <c r="CD64" s="140"/>
      <c r="CE64" s="140"/>
      <c r="CF64" s="140"/>
      <c r="CG64" s="140"/>
      <c r="CH64" s="140"/>
      <c r="CI64" s="140"/>
      <c r="CJ64" s="140"/>
      <c r="CK64" s="140"/>
      <c r="CL64" s="140"/>
      <c r="CM64" s="140"/>
      <c r="CN64" s="140"/>
      <c r="CO64" s="140"/>
      <c r="CP64" s="140"/>
      <c r="CQ64" s="140"/>
      <c r="CR64" s="140"/>
      <c r="CS64" s="140"/>
      <c r="CT64" s="140"/>
      <c r="CU64" s="140"/>
      <c r="CV64" s="140"/>
      <c r="CW64" s="140"/>
      <c r="CX64" s="140"/>
      <c r="CY64" s="140"/>
      <c r="CZ64" s="140"/>
      <c r="DA64" s="140"/>
      <c r="DB64" s="140"/>
      <c r="DC64" s="140"/>
      <c r="DD64" s="140"/>
      <c r="DE64" s="140"/>
    </row>
    <row r="65" spans="1:109" s="139" customFormat="1" ht="15" customHeight="1">
      <c r="B65" s="283">
        <f t="shared" si="15"/>
        <v>0.30902777777777779</v>
      </c>
      <c r="C65" s="284"/>
      <c r="D65" s="285"/>
      <c r="E65" s="286"/>
      <c r="F65" s="284"/>
      <c r="G65" s="287"/>
      <c r="H65" s="288" t="str">
        <f t="shared" si="14"/>
        <v/>
      </c>
      <c r="I65" s="289"/>
      <c r="J65" s="290" t="s">
        <v>302</v>
      </c>
      <c r="K65" s="291"/>
      <c r="L65" s="291"/>
      <c r="M65" s="291"/>
      <c r="N65" s="291"/>
      <c r="O65" s="291"/>
      <c r="P65" s="291"/>
      <c r="Q65" s="291"/>
      <c r="R65" s="291"/>
      <c r="S65" s="137"/>
      <c r="T65" s="296" t="s">
        <v>344</v>
      </c>
      <c r="U65" s="293"/>
      <c r="V65" s="293"/>
      <c r="W65" s="293"/>
      <c r="X65" s="293"/>
      <c r="Y65" s="293"/>
      <c r="Z65" s="293"/>
      <c r="AA65" s="294"/>
      <c r="AB65" s="153"/>
      <c r="AC65" s="281" t="s">
        <v>262</v>
      </c>
      <c r="AD65" s="282"/>
      <c r="AE65" s="282"/>
      <c r="AF65" s="155">
        <v>5.9027777777777783E-2</v>
      </c>
      <c r="AG65" s="184" t="s">
        <v>202</v>
      </c>
      <c r="AH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140"/>
      <c r="BP65" s="140"/>
      <c r="BQ65" s="140"/>
      <c r="BR65" s="140"/>
      <c r="BS65" s="140"/>
      <c r="BT65" s="140"/>
      <c r="BU65" s="140"/>
      <c r="BV65" s="140"/>
      <c r="BW65" s="140"/>
      <c r="BX65" s="140"/>
      <c r="BY65" s="140"/>
      <c r="BZ65" s="140"/>
      <c r="CA65" s="140"/>
      <c r="CB65" s="140"/>
      <c r="CC65" s="140"/>
      <c r="CD65" s="140"/>
      <c r="CE65" s="140"/>
      <c r="CF65" s="140"/>
      <c r="CG65" s="140"/>
      <c r="CH65" s="140"/>
      <c r="CI65" s="140"/>
      <c r="CJ65" s="140"/>
      <c r="CK65" s="140"/>
      <c r="CL65" s="140"/>
      <c r="CM65" s="140"/>
      <c r="CN65" s="140"/>
      <c r="CO65" s="140"/>
      <c r="CP65" s="140"/>
      <c r="CQ65" s="140"/>
      <c r="CR65" s="140"/>
      <c r="CS65" s="140"/>
      <c r="CT65" s="140"/>
      <c r="CU65" s="140"/>
      <c r="CV65" s="140"/>
      <c r="CW65" s="140"/>
      <c r="CX65" s="140"/>
      <c r="CY65" s="140"/>
      <c r="CZ65" s="140"/>
      <c r="DA65" s="140"/>
      <c r="DB65" s="140"/>
      <c r="DC65" s="140"/>
      <c r="DD65" s="140"/>
      <c r="DE65" s="140"/>
    </row>
    <row r="66" spans="1:109" s="139" customFormat="1" ht="15" customHeight="1">
      <c r="B66" s="283">
        <v>0.34027777777777779</v>
      </c>
      <c r="C66" s="284"/>
      <c r="D66" s="285"/>
      <c r="E66" s="286"/>
      <c r="F66" s="284"/>
      <c r="G66" s="287"/>
      <c r="H66" s="288" t="str">
        <f t="shared" si="14"/>
        <v/>
      </c>
      <c r="I66" s="289"/>
      <c r="J66" s="290" t="s">
        <v>354</v>
      </c>
      <c r="K66" s="291"/>
      <c r="L66" s="291"/>
      <c r="M66" s="291"/>
      <c r="N66" s="291"/>
      <c r="O66" s="291"/>
      <c r="P66" s="291"/>
      <c r="Q66" s="291"/>
      <c r="R66" s="291"/>
      <c r="S66" s="137"/>
      <c r="T66" s="292"/>
      <c r="U66" s="293"/>
      <c r="V66" s="293"/>
      <c r="W66" s="293"/>
      <c r="X66" s="293"/>
      <c r="Y66" s="293"/>
      <c r="Z66" s="293"/>
      <c r="AA66" s="294"/>
      <c r="AB66" s="153"/>
      <c r="AC66" s="281" t="s">
        <v>262</v>
      </c>
      <c r="AD66" s="282"/>
      <c r="AE66" s="282"/>
      <c r="AF66" s="155">
        <v>3.125E-2</v>
      </c>
      <c r="AG66" s="186" t="s">
        <v>202</v>
      </c>
      <c r="AH66" s="154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140"/>
      <c r="BP66" s="140"/>
      <c r="BQ66" s="140"/>
      <c r="BR66" s="140"/>
      <c r="BS66" s="140"/>
      <c r="BT66" s="140"/>
      <c r="BU66" s="140"/>
      <c r="BV66" s="140"/>
      <c r="BW66" s="140"/>
      <c r="BX66" s="140"/>
      <c r="BY66" s="140"/>
      <c r="BZ66" s="140"/>
      <c r="CA66" s="140"/>
      <c r="CB66" s="140"/>
      <c r="CC66" s="140"/>
      <c r="CD66" s="140"/>
      <c r="CE66" s="140"/>
      <c r="CF66" s="140"/>
      <c r="CG66" s="140"/>
      <c r="CH66" s="140"/>
      <c r="CI66" s="140"/>
      <c r="CJ66" s="140"/>
      <c r="CK66" s="140"/>
      <c r="CL66" s="140"/>
      <c r="CM66" s="140"/>
      <c r="CN66" s="140"/>
      <c r="CO66" s="140"/>
      <c r="CP66" s="140"/>
      <c r="CQ66" s="140"/>
      <c r="CR66" s="140"/>
      <c r="CS66" s="140"/>
      <c r="CT66" s="140"/>
      <c r="CU66" s="140"/>
      <c r="CV66" s="140"/>
      <c r="CW66" s="140"/>
      <c r="CX66" s="140"/>
      <c r="CY66" s="140"/>
      <c r="CZ66" s="140"/>
      <c r="DA66" s="140"/>
      <c r="DB66" s="140"/>
      <c r="DC66" s="140"/>
      <c r="DD66" s="140"/>
      <c r="DE66" s="140"/>
    </row>
    <row r="67" spans="1:109" s="154" customFormat="1" ht="16.149999999999999">
      <c r="A67" s="153"/>
      <c r="B67" s="283">
        <f t="shared" si="15"/>
        <v>0.34375</v>
      </c>
      <c r="C67" s="284"/>
      <c r="D67" s="285"/>
      <c r="E67" s="1032"/>
      <c r="F67" s="1033"/>
      <c r="G67" s="1034"/>
      <c r="H67" s="1025" t="str">
        <f t="shared" si="14"/>
        <v/>
      </c>
      <c r="I67" s="1026"/>
      <c r="J67" s="1027" t="s">
        <v>275</v>
      </c>
      <c r="K67" s="1028"/>
      <c r="L67" s="1028"/>
      <c r="M67" s="1028"/>
      <c r="N67" s="1028"/>
      <c r="O67" s="1028"/>
      <c r="P67" s="1028"/>
      <c r="Q67" s="1028"/>
      <c r="R67" s="1028"/>
      <c r="S67" s="249"/>
      <c r="T67" s="1029"/>
      <c r="U67" s="1030"/>
      <c r="V67" s="1030"/>
      <c r="W67" s="1030"/>
      <c r="X67" s="1030"/>
      <c r="Y67" s="1030"/>
      <c r="Z67" s="1030"/>
      <c r="AA67" s="1031"/>
      <c r="AB67" s="153"/>
      <c r="AC67" s="281" t="s">
        <v>262</v>
      </c>
      <c r="AD67" s="282"/>
      <c r="AE67" s="282"/>
      <c r="AF67" s="155">
        <v>2.4305555555555556E-2</v>
      </c>
      <c r="AG67" s="187" t="s">
        <v>202</v>
      </c>
      <c r="AI67" s="156"/>
      <c r="AV67" s="154" t="s">
        <v>13</v>
      </c>
    </row>
    <row r="68" spans="1:109" s="154" customFormat="1" ht="15" customHeight="1">
      <c r="A68" s="153"/>
      <c r="B68" s="283">
        <v>0.34722222222222221</v>
      </c>
      <c r="C68" s="284"/>
      <c r="D68" s="285"/>
      <c r="E68" s="286"/>
      <c r="F68" s="284"/>
      <c r="G68" s="287"/>
      <c r="H68" s="288" t="str">
        <f t="shared" si="14"/>
        <v/>
      </c>
      <c r="I68" s="289"/>
      <c r="J68" s="290" t="s">
        <v>276</v>
      </c>
      <c r="K68" s="291"/>
      <c r="L68" s="291"/>
      <c r="M68" s="291"/>
      <c r="N68" s="291"/>
      <c r="O68" s="291"/>
      <c r="P68" s="291"/>
      <c r="Q68" s="291"/>
      <c r="R68" s="291"/>
      <c r="S68" s="137"/>
      <c r="T68" s="292"/>
      <c r="U68" s="293"/>
      <c r="V68" s="293"/>
      <c r="W68" s="293"/>
      <c r="X68" s="293"/>
      <c r="Y68" s="293"/>
      <c r="Z68" s="293"/>
      <c r="AA68" s="294"/>
      <c r="AB68" s="153"/>
      <c r="AC68" s="281" t="s">
        <v>262</v>
      </c>
      <c r="AD68" s="282"/>
      <c r="AE68" s="282"/>
      <c r="AF68" s="155">
        <v>1.3888888888888888E-2</v>
      </c>
      <c r="AG68" s="187" t="s">
        <v>202</v>
      </c>
      <c r="AH68" s="140"/>
      <c r="AI68" s="156"/>
    </row>
    <row r="69" spans="1:109" s="154" customFormat="1" ht="15" customHeight="1">
      <c r="A69" s="153"/>
      <c r="B69" s="283">
        <v>0.35069444444444442</v>
      </c>
      <c r="C69" s="284"/>
      <c r="D69" s="285"/>
      <c r="E69" s="286"/>
      <c r="F69" s="284"/>
      <c r="G69" s="287"/>
      <c r="H69" s="288" t="str">
        <f t="shared" si="14"/>
        <v/>
      </c>
      <c r="I69" s="289"/>
      <c r="J69" s="290" t="s">
        <v>277</v>
      </c>
      <c r="K69" s="291"/>
      <c r="L69" s="291"/>
      <c r="M69" s="291"/>
      <c r="N69" s="291"/>
      <c r="O69" s="291"/>
      <c r="P69" s="291"/>
      <c r="Q69" s="291"/>
      <c r="R69" s="291"/>
      <c r="S69" s="137"/>
      <c r="T69" s="292"/>
      <c r="U69" s="297"/>
      <c r="V69" s="297"/>
      <c r="W69" s="297"/>
      <c r="X69" s="297"/>
      <c r="Y69" s="297"/>
      <c r="Z69" s="297"/>
      <c r="AA69" s="298"/>
      <c r="AB69" s="153"/>
      <c r="AC69" s="281" t="s">
        <v>262</v>
      </c>
      <c r="AD69" s="282"/>
      <c r="AE69" s="282"/>
      <c r="AF69" s="155">
        <v>1.0416666666666666E-2</v>
      </c>
      <c r="AG69" s="187" t="s">
        <v>202</v>
      </c>
      <c r="AH69" s="140"/>
    </row>
    <row r="70" spans="1:109" s="154" customFormat="1" ht="15" customHeight="1">
      <c r="A70" s="153"/>
      <c r="B70" s="283">
        <v>0.35416666666666669</v>
      </c>
      <c r="C70" s="284"/>
      <c r="D70" s="285"/>
      <c r="E70" s="286"/>
      <c r="F70" s="284"/>
      <c r="G70" s="287"/>
      <c r="H70" s="288" t="str">
        <f t="shared" si="14"/>
        <v/>
      </c>
      <c r="I70" s="289"/>
      <c r="J70" s="290" t="s">
        <v>278</v>
      </c>
      <c r="K70" s="291"/>
      <c r="L70" s="291"/>
      <c r="M70" s="291"/>
      <c r="N70" s="291"/>
      <c r="O70" s="291"/>
      <c r="P70" s="291"/>
      <c r="Q70" s="291"/>
      <c r="R70" s="291"/>
      <c r="S70" s="137"/>
      <c r="T70" s="292"/>
      <c r="U70" s="297"/>
      <c r="V70" s="297"/>
      <c r="W70" s="297"/>
      <c r="X70" s="297"/>
      <c r="Y70" s="297"/>
      <c r="Z70" s="297"/>
      <c r="AA70" s="298"/>
      <c r="AB70" s="153"/>
      <c r="AC70" s="281" t="s">
        <v>262</v>
      </c>
      <c r="AD70" s="282"/>
      <c r="AE70" s="282"/>
      <c r="AF70" s="155">
        <v>6.9444444444444441E-3</v>
      </c>
      <c r="AG70" s="187" t="s">
        <v>202</v>
      </c>
      <c r="AH70" s="140"/>
      <c r="AQ70" s="154" t="s">
        <v>13</v>
      </c>
    </row>
    <row r="71" spans="1:109" s="154" customFormat="1" ht="15" customHeight="1">
      <c r="A71" s="153"/>
      <c r="B71" s="283">
        <v>0.36805555555555558</v>
      </c>
      <c r="C71" s="284"/>
      <c r="D71" s="285"/>
      <c r="E71" s="286">
        <v>0.39930555555555558</v>
      </c>
      <c r="F71" s="284"/>
      <c r="G71" s="287"/>
      <c r="H71" s="288">
        <f t="shared" si="14"/>
        <v>3.125E-2</v>
      </c>
      <c r="I71" s="289"/>
      <c r="J71" s="290" t="s">
        <v>279</v>
      </c>
      <c r="K71" s="291"/>
      <c r="L71" s="291"/>
      <c r="M71" s="291"/>
      <c r="N71" s="291"/>
      <c r="O71" s="291"/>
      <c r="P71" s="291"/>
      <c r="Q71" s="291"/>
      <c r="R71" s="291"/>
      <c r="S71" s="137"/>
      <c r="T71" s="292"/>
      <c r="U71" s="293"/>
      <c r="V71" s="293"/>
      <c r="W71" s="293"/>
      <c r="X71" s="293"/>
      <c r="Y71" s="293"/>
      <c r="Z71" s="293"/>
      <c r="AA71" s="294"/>
      <c r="AB71" s="153"/>
      <c r="AF71" s="155"/>
      <c r="AG71" s="187" t="s">
        <v>202</v>
      </c>
      <c r="AH71" s="140"/>
    </row>
    <row r="72" spans="1:109" s="154" customFormat="1" ht="15" customHeight="1">
      <c r="A72" s="153"/>
      <c r="B72" s="283">
        <v>0.40972222222222221</v>
      </c>
      <c r="C72" s="284"/>
      <c r="D72" s="285"/>
      <c r="E72" s="286"/>
      <c r="F72" s="284"/>
      <c r="G72" s="287"/>
      <c r="H72" s="288" t="str">
        <f t="shared" si="14"/>
        <v/>
      </c>
      <c r="I72" s="289"/>
      <c r="J72" s="290" t="s">
        <v>280</v>
      </c>
      <c r="K72" s="291"/>
      <c r="L72" s="291"/>
      <c r="M72" s="291"/>
      <c r="N72" s="291"/>
      <c r="O72" s="291"/>
      <c r="P72" s="291"/>
      <c r="Q72" s="291"/>
      <c r="R72" s="291"/>
      <c r="S72" s="138"/>
      <c r="T72" s="370" t="s">
        <v>267</v>
      </c>
      <c r="U72" s="371"/>
      <c r="V72" s="371"/>
      <c r="W72" s="371"/>
      <c r="X72" s="371"/>
      <c r="Y72" s="371"/>
      <c r="Z72" s="371"/>
      <c r="AA72" s="372"/>
      <c r="AB72" s="153"/>
      <c r="AF72" s="155"/>
      <c r="AG72" s="184" t="s">
        <v>202</v>
      </c>
      <c r="AH72" s="140"/>
    </row>
    <row r="73" spans="1:109" s="154" customFormat="1" ht="15" customHeight="1">
      <c r="A73" s="153"/>
      <c r="B73" s="283">
        <v>0.47916666666666669</v>
      </c>
      <c r="C73" s="284"/>
      <c r="D73" s="285"/>
      <c r="E73" s="286">
        <v>0.60416666666666663</v>
      </c>
      <c r="F73" s="284"/>
      <c r="G73" s="287"/>
      <c r="H73" s="288">
        <f t="shared" si="14"/>
        <v>0.12499999999999994</v>
      </c>
      <c r="I73" s="289"/>
      <c r="J73" s="290" t="s">
        <v>221</v>
      </c>
      <c r="K73" s="291"/>
      <c r="L73" s="291"/>
      <c r="M73" s="291"/>
      <c r="N73" s="291"/>
      <c r="O73" s="291"/>
      <c r="P73" s="291"/>
      <c r="Q73" s="291"/>
      <c r="R73" s="291"/>
      <c r="S73" s="137" t="s">
        <v>226</v>
      </c>
      <c r="T73" s="292"/>
      <c r="U73" s="297"/>
      <c r="V73" s="297"/>
      <c r="W73" s="297"/>
      <c r="X73" s="297"/>
      <c r="Y73" s="297"/>
      <c r="Z73" s="297"/>
      <c r="AA73" s="298"/>
      <c r="AB73" s="153"/>
      <c r="AF73" s="155"/>
      <c r="AG73" s="184" t="s">
        <v>202</v>
      </c>
      <c r="AR73" s="154" t="s">
        <v>13</v>
      </c>
    </row>
    <row r="74" spans="1:109" s="154" customFormat="1" ht="15" customHeight="1">
      <c r="A74" s="153"/>
      <c r="B74" s="984">
        <v>0.47916666666666669</v>
      </c>
      <c r="C74" s="985"/>
      <c r="D74" s="986"/>
      <c r="E74" s="987">
        <v>0.49305555555555558</v>
      </c>
      <c r="F74" s="985"/>
      <c r="G74" s="988"/>
      <c r="H74" s="989">
        <f t="shared" ref="H74" si="16">IF(E74="","",IF(E74-B74&lt;0,"24:00"-(B74-E74),E74-B74))</f>
        <v>1.3888888888888895E-2</v>
      </c>
      <c r="I74" s="990"/>
      <c r="J74" s="991" t="s">
        <v>355</v>
      </c>
      <c r="K74" s="992"/>
      <c r="L74" s="992"/>
      <c r="M74" s="992"/>
      <c r="N74" s="992"/>
      <c r="O74" s="992"/>
      <c r="P74" s="992"/>
      <c r="Q74" s="992"/>
      <c r="R74" s="992"/>
      <c r="S74" s="262" t="s">
        <v>335</v>
      </c>
      <c r="T74" s="993" t="s">
        <v>356</v>
      </c>
      <c r="U74" s="994"/>
      <c r="V74" s="994"/>
      <c r="W74" s="994"/>
      <c r="X74" s="994"/>
      <c r="Y74" s="994"/>
      <c r="Z74" s="994"/>
      <c r="AA74" s="995"/>
      <c r="AB74" s="153"/>
      <c r="AF74" s="155"/>
      <c r="AG74" s="184" t="s">
        <v>202</v>
      </c>
      <c r="AR74" s="154" t="s">
        <v>13</v>
      </c>
    </row>
    <row r="75" spans="1:109" s="154" customFormat="1" ht="15" customHeight="1">
      <c r="A75" s="153"/>
      <c r="B75" s="283">
        <f t="shared" ref="B75:B80" si="17">$B$83-AF75</f>
        <v>0.51388888888888895</v>
      </c>
      <c r="C75" s="284"/>
      <c r="D75" s="285"/>
      <c r="E75" s="286">
        <v>0.52083333333333337</v>
      </c>
      <c r="F75" s="284"/>
      <c r="G75" s="287"/>
      <c r="H75" s="288">
        <f t="shared" si="14"/>
        <v>6.9444444444444198E-3</v>
      </c>
      <c r="I75" s="289"/>
      <c r="J75" s="290" t="s">
        <v>357</v>
      </c>
      <c r="K75" s="291"/>
      <c r="L75" s="291"/>
      <c r="M75" s="291"/>
      <c r="N75" s="291"/>
      <c r="O75" s="291"/>
      <c r="P75" s="291"/>
      <c r="Q75" s="291"/>
      <c r="R75" s="291"/>
      <c r="S75" s="137"/>
      <c r="T75" s="292" t="s">
        <v>358</v>
      </c>
      <c r="U75" s="297"/>
      <c r="V75" s="297"/>
      <c r="W75" s="297"/>
      <c r="X75" s="297"/>
      <c r="Y75" s="297"/>
      <c r="Z75" s="297"/>
      <c r="AA75" s="298"/>
      <c r="AB75" s="153"/>
      <c r="AC75" s="281" t="s">
        <v>262</v>
      </c>
      <c r="AD75" s="282"/>
      <c r="AE75" s="282"/>
      <c r="AF75" s="155">
        <v>6.9444444444444434E-2</v>
      </c>
      <c r="AG75" s="187" t="s">
        <v>202</v>
      </c>
      <c r="AI75" s="156"/>
    </row>
    <row r="76" spans="1:109" s="154" customFormat="1" ht="15" customHeight="1">
      <c r="A76" s="153"/>
      <c r="B76" s="283">
        <f t="shared" si="17"/>
        <v>0.52083333333333337</v>
      </c>
      <c r="C76" s="284"/>
      <c r="D76" s="285"/>
      <c r="E76" s="286"/>
      <c r="F76" s="284"/>
      <c r="G76" s="287"/>
      <c r="H76" s="288" t="str">
        <f t="shared" si="14"/>
        <v/>
      </c>
      <c r="I76" s="289"/>
      <c r="J76" s="290" t="s">
        <v>284</v>
      </c>
      <c r="K76" s="291"/>
      <c r="L76" s="291"/>
      <c r="M76" s="291"/>
      <c r="N76" s="291"/>
      <c r="O76" s="291"/>
      <c r="P76" s="291"/>
      <c r="Q76" s="291"/>
      <c r="R76" s="291"/>
      <c r="S76" s="138"/>
      <c r="T76" s="370" t="s">
        <v>267</v>
      </c>
      <c r="U76" s="371"/>
      <c r="V76" s="371"/>
      <c r="W76" s="371"/>
      <c r="X76" s="371"/>
      <c r="Y76" s="371"/>
      <c r="Z76" s="371"/>
      <c r="AA76" s="372"/>
      <c r="AB76" s="153"/>
      <c r="AC76" s="281" t="s">
        <v>262</v>
      </c>
      <c r="AD76" s="282"/>
      <c r="AE76" s="282"/>
      <c r="AF76" s="155">
        <v>6.25E-2</v>
      </c>
      <c r="AG76" s="184" t="s">
        <v>202</v>
      </c>
      <c r="AI76" s="156"/>
      <c r="AO76" s="154" t="s">
        <v>13</v>
      </c>
      <c r="AP76" s="154" t="s">
        <v>13</v>
      </c>
    </row>
    <row r="77" spans="1:109" s="154" customFormat="1" ht="15" customHeight="1">
      <c r="A77" s="153"/>
      <c r="B77" s="283">
        <f t="shared" si="17"/>
        <v>0.52430555555555558</v>
      </c>
      <c r="C77" s="284"/>
      <c r="D77" s="285"/>
      <c r="E77" s="286"/>
      <c r="F77" s="284"/>
      <c r="G77" s="287"/>
      <c r="H77" s="288" t="str">
        <f t="shared" si="14"/>
        <v/>
      </c>
      <c r="I77" s="289"/>
      <c r="J77" s="290" t="s">
        <v>302</v>
      </c>
      <c r="K77" s="291"/>
      <c r="L77" s="291"/>
      <c r="M77" s="291"/>
      <c r="N77" s="291"/>
      <c r="O77" s="291"/>
      <c r="P77" s="291"/>
      <c r="Q77" s="291"/>
      <c r="R77" s="291"/>
      <c r="S77" s="137"/>
      <c r="T77" s="296" t="s">
        <v>344</v>
      </c>
      <c r="U77" s="293"/>
      <c r="V77" s="293"/>
      <c r="W77" s="293"/>
      <c r="X77" s="293"/>
      <c r="Y77" s="293"/>
      <c r="Z77" s="293"/>
      <c r="AA77" s="294"/>
      <c r="AB77" s="153"/>
      <c r="AC77" s="281" t="s">
        <v>262</v>
      </c>
      <c r="AD77" s="282"/>
      <c r="AE77" s="282"/>
      <c r="AF77" s="155">
        <v>5.9027777777777776E-2</v>
      </c>
      <c r="AG77" s="186" t="s">
        <v>202</v>
      </c>
      <c r="AI77" s="156"/>
      <c r="AO77" s="154" t="s">
        <v>13</v>
      </c>
      <c r="AP77" s="154" t="s">
        <v>13</v>
      </c>
    </row>
    <row r="78" spans="1:109" s="154" customFormat="1" ht="15" customHeight="1">
      <c r="A78" s="153"/>
      <c r="B78" s="283">
        <v>0.55555555555555558</v>
      </c>
      <c r="C78" s="284"/>
      <c r="D78" s="285"/>
      <c r="E78" s="286"/>
      <c r="F78" s="284"/>
      <c r="G78" s="287"/>
      <c r="H78" s="288" t="str">
        <f t="shared" si="14"/>
        <v/>
      </c>
      <c r="I78" s="289"/>
      <c r="J78" s="290" t="s">
        <v>354</v>
      </c>
      <c r="K78" s="291"/>
      <c r="L78" s="291"/>
      <c r="M78" s="291"/>
      <c r="N78" s="291"/>
      <c r="O78" s="291"/>
      <c r="P78" s="291"/>
      <c r="Q78" s="291"/>
      <c r="R78" s="291"/>
      <c r="S78" s="137"/>
      <c r="T78" s="292"/>
      <c r="U78" s="293"/>
      <c r="V78" s="293"/>
      <c r="W78" s="293"/>
      <c r="X78" s="293"/>
      <c r="Y78" s="293"/>
      <c r="Z78" s="293"/>
      <c r="AA78" s="294"/>
      <c r="AB78" s="153"/>
      <c r="AC78" s="281" t="s">
        <v>262</v>
      </c>
      <c r="AD78" s="282"/>
      <c r="AE78" s="282"/>
      <c r="AF78" s="155">
        <v>3.125E-2</v>
      </c>
      <c r="AG78" s="187" t="s">
        <v>202</v>
      </c>
      <c r="AI78" s="156"/>
      <c r="AS78" s="154" t="s">
        <v>13</v>
      </c>
    </row>
    <row r="79" spans="1:109" s="154" customFormat="1" ht="15" customHeight="1">
      <c r="A79" s="153"/>
      <c r="B79" s="283">
        <f t="shared" si="17"/>
        <v>0.55902777777777779</v>
      </c>
      <c r="C79" s="284"/>
      <c r="D79" s="285"/>
      <c r="E79" s="1032"/>
      <c r="F79" s="1033"/>
      <c r="G79" s="1034"/>
      <c r="H79" s="1025" t="str">
        <f t="shared" si="14"/>
        <v/>
      </c>
      <c r="I79" s="1026"/>
      <c r="J79" s="1027" t="s">
        <v>285</v>
      </c>
      <c r="K79" s="1028"/>
      <c r="L79" s="1028"/>
      <c r="M79" s="1028"/>
      <c r="N79" s="1028"/>
      <c r="O79" s="1028"/>
      <c r="P79" s="1028"/>
      <c r="Q79" s="1028"/>
      <c r="R79" s="1028"/>
      <c r="S79" s="249"/>
      <c r="T79" s="1035"/>
      <c r="U79" s="1036"/>
      <c r="V79" s="1036"/>
      <c r="W79" s="1036"/>
      <c r="X79" s="1036"/>
      <c r="Y79" s="1036"/>
      <c r="Z79" s="1036"/>
      <c r="AA79" s="1037"/>
      <c r="AB79" s="139"/>
      <c r="AC79" s="281" t="s">
        <v>262</v>
      </c>
      <c r="AD79" s="282"/>
      <c r="AE79" s="282"/>
      <c r="AF79" s="155">
        <v>2.4305555555555556E-2</v>
      </c>
      <c r="AG79" s="187" t="s">
        <v>202</v>
      </c>
      <c r="AI79" s="156"/>
    </row>
    <row r="80" spans="1:109" s="154" customFormat="1" ht="15" customHeight="1">
      <c r="A80" s="153"/>
      <c r="B80" s="344">
        <f t="shared" si="17"/>
        <v>0.56944444444444453</v>
      </c>
      <c r="C80" s="345"/>
      <c r="D80" s="346"/>
      <c r="E80" s="347"/>
      <c r="F80" s="345"/>
      <c r="G80" s="348"/>
      <c r="H80" s="349" t="str">
        <f t="shared" si="14"/>
        <v/>
      </c>
      <c r="I80" s="350"/>
      <c r="J80" s="373" t="s">
        <v>276</v>
      </c>
      <c r="K80" s="374"/>
      <c r="L80" s="374"/>
      <c r="M80" s="374"/>
      <c r="N80" s="374"/>
      <c r="O80" s="374"/>
      <c r="P80" s="374"/>
      <c r="Q80" s="374"/>
      <c r="R80" s="374"/>
      <c r="S80" s="198" t="s">
        <v>13</v>
      </c>
      <c r="T80" s="358"/>
      <c r="U80" s="359"/>
      <c r="V80" s="359"/>
      <c r="W80" s="359"/>
      <c r="X80" s="359"/>
      <c r="Y80" s="359"/>
      <c r="Z80" s="359"/>
      <c r="AA80" s="360"/>
      <c r="AB80" s="139"/>
      <c r="AC80" s="281" t="s">
        <v>262</v>
      </c>
      <c r="AD80" s="282"/>
      <c r="AE80" s="282"/>
      <c r="AF80" s="155">
        <v>1.3888888888888888E-2</v>
      </c>
      <c r="AG80" s="187" t="s">
        <v>202</v>
      </c>
      <c r="AI80" s="156"/>
    </row>
    <row r="81" spans="1:42" s="154" customFormat="1" ht="15" customHeight="1">
      <c r="A81" s="153"/>
      <c r="B81" s="283">
        <v>0.56597222222222221</v>
      </c>
      <c r="C81" s="284"/>
      <c r="D81" s="285"/>
      <c r="E81" s="286"/>
      <c r="F81" s="284"/>
      <c r="G81" s="287"/>
      <c r="H81" s="288" t="str">
        <f t="shared" si="14"/>
        <v/>
      </c>
      <c r="I81" s="289"/>
      <c r="J81" s="290" t="s">
        <v>277</v>
      </c>
      <c r="K81" s="291"/>
      <c r="L81" s="291"/>
      <c r="M81" s="291"/>
      <c r="N81" s="291"/>
      <c r="O81" s="291"/>
      <c r="P81" s="291"/>
      <c r="Q81" s="291"/>
      <c r="R81" s="291"/>
      <c r="S81" s="137"/>
      <c r="T81" s="292"/>
      <c r="U81" s="297"/>
      <c r="V81" s="297"/>
      <c r="W81" s="297"/>
      <c r="X81" s="297"/>
      <c r="Y81" s="297"/>
      <c r="Z81" s="297"/>
      <c r="AA81" s="298"/>
      <c r="AB81" s="139"/>
      <c r="AC81" s="281" t="s">
        <v>262</v>
      </c>
      <c r="AD81" s="282"/>
      <c r="AE81" s="282"/>
      <c r="AF81" s="155">
        <v>1.0416666666666666E-2</v>
      </c>
      <c r="AG81" s="187" t="s">
        <v>202</v>
      </c>
      <c r="AI81" s="156"/>
      <c r="AN81" s="154" t="s">
        <v>13</v>
      </c>
      <c r="AP81" s="154" t="s">
        <v>13</v>
      </c>
    </row>
    <row r="82" spans="1:42" s="154" customFormat="1" ht="15" customHeight="1">
      <c r="A82" s="153"/>
      <c r="B82" s="283">
        <v>0.56944444444444442</v>
      </c>
      <c r="C82" s="284"/>
      <c r="D82" s="285"/>
      <c r="E82" s="286"/>
      <c r="F82" s="284"/>
      <c r="G82" s="287"/>
      <c r="H82" s="288" t="str">
        <f>IF(E82="","",IF(E82-B82&lt;0,"24:00"-(B82-E82),E82-B82))</f>
        <v/>
      </c>
      <c r="I82" s="289"/>
      <c r="J82" s="290" t="s">
        <v>286</v>
      </c>
      <c r="K82" s="291"/>
      <c r="L82" s="291"/>
      <c r="M82" s="291"/>
      <c r="N82" s="291"/>
      <c r="O82" s="291"/>
      <c r="P82" s="291"/>
      <c r="Q82" s="291"/>
      <c r="R82" s="291"/>
      <c r="S82" s="137"/>
      <c r="T82" s="292"/>
      <c r="U82" s="297"/>
      <c r="V82" s="297"/>
      <c r="W82" s="297"/>
      <c r="X82" s="297"/>
      <c r="Y82" s="297"/>
      <c r="Z82" s="297"/>
      <c r="AA82" s="298"/>
      <c r="AB82" s="139"/>
      <c r="AC82" s="281" t="s">
        <v>262</v>
      </c>
      <c r="AD82" s="282"/>
      <c r="AE82" s="282"/>
      <c r="AF82" s="155">
        <v>6.9444444444444441E-3</v>
      </c>
      <c r="AG82" s="184" t="s">
        <v>202</v>
      </c>
      <c r="AI82" s="156"/>
    </row>
    <row r="83" spans="1:42" s="154" customFormat="1" ht="15" customHeight="1">
      <c r="A83" s="153"/>
      <c r="B83" s="283">
        <v>0.58333333333333337</v>
      </c>
      <c r="C83" s="284"/>
      <c r="D83" s="285"/>
      <c r="E83" s="286">
        <v>0.60416666666666663</v>
      </c>
      <c r="F83" s="284"/>
      <c r="G83" s="287"/>
      <c r="H83" s="288">
        <f>IF(E83="","",IF(E83-B83&lt;0,"24:00"-(B83-E83),E83-B83))</f>
        <v>2.0833333333333259E-2</v>
      </c>
      <c r="I83" s="289"/>
      <c r="J83" s="290" t="s">
        <v>287</v>
      </c>
      <c r="K83" s="291"/>
      <c r="L83" s="291"/>
      <c r="M83" s="291"/>
      <c r="N83" s="291"/>
      <c r="O83" s="291"/>
      <c r="P83" s="291"/>
      <c r="Q83" s="291"/>
      <c r="R83" s="291"/>
      <c r="S83" s="137"/>
      <c r="T83" s="296"/>
      <c r="U83" s="297"/>
      <c r="V83" s="297"/>
      <c r="W83" s="297"/>
      <c r="X83" s="297"/>
      <c r="Y83" s="297"/>
      <c r="Z83" s="297"/>
      <c r="AA83" s="298"/>
      <c r="AB83" s="139"/>
      <c r="AC83" s="140"/>
      <c r="AD83" s="140"/>
      <c r="AE83" s="140" t="s">
        <v>13</v>
      </c>
      <c r="AF83" s="155"/>
      <c r="AG83" s="186" t="s">
        <v>202</v>
      </c>
      <c r="AI83" s="156"/>
    </row>
    <row r="84" spans="1:42" s="154" customFormat="1" ht="15" customHeight="1">
      <c r="A84" s="153"/>
      <c r="B84" s="283">
        <v>0.61458333333333337</v>
      </c>
      <c r="C84" s="284"/>
      <c r="D84" s="285"/>
      <c r="E84" s="286"/>
      <c r="F84" s="284"/>
      <c r="G84" s="287"/>
      <c r="H84" s="288" t="str">
        <f t="shared" si="14"/>
        <v/>
      </c>
      <c r="I84" s="289"/>
      <c r="J84" s="290" t="s">
        <v>280</v>
      </c>
      <c r="K84" s="291"/>
      <c r="L84" s="291"/>
      <c r="M84" s="291"/>
      <c r="N84" s="291"/>
      <c r="O84" s="291"/>
      <c r="P84" s="291"/>
      <c r="Q84" s="291"/>
      <c r="R84" s="291"/>
      <c r="S84" s="137" t="s">
        <v>266</v>
      </c>
      <c r="T84" s="370" t="s">
        <v>267</v>
      </c>
      <c r="U84" s="371"/>
      <c r="V84" s="371"/>
      <c r="W84" s="371"/>
      <c r="X84" s="371"/>
      <c r="Y84" s="371"/>
      <c r="Z84" s="371"/>
      <c r="AA84" s="372"/>
      <c r="AB84" s="139"/>
      <c r="AC84" s="140"/>
      <c r="AD84" s="140"/>
      <c r="AE84" s="140"/>
      <c r="AF84" s="155"/>
      <c r="AG84" s="187" t="s">
        <v>202</v>
      </c>
      <c r="AI84" s="156"/>
    </row>
    <row r="85" spans="1:42" ht="15" customHeight="1">
      <c r="A85" s="139"/>
      <c r="B85" s="283">
        <v>0.64583333333333337</v>
      </c>
      <c r="C85" s="284"/>
      <c r="D85" s="285"/>
      <c r="E85" s="286">
        <v>0.66666666666666663</v>
      </c>
      <c r="F85" s="284"/>
      <c r="G85" s="287"/>
      <c r="H85" s="288">
        <f t="shared" si="14"/>
        <v>2.0833333333333259E-2</v>
      </c>
      <c r="I85" s="289"/>
      <c r="J85" s="290" t="s">
        <v>290</v>
      </c>
      <c r="K85" s="291"/>
      <c r="L85" s="291"/>
      <c r="M85" s="291"/>
      <c r="N85" s="291"/>
      <c r="O85" s="291"/>
      <c r="P85" s="291"/>
      <c r="Q85" s="291"/>
      <c r="R85" s="291"/>
      <c r="S85" s="137" t="s">
        <v>291</v>
      </c>
      <c r="T85" s="292" t="s">
        <v>359</v>
      </c>
      <c r="U85" s="293"/>
      <c r="V85" s="293"/>
      <c r="W85" s="293"/>
      <c r="X85" s="293"/>
      <c r="Y85" s="293"/>
      <c r="Z85" s="293"/>
      <c r="AA85" s="294"/>
      <c r="AB85" s="153"/>
      <c r="AC85" s="154"/>
      <c r="AD85" s="154"/>
      <c r="AE85" s="154"/>
      <c r="AF85" s="155"/>
      <c r="AG85" s="187"/>
    </row>
    <row r="86" spans="1:42" ht="15" customHeight="1">
      <c r="A86" s="139"/>
      <c r="B86" s="309" t="s">
        <v>53</v>
      </c>
      <c r="C86" s="310"/>
      <c r="D86" s="311"/>
      <c r="E86" s="315"/>
      <c r="F86" s="310"/>
      <c r="G86" s="316"/>
      <c r="H86" s="317" t="str">
        <f t="shared" si="14"/>
        <v/>
      </c>
      <c r="I86" s="318"/>
      <c r="J86" s="319" t="s">
        <v>360</v>
      </c>
      <c r="K86" s="320"/>
      <c r="L86" s="320"/>
      <c r="M86" s="320"/>
      <c r="N86" s="320"/>
      <c r="O86" s="320"/>
      <c r="P86" s="320"/>
      <c r="Q86" s="320"/>
      <c r="R86" s="320"/>
      <c r="S86" s="137"/>
      <c r="T86" s="292"/>
      <c r="U86" s="293"/>
      <c r="V86" s="293"/>
      <c r="W86" s="293"/>
      <c r="X86" s="293"/>
      <c r="Y86" s="293"/>
      <c r="Z86" s="293"/>
      <c r="AA86" s="294"/>
      <c r="AB86" s="153"/>
      <c r="AC86" s="154"/>
      <c r="AD86" s="154"/>
      <c r="AE86" s="154"/>
      <c r="AF86" s="155"/>
      <c r="AG86" s="187" t="s">
        <v>202</v>
      </c>
      <c r="AH86" s="154"/>
    </row>
    <row r="87" spans="1:42" s="154" customFormat="1" ht="15" customHeight="1">
      <c r="A87" s="153"/>
      <c r="B87" s="283">
        <v>0.75</v>
      </c>
      <c r="C87" s="284"/>
      <c r="D87" s="285"/>
      <c r="E87" s="286">
        <v>0.75694444444444442</v>
      </c>
      <c r="F87" s="284"/>
      <c r="G87" s="287"/>
      <c r="H87" s="288">
        <f>IF(E87="","",IF(E87-B87&lt;0,"24:00"-(B87-E87),E87-B87))</f>
        <v>6.9444444444444198E-3</v>
      </c>
      <c r="I87" s="289"/>
      <c r="J87" s="290" t="s">
        <v>223</v>
      </c>
      <c r="K87" s="291"/>
      <c r="L87" s="291"/>
      <c r="M87" s="291"/>
      <c r="N87" s="291"/>
      <c r="O87" s="291"/>
      <c r="P87" s="291"/>
      <c r="Q87" s="291"/>
      <c r="R87" s="295"/>
      <c r="S87" s="137" t="s">
        <v>327</v>
      </c>
      <c r="T87" s="296" t="s">
        <v>261</v>
      </c>
      <c r="U87" s="293"/>
      <c r="V87" s="293"/>
      <c r="W87" s="293"/>
      <c r="X87" s="293"/>
      <c r="Y87" s="293"/>
      <c r="Z87" s="293"/>
      <c r="AA87" s="294"/>
      <c r="AB87" s="153"/>
      <c r="AE87" s="154" t="s">
        <v>13</v>
      </c>
      <c r="AF87" s="155"/>
      <c r="AG87" s="184" t="s">
        <v>202</v>
      </c>
      <c r="AI87" s="156"/>
    </row>
    <row r="88" spans="1:42" ht="15" customHeight="1">
      <c r="A88" s="139"/>
      <c r="B88" s="283">
        <v>0.75</v>
      </c>
      <c r="C88" s="284"/>
      <c r="D88" s="285"/>
      <c r="E88" s="286">
        <v>0.875</v>
      </c>
      <c r="F88" s="284"/>
      <c r="G88" s="287"/>
      <c r="H88" s="288"/>
      <c r="I88" s="289"/>
      <c r="J88" s="290" t="s">
        <v>224</v>
      </c>
      <c r="K88" s="291"/>
      <c r="L88" s="291"/>
      <c r="M88" s="291"/>
      <c r="N88" s="291"/>
      <c r="O88" s="291"/>
      <c r="P88" s="291"/>
      <c r="Q88" s="291"/>
      <c r="R88" s="295"/>
      <c r="S88" s="137" t="s">
        <v>226</v>
      </c>
      <c r="T88" s="296"/>
      <c r="U88" s="293"/>
      <c r="V88" s="293"/>
      <c r="W88" s="293"/>
      <c r="X88" s="293"/>
      <c r="Y88" s="293"/>
      <c r="Z88" s="293"/>
      <c r="AA88" s="294"/>
      <c r="AB88" s="153"/>
      <c r="AC88" s="154"/>
      <c r="AD88" s="154"/>
      <c r="AE88" s="154"/>
      <c r="AF88" s="155"/>
      <c r="AG88" s="187" t="s">
        <v>202</v>
      </c>
    </row>
    <row r="89" spans="1:42" s="154" customFormat="1" ht="15" customHeight="1">
      <c r="A89" s="153"/>
      <c r="B89" s="376">
        <v>0.89583333333333337</v>
      </c>
      <c r="C89" s="377"/>
      <c r="D89" s="378"/>
      <c r="E89" s="379"/>
      <c r="F89" s="377"/>
      <c r="G89" s="380"/>
      <c r="H89" s="381" t="str">
        <f t="shared" si="14"/>
        <v/>
      </c>
      <c r="I89" s="382"/>
      <c r="J89" s="427" t="s">
        <v>294</v>
      </c>
      <c r="K89" s="428"/>
      <c r="L89" s="428"/>
      <c r="M89" s="428"/>
      <c r="N89" s="428"/>
      <c r="O89" s="428"/>
      <c r="P89" s="428"/>
      <c r="Q89" s="428"/>
      <c r="R89" s="428"/>
      <c r="S89" s="169"/>
      <c r="T89" s="436"/>
      <c r="U89" s="437"/>
      <c r="V89" s="437"/>
      <c r="W89" s="437"/>
      <c r="X89" s="437"/>
      <c r="Y89" s="437"/>
      <c r="Z89" s="437"/>
      <c r="AA89" s="438"/>
      <c r="AB89" s="153"/>
      <c r="AF89" s="155"/>
      <c r="AG89" s="187"/>
      <c r="AI89" s="156"/>
    </row>
    <row r="90" spans="1:42" s="154" customFormat="1" ht="15" customHeight="1">
      <c r="A90" s="153"/>
      <c r="B90" s="312" t="s">
        <v>295</v>
      </c>
      <c r="C90" s="313"/>
      <c r="D90" s="313"/>
      <c r="E90" s="314"/>
      <c r="F90" s="314"/>
      <c r="G90" s="314"/>
      <c r="H90" s="314"/>
      <c r="I90" s="314"/>
      <c r="J90" s="314" t="s">
        <v>361</v>
      </c>
      <c r="K90" s="314"/>
      <c r="L90" s="314"/>
      <c r="M90" s="314"/>
      <c r="N90" s="314"/>
      <c r="O90" s="314"/>
      <c r="P90" s="314"/>
      <c r="Q90" s="314"/>
      <c r="R90" s="314"/>
      <c r="S90" s="314"/>
      <c r="T90" s="439"/>
      <c r="U90" s="1038"/>
      <c r="V90" s="1038"/>
      <c r="W90" s="1038"/>
      <c r="X90" s="1038"/>
      <c r="Y90" s="1038"/>
      <c r="Z90" s="1038"/>
      <c r="AA90" s="1039"/>
      <c r="AB90" s="153"/>
      <c r="AF90" s="155"/>
      <c r="AG90" s="183"/>
      <c r="AI90" s="156"/>
    </row>
    <row r="91" spans="1:42" s="154" customFormat="1" ht="15" customHeight="1">
      <c r="A91" s="153"/>
      <c r="B91" s="301" t="s">
        <v>193</v>
      </c>
      <c r="C91" s="302"/>
      <c r="D91" s="302"/>
      <c r="E91" s="302" t="s">
        <v>194</v>
      </c>
      <c r="F91" s="302"/>
      <c r="G91" s="302"/>
      <c r="H91" s="303" t="s">
        <v>214</v>
      </c>
      <c r="I91" s="304"/>
      <c r="J91" s="305" t="s">
        <v>215</v>
      </c>
      <c r="K91" s="306"/>
      <c r="L91" s="306"/>
      <c r="M91" s="306"/>
      <c r="N91" s="306"/>
      <c r="O91" s="306"/>
      <c r="P91" s="306"/>
      <c r="Q91" s="306"/>
      <c r="R91" s="306"/>
      <c r="S91" s="136" t="s">
        <v>216</v>
      </c>
      <c r="T91" s="419" t="s">
        <v>217</v>
      </c>
      <c r="U91" s="420"/>
      <c r="V91" s="420"/>
      <c r="W91" s="420"/>
      <c r="X91" s="420"/>
      <c r="Y91" s="420"/>
      <c r="Z91" s="420"/>
      <c r="AA91" s="421"/>
      <c r="AB91" s="153"/>
      <c r="AF91" s="155"/>
      <c r="AG91" s="189"/>
      <c r="AI91" s="156"/>
    </row>
    <row r="92" spans="1:42" s="154" customFormat="1" ht="15" customHeight="1">
      <c r="A92" s="153"/>
      <c r="B92" s="339">
        <v>0.29166666666666669</v>
      </c>
      <c r="C92" s="340"/>
      <c r="D92" s="341"/>
      <c r="E92" s="342"/>
      <c r="F92" s="340"/>
      <c r="G92" s="343"/>
      <c r="H92" s="333" t="str">
        <f t="shared" ref="H92" si="18">IF(E92="","",IF(E92-B92&lt;0,"24:00"-(B92-E92),E92-B92))</f>
        <v/>
      </c>
      <c r="I92" s="334"/>
      <c r="J92" s="335" t="s">
        <v>218</v>
      </c>
      <c r="K92" s="336"/>
      <c r="L92" s="336"/>
      <c r="M92" s="336"/>
      <c r="N92" s="336"/>
      <c r="O92" s="336"/>
      <c r="P92" s="336"/>
      <c r="Q92" s="336"/>
      <c r="R92" s="336"/>
      <c r="S92" s="164"/>
      <c r="T92" s="422"/>
      <c r="U92" s="1023"/>
      <c r="V92" s="1023"/>
      <c r="W92" s="1023"/>
      <c r="X92" s="1023"/>
      <c r="Y92" s="1023"/>
      <c r="Z92" s="1023"/>
      <c r="AA92" s="1024"/>
      <c r="AB92" s="139"/>
      <c r="AF92" s="155"/>
      <c r="AG92" s="187"/>
      <c r="AI92" s="156"/>
    </row>
    <row r="93" spans="1:42" s="154" customFormat="1" ht="15" customHeight="1">
      <c r="A93" s="153"/>
      <c r="B93" s="283">
        <v>0.3125</v>
      </c>
      <c r="C93" s="284"/>
      <c r="D93" s="285"/>
      <c r="E93" s="286"/>
      <c r="F93" s="284"/>
      <c r="G93" s="287"/>
      <c r="H93" s="288" t="str">
        <f t="shared" ref="H93:H115" si="19">IF(E93="","",IF(E93-B93&lt;0,"24:00"-(B93-E93),E93-B93))</f>
        <v/>
      </c>
      <c r="I93" s="289"/>
      <c r="J93" s="290" t="s">
        <v>219</v>
      </c>
      <c r="K93" s="291"/>
      <c r="L93" s="291"/>
      <c r="M93" s="291"/>
      <c r="N93" s="291"/>
      <c r="O93" s="291"/>
      <c r="P93" s="291"/>
      <c r="Q93" s="291"/>
      <c r="R93" s="291"/>
      <c r="S93" s="137"/>
      <c r="T93" s="296"/>
      <c r="U93" s="293"/>
      <c r="V93" s="293"/>
      <c r="W93" s="293"/>
      <c r="X93" s="293"/>
      <c r="Y93" s="293"/>
      <c r="Z93" s="293"/>
      <c r="AA93" s="294"/>
      <c r="AB93" s="139"/>
      <c r="AF93" s="155"/>
      <c r="AG93" s="187"/>
      <c r="AI93" s="156"/>
      <c r="AL93" s="154" t="s">
        <v>13</v>
      </c>
    </row>
    <row r="94" spans="1:42" s="154" customFormat="1" ht="15" customHeight="1">
      <c r="A94" s="153"/>
      <c r="B94" s="376">
        <v>0.33333333333333331</v>
      </c>
      <c r="C94" s="377"/>
      <c r="D94" s="378"/>
      <c r="E94" s="379"/>
      <c r="F94" s="377"/>
      <c r="G94" s="380"/>
      <c r="H94" s="381" t="str">
        <f t="shared" si="19"/>
        <v/>
      </c>
      <c r="I94" s="382"/>
      <c r="J94" s="427" t="s">
        <v>299</v>
      </c>
      <c r="K94" s="428"/>
      <c r="L94" s="428"/>
      <c r="M94" s="428"/>
      <c r="N94" s="428"/>
      <c r="O94" s="428"/>
      <c r="P94" s="428"/>
      <c r="Q94" s="428"/>
      <c r="R94" s="428"/>
      <c r="S94" s="169"/>
      <c r="T94" s="436"/>
      <c r="U94" s="437"/>
      <c r="V94" s="437"/>
      <c r="W94" s="437"/>
      <c r="X94" s="437"/>
      <c r="Y94" s="437"/>
      <c r="Z94" s="437"/>
      <c r="AA94" s="438"/>
      <c r="AB94" s="139"/>
      <c r="AF94" s="155"/>
      <c r="AG94" s="187"/>
      <c r="AI94" s="156"/>
    </row>
    <row r="95" spans="1:42" s="154" customFormat="1" ht="15" customHeight="1">
      <c r="A95" s="153"/>
      <c r="B95" s="283">
        <v>0.34375</v>
      </c>
      <c r="C95" s="284"/>
      <c r="D95" s="285"/>
      <c r="E95" s="286"/>
      <c r="F95" s="284"/>
      <c r="G95" s="287"/>
      <c r="H95" s="288" t="str">
        <f t="shared" si="19"/>
        <v/>
      </c>
      <c r="I95" s="289"/>
      <c r="J95" s="290" t="s">
        <v>228</v>
      </c>
      <c r="K95" s="291"/>
      <c r="L95" s="291"/>
      <c r="M95" s="291"/>
      <c r="N95" s="291"/>
      <c r="O95" s="291"/>
      <c r="P95" s="291"/>
      <c r="Q95" s="291"/>
      <c r="R95" s="291"/>
      <c r="S95" s="137"/>
      <c r="T95" s="296" t="s">
        <v>261</v>
      </c>
      <c r="U95" s="293"/>
      <c r="V95" s="293"/>
      <c r="W95" s="293"/>
      <c r="X95" s="293"/>
      <c r="Y95" s="293"/>
      <c r="Z95" s="293"/>
      <c r="AA95" s="294"/>
      <c r="AB95" s="153"/>
      <c r="AF95" s="155"/>
      <c r="AG95" s="186"/>
      <c r="AI95" s="156"/>
    </row>
    <row r="96" spans="1:42" s="154" customFormat="1" ht="15" customHeight="1">
      <c r="A96" s="153"/>
      <c r="B96" s="309">
        <v>0.375</v>
      </c>
      <c r="C96" s="310"/>
      <c r="D96" s="311"/>
      <c r="E96" s="315"/>
      <c r="F96" s="310"/>
      <c r="G96" s="316"/>
      <c r="H96" s="317" t="str">
        <f t="shared" si="19"/>
        <v/>
      </c>
      <c r="I96" s="318"/>
      <c r="J96" s="319" t="s">
        <v>258</v>
      </c>
      <c r="K96" s="320"/>
      <c r="L96" s="320"/>
      <c r="M96" s="320"/>
      <c r="N96" s="320"/>
      <c r="O96" s="320"/>
      <c r="P96" s="320"/>
      <c r="Q96" s="320"/>
      <c r="R96" s="320"/>
      <c r="S96" s="159"/>
      <c r="T96" s="366" t="s">
        <v>362</v>
      </c>
      <c r="U96" s="367"/>
      <c r="V96" s="367"/>
      <c r="W96" s="367"/>
      <c r="X96" s="367"/>
      <c r="Y96" s="367"/>
      <c r="Z96" s="367"/>
      <c r="AA96" s="368"/>
      <c r="AB96" s="153"/>
      <c r="AC96" s="162"/>
      <c r="AD96" s="163"/>
      <c r="AE96" s="163"/>
      <c r="AF96" s="155"/>
      <c r="AG96" s="187" t="s">
        <v>202</v>
      </c>
      <c r="AI96" s="156"/>
    </row>
    <row r="97" spans="1:109" s="154" customFormat="1" ht="15" customHeight="1">
      <c r="A97" s="153"/>
      <c r="B97" s="283">
        <f t="shared" ref="B97:B104" si="20">$B$109-AF97</f>
        <v>0.375</v>
      </c>
      <c r="C97" s="284"/>
      <c r="D97" s="285"/>
      <c r="E97" s="286">
        <v>0.37847222222222221</v>
      </c>
      <c r="F97" s="284"/>
      <c r="G97" s="287"/>
      <c r="H97" s="288">
        <f t="shared" si="19"/>
        <v>3.4722222222222099E-3</v>
      </c>
      <c r="I97" s="289"/>
      <c r="J97" s="290" t="s">
        <v>341</v>
      </c>
      <c r="K97" s="291"/>
      <c r="L97" s="291"/>
      <c r="M97" s="291"/>
      <c r="N97" s="291"/>
      <c r="O97" s="291"/>
      <c r="P97" s="291"/>
      <c r="Q97" s="291"/>
      <c r="R97" s="291"/>
      <c r="S97" s="137"/>
      <c r="T97" s="292"/>
      <c r="U97" s="297"/>
      <c r="V97" s="297"/>
      <c r="W97" s="297"/>
      <c r="X97" s="297"/>
      <c r="Y97" s="297"/>
      <c r="Z97" s="297"/>
      <c r="AA97" s="298"/>
      <c r="AB97" s="153"/>
      <c r="AC97" s="281" t="s">
        <v>262</v>
      </c>
      <c r="AD97" s="282"/>
      <c r="AE97" s="282"/>
      <c r="AF97" s="155">
        <v>9.375E-2</v>
      </c>
      <c r="AG97" s="187" t="s">
        <v>202</v>
      </c>
      <c r="AI97" s="156"/>
    </row>
    <row r="98" spans="1:109" s="154" customFormat="1" ht="15" customHeight="1">
      <c r="A98" s="153"/>
      <c r="B98" s="283">
        <f t="shared" si="20"/>
        <v>0.38194444444444442</v>
      </c>
      <c r="C98" s="284"/>
      <c r="D98" s="285"/>
      <c r="E98" s="286">
        <v>0.38541666666666669</v>
      </c>
      <c r="F98" s="284"/>
      <c r="G98" s="287"/>
      <c r="H98" s="288">
        <f t="shared" si="19"/>
        <v>3.4722222222222654E-3</v>
      </c>
      <c r="I98" s="289"/>
      <c r="J98" s="290" t="s">
        <v>342</v>
      </c>
      <c r="K98" s="291"/>
      <c r="L98" s="291"/>
      <c r="M98" s="291"/>
      <c r="N98" s="291"/>
      <c r="O98" s="291"/>
      <c r="P98" s="291"/>
      <c r="Q98" s="291"/>
      <c r="R98" s="291"/>
      <c r="S98" s="137"/>
      <c r="T98" s="292"/>
      <c r="U98" s="297"/>
      <c r="V98" s="297"/>
      <c r="W98" s="297"/>
      <c r="X98" s="297"/>
      <c r="Y98" s="297"/>
      <c r="Z98" s="297"/>
      <c r="AA98" s="298"/>
      <c r="AB98" s="139"/>
      <c r="AC98" s="281" t="s">
        <v>262</v>
      </c>
      <c r="AD98" s="282"/>
      <c r="AE98" s="282"/>
      <c r="AF98" s="155">
        <v>8.6805555555555552E-2</v>
      </c>
      <c r="AG98" s="187" t="s">
        <v>202</v>
      </c>
      <c r="AI98" s="156"/>
      <c r="AJ98" s="154" t="s">
        <v>363</v>
      </c>
      <c r="AP98" s="154" t="s">
        <v>13</v>
      </c>
    </row>
    <row r="99" spans="1:109" s="154" customFormat="1" ht="15" customHeight="1">
      <c r="A99" s="153"/>
      <c r="B99" s="283">
        <f t="shared" si="20"/>
        <v>0.3888888888888889</v>
      </c>
      <c r="C99" s="284"/>
      <c r="D99" s="285"/>
      <c r="E99" s="286"/>
      <c r="F99" s="284"/>
      <c r="G99" s="287"/>
      <c r="H99" s="288" t="str">
        <f t="shared" si="19"/>
        <v/>
      </c>
      <c r="I99" s="289"/>
      <c r="J99" s="290" t="s">
        <v>264</v>
      </c>
      <c r="K99" s="291"/>
      <c r="L99" s="291"/>
      <c r="M99" s="291"/>
      <c r="N99" s="291"/>
      <c r="O99" s="291"/>
      <c r="P99" s="291"/>
      <c r="Q99" s="291"/>
      <c r="R99" s="291"/>
      <c r="S99" s="137"/>
      <c r="T99" s="292"/>
      <c r="U99" s="297"/>
      <c r="V99" s="297"/>
      <c r="W99" s="297"/>
      <c r="X99" s="297"/>
      <c r="Y99" s="297"/>
      <c r="Z99" s="297"/>
      <c r="AA99" s="298"/>
      <c r="AB99" s="153"/>
      <c r="AC99" s="281" t="s">
        <v>262</v>
      </c>
      <c r="AD99" s="282"/>
      <c r="AE99" s="282"/>
      <c r="AF99" s="155">
        <v>7.9861111111111105E-2</v>
      </c>
      <c r="AG99" s="187" t="s">
        <v>202</v>
      </c>
      <c r="AI99" s="156"/>
    </row>
    <row r="100" spans="1:109" s="154" customFormat="1" ht="15" customHeight="1">
      <c r="A100" s="153"/>
      <c r="B100" s="283">
        <f t="shared" si="20"/>
        <v>0.39583333333333331</v>
      </c>
      <c r="C100" s="284"/>
      <c r="D100" s="285"/>
      <c r="E100" s="286"/>
      <c r="F100" s="284"/>
      <c r="G100" s="287"/>
      <c r="H100" s="288" t="str">
        <f t="shared" si="19"/>
        <v/>
      </c>
      <c r="I100" s="289"/>
      <c r="J100" s="307" t="s">
        <v>301</v>
      </c>
      <c r="K100" s="308"/>
      <c r="L100" s="308"/>
      <c r="M100" s="308"/>
      <c r="N100" s="308"/>
      <c r="O100" s="308"/>
      <c r="P100" s="308"/>
      <c r="Q100" s="308"/>
      <c r="R100" s="308"/>
      <c r="S100" s="138" t="s">
        <v>266</v>
      </c>
      <c r="T100" s="370" t="s">
        <v>267</v>
      </c>
      <c r="U100" s="371"/>
      <c r="V100" s="371"/>
      <c r="W100" s="371"/>
      <c r="X100" s="371"/>
      <c r="Y100" s="371"/>
      <c r="Z100" s="371"/>
      <c r="AA100" s="372"/>
      <c r="AB100" s="139"/>
      <c r="AC100" s="281" t="s">
        <v>262</v>
      </c>
      <c r="AD100" s="282"/>
      <c r="AE100" s="282"/>
      <c r="AF100" s="155">
        <v>7.2916666666666671E-2</v>
      </c>
      <c r="AG100" s="187" t="s">
        <v>202</v>
      </c>
      <c r="AH100" s="141"/>
      <c r="AI100" s="156"/>
      <c r="AQ100" s="154" t="s">
        <v>13</v>
      </c>
    </row>
    <row r="101" spans="1:109" s="154" customFormat="1" ht="15" customHeight="1">
      <c r="A101" s="153"/>
      <c r="B101" s="283">
        <f t="shared" si="20"/>
        <v>0.3888888888888889</v>
      </c>
      <c r="C101" s="284"/>
      <c r="D101" s="285"/>
      <c r="E101" s="286">
        <v>0.3923611111111111</v>
      </c>
      <c r="F101" s="284"/>
      <c r="G101" s="287"/>
      <c r="H101" s="288">
        <f t="shared" si="19"/>
        <v>3.4722222222222099E-3</v>
      </c>
      <c r="I101" s="289"/>
      <c r="J101" s="290" t="s">
        <v>343</v>
      </c>
      <c r="K101" s="291"/>
      <c r="L101" s="291"/>
      <c r="M101" s="291"/>
      <c r="N101" s="291"/>
      <c r="O101" s="291"/>
      <c r="P101" s="291"/>
      <c r="Q101" s="291"/>
      <c r="R101" s="295"/>
      <c r="S101" s="137"/>
      <c r="T101" s="292"/>
      <c r="U101" s="293"/>
      <c r="V101" s="293"/>
      <c r="W101" s="293"/>
      <c r="X101" s="293"/>
      <c r="Y101" s="293"/>
      <c r="Z101" s="293"/>
      <c r="AA101" s="294"/>
      <c r="AB101" s="153"/>
      <c r="AC101" s="281" t="s">
        <v>262</v>
      </c>
      <c r="AD101" s="282"/>
      <c r="AE101" s="282"/>
      <c r="AF101" s="155">
        <v>7.9861111111111105E-2</v>
      </c>
      <c r="AG101" s="187" t="s">
        <v>202</v>
      </c>
      <c r="AI101" s="156"/>
    </row>
    <row r="102" spans="1:109" s="154" customFormat="1" ht="15" customHeight="1">
      <c r="A102" s="153"/>
      <c r="B102" s="283">
        <f t="shared" si="20"/>
        <v>0.39930555555555558</v>
      </c>
      <c r="C102" s="284"/>
      <c r="D102" s="285"/>
      <c r="E102" s="286"/>
      <c r="F102" s="284"/>
      <c r="G102" s="287"/>
      <c r="H102" s="288" t="str">
        <f t="shared" si="19"/>
        <v/>
      </c>
      <c r="I102" s="289"/>
      <c r="J102" s="290" t="s">
        <v>302</v>
      </c>
      <c r="K102" s="291"/>
      <c r="L102" s="291"/>
      <c r="M102" s="291"/>
      <c r="N102" s="291"/>
      <c r="O102" s="291"/>
      <c r="P102" s="291"/>
      <c r="Q102" s="291"/>
      <c r="R102" s="291"/>
      <c r="S102" s="137"/>
      <c r="T102" s="292"/>
      <c r="U102" s="293"/>
      <c r="V102" s="293"/>
      <c r="W102" s="293"/>
      <c r="X102" s="293"/>
      <c r="Y102" s="293"/>
      <c r="Z102" s="293"/>
      <c r="AA102" s="294"/>
      <c r="AB102" s="153"/>
      <c r="AC102" s="281" t="s">
        <v>262</v>
      </c>
      <c r="AD102" s="282"/>
      <c r="AE102" s="282"/>
      <c r="AF102" s="155">
        <v>6.9444444444444434E-2</v>
      </c>
      <c r="AG102" s="187" t="s">
        <v>202</v>
      </c>
      <c r="AI102" s="156"/>
    </row>
    <row r="103" spans="1:109" ht="15" customHeight="1">
      <c r="A103" s="139"/>
      <c r="B103" s="283">
        <v>0.43055555555555558</v>
      </c>
      <c r="C103" s="284"/>
      <c r="D103" s="285"/>
      <c r="E103" s="286"/>
      <c r="F103" s="284"/>
      <c r="G103" s="287"/>
      <c r="H103" s="288" t="str">
        <f t="shared" ref="H103" si="21">IF(E103="","",IF(E103-B103&lt;0,"24:00"-(B103-E103),E103-B103))</f>
        <v/>
      </c>
      <c r="I103" s="289"/>
      <c r="J103" s="290" t="s">
        <v>354</v>
      </c>
      <c r="K103" s="291"/>
      <c r="L103" s="291"/>
      <c r="M103" s="291"/>
      <c r="N103" s="291"/>
      <c r="O103" s="291"/>
      <c r="P103" s="291"/>
      <c r="Q103" s="291"/>
      <c r="R103" s="291"/>
      <c r="S103" s="137"/>
      <c r="T103" s="292"/>
      <c r="U103" s="293"/>
      <c r="V103" s="293"/>
      <c r="W103" s="293"/>
      <c r="X103" s="293"/>
      <c r="Y103" s="293"/>
      <c r="Z103" s="293"/>
      <c r="AA103" s="294"/>
      <c r="AB103" s="153"/>
      <c r="AC103" s="281" t="s">
        <v>262</v>
      </c>
      <c r="AD103" s="282"/>
      <c r="AE103" s="282"/>
      <c r="AF103" s="155">
        <v>4.1666666666666664E-2</v>
      </c>
      <c r="AG103" s="187" t="s">
        <v>202</v>
      </c>
    </row>
    <row r="104" spans="1:109" s="154" customFormat="1" ht="15" customHeight="1">
      <c r="A104" s="153"/>
      <c r="B104" s="283">
        <f t="shared" si="20"/>
        <v>0.43402777777777779</v>
      </c>
      <c r="C104" s="284"/>
      <c r="D104" s="285"/>
      <c r="E104" s="286"/>
      <c r="F104" s="284"/>
      <c r="G104" s="287"/>
      <c r="H104" s="288" t="str">
        <f t="shared" si="19"/>
        <v/>
      </c>
      <c r="I104" s="289"/>
      <c r="J104" s="290" t="s">
        <v>303</v>
      </c>
      <c r="K104" s="291"/>
      <c r="L104" s="291"/>
      <c r="M104" s="291"/>
      <c r="N104" s="291"/>
      <c r="O104" s="291"/>
      <c r="P104" s="291"/>
      <c r="Q104" s="291"/>
      <c r="R104" s="291"/>
      <c r="S104" s="137"/>
      <c r="T104" s="292"/>
      <c r="U104" s="293"/>
      <c r="V104" s="293"/>
      <c r="W104" s="293"/>
      <c r="X104" s="293"/>
      <c r="Y104" s="293"/>
      <c r="Z104" s="293"/>
      <c r="AA104" s="294"/>
      <c r="AB104" s="153"/>
      <c r="AC104" s="281" t="s">
        <v>262</v>
      </c>
      <c r="AD104" s="282"/>
      <c r="AE104" s="282"/>
      <c r="AF104" s="155">
        <v>3.4722222222222224E-2</v>
      </c>
      <c r="AG104" s="187" t="s">
        <v>202</v>
      </c>
      <c r="AI104" s="156"/>
      <c r="AO104" s="154" t="s">
        <v>13</v>
      </c>
    </row>
    <row r="105" spans="1:109" ht="15" customHeight="1">
      <c r="A105" s="139"/>
      <c r="B105" s="283">
        <v>0.4375</v>
      </c>
      <c r="C105" s="284"/>
      <c r="D105" s="285"/>
      <c r="E105" s="286"/>
      <c r="F105" s="284"/>
      <c r="G105" s="287"/>
      <c r="H105" s="288" t="str">
        <f t="shared" si="19"/>
        <v/>
      </c>
      <c r="I105" s="289"/>
      <c r="J105" s="290" t="s">
        <v>276</v>
      </c>
      <c r="K105" s="291"/>
      <c r="L105" s="291"/>
      <c r="M105" s="291"/>
      <c r="N105" s="291"/>
      <c r="O105" s="291"/>
      <c r="P105" s="291"/>
      <c r="Q105" s="291"/>
      <c r="R105" s="291"/>
      <c r="S105" s="137"/>
      <c r="T105" s="296"/>
      <c r="U105" s="297"/>
      <c r="V105" s="297"/>
      <c r="W105" s="297"/>
      <c r="X105" s="297"/>
      <c r="Y105" s="297"/>
      <c r="Z105" s="297"/>
      <c r="AA105" s="298"/>
      <c r="AC105" s="281" t="s">
        <v>262</v>
      </c>
      <c r="AD105" s="282"/>
      <c r="AE105" s="282"/>
      <c r="AF105" s="155">
        <v>2.4305555555555556E-2</v>
      </c>
      <c r="AG105" s="187" t="s">
        <v>202</v>
      </c>
      <c r="AH105" s="154"/>
    </row>
    <row r="106" spans="1:109" s="154" customFormat="1" ht="15" customHeight="1">
      <c r="A106" s="153"/>
      <c r="B106" s="283">
        <v>0.44097222222222221</v>
      </c>
      <c r="C106" s="284"/>
      <c r="D106" s="285"/>
      <c r="E106" s="286"/>
      <c r="F106" s="284"/>
      <c r="G106" s="287"/>
      <c r="H106" s="288" t="str">
        <f t="shared" si="19"/>
        <v/>
      </c>
      <c r="I106" s="289"/>
      <c r="J106" s="290" t="s">
        <v>277</v>
      </c>
      <c r="K106" s="291"/>
      <c r="L106" s="291"/>
      <c r="M106" s="291"/>
      <c r="N106" s="291"/>
      <c r="O106" s="291"/>
      <c r="P106" s="291"/>
      <c r="Q106" s="291"/>
      <c r="R106" s="291"/>
      <c r="S106" s="137"/>
      <c r="T106" s="296"/>
      <c r="U106" s="297"/>
      <c r="V106" s="297"/>
      <c r="W106" s="297"/>
      <c r="X106" s="297"/>
      <c r="Y106" s="297"/>
      <c r="Z106" s="297"/>
      <c r="AA106" s="298"/>
      <c r="AB106" s="139"/>
      <c r="AC106" s="281" t="s">
        <v>262</v>
      </c>
      <c r="AD106" s="282"/>
      <c r="AE106" s="282"/>
      <c r="AF106" s="155">
        <v>2.0833333333333332E-2</v>
      </c>
      <c r="AG106" s="187" t="s">
        <v>202</v>
      </c>
      <c r="AI106" s="156"/>
    </row>
    <row r="107" spans="1:109" s="154" customFormat="1" ht="15" customHeight="1">
      <c r="A107" s="153"/>
      <c r="B107" s="283">
        <v>0.44444444444444442</v>
      </c>
      <c r="C107" s="284"/>
      <c r="D107" s="285"/>
      <c r="E107" s="286"/>
      <c r="F107" s="284"/>
      <c r="G107" s="287"/>
      <c r="H107" s="288" t="str">
        <f t="shared" si="19"/>
        <v/>
      </c>
      <c r="I107" s="289"/>
      <c r="J107" s="290" t="s">
        <v>286</v>
      </c>
      <c r="K107" s="291"/>
      <c r="L107" s="291"/>
      <c r="M107" s="291"/>
      <c r="N107" s="291"/>
      <c r="O107" s="291"/>
      <c r="P107" s="291"/>
      <c r="Q107" s="291"/>
      <c r="R107" s="291"/>
      <c r="S107" s="137"/>
      <c r="T107" s="292"/>
      <c r="U107" s="293"/>
      <c r="V107" s="293"/>
      <c r="W107" s="293"/>
      <c r="X107" s="293"/>
      <c r="Y107" s="293"/>
      <c r="Z107" s="293"/>
      <c r="AA107" s="294"/>
      <c r="AB107" s="153"/>
      <c r="AC107" s="281" t="s">
        <v>262</v>
      </c>
      <c r="AD107" s="282"/>
      <c r="AE107" s="282"/>
      <c r="AF107" s="155">
        <v>1.7361111111111112E-2</v>
      </c>
      <c r="AG107" s="187" t="s">
        <v>202</v>
      </c>
      <c r="AI107" s="156"/>
    </row>
    <row r="108" spans="1:109" s="154" customFormat="1" ht="15" customHeight="1">
      <c r="A108" s="153"/>
      <c r="B108" s="283">
        <f>$B$109-AF108</f>
        <v>0.45833333333333331</v>
      </c>
      <c r="C108" s="284"/>
      <c r="D108" s="285"/>
      <c r="E108" s="286">
        <v>0.46180555555555558</v>
      </c>
      <c r="F108" s="284"/>
      <c r="G108" s="287"/>
      <c r="H108" s="288">
        <f t="shared" si="19"/>
        <v>3.4722222222222654E-3</v>
      </c>
      <c r="I108" s="289"/>
      <c r="J108" s="290" t="s">
        <v>304</v>
      </c>
      <c r="K108" s="291"/>
      <c r="L108" s="291"/>
      <c r="M108" s="291"/>
      <c r="N108" s="291"/>
      <c r="O108" s="291"/>
      <c r="P108" s="291"/>
      <c r="Q108" s="291"/>
      <c r="R108" s="291"/>
      <c r="S108" s="137"/>
      <c r="T108" s="292"/>
      <c r="U108" s="293"/>
      <c r="V108" s="293"/>
      <c r="W108" s="293"/>
      <c r="X108" s="293"/>
      <c r="Y108" s="293"/>
      <c r="Z108" s="293"/>
      <c r="AA108" s="294"/>
      <c r="AB108" s="153"/>
      <c r="AC108" s="281" t="s">
        <v>262</v>
      </c>
      <c r="AD108" s="282"/>
      <c r="AE108" s="282"/>
      <c r="AF108" s="155">
        <v>1.0416666666666666E-2</v>
      </c>
      <c r="AG108" s="187" t="s">
        <v>202</v>
      </c>
      <c r="AI108" s="156"/>
      <c r="AP108" s="154" t="s">
        <v>13</v>
      </c>
      <c r="AR108" s="154" t="s">
        <v>13</v>
      </c>
    </row>
    <row r="109" spans="1:109" s="154" customFormat="1" ht="15" customHeight="1">
      <c r="A109" s="153"/>
      <c r="B109" s="283">
        <v>0.46875</v>
      </c>
      <c r="C109" s="284"/>
      <c r="D109" s="285"/>
      <c r="E109" s="286">
        <v>0.5</v>
      </c>
      <c r="F109" s="284"/>
      <c r="G109" s="287"/>
      <c r="H109" s="288">
        <f t="shared" si="19"/>
        <v>3.125E-2</v>
      </c>
      <c r="I109" s="289"/>
      <c r="J109" s="290" t="s">
        <v>364</v>
      </c>
      <c r="K109" s="291"/>
      <c r="L109" s="291"/>
      <c r="M109" s="291"/>
      <c r="N109" s="291"/>
      <c r="O109" s="291"/>
      <c r="P109" s="291"/>
      <c r="Q109" s="291"/>
      <c r="R109" s="291"/>
      <c r="S109" s="137"/>
      <c r="T109" s="296"/>
      <c r="U109" s="297"/>
      <c r="V109" s="297"/>
      <c r="W109" s="297"/>
      <c r="X109" s="297"/>
      <c r="Y109" s="297"/>
      <c r="Z109" s="297"/>
      <c r="AA109" s="298"/>
      <c r="AB109" s="139"/>
      <c r="AC109" s="140"/>
      <c r="AD109" s="140"/>
      <c r="AE109" s="140"/>
      <c r="AF109" s="155"/>
      <c r="AG109" s="187" t="s">
        <v>202</v>
      </c>
      <c r="AH109" s="139"/>
      <c r="AI109" s="156"/>
    </row>
    <row r="110" spans="1:109" s="139" customFormat="1" ht="15" customHeight="1">
      <c r="B110" s="283">
        <v>0.47916666666666669</v>
      </c>
      <c r="C110" s="284"/>
      <c r="D110" s="285"/>
      <c r="E110" s="286">
        <v>0.5625</v>
      </c>
      <c r="F110" s="284"/>
      <c r="G110" s="287"/>
      <c r="H110" s="288">
        <f t="shared" si="19"/>
        <v>8.3333333333333315E-2</v>
      </c>
      <c r="I110" s="289"/>
      <c r="J110" s="290" t="s">
        <v>221</v>
      </c>
      <c r="K110" s="291"/>
      <c r="L110" s="291"/>
      <c r="M110" s="291"/>
      <c r="N110" s="291"/>
      <c r="O110" s="291"/>
      <c r="P110" s="291"/>
      <c r="Q110" s="291"/>
      <c r="R110" s="291"/>
      <c r="S110" s="137" t="s">
        <v>226</v>
      </c>
      <c r="T110" s="292"/>
      <c r="U110" s="297"/>
      <c r="V110" s="297"/>
      <c r="W110" s="297"/>
      <c r="X110" s="297"/>
      <c r="Y110" s="297"/>
      <c r="Z110" s="297"/>
      <c r="AA110" s="298"/>
      <c r="AC110" s="140"/>
      <c r="AD110" s="140"/>
      <c r="AE110" s="140"/>
      <c r="AF110" s="155"/>
      <c r="AG110" s="187" t="s">
        <v>202</v>
      </c>
      <c r="AH110" s="154"/>
      <c r="AI110" s="143"/>
      <c r="AJ110" s="140"/>
      <c r="AK110" s="140"/>
      <c r="AL110" s="140"/>
      <c r="AM110" s="140"/>
      <c r="AN110" s="140"/>
      <c r="AO110" s="140"/>
      <c r="AP110" s="140"/>
      <c r="AQ110" s="140"/>
      <c r="AR110" s="140"/>
      <c r="AS110" s="140"/>
      <c r="AT110" s="140"/>
      <c r="AU110" s="140"/>
      <c r="AV110" s="140"/>
      <c r="AW110" s="140"/>
      <c r="AX110" s="140"/>
      <c r="AY110" s="140"/>
      <c r="AZ110" s="140"/>
      <c r="BA110" s="140"/>
      <c r="BB110" s="140"/>
      <c r="BC110" s="140"/>
      <c r="BD110" s="140"/>
      <c r="BE110" s="140"/>
      <c r="BF110" s="140"/>
      <c r="BG110" s="140"/>
      <c r="BH110" s="140"/>
      <c r="BI110" s="140"/>
      <c r="BJ110" s="140"/>
      <c r="BK110" s="140"/>
      <c r="BL110" s="140"/>
      <c r="BM110" s="140"/>
      <c r="BN110" s="140"/>
      <c r="BO110" s="140"/>
      <c r="BP110" s="140"/>
      <c r="BQ110" s="140"/>
      <c r="BR110" s="140"/>
      <c r="BS110" s="140"/>
      <c r="BT110" s="140"/>
      <c r="BU110" s="140"/>
      <c r="BV110" s="140"/>
      <c r="BW110" s="140"/>
      <c r="BX110" s="140"/>
      <c r="BY110" s="140"/>
      <c r="BZ110" s="140"/>
      <c r="CA110" s="140"/>
      <c r="CB110" s="140"/>
      <c r="CC110" s="140"/>
      <c r="CD110" s="140"/>
      <c r="CE110" s="140"/>
      <c r="CF110" s="140"/>
      <c r="CG110" s="140"/>
      <c r="CH110" s="140"/>
      <c r="CI110" s="140"/>
      <c r="CJ110" s="140"/>
      <c r="CK110" s="140"/>
      <c r="CL110" s="140"/>
      <c r="CM110" s="140"/>
      <c r="CN110" s="140"/>
      <c r="CO110" s="140"/>
      <c r="CP110" s="140"/>
      <c r="CQ110" s="140"/>
      <c r="CR110" s="140"/>
      <c r="CS110" s="140"/>
      <c r="CT110" s="140"/>
      <c r="CU110" s="140"/>
      <c r="CV110" s="140"/>
      <c r="CW110" s="140"/>
      <c r="CX110" s="140"/>
      <c r="CY110" s="140"/>
      <c r="CZ110" s="140"/>
      <c r="DA110" s="140"/>
      <c r="DB110" s="140"/>
      <c r="DC110" s="140"/>
      <c r="DD110" s="140"/>
      <c r="DE110" s="140"/>
    </row>
    <row r="111" spans="1:109" ht="15" customHeight="1">
      <c r="A111" s="139"/>
      <c r="B111" s="283">
        <v>0.52083333333333337</v>
      </c>
      <c r="C111" s="284"/>
      <c r="D111" s="285"/>
      <c r="E111" s="286"/>
      <c r="F111" s="284"/>
      <c r="G111" s="287"/>
      <c r="H111" s="288" t="str">
        <f t="shared" si="19"/>
        <v/>
      </c>
      <c r="I111" s="289"/>
      <c r="J111" s="290" t="s">
        <v>307</v>
      </c>
      <c r="K111" s="291"/>
      <c r="L111" s="291"/>
      <c r="M111" s="291"/>
      <c r="N111" s="291"/>
      <c r="O111" s="291"/>
      <c r="P111" s="291"/>
      <c r="Q111" s="291"/>
      <c r="R111" s="291"/>
      <c r="S111" s="138" t="s">
        <v>266</v>
      </c>
      <c r="T111" s="370" t="s">
        <v>267</v>
      </c>
      <c r="U111" s="1040"/>
      <c r="V111" s="1040"/>
      <c r="W111" s="1040"/>
      <c r="X111" s="1040"/>
      <c r="Y111" s="1040"/>
      <c r="Z111" s="1040"/>
      <c r="AA111" s="1041"/>
      <c r="AF111" s="155"/>
      <c r="AG111" s="187" t="s">
        <v>202</v>
      </c>
    </row>
    <row r="112" spans="1:109" ht="15" customHeight="1">
      <c r="A112" s="139"/>
      <c r="B112" s="283">
        <v>0.54166666666666663</v>
      </c>
      <c r="C112" s="284"/>
      <c r="D112" s="285"/>
      <c r="E112" s="286">
        <v>0.5625</v>
      </c>
      <c r="F112" s="284"/>
      <c r="G112" s="287"/>
      <c r="H112" s="288">
        <f t="shared" ref="H112" si="22">IF(E112="","",IF(E112-B112&lt;0,"24:00"-(B112-E112),E112-B112))</f>
        <v>2.083333333333337E-2</v>
      </c>
      <c r="I112" s="289"/>
      <c r="J112" s="290" t="s">
        <v>365</v>
      </c>
      <c r="K112" s="291"/>
      <c r="L112" s="291"/>
      <c r="M112" s="291"/>
      <c r="N112" s="291"/>
      <c r="O112" s="291"/>
      <c r="P112" s="291"/>
      <c r="Q112" s="291"/>
      <c r="R112" s="291"/>
      <c r="S112" s="137" t="s">
        <v>366</v>
      </c>
      <c r="T112" s="292" t="s">
        <v>367</v>
      </c>
      <c r="U112" s="293"/>
      <c r="V112" s="293"/>
      <c r="W112" s="293"/>
      <c r="X112" s="293"/>
      <c r="Y112" s="293"/>
      <c r="Z112" s="293"/>
      <c r="AA112" s="294"/>
      <c r="AB112" s="153"/>
      <c r="AC112" s="154"/>
      <c r="AD112" s="154"/>
      <c r="AE112" s="154"/>
      <c r="AF112" s="155"/>
      <c r="AG112" s="187"/>
    </row>
    <row r="113" spans="1:109" s="139" customFormat="1" ht="15" customHeight="1">
      <c r="B113" s="283">
        <v>0.51388888888888884</v>
      </c>
      <c r="C113" s="284"/>
      <c r="D113" s="285"/>
      <c r="E113" s="286"/>
      <c r="F113" s="284"/>
      <c r="G113" s="287"/>
      <c r="H113" s="288" t="str">
        <f>IF(E113="","",IF(E113-B113&lt;0,"24:00"-(B113-E113),E113-B113))</f>
        <v/>
      </c>
      <c r="I113" s="289"/>
      <c r="J113" s="290" t="s">
        <v>368</v>
      </c>
      <c r="K113" s="291"/>
      <c r="L113" s="291"/>
      <c r="M113" s="291"/>
      <c r="N113" s="291"/>
      <c r="O113" s="291"/>
      <c r="P113" s="291"/>
      <c r="Q113" s="291"/>
      <c r="R113" s="291"/>
      <c r="T113" s="292" t="s">
        <v>369</v>
      </c>
      <c r="U113" s="293"/>
      <c r="V113" s="293"/>
      <c r="W113" s="293"/>
      <c r="X113" s="293"/>
      <c r="Y113" s="293"/>
      <c r="Z113" s="293"/>
      <c r="AA113" s="294"/>
      <c r="AC113" s="140"/>
      <c r="AD113" s="140"/>
      <c r="AE113" s="140"/>
      <c r="AF113" s="155"/>
      <c r="AG113" s="187" t="s">
        <v>202</v>
      </c>
      <c r="AH113" s="141"/>
      <c r="AI113" s="143"/>
      <c r="AJ113" s="140"/>
      <c r="AK113" s="140"/>
      <c r="AL113" s="140"/>
      <c r="AM113" s="140"/>
      <c r="AN113" s="140"/>
      <c r="AO113" s="140"/>
      <c r="AP113" s="140"/>
      <c r="AQ113" s="140"/>
      <c r="AR113" s="140"/>
      <c r="AS113" s="140"/>
      <c r="AT113" s="140"/>
      <c r="AU113" s="140"/>
      <c r="AV113" s="140"/>
      <c r="AW113" s="140"/>
      <c r="AX113" s="140"/>
      <c r="AY113" s="140"/>
      <c r="AZ113" s="140"/>
      <c r="BA113" s="140"/>
      <c r="BB113" s="140"/>
      <c r="BC113" s="140"/>
      <c r="BD113" s="140"/>
      <c r="BE113" s="140"/>
      <c r="BF113" s="140"/>
      <c r="BG113" s="140"/>
      <c r="BH113" s="140"/>
      <c r="BI113" s="140"/>
      <c r="BJ113" s="140"/>
      <c r="BK113" s="140"/>
      <c r="BL113" s="140"/>
      <c r="BM113" s="140"/>
      <c r="BN113" s="140"/>
      <c r="BO113" s="140"/>
      <c r="BP113" s="140"/>
      <c r="BQ113" s="140"/>
      <c r="BR113" s="140"/>
      <c r="BS113" s="140"/>
      <c r="BT113" s="140"/>
      <c r="BU113" s="140"/>
      <c r="BV113" s="140"/>
      <c r="BW113" s="140"/>
      <c r="BX113" s="140"/>
      <c r="BY113" s="140"/>
      <c r="BZ113" s="140"/>
      <c r="CA113" s="140"/>
      <c r="CB113" s="140"/>
      <c r="CC113" s="140"/>
      <c r="CD113" s="140"/>
      <c r="CE113" s="140"/>
      <c r="CF113" s="140"/>
      <c r="CG113" s="140"/>
      <c r="CH113" s="140"/>
      <c r="CI113" s="140"/>
      <c r="CJ113" s="140"/>
      <c r="CK113" s="140"/>
      <c r="CL113" s="140"/>
      <c r="CM113" s="140"/>
      <c r="CN113" s="140"/>
      <c r="CO113" s="140"/>
      <c r="CP113" s="140"/>
      <c r="CQ113" s="140"/>
      <c r="CR113" s="140"/>
      <c r="CS113" s="140"/>
      <c r="CT113" s="140"/>
      <c r="CU113" s="140"/>
      <c r="CV113" s="140"/>
      <c r="CW113" s="140"/>
      <c r="CX113" s="140"/>
      <c r="CY113" s="140"/>
      <c r="CZ113" s="140"/>
      <c r="DA113" s="140"/>
      <c r="DB113" s="140"/>
      <c r="DC113" s="140"/>
      <c r="DD113" s="140"/>
      <c r="DE113" s="140"/>
    </row>
    <row r="114" spans="1:109" ht="15" customHeight="1">
      <c r="A114" s="139"/>
      <c r="B114" s="283">
        <v>0.64583333333333337</v>
      </c>
      <c r="C114" s="284"/>
      <c r="D114" s="285"/>
      <c r="E114" s="286">
        <v>0.66319444444444442</v>
      </c>
      <c r="F114" s="284"/>
      <c r="G114" s="287"/>
      <c r="H114" s="288">
        <f t="shared" si="19"/>
        <v>1.7361111111111049E-2</v>
      </c>
      <c r="I114" s="289"/>
      <c r="J114" s="290" t="s">
        <v>290</v>
      </c>
      <c r="K114" s="291"/>
      <c r="L114" s="291"/>
      <c r="M114" s="291"/>
      <c r="N114" s="291"/>
      <c r="O114" s="291"/>
      <c r="P114" s="291"/>
      <c r="Q114" s="291"/>
      <c r="R114" s="291"/>
      <c r="S114" s="137" t="s">
        <v>291</v>
      </c>
      <c r="T114" s="292" t="s">
        <v>359</v>
      </c>
      <c r="U114" s="293"/>
      <c r="V114" s="293"/>
      <c r="W114" s="293"/>
      <c r="X114" s="293"/>
      <c r="Y114" s="293"/>
      <c r="Z114" s="293"/>
      <c r="AA114" s="294"/>
      <c r="AB114" s="153"/>
      <c r="AC114" s="154"/>
      <c r="AD114" s="154"/>
      <c r="AE114" s="154"/>
      <c r="AF114" s="155"/>
      <c r="AG114" s="187"/>
    </row>
    <row r="115" spans="1:109" ht="15" customHeight="1">
      <c r="A115" s="139"/>
      <c r="B115" s="309" t="s">
        <v>53</v>
      </c>
      <c r="C115" s="310"/>
      <c r="D115" s="311"/>
      <c r="E115" s="315"/>
      <c r="F115" s="310"/>
      <c r="G115" s="316"/>
      <c r="H115" s="317" t="str">
        <f t="shared" si="19"/>
        <v/>
      </c>
      <c r="I115" s="318"/>
      <c r="J115" s="319" t="s">
        <v>360</v>
      </c>
      <c r="K115" s="320"/>
      <c r="L115" s="320"/>
      <c r="M115" s="320"/>
      <c r="N115" s="320"/>
      <c r="O115" s="320"/>
      <c r="P115" s="320"/>
      <c r="Q115" s="320"/>
      <c r="R115" s="320"/>
      <c r="S115" s="159"/>
      <c r="T115" s="366" t="s">
        <v>362</v>
      </c>
      <c r="U115" s="387"/>
      <c r="V115" s="387"/>
      <c r="W115" s="387"/>
      <c r="X115" s="387"/>
      <c r="Y115" s="387"/>
      <c r="Z115" s="387"/>
      <c r="AA115" s="388"/>
      <c r="AB115" s="153"/>
      <c r="AF115" s="155"/>
      <c r="AG115" s="187" t="s">
        <v>202</v>
      </c>
      <c r="AH115" s="154"/>
    </row>
    <row r="116" spans="1:109" s="154" customFormat="1" ht="15" customHeight="1">
      <c r="A116" s="153"/>
      <c r="B116" s="283" t="s">
        <v>53</v>
      </c>
      <c r="C116" s="284"/>
      <c r="D116" s="285"/>
      <c r="E116" s="286"/>
      <c r="F116" s="284"/>
      <c r="G116" s="287"/>
      <c r="H116" s="288"/>
      <c r="I116" s="289"/>
      <c r="J116" s="290" t="s">
        <v>224</v>
      </c>
      <c r="K116" s="291"/>
      <c r="L116" s="291"/>
      <c r="M116" s="291"/>
      <c r="N116" s="291"/>
      <c r="O116" s="291"/>
      <c r="P116" s="291"/>
      <c r="Q116" s="291"/>
      <c r="R116" s="291"/>
      <c r="S116" s="137"/>
      <c r="T116" s="296"/>
      <c r="U116" s="297"/>
      <c r="V116" s="297"/>
      <c r="W116" s="297"/>
      <c r="X116" s="297"/>
      <c r="Y116" s="297"/>
      <c r="Z116" s="297"/>
      <c r="AA116" s="298"/>
      <c r="AB116" s="153"/>
      <c r="AC116" s="140"/>
      <c r="AD116" s="140"/>
      <c r="AE116" s="140"/>
      <c r="AF116" s="155"/>
      <c r="AG116" s="187"/>
      <c r="AI116" s="156"/>
    </row>
    <row r="117" spans="1:109" s="154" customFormat="1" ht="15" customHeight="1">
      <c r="A117" s="153"/>
      <c r="B117" s="376">
        <v>0.83333333333333337</v>
      </c>
      <c r="C117" s="377"/>
      <c r="D117" s="378"/>
      <c r="E117" s="379"/>
      <c r="F117" s="377"/>
      <c r="G117" s="380"/>
      <c r="H117" s="381" t="str">
        <f t="shared" ref="H117" si="23">IF(E117="","",IF(E117-B117&lt;0,"24:00"-(B117-E117),E117-B117))</f>
        <v/>
      </c>
      <c r="I117" s="382"/>
      <c r="J117" s="427" t="s">
        <v>294</v>
      </c>
      <c r="K117" s="428"/>
      <c r="L117" s="428"/>
      <c r="M117" s="428"/>
      <c r="N117" s="428"/>
      <c r="O117" s="428"/>
      <c r="P117" s="428"/>
      <c r="Q117" s="428"/>
      <c r="R117" s="428"/>
      <c r="S117" s="169"/>
      <c r="T117" s="436"/>
      <c r="U117" s="1053"/>
      <c r="V117" s="1053"/>
      <c r="W117" s="1053"/>
      <c r="X117" s="1053"/>
      <c r="Y117" s="1053"/>
      <c r="Z117" s="1053"/>
      <c r="AA117" s="1054"/>
      <c r="AB117" s="153"/>
      <c r="AC117" s="140"/>
      <c r="AD117" s="140"/>
      <c r="AE117" s="140"/>
      <c r="AF117" s="155"/>
      <c r="AG117" s="187"/>
      <c r="AI117" s="156"/>
      <c r="AQ117" s="158"/>
    </row>
    <row r="118" spans="1:109" s="154" customFormat="1" ht="15" customHeight="1">
      <c r="A118" s="153"/>
      <c r="B118" s="312" t="s">
        <v>212</v>
      </c>
      <c r="C118" s="313"/>
      <c r="D118" s="313"/>
      <c r="E118" s="314"/>
      <c r="F118" s="314"/>
      <c r="G118" s="314"/>
      <c r="H118" s="314"/>
      <c r="I118" s="314"/>
      <c r="J118" s="314" t="s">
        <v>370</v>
      </c>
      <c r="K118" s="314"/>
      <c r="L118" s="314"/>
      <c r="M118" s="314"/>
      <c r="N118" s="314"/>
      <c r="O118" s="314"/>
      <c r="P118" s="314"/>
      <c r="Q118" s="314"/>
      <c r="R118" s="314"/>
      <c r="S118" s="314"/>
      <c r="T118" s="439"/>
      <c r="U118" s="439"/>
      <c r="V118" s="439"/>
      <c r="W118" s="439"/>
      <c r="X118" s="439"/>
      <c r="Y118" s="439"/>
      <c r="Z118" s="439"/>
      <c r="AA118" s="440"/>
      <c r="AB118" s="153"/>
      <c r="AF118" s="155"/>
      <c r="AG118" s="183"/>
      <c r="AI118" s="156"/>
      <c r="AQ118" s="158"/>
    </row>
    <row r="119" spans="1:109" ht="15" customHeight="1">
      <c r="A119" s="139"/>
      <c r="B119" s="301" t="s">
        <v>193</v>
      </c>
      <c r="C119" s="302"/>
      <c r="D119" s="302"/>
      <c r="E119" s="302" t="s">
        <v>194</v>
      </c>
      <c r="F119" s="302"/>
      <c r="G119" s="302"/>
      <c r="H119" s="303" t="s">
        <v>214</v>
      </c>
      <c r="I119" s="304"/>
      <c r="J119" s="305" t="s">
        <v>215</v>
      </c>
      <c r="K119" s="306"/>
      <c r="L119" s="306"/>
      <c r="M119" s="306"/>
      <c r="N119" s="306"/>
      <c r="O119" s="306"/>
      <c r="P119" s="306"/>
      <c r="Q119" s="306"/>
      <c r="R119" s="306"/>
      <c r="S119" s="136" t="s">
        <v>216</v>
      </c>
      <c r="T119" s="419" t="s">
        <v>217</v>
      </c>
      <c r="U119" s="425"/>
      <c r="V119" s="425"/>
      <c r="W119" s="425"/>
      <c r="X119" s="425"/>
      <c r="Y119" s="425"/>
      <c r="Z119" s="425"/>
      <c r="AA119" s="426"/>
      <c r="AC119" s="154"/>
      <c r="AD119" s="154"/>
      <c r="AE119" s="154"/>
      <c r="AF119" s="155"/>
      <c r="AG119" s="189"/>
      <c r="AH119" s="154"/>
      <c r="AQ119" s="144"/>
    </row>
    <row r="120" spans="1:109" s="154" customFormat="1" ht="15" customHeight="1">
      <c r="A120" s="153"/>
      <c r="B120" s="376">
        <v>0.22916666666666666</v>
      </c>
      <c r="C120" s="377"/>
      <c r="D120" s="378"/>
      <c r="E120" s="379"/>
      <c r="F120" s="377"/>
      <c r="G120" s="380"/>
      <c r="H120" s="381" t="str">
        <f t="shared" ref="H120" si="24">IF(E120="","",IF(E120-B120&lt;0,"24:00"-(B120-E120),E120-B120))</f>
        <v/>
      </c>
      <c r="I120" s="382"/>
      <c r="J120" s="427" t="s">
        <v>299</v>
      </c>
      <c r="K120" s="428"/>
      <c r="L120" s="428"/>
      <c r="M120" s="428"/>
      <c r="N120" s="428"/>
      <c r="O120" s="428"/>
      <c r="P120" s="428"/>
      <c r="Q120" s="428"/>
      <c r="R120" s="428"/>
      <c r="S120" s="169"/>
      <c r="T120" s="436"/>
      <c r="U120" s="437"/>
      <c r="V120" s="437"/>
      <c r="W120" s="437"/>
      <c r="X120" s="437"/>
      <c r="Y120" s="437"/>
      <c r="Z120" s="437"/>
      <c r="AA120" s="438"/>
      <c r="AB120" s="139"/>
      <c r="AF120" s="155"/>
      <c r="AG120" s="187"/>
      <c r="AI120" s="156"/>
      <c r="AQ120" s="158"/>
    </row>
    <row r="121" spans="1:109" s="154" customFormat="1" ht="15" customHeight="1">
      <c r="A121" s="153"/>
      <c r="B121" s="339">
        <v>0.20833333333333334</v>
      </c>
      <c r="C121" s="340"/>
      <c r="D121" s="341"/>
      <c r="E121" s="342"/>
      <c r="F121" s="340"/>
      <c r="G121" s="343"/>
      <c r="H121" s="333" t="str">
        <f t="shared" ref="H121" si="25">IF(E121="","",IF(E121-B121&lt;0,"24:00"-(B121-E121),E121-B121))</f>
        <v/>
      </c>
      <c r="I121" s="334"/>
      <c r="J121" s="431" t="s">
        <v>371</v>
      </c>
      <c r="K121" s="432"/>
      <c r="L121" s="432"/>
      <c r="M121" s="432"/>
      <c r="N121" s="432"/>
      <c r="O121" s="432"/>
      <c r="P121" s="432"/>
      <c r="Q121" s="432"/>
      <c r="R121" s="432"/>
      <c r="S121" s="164" t="s">
        <v>297</v>
      </c>
      <c r="T121" s="433" t="s">
        <v>372</v>
      </c>
      <c r="U121" s="434"/>
      <c r="V121" s="434"/>
      <c r="W121" s="434"/>
      <c r="X121" s="434"/>
      <c r="Y121" s="434"/>
      <c r="Z121" s="434"/>
      <c r="AA121" s="435"/>
      <c r="AB121" s="139"/>
      <c r="AF121" s="155"/>
      <c r="AG121" s="187"/>
      <c r="AI121" s="156"/>
      <c r="AQ121" s="158"/>
    </row>
    <row r="122" spans="1:109" s="154" customFormat="1" ht="15" customHeight="1">
      <c r="A122" s="153"/>
      <c r="B122" s="283">
        <v>0.22916666666666666</v>
      </c>
      <c r="C122" s="284"/>
      <c r="D122" s="285"/>
      <c r="E122" s="286"/>
      <c r="F122" s="284"/>
      <c r="G122" s="287"/>
      <c r="H122" s="288" t="str">
        <f t="shared" ref="H122" si="26">IF(E122="","",IF(E122-B122&lt;0,"24:00"-(B122-E122),E122-B122))</f>
        <v/>
      </c>
      <c r="I122" s="289"/>
      <c r="J122" s="290" t="s">
        <v>219</v>
      </c>
      <c r="K122" s="291"/>
      <c r="L122" s="291"/>
      <c r="M122" s="291"/>
      <c r="N122" s="291"/>
      <c r="O122" s="291"/>
      <c r="P122" s="291"/>
      <c r="Q122" s="291"/>
      <c r="R122" s="291"/>
      <c r="S122" s="137"/>
      <c r="T122" s="296"/>
      <c r="U122" s="293"/>
      <c r="V122" s="293"/>
      <c r="W122" s="293"/>
      <c r="X122" s="293"/>
      <c r="Y122" s="293"/>
      <c r="Z122" s="293"/>
      <c r="AA122" s="294"/>
      <c r="AB122" s="153"/>
      <c r="AF122" s="155"/>
      <c r="AG122" s="187"/>
      <c r="AI122" s="156"/>
      <c r="AO122" s="154" t="s">
        <v>13</v>
      </c>
      <c r="AQ122" s="158"/>
    </row>
    <row r="123" spans="1:109" s="154" customFormat="1" ht="15" customHeight="1">
      <c r="A123" s="153"/>
      <c r="B123" s="283">
        <v>0.25</v>
      </c>
      <c r="C123" s="284"/>
      <c r="D123" s="285"/>
      <c r="E123" s="286"/>
      <c r="F123" s="284"/>
      <c r="G123" s="287"/>
      <c r="H123" s="288" t="str">
        <f t="shared" ref="H123:H138" si="27">IF(E123="","",IF(E123-B123&lt;0,"24:00"-(B123-E123),E123-B123))</f>
        <v/>
      </c>
      <c r="I123" s="289"/>
      <c r="J123" s="290" t="s">
        <v>228</v>
      </c>
      <c r="K123" s="291"/>
      <c r="L123" s="291"/>
      <c r="M123" s="291"/>
      <c r="N123" s="291"/>
      <c r="O123" s="291"/>
      <c r="P123" s="291"/>
      <c r="Q123" s="291"/>
      <c r="R123" s="291"/>
      <c r="S123" s="137"/>
      <c r="T123" s="296" t="s">
        <v>261</v>
      </c>
      <c r="U123" s="293"/>
      <c r="V123" s="293"/>
      <c r="W123" s="293"/>
      <c r="X123" s="293"/>
      <c r="Y123" s="293"/>
      <c r="Z123" s="293"/>
      <c r="AA123" s="294"/>
      <c r="AB123" s="153"/>
      <c r="AF123" s="155"/>
      <c r="AG123" s="186"/>
      <c r="AI123" s="156"/>
    </row>
    <row r="124" spans="1:109" s="154" customFormat="1" ht="15" customHeight="1">
      <c r="A124" s="153"/>
      <c r="B124" s="309">
        <v>0.27430555555555558</v>
      </c>
      <c r="C124" s="310"/>
      <c r="D124" s="311"/>
      <c r="E124" s="315"/>
      <c r="F124" s="310"/>
      <c r="G124" s="316"/>
      <c r="H124" s="317" t="str">
        <f t="shared" si="27"/>
        <v/>
      </c>
      <c r="I124" s="318"/>
      <c r="J124" s="319" t="s">
        <v>258</v>
      </c>
      <c r="K124" s="320"/>
      <c r="L124" s="320"/>
      <c r="M124" s="320"/>
      <c r="N124" s="320"/>
      <c r="O124" s="320"/>
      <c r="P124" s="320"/>
      <c r="Q124" s="320"/>
      <c r="R124" s="320"/>
      <c r="S124" s="159"/>
      <c r="T124" s="366" t="s">
        <v>362</v>
      </c>
      <c r="U124" s="367"/>
      <c r="V124" s="367"/>
      <c r="W124" s="367"/>
      <c r="X124" s="367"/>
      <c r="Y124" s="367"/>
      <c r="Z124" s="367"/>
      <c r="AA124" s="368"/>
      <c r="AB124" s="153"/>
      <c r="AF124" s="155"/>
      <c r="AG124" s="187" t="s">
        <v>202</v>
      </c>
      <c r="AI124" s="156"/>
      <c r="AP124" s="154" t="s">
        <v>13</v>
      </c>
      <c r="AQ124" s="154" t="s">
        <v>13</v>
      </c>
      <c r="AR124" s="154" t="s">
        <v>13</v>
      </c>
    </row>
    <row r="125" spans="1:109" s="154" customFormat="1" ht="15" customHeight="1">
      <c r="A125" s="153"/>
      <c r="B125" s="283">
        <f t="shared" ref="B125:B130" si="28">$B$137-AF125</f>
        <v>0.27430555555555558</v>
      </c>
      <c r="C125" s="284"/>
      <c r="D125" s="285"/>
      <c r="E125" s="286">
        <v>0.27777777777777779</v>
      </c>
      <c r="F125" s="284"/>
      <c r="G125" s="287"/>
      <c r="H125" s="288">
        <f t="shared" si="27"/>
        <v>3.4722222222222099E-3</v>
      </c>
      <c r="I125" s="289"/>
      <c r="J125" s="290" t="s">
        <v>341</v>
      </c>
      <c r="K125" s="291"/>
      <c r="L125" s="291"/>
      <c r="M125" s="291"/>
      <c r="N125" s="291"/>
      <c r="O125" s="291"/>
      <c r="P125" s="291"/>
      <c r="Q125" s="291"/>
      <c r="R125" s="291"/>
      <c r="S125" s="137"/>
      <c r="T125" s="292"/>
      <c r="U125" s="293"/>
      <c r="V125" s="293"/>
      <c r="W125" s="293"/>
      <c r="X125" s="293"/>
      <c r="Y125" s="293"/>
      <c r="Z125" s="293"/>
      <c r="AA125" s="294"/>
      <c r="AB125" s="153"/>
      <c r="AC125" s="281" t="s">
        <v>262</v>
      </c>
      <c r="AD125" s="282"/>
      <c r="AE125" s="282"/>
      <c r="AF125" s="155">
        <v>9.375E-2</v>
      </c>
      <c r="AG125" s="187" t="s">
        <v>202</v>
      </c>
      <c r="AI125" s="156"/>
    </row>
    <row r="126" spans="1:109" s="154" customFormat="1" ht="15" customHeight="1">
      <c r="A126" s="153"/>
      <c r="B126" s="283">
        <f t="shared" si="28"/>
        <v>0.28125</v>
      </c>
      <c r="C126" s="284"/>
      <c r="D126" s="285"/>
      <c r="E126" s="286">
        <v>0.28472222222222221</v>
      </c>
      <c r="F126" s="284"/>
      <c r="G126" s="287"/>
      <c r="H126" s="288">
        <f t="shared" si="27"/>
        <v>3.4722222222222099E-3</v>
      </c>
      <c r="I126" s="289"/>
      <c r="J126" s="290" t="s">
        <v>342</v>
      </c>
      <c r="K126" s="291"/>
      <c r="L126" s="291"/>
      <c r="M126" s="291"/>
      <c r="N126" s="291"/>
      <c r="O126" s="291"/>
      <c r="P126" s="291"/>
      <c r="Q126" s="291"/>
      <c r="R126" s="291"/>
      <c r="S126" s="137"/>
      <c r="T126" s="292"/>
      <c r="U126" s="297"/>
      <c r="V126" s="297"/>
      <c r="W126" s="297"/>
      <c r="X126" s="297"/>
      <c r="Y126" s="297"/>
      <c r="Z126" s="297"/>
      <c r="AA126" s="298"/>
      <c r="AB126" s="153"/>
      <c r="AC126" s="281" t="s">
        <v>262</v>
      </c>
      <c r="AD126" s="282"/>
      <c r="AE126" s="282"/>
      <c r="AF126" s="155">
        <v>8.6805555555555552E-2</v>
      </c>
      <c r="AG126" s="187" t="s">
        <v>202</v>
      </c>
      <c r="AI126" s="156"/>
    </row>
    <row r="127" spans="1:109" s="154" customFormat="1">
      <c r="A127" s="153"/>
      <c r="B127" s="283">
        <f t="shared" si="28"/>
        <v>0.28819444444444448</v>
      </c>
      <c r="C127" s="284"/>
      <c r="D127" s="285"/>
      <c r="E127" s="286"/>
      <c r="F127" s="284"/>
      <c r="G127" s="287"/>
      <c r="H127" s="288" t="str">
        <f t="shared" si="27"/>
        <v/>
      </c>
      <c r="I127" s="289"/>
      <c r="J127" s="290" t="s">
        <v>264</v>
      </c>
      <c r="K127" s="291"/>
      <c r="L127" s="291"/>
      <c r="M127" s="291"/>
      <c r="N127" s="291"/>
      <c r="O127" s="291"/>
      <c r="P127" s="291"/>
      <c r="Q127" s="291"/>
      <c r="R127" s="291"/>
      <c r="S127" s="137"/>
      <c r="T127" s="292"/>
      <c r="U127" s="293"/>
      <c r="V127" s="293"/>
      <c r="W127" s="293"/>
      <c r="X127" s="293"/>
      <c r="Y127" s="293"/>
      <c r="Z127" s="293"/>
      <c r="AA127" s="294"/>
      <c r="AB127" s="139"/>
      <c r="AC127" s="281" t="s">
        <v>262</v>
      </c>
      <c r="AD127" s="282"/>
      <c r="AE127" s="282"/>
      <c r="AF127" s="155">
        <v>7.9861111111111105E-2</v>
      </c>
      <c r="AG127" s="187" t="s">
        <v>202</v>
      </c>
      <c r="AI127" s="156"/>
      <c r="AP127" s="154" t="s">
        <v>13</v>
      </c>
    </row>
    <row r="128" spans="1:109" s="154" customFormat="1" ht="15" customHeight="1">
      <c r="A128" s="153"/>
      <c r="B128" s="283">
        <f t="shared" si="28"/>
        <v>0.28819444444444448</v>
      </c>
      <c r="C128" s="284"/>
      <c r="D128" s="285"/>
      <c r="E128" s="286">
        <v>0.29166666666666669</v>
      </c>
      <c r="F128" s="284"/>
      <c r="G128" s="287"/>
      <c r="H128" s="288">
        <f t="shared" si="27"/>
        <v>3.4722222222222099E-3</v>
      </c>
      <c r="I128" s="289"/>
      <c r="J128" s="290" t="s">
        <v>343</v>
      </c>
      <c r="K128" s="291"/>
      <c r="L128" s="291"/>
      <c r="M128" s="291"/>
      <c r="N128" s="291"/>
      <c r="O128" s="291"/>
      <c r="P128" s="291"/>
      <c r="Q128" s="291"/>
      <c r="R128" s="295"/>
      <c r="S128" s="137"/>
      <c r="T128" s="292"/>
      <c r="U128" s="293"/>
      <c r="V128" s="293"/>
      <c r="W128" s="293"/>
      <c r="X128" s="293"/>
      <c r="Y128" s="293"/>
      <c r="Z128" s="293"/>
      <c r="AA128" s="294"/>
      <c r="AB128" s="153"/>
      <c r="AC128" s="281" t="s">
        <v>262</v>
      </c>
      <c r="AD128" s="282"/>
      <c r="AE128" s="282"/>
      <c r="AF128" s="155">
        <v>7.9861111111111105E-2</v>
      </c>
      <c r="AG128" s="187" t="s">
        <v>202</v>
      </c>
      <c r="AI128" s="156"/>
    </row>
    <row r="129" spans="1:109" s="154" customFormat="1" ht="15" customHeight="1">
      <c r="A129" s="153"/>
      <c r="B129" s="283">
        <f t="shared" si="28"/>
        <v>0.2951388888888889</v>
      </c>
      <c r="C129" s="284"/>
      <c r="D129" s="285"/>
      <c r="E129" s="286"/>
      <c r="F129" s="284"/>
      <c r="G129" s="287"/>
      <c r="H129" s="288" t="str">
        <f t="shared" si="27"/>
        <v/>
      </c>
      <c r="I129" s="289"/>
      <c r="J129" s="307" t="s">
        <v>301</v>
      </c>
      <c r="K129" s="308"/>
      <c r="L129" s="308"/>
      <c r="M129" s="308"/>
      <c r="N129" s="308"/>
      <c r="O129" s="308"/>
      <c r="P129" s="308"/>
      <c r="Q129" s="308"/>
      <c r="R129" s="308"/>
      <c r="S129" s="138" t="s">
        <v>266</v>
      </c>
      <c r="T129" s="370" t="s">
        <v>267</v>
      </c>
      <c r="U129" s="371"/>
      <c r="V129" s="371"/>
      <c r="W129" s="371"/>
      <c r="X129" s="371"/>
      <c r="Y129" s="371"/>
      <c r="Z129" s="371"/>
      <c r="AA129" s="372"/>
      <c r="AB129" s="153"/>
      <c r="AC129" s="281" t="s">
        <v>262</v>
      </c>
      <c r="AD129" s="282"/>
      <c r="AE129" s="282"/>
      <c r="AF129" s="155">
        <v>7.2916666666666671E-2</v>
      </c>
      <c r="AG129" s="187" t="s">
        <v>202</v>
      </c>
      <c r="AI129" s="156"/>
    </row>
    <row r="130" spans="1:109" s="154" customFormat="1" ht="15" customHeight="1">
      <c r="A130" s="153"/>
      <c r="B130" s="283">
        <f t="shared" si="28"/>
        <v>0.29861111111111116</v>
      </c>
      <c r="C130" s="284"/>
      <c r="D130" s="285"/>
      <c r="E130" s="286"/>
      <c r="F130" s="284"/>
      <c r="G130" s="287"/>
      <c r="H130" s="288" t="str">
        <f t="shared" si="27"/>
        <v/>
      </c>
      <c r="I130" s="289"/>
      <c r="J130" s="290" t="s">
        <v>302</v>
      </c>
      <c r="K130" s="291"/>
      <c r="L130" s="291"/>
      <c r="M130" s="291"/>
      <c r="N130" s="291"/>
      <c r="O130" s="291"/>
      <c r="P130" s="291"/>
      <c r="Q130" s="291"/>
      <c r="R130" s="291"/>
      <c r="S130" s="137"/>
      <c r="T130" s="296" t="s">
        <v>362</v>
      </c>
      <c r="U130" s="293"/>
      <c r="V130" s="293"/>
      <c r="W130" s="293"/>
      <c r="X130" s="293"/>
      <c r="Y130" s="293"/>
      <c r="Z130" s="293"/>
      <c r="AA130" s="294"/>
      <c r="AB130" s="153"/>
      <c r="AC130" s="281" t="s">
        <v>262</v>
      </c>
      <c r="AD130" s="282"/>
      <c r="AE130" s="282"/>
      <c r="AF130" s="155">
        <v>6.9444444444444434E-2</v>
      </c>
      <c r="AG130" s="187" t="s">
        <v>202</v>
      </c>
      <c r="AI130" s="156"/>
      <c r="AJ130" s="154" t="s">
        <v>13</v>
      </c>
      <c r="AQ130" s="154" t="s">
        <v>13</v>
      </c>
      <c r="AS130" s="154" t="s">
        <v>13</v>
      </c>
    </row>
    <row r="131" spans="1:109" s="154" customFormat="1" ht="15" customHeight="1">
      <c r="A131" s="153"/>
      <c r="B131" s="283">
        <v>0.3298611111111111</v>
      </c>
      <c r="C131" s="284"/>
      <c r="D131" s="285"/>
      <c r="E131" s="286"/>
      <c r="F131" s="284"/>
      <c r="G131" s="287"/>
      <c r="H131" s="288" t="str">
        <f t="shared" ref="H131" si="29">IF(E131="","",IF(E131-B131&lt;0,"24:00"-(B131-E131),E131-B131))</f>
        <v/>
      </c>
      <c r="I131" s="289"/>
      <c r="J131" s="290" t="s">
        <v>354</v>
      </c>
      <c r="K131" s="291"/>
      <c r="L131" s="291"/>
      <c r="M131" s="291"/>
      <c r="N131" s="291"/>
      <c r="O131" s="291"/>
      <c r="P131" s="291"/>
      <c r="Q131" s="291"/>
      <c r="R131" s="291"/>
      <c r="S131" s="137"/>
      <c r="T131" s="292"/>
      <c r="U131" s="297"/>
      <c r="V131" s="297"/>
      <c r="W131" s="297"/>
      <c r="X131" s="297"/>
      <c r="Y131" s="297"/>
      <c r="Z131" s="297"/>
      <c r="AA131" s="298"/>
      <c r="AB131" s="139"/>
      <c r="AC131" s="281" t="s">
        <v>262</v>
      </c>
      <c r="AD131" s="282"/>
      <c r="AE131" s="282"/>
      <c r="AF131" s="155">
        <v>4.1666666666666664E-2</v>
      </c>
      <c r="AG131" s="187" t="s">
        <v>202</v>
      </c>
      <c r="AI131" s="156"/>
    </row>
    <row r="132" spans="1:109" s="154" customFormat="1" ht="15" customHeight="1">
      <c r="A132" s="153"/>
      <c r="B132" s="283">
        <f>$B$137-AF132</f>
        <v>0.33333333333333337</v>
      </c>
      <c r="C132" s="284"/>
      <c r="D132" s="285"/>
      <c r="E132" s="286"/>
      <c r="F132" s="284"/>
      <c r="G132" s="287"/>
      <c r="H132" s="288" t="str">
        <f t="shared" si="27"/>
        <v/>
      </c>
      <c r="I132" s="289"/>
      <c r="J132" s="290" t="s">
        <v>303</v>
      </c>
      <c r="K132" s="291"/>
      <c r="L132" s="291"/>
      <c r="M132" s="291"/>
      <c r="N132" s="291"/>
      <c r="O132" s="291"/>
      <c r="P132" s="291"/>
      <c r="Q132" s="291"/>
      <c r="R132" s="291"/>
      <c r="S132" s="137"/>
      <c r="T132" s="292"/>
      <c r="U132" s="297"/>
      <c r="V132" s="297"/>
      <c r="W132" s="297"/>
      <c r="X132" s="297"/>
      <c r="Y132" s="297"/>
      <c r="Z132" s="297"/>
      <c r="AA132" s="298"/>
      <c r="AB132" s="153"/>
      <c r="AC132" s="281" t="s">
        <v>262</v>
      </c>
      <c r="AD132" s="282"/>
      <c r="AE132" s="282"/>
      <c r="AF132" s="155">
        <v>3.4722222222222224E-2</v>
      </c>
      <c r="AG132" s="187" t="s">
        <v>202</v>
      </c>
      <c r="AI132" s="156"/>
    </row>
    <row r="133" spans="1:109" s="154" customFormat="1" ht="15" customHeight="1">
      <c r="A133" s="153"/>
      <c r="B133" s="283">
        <f>$B$137-AF133</f>
        <v>0.34375</v>
      </c>
      <c r="C133" s="284"/>
      <c r="D133" s="285"/>
      <c r="E133" s="286"/>
      <c r="F133" s="284"/>
      <c r="G133" s="287"/>
      <c r="H133" s="288" t="str">
        <f t="shared" si="27"/>
        <v/>
      </c>
      <c r="I133" s="289"/>
      <c r="J133" s="290" t="s">
        <v>276</v>
      </c>
      <c r="K133" s="291"/>
      <c r="L133" s="291"/>
      <c r="M133" s="291"/>
      <c r="N133" s="291"/>
      <c r="O133" s="291"/>
      <c r="P133" s="291"/>
      <c r="Q133" s="291"/>
      <c r="R133" s="291"/>
      <c r="S133" s="137"/>
      <c r="T133" s="292"/>
      <c r="U133" s="293"/>
      <c r="V133" s="293"/>
      <c r="W133" s="293"/>
      <c r="X133" s="293"/>
      <c r="Y133" s="293"/>
      <c r="Z133" s="293"/>
      <c r="AA133" s="294"/>
      <c r="AB133" s="153"/>
      <c r="AC133" s="281" t="s">
        <v>262</v>
      </c>
      <c r="AD133" s="282"/>
      <c r="AE133" s="282"/>
      <c r="AF133" s="155">
        <v>2.4305555555555556E-2</v>
      </c>
      <c r="AG133" s="187" t="s">
        <v>202</v>
      </c>
      <c r="AI133" s="156"/>
      <c r="AN133" s="154" t="s">
        <v>13</v>
      </c>
    </row>
    <row r="134" spans="1:109" s="154" customFormat="1" ht="15" customHeight="1">
      <c r="A134" s="153"/>
      <c r="B134" s="283">
        <v>0.34027777777777779</v>
      </c>
      <c r="C134" s="284"/>
      <c r="D134" s="285"/>
      <c r="E134" s="286"/>
      <c r="F134" s="284"/>
      <c r="G134" s="287"/>
      <c r="H134" s="288" t="str">
        <f t="shared" si="27"/>
        <v/>
      </c>
      <c r="I134" s="289"/>
      <c r="J134" s="290" t="s">
        <v>277</v>
      </c>
      <c r="K134" s="291"/>
      <c r="L134" s="291"/>
      <c r="M134" s="291"/>
      <c r="N134" s="291"/>
      <c r="O134" s="291"/>
      <c r="P134" s="291"/>
      <c r="Q134" s="291"/>
      <c r="R134" s="291"/>
      <c r="S134" s="137"/>
      <c r="T134" s="292"/>
      <c r="U134" s="293"/>
      <c r="V134" s="293"/>
      <c r="W134" s="293"/>
      <c r="X134" s="293"/>
      <c r="Y134" s="293"/>
      <c r="Z134" s="293"/>
      <c r="AA134" s="294"/>
      <c r="AB134" s="139"/>
      <c r="AC134" s="281" t="s">
        <v>262</v>
      </c>
      <c r="AD134" s="282"/>
      <c r="AE134" s="282"/>
      <c r="AF134" s="155">
        <v>2.0833333333333332E-2</v>
      </c>
      <c r="AG134" s="187" t="s">
        <v>202</v>
      </c>
      <c r="AI134" s="156"/>
    </row>
    <row r="135" spans="1:109" s="154" customFormat="1" ht="15" customHeight="1">
      <c r="A135" s="153"/>
      <c r="B135" s="283">
        <v>0.34375</v>
      </c>
      <c r="C135" s="284"/>
      <c r="D135" s="285"/>
      <c r="E135" s="286"/>
      <c r="F135" s="284"/>
      <c r="G135" s="287"/>
      <c r="H135" s="288" t="str">
        <f t="shared" si="27"/>
        <v/>
      </c>
      <c r="I135" s="289"/>
      <c r="J135" s="290" t="s">
        <v>286</v>
      </c>
      <c r="K135" s="291"/>
      <c r="L135" s="291"/>
      <c r="M135" s="291"/>
      <c r="N135" s="291"/>
      <c r="O135" s="291"/>
      <c r="P135" s="291"/>
      <c r="Q135" s="291"/>
      <c r="R135" s="291"/>
      <c r="S135" s="137" t="s">
        <v>13</v>
      </c>
      <c r="T135" s="296"/>
      <c r="U135" s="297"/>
      <c r="V135" s="297"/>
      <c r="W135" s="297"/>
      <c r="X135" s="297"/>
      <c r="Y135" s="297"/>
      <c r="Z135" s="297"/>
      <c r="AA135" s="298"/>
      <c r="AB135" s="153"/>
      <c r="AC135" s="281" t="s">
        <v>262</v>
      </c>
      <c r="AD135" s="282"/>
      <c r="AE135" s="282"/>
      <c r="AF135" s="155">
        <v>1.7361111111111112E-2</v>
      </c>
      <c r="AG135" s="187" t="s">
        <v>202</v>
      </c>
      <c r="AI135" s="156"/>
    </row>
    <row r="136" spans="1:109" s="154" customFormat="1" ht="15" customHeight="1">
      <c r="A136" s="153"/>
      <c r="B136" s="283">
        <f>$B$137-AF136</f>
        <v>0.3576388888888889</v>
      </c>
      <c r="C136" s="284"/>
      <c r="D136" s="285"/>
      <c r="E136" s="286">
        <v>0.3611111111111111</v>
      </c>
      <c r="F136" s="284"/>
      <c r="G136" s="287"/>
      <c r="H136" s="288">
        <f t="shared" si="27"/>
        <v>3.4722222222222099E-3</v>
      </c>
      <c r="I136" s="289"/>
      <c r="J136" s="290" t="s">
        <v>304</v>
      </c>
      <c r="K136" s="291"/>
      <c r="L136" s="291"/>
      <c r="M136" s="291"/>
      <c r="N136" s="291"/>
      <c r="O136" s="291"/>
      <c r="P136" s="291"/>
      <c r="Q136" s="291"/>
      <c r="R136" s="291"/>
      <c r="S136" s="137"/>
      <c r="T136" s="292"/>
      <c r="U136" s="293"/>
      <c r="V136" s="293"/>
      <c r="W136" s="293"/>
      <c r="X136" s="293"/>
      <c r="Y136" s="293"/>
      <c r="Z136" s="293"/>
      <c r="AA136" s="294"/>
      <c r="AB136" s="139"/>
      <c r="AC136" s="281" t="s">
        <v>262</v>
      </c>
      <c r="AD136" s="282"/>
      <c r="AE136" s="282"/>
      <c r="AF136" s="155">
        <v>1.0416666666666666E-2</v>
      </c>
      <c r="AG136" s="187" t="s">
        <v>202</v>
      </c>
      <c r="AH136" s="139"/>
      <c r="AI136" s="156"/>
      <c r="AQ136" s="154" t="s">
        <v>13</v>
      </c>
    </row>
    <row r="137" spans="1:109" s="154" customFormat="1" ht="15" customHeight="1">
      <c r="A137" s="153"/>
      <c r="B137" s="283">
        <v>0.36805555555555558</v>
      </c>
      <c r="C137" s="284"/>
      <c r="D137" s="285"/>
      <c r="E137" s="286">
        <v>0.40277777777777779</v>
      </c>
      <c r="F137" s="284"/>
      <c r="G137" s="287"/>
      <c r="H137" s="288">
        <f t="shared" si="27"/>
        <v>3.472222222222221E-2</v>
      </c>
      <c r="I137" s="289"/>
      <c r="J137" s="290" t="s">
        <v>373</v>
      </c>
      <c r="K137" s="291"/>
      <c r="L137" s="291"/>
      <c r="M137" s="291"/>
      <c r="N137" s="291"/>
      <c r="O137" s="291"/>
      <c r="P137" s="291"/>
      <c r="Q137" s="291"/>
      <c r="R137" s="291"/>
      <c r="S137" s="137"/>
      <c r="T137" s="296"/>
      <c r="U137" s="297"/>
      <c r="V137" s="297"/>
      <c r="W137" s="297"/>
      <c r="X137" s="297"/>
      <c r="Y137" s="297"/>
      <c r="Z137" s="297"/>
      <c r="AA137" s="298"/>
      <c r="AB137" s="139"/>
      <c r="AC137" s="140"/>
      <c r="AD137" s="140"/>
      <c r="AE137" s="140"/>
      <c r="AF137" s="155"/>
      <c r="AG137" s="187" t="s">
        <v>202</v>
      </c>
      <c r="AH137" s="141"/>
      <c r="AI137" s="156"/>
    </row>
    <row r="138" spans="1:109" s="139" customFormat="1" ht="15" customHeight="1">
      <c r="B138" s="283">
        <v>0.41666666666666669</v>
      </c>
      <c r="C138" s="284"/>
      <c r="D138" s="285"/>
      <c r="E138" s="286"/>
      <c r="F138" s="284"/>
      <c r="G138" s="287"/>
      <c r="H138" s="288" t="str">
        <f t="shared" si="27"/>
        <v/>
      </c>
      <c r="I138" s="289"/>
      <c r="J138" s="290" t="s">
        <v>307</v>
      </c>
      <c r="K138" s="291"/>
      <c r="L138" s="291"/>
      <c r="M138" s="291"/>
      <c r="N138" s="291"/>
      <c r="O138" s="291"/>
      <c r="P138" s="291"/>
      <c r="Q138" s="291"/>
      <c r="R138" s="291"/>
      <c r="S138" s="138" t="s">
        <v>266</v>
      </c>
      <c r="T138" s="370" t="s">
        <v>267</v>
      </c>
      <c r="U138" s="1040"/>
      <c r="V138" s="1040"/>
      <c r="W138" s="1040"/>
      <c r="X138" s="1040"/>
      <c r="Y138" s="1040"/>
      <c r="Z138" s="1040"/>
      <c r="AA138" s="1041"/>
      <c r="AC138" s="140"/>
      <c r="AD138" s="140"/>
      <c r="AE138" s="140"/>
      <c r="AF138" s="155"/>
      <c r="AG138" s="187" t="s">
        <v>202</v>
      </c>
      <c r="AH138" s="141"/>
      <c r="AI138" s="143"/>
      <c r="AJ138" s="140"/>
      <c r="AK138" s="140"/>
      <c r="AL138" s="140"/>
      <c r="AM138" s="140"/>
      <c r="AN138" s="140"/>
      <c r="AO138" s="140"/>
      <c r="AP138" s="140"/>
      <c r="AQ138" s="140"/>
      <c r="AR138" s="140"/>
      <c r="AS138" s="140"/>
      <c r="AT138" s="140"/>
      <c r="AU138" s="140"/>
      <c r="AV138" s="140"/>
      <c r="AW138" s="140"/>
      <c r="AX138" s="140"/>
      <c r="AY138" s="140"/>
      <c r="AZ138" s="140"/>
      <c r="BA138" s="140"/>
      <c r="BB138" s="140"/>
      <c r="BC138" s="140"/>
      <c r="BD138" s="140"/>
      <c r="BE138" s="140"/>
      <c r="BF138" s="140"/>
      <c r="BG138" s="140"/>
      <c r="BH138" s="140"/>
      <c r="BI138" s="140"/>
      <c r="BJ138" s="140"/>
      <c r="BK138" s="140"/>
      <c r="BL138" s="140"/>
      <c r="BM138" s="140"/>
      <c r="BN138" s="140"/>
      <c r="BO138" s="140"/>
      <c r="BP138" s="140"/>
      <c r="BQ138" s="140"/>
      <c r="BR138" s="140"/>
      <c r="BS138" s="140"/>
      <c r="BT138" s="140"/>
      <c r="BU138" s="140"/>
      <c r="BV138" s="140"/>
      <c r="BW138" s="140"/>
      <c r="BX138" s="140"/>
      <c r="BY138" s="140"/>
      <c r="BZ138" s="140"/>
      <c r="CA138" s="140"/>
      <c r="CB138" s="140"/>
      <c r="CC138" s="140"/>
      <c r="CD138" s="140"/>
      <c r="CE138" s="140"/>
      <c r="CF138" s="140"/>
      <c r="CG138" s="140"/>
      <c r="CH138" s="140"/>
      <c r="CI138" s="140"/>
      <c r="CJ138" s="140"/>
      <c r="CK138" s="140"/>
      <c r="CL138" s="140"/>
      <c r="CM138" s="140"/>
      <c r="CN138" s="140"/>
      <c r="CO138" s="140"/>
      <c r="CP138" s="140"/>
      <c r="CQ138" s="140"/>
      <c r="CR138" s="140"/>
      <c r="CS138" s="140"/>
      <c r="CT138" s="140"/>
      <c r="CU138" s="140"/>
      <c r="CV138" s="140"/>
      <c r="CW138" s="140"/>
      <c r="CX138" s="140"/>
      <c r="CY138" s="140"/>
      <c r="CZ138" s="140"/>
      <c r="DA138" s="140"/>
      <c r="DB138" s="140"/>
      <c r="DC138" s="140"/>
      <c r="DD138" s="140"/>
      <c r="DE138" s="140"/>
    </row>
    <row r="139" spans="1:109" ht="15" customHeight="1">
      <c r="A139" s="139"/>
      <c r="B139" s="283">
        <v>0.44444444444444442</v>
      </c>
      <c r="C139" s="284"/>
      <c r="D139" s="285"/>
      <c r="E139" s="286"/>
      <c r="F139" s="284"/>
      <c r="G139" s="287"/>
      <c r="H139" s="288" t="str">
        <f>IF(E139="","",IF(E139-B139&lt;0,"24:00"-(B139-E139),E139-B139))</f>
        <v/>
      </c>
      <c r="I139" s="289"/>
      <c r="J139" s="290" t="s">
        <v>368</v>
      </c>
      <c r="K139" s="291"/>
      <c r="L139" s="291"/>
      <c r="M139" s="291"/>
      <c r="N139" s="291"/>
      <c r="O139" s="291"/>
      <c r="P139" s="291"/>
      <c r="Q139" s="291"/>
      <c r="R139" s="291"/>
      <c r="S139" s="137"/>
      <c r="T139" s="292" t="s">
        <v>369</v>
      </c>
      <c r="U139" s="293"/>
      <c r="V139" s="293"/>
      <c r="W139" s="293"/>
      <c r="X139" s="293"/>
      <c r="Y139" s="293"/>
      <c r="Z139" s="293"/>
      <c r="AA139" s="294"/>
      <c r="AB139"/>
      <c r="AC139"/>
      <c r="AD139"/>
      <c r="AE139"/>
      <c r="AF139"/>
      <c r="AG139" s="187" t="s">
        <v>202</v>
      </c>
      <c r="AH139"/>
    </row>
    <row r="140" spans="1:109" ht="15" customHeight="1">
      <c r="A140" s="139"/>
      <c r="B140" s="309" t="s">
        <v>313</v>
      </c>
      <c r="C140" s="310"/>
      <c r="D140" s="311"/>
      <c r="E140" s="286"/>
      <c r="F140" s="284"/>
      <c r="G140" s="287"/>
      <c r="H140" s="288" t="str">
        <f>IF(E140="","",IF(E140-B140&lt;0,"24:00"-(B140-E140),E140-B140))</f>
        <v/>
      </c>
      <c r="I140" s="289"/>
      <c r="J140" s="441" t="s">
        <v>374</v>
      </c>
      <c r="K140" s="310"/>
      <c r="L140" s="310"/>
      <c r="M140" s="310"/>
      <c r="N140" s="310"/>
      <c r="O140" s="310"/>
      <c r="P140" s="310"/>
      <c r="Q140" s="310"/>
      <c r="R140" s="310"/>
      <c r="S140" s="251"/>
      <c r="T140" s="392" t="s">
        <v>362</v>
      </c>
      <c r="U140" s="1042"/>
      <c r="V140" s="1042"/>
      <c r="W140" s="1042"/>
      <c r="X140" s="1042"/>
      <c r="Y140" s="1042"/>
      <c r="Z140" s="1042"/>
      <c r="AA140" s="1043"/>
      <c r="AB140" s="153"/>
      <c r="AF140" s="155"/>
      <c r="AG140" s="187"/>
    </row>
    <row r="141" spans="1:109" ht="15" customHeight="1">
      <c r="A141" s="139"/>
      <c r="B141" s="1044" t="s">
        <v>313</v>
      </c>
      <c r="C141" s="1045"/>
      <c r="D141" s="1046"/>
      <c r="E141" s="1047"/>
      <c r="F141" s="1045"/>
      <c r="G141" s="1048"/>
      <c r="H141" s="1049" t="str">
        <f t="shared" ref="H141" si="30">IF(E141="","",IF(E141-B141&lt;0,"24:00"-(B141-E141),E141-B141))</f>
        <v/>
      </c>
      <c r="I141" s="1050"/>
      <c r="J141" s="1051" t="s">
        <v>375</v>
      </c>
      <c r="K141" s="1052"/>
      <c r="L141" s="1052"/>
      <c r="M141" s="1052"/>
      <c r="N141" s="1052"/>
      <c r="O141" s="1052"/>
      <c r="P141" s="1052"/>
      <c r="Q141" s="1052"/>
      <c r="R141" s="1052"/>
      <c r="S141" s="160"/>
      <c r="T141" s="392" t="s">
        <v>376</v>
      </c>
      <c r="U141" s="1042"/>
      <c r="V141" s="1042"/>
      <c r="W141" s="1042"/>
      <c r="X141" s="1042"/>
      <c r="Y141" s="1042"/>
      <c r="Z141" s="1042"/>
      <c r="AA141" s="1043"/>
      <c r="AF141" s="155"/>
      <c r="AG141" s="187" t="s">
        <v>202</v>
      </c>
      <c r="AN141" s="140" t="s">
        <v>13</v>
      </c>
    </row>
    <row r="142" spans="1:109" ht="15" customHeight="1">
      <c r="A142" s="139"/>
      <c r="B142" s="283">
        <v>0.5</v>
      </c>
      <c r="C142" s="284"/>
      <c r="D142" s="285"/>
      <c r="E142" s="286">
        <v>0.625</v>
      </c>
      <c r="F142" s="284"/>
      <c r="G142" s="287"/>
      <c r="H142" s="288">
        <f>E142-B142</f>
        <v>0.125</v>
      </c>
      <c r="I142" s="289"/>
      <c r="J142" s="290" t="s">
        <v>221</v>
      </c>
      <c r="K142" s="291"/>
      <c r="L142" s="291"/>
      <c r="M142" s="291"/>
      <c r="N142" s="291"/>
      <c r="O142" s="291"/>
      <c r="P142" s="291"/>
      <c r="Q142" s="291"/>
      <c r="R142" s="291"/>
      <c r="S142" s="252" t="s">
        <v>226</v>
      </c>
      <c r="T142" s="434"/>
      <c r="U142" s="434"/>
      <c r="V142" s="434"/>
      <c r="W142" s="434"/>
      <c r="X142" s="434"/>
      <c r="Y142" s="434"/>
      <c r="Z142" s="434"/>
      <c r="AA142" s="435"/>
      <c r="AF142" s="155"/>
      <c r="AG142" s="187" t="s">
        <v>202</v>
      </c>
    </row>
    <row r="143" spans="1:109" ht="15" customHeight="1">
      <c r="A143" s="139"/>
      <c r="B143" s="283"/>
      <c r="C143" s="284"/>
      <c r="D143" s="285"/>
      <c r="E143" s="286"/>
      <c r="F143" s="284"/>
      <c r="G143" s="287"/>
      <c r="H143" s="288"/>
      <c r="I143" s="289"/>
      <c r="J143" s="307"/>
      <c r="K143" s="308"/>
      <c r="L143" s="308"/>
      <c r="M143" s="308"/>
      <c r="N143" s="308"/>
      <c r="O143" s="308"/>
      <c r="P143" s="308"/>
      <c r="Q143" s="308"/>
      <c r="R143" s="308"/>
      <c r="S143" s="138"/>
      <c r="T143" s="370"/>
      <c r="U143" s="371"/>
      <c r="V143" s="371"/>
      <c r="W143" s="371"/>
      <c r="X143" s="371"/>
      <c r="Y143" s="371"/>
      <c r="Z143" s="371"/>
      <c r="AA143" s="372"/>
      <c r="AC143" s="281"/>
      <c r="AD143" s="282"/>
      <c r="AE143" s="282"/>
      <c r="AF143" s="155"/>
      <c r="AG143" s="140" t="s">
        <v>13</v>
      </c>
    </row>
    <row r="144" spans="1:109" ht="15" customHeight="1">
      <c r="A144" s="139"/>
      <c r="B144" s="283"/>
      <c r="C144" s="284"/>
      <c r="D144" s="285"/>
      <c r="E144" s="286"/>
      <c r="F144" s="284"/>
      <c r="G144" s="287"/>
      <c r="H144" s="288"/>
      <c r="I144" s="289"/>
      <c r="J144" s="290"/>
      <c r="K144" s="291"/>
      <c r="L144" s="291"/>
      <c r="M144" s="291"/>
      <c r="N144" s="291"/>
      <c r="O144" s="291"/>
      <c r="P144" s="291"/>
      <c r="Q144" s="291"/>
      <c r="R144" s="291"/>
      <c r="S144" s="137"/>
      <c r="T144" s="292"/>
      <c r="U144" s="293"/>
      <c r="V144" s="293"/>
      <c r="W144" s="293"/>
      <c r="X144" s="293"/>
      <c r="Y144" s="293"/>
      <c r="Z144" s="293"/>
      <c r="AA144" s="294"/>
      <c r="AB144" s="153"/>
      <c r="AC144" s="281"/>
      <c r="AD144" s="282"/>
      <c r="AE144" s="282"/>
      <c r="AF144" s="155"/>
    </row>
    <row r="145" spans="1:109" ht="15" customHeight="1">
      <c r="A145" s="139"/>
      <c r="B145" s="283"/>
      <c r="C145" s="284"/>
      <c r="D145" s="285"/>
      <c r="E145" s="286"/>
      <c r="F145" s="284"/>
      <c r="G145" s="287"/>
      <c r="H145" s="288"/>
      <c r="I145" s="289"/>
      <c r="J145" s="290"/>
      <c r="K145" s="291"/>
      <c r="L145" s="291"/>
      <c r="M145" s="291"/>
      <c r="N145" s="291"/>
      <c r="O145" s="291"/>
      <c r="P145" s="291"/>
      <c r="Q145" s="291"/>
      <c r="R145" s="291"/>
      <c r="S145" s="137"/>
      <c r="T145" s="292"/>
      <c r="U145" s="293"/>
      <c r="V145" s="293"/>
      <c r="W145" s="293"/>
      <c r="X145" s="293"/>
      <c r="Y145" s="293"/>
      <c r="Z145" s="293"/>
      <c r="AA145" s="294"/>
      <c r="AB145" s="153"/>
      <c r="AC145" s="281"/>
      <c r="AD145" s="282"/>
      <c r="AE145" s="282"/>
      <c r="AF145" s="155"/>
    </row>
    <row r="146" spans="1:109" ht="15" customHeight="1">
      <c r="A146" s="139"/>
      <c r="B146" s="283"/>
      <c r="C146" s="284"/>
      <c r="D146" s="285"/>
      <c r="E146" s="286"/>
      <c r="F146" s="284"/>
      <c r="G146" s="287"/>
      <c r="H146" s="288"/>
      <c r="I146" s="289"/>
      <c r="J146" s="290"/>
      <c r="K146" s="291"/>
      <c r="L146" s="291"/>
      <c r="M146" s="291"/>
      <c r="N146" s="291"/>
      <c r="O146" s="291"/>
      <c r="P146" s="291"/>
      <c r="Q146" s="291"/>
      <c r="R146" s="291"/>
      <c r="S146" s="137"/>
      <c r="T146" s="292"/>
      <c r="U146" s="293"/>
      <c r="V146" s="293"/>
      <c r="W146" s="293"/>
      <c r="X146" s="293"/>
      <c r="Y146" s="293"/>
      <c r="Z146" s="293"/>
      <c r="AA146" s="294"/>
      <c r="AB146" s="153"/>
      <c r="AC146" s="281"/>
      <c r="AD146" s="282"/>
      <c r="AE146" s="282"/>
      <c r="AF146" s="155"/>
    </row>
    <row r="147" spans="1:109" ht="15" customHeight="1">
      <c r="A147" s="139"/>
      <c r="B147" s="283"/>
      <c r="C147" s="284"/>
      <c r="D147" s="285"/>
      <c r="E147" s="286"/>
      <c r="F147" s="284"/>
      <c r="G147" s="287"/>
      <c r="H147" s="288"/>
      <c r="I147" s="289"/>
      <c r="J147" s="290"/>
      <c r="K147" s="291"/>
      <c r="L147" s="291"/>
      <c r="M147" s="291"/>
      <c r="N147" s="291"/>
      <c r="O147" s="291"/>
      <c r="P147" s="291"/>
      <c r="Q147" s="291"/>
      <c r="R147" s="291"/>
      <c r="S147" s="137"/>
      <c r="T147" s="296"/>
      <c r="U147" s="297"/>
      <c r="V147" s="297"/>
      <c r="W147" s="297"/>
      <c r="X147" s="297"/>
      <c r="Y147" s="297"/>
      <c r="Z147" s="297"/>
      <c r="AA147" s="298"/>
      <c r="AC147" s="281"/>
      <c r="AD147" s="282"/>
      <c r="AE147" s="282"/>
      <c r="AF147" s="155"/>
    </row>
    <row r="148" spans="1:109" ht="15" customHeight="1">
      <c r="A148" s="139"/>
      <c r="B148" s="283"/>
      <c r="C148" s="284"/>
      <c r="D148" s="285"/>
      <c r="E148" s="286"/>
      <c r="F148" s="284"/>
      <c r="G148" s="287"/>
      <c r="H148" s="288"/>
      <c r="I148" s="289"/>
      <c r="J148" s="290"/>
      <c r="K148" s="291"/>
      <c r="L148" s="291"/>
      <c r="M148" s="291"/>
      <c r="N148" s="291"/>
      <c r="O148" s="291"/>
      <c r="P148" s="291"/>
      <c r="Q148" s="291"/>
      <c r="R148" s="291"/>
      <c r="S148" s="137"/>
      <c r="T148" s="296"/>
      <c r="U148" s="297"/>
      <c r="V148" s="297"/>
      <c r="W148" s="297"/>
      <c r="X148" s="297"/>
      <c r="Y148" s="297"/>
      <c r="Z148" s="297"/>
      <c r="AA148" s="298"/>
      <c r="AC148" s="281"/>
      <c r="AD148" s="282"/>
      <c r="AE148" s="282"/>
      <c r="AF148" s="155"/>
    </row>
    <row r="149" spans="1:109" ht="15" customHeight="1">
      <c r="A149" s="139"/>
      <c r="B149" s="283"/>
      <c r="C149" s="284"/>
      <c r="D149" s="285"/>
      <c r="E149" s="286"/>
      <c r="F149" s="284"/>
      <c r="G149" s="287"/>
      <c r="H149" s="288"/>
      <c r="I149" s="289"/>
      <c r="J149" s="290"/>
      <c r="K149" s="291"/>
      <c r="L149" s="291"/>
      <c r="M149" s="291"/>
      <c r="N149" s="291"/>
      <c r="O149" s="291"/>
      <c r="P149" s="291"/>
      <c r="Q149" s="291"/>
      <c r="R149" s="291"/>
      <c r="S149" s="137"/>
      <c r="T149" s="292"/>
      <c r="U149" s="293"/>
      <c r="V149" s="293"/>
      <c r="W149" s="293"/>
      <c r="X149" s="293"/>
      <c r="Y149" s="293"/>
      <c r="Z149" s="293"/>
      <c r="AA149" s="294"/>
      <c r="AB149" s="153"/>
      <c r="AC149" s="281"/>
      <c r="AD149" s="282"/>
      <c r="AE149" s="282"/>
      <c r="AF149" s="155"/>
    </row>
    <row r="150" spans="1:109" ht="15" customHeight="1">
      <c r="A150" s="139"/>
      <c r="B150" s="283"/>
      <c r="C150" s="284"/>
      <c r="D150" s="285"/>
      <c r="E150" s="286"/>
      <c r="F150" s="284"/>
      <c r="G150" s="287"/>
      <c r="H150" s="288"/>
      <c r="I150" s="289"/>
      <c r="J150" s="290"/>
      <c r="K150" s="291"/>
      <c r="L150" s="291"/>
      <c r="M150" s="291"/>
      <c r="N150" s="291"/>
      <c r="O150" s="291"/>
      <c r="P150" s="291"/>
      <c r="Q150" s="291"/>
      <c r="R150" s="291"/>
      <c r="S150" s="137"/>
      <c r="T150" s="292"/>
      <c r="U150" s="293"/>
      <c r="V150" s="293"/>
      <c r="W150" s="293"/>
      <c r="X150" s="293"/>
      <c r="Y150" s="293"/>
      <c r="Z150" s="293"/>
      <c r="AA150" s="294"/>
      <c r="AB150" s="153"/>
      <c r="AC150" s="281"/>
      <c r="AD150" s="282"/>
      <c r="AE150" s="282"/>
      <c r="AF150" s="155"/>
    </row>
    <row r="151" spans="1:109" ht="15" customHeight="1">
      <c r="A151" s="139"/>
      <c r="B151" s="283"/>
      <c r="C151" s="284"/>
      <c r="D151" s="285"/>
      <c r="E151" s="286"/>
      <c r="F151" s="284"/>
      <c r="G151" s="287"/>
      <c r="H151" s="288"/>
      <c r="I151" s="289"/>
      <c r="J151" s="290"/>
      <c r="K151" s="291"/>
      <c r="L151" s="291"/>
      <c r="M151" s="291"/>
      <c r="N151" s="291"/>
      <c r="O151" s="291"/>
      <c r="P151" s="291"/>
      <c r="Q151" s="291"/>
      <c r="R151" s="291"/>
      <c r="S151" s="137"/>
      <c r="T151" s="296"/>
      <c r="U151" s="297"/>
      <c r="V151" s="297"/>
      <c r="W151" s="297"/>
      <c r="X151" s="297"/>
      <c r="Y151" s="297"/>
      <c r="Z151" s="297"/>
      <c r="AA151" s="298"/>
      <c r="AF151" s="155"/>
    </row>
    <row r="152" spans="1:109" ht="15" customHeight="1">
      <c r="A152" s="139"/>
      <c r="B152" s="283"/>
      <c r="C152" s="284"/>
      <c r="D152" s="285"/>
      <c r="E152" s="286"/>
      <c r="F152" s="284"/>
      <c r="G152" s="287"/>
      <c r="H152" s="288"/>
      <c r="I152" s="289"/>
      <c r="J152" s="290"/>
      <c r="K152" s="291"/>
      <c r="L152" s="291"/>
      <c r="M152" s="291"/>
      <c r="N152" s="291"/>
      <c r="O152" s="291"/>
      <c r="P152" s="291"/>
      <c r="Q152" s="291"/>
      <c r="R152" s="291"/>
      <c r="S152" s="137"/>
      <c r="T152" s="292"/>
      <c r="U152" s="297"/>
      <c r="V152" s="297"/>
      <c r="W152" s="297"/>
      <c r="X152" s="297"/>
      <c r="Y152" s="297"/>
      <c r="Z152" s="297"/>
      <c r="AA152" s="298"/>
      <c r="AF152" s="155"/>
    </row>
    <row r="153" spans="1:109" ht="15" customHeight="1">
      <c r="A153" s="139"/>
      <c r="B153" s="283"/>
      <c r="C153" s="284"/>
      <c r="D153" s="285"/>
      <c r="E153" s="286"/>
      <c r="F153" s="284"/>
      <c r="G153" s="287"/>
      <c r="H153" s="288"/>
      <c r="I153" s="289"/>
      <c r="J153" s="290"/>
      <c r="K153" s="291"/>
      <c r="L153" s="291"/>
      <c r="M153" s="291"/>
      <c r="N153" s="291"/>
      <c r="O153" s="291"/>
      <c r="P153" s="291"/>
      <c r="Q153" s="291"/>
      <c r="R153" s="291"/>
      <c r="S153" s="137"/>
      <c r="T153" s="292"/>
      <c r="U153" s="293"/>
      <c r="V153" s="293"/>
      <c r="W153" s="293"/>
      <c r="X153" s="293"/>
      <c r="Y153" s="293"/>
      <c r="Z153" s="293"/>
      <c r="AA153" s="294"/>
      <c r="AF153" s="155"/>
    </row>
    <row r="154" spans="1:109" ht="15" customHeight="1">
      <c r="A154" s="139"/>
      <c r="B154" s="283"/>
      <c r="C154" s="284"/>
      <c r="D154" s="285"/>
      <c r="E154" s="286"/>
      <c r="F154" s="284"/>
      <c r="G154" s="287"/>
      <c r="H154" s="288"/>
      <c r="I154" s="289"/>
      <c r="J154" s="290"/>
      <c r="K154" s="291"/>
      <c r="L154" s="291"/>
      <c r="M154" s="291"/>
      <c r="N154" s="291"/>
      <c r="O154" s="291"/>
      <c r="P154" s="291"/>
      <c r="Q154" s="291"/>
      <c r="R154" s="291"/>
      <c r="S154" s="138"/>
      <c r="T154" s="370"/>
      <c r="U154" s="1040"/>
      <c r="V154" s="1040"/>
      <c r="W154" s="1040"/>
      <c r="X154" s="1040"/>
      <c r="Y154" s="1040"/>
      <c r="Z154" s="1040"/>
      <c r="AA154" s="1041"/>
      <c r="AF154" s="155"/>
    </row>
    <row r="155" spans="1:109" ht="15" customHeight="1">
      <c r="A155" s="139"/>
      <c r="B155" s="283"/>
      <c r="C155" s="284"/>
      <c r="D155" s="285"/>
      <c r="E155" s="286"/>
      <c r="F155" s="284"/>
      <c r="G155" s="287"/>
      <c r="H155" s="288"/>
      <c r="I155" s="289"/>
      <c r="J155" s="290"/>
      <c r="K155" s="291"/>
      <c r="L155" s="291"/>
      <c r="M155" s="291"/>
      <c r="N155" s="291"/>
      <c r="O155" s="291"/>
      <c r="P155" s="291"/>
      <c r="Q155" s="291"/>
      <c r="R155" s="291"/>
      <c r="S155" s="137"/>
      <c r="T155" s="292"/>
      <c r="U155" s="293"/>
      <c r="V155" s="293"/>
      <c r="W155" s="293"/>
      <c r="X155" s="293"/>
      <c r="Y155" s="293"/>
      <c r="Z155" s="293"/>
      <c r="AA155" s="294"/>
      <c r="AF155" s="155"/>
    </row>
    <row r="156" spans="1:109" ht="15" customHeight="1">
      <c r="A156" s="139"/>
      <c r="B156" s="408"/>
      <c r="C156" s="409"/>
      <c r="D156" s="410"/>
      <c r="E156" s="411"/>
      <c r="F156" s="409"/>
      <c r="G156" s="412"/>
      <c r="H156" s="413"/>
      <c r="I156" s="414"/>
      <c r="J156" s="290"/>
      <c r="K156" s="291"/>
      <c r="L156" s="291"/>
      <c r="M156" s="291"/>
      <c r="N156" s="291"/>
      <c r="O156" s="291"/>
      <c r="P156" s="291"/>
      <c r="Q156" s="291"/>
      <c r="R156" s="291"/>
      <c r="S156" s="137"/>
      <c r="T156" s="292"/>
      <c r="U156" s="293"/>
      <c r="V156" s="293"/>
      <c r="W156" s="293"/>
      <c r="X156" s="293"/>
      <c r="Y156" s="293"/>
      <c r="Z156" s="293"/>
      <c r="AA156" s="294"/>
      <c r="AB156" s="153"/>
      <c r="AC156" s="154"/>
      <c r="AD156" s="154"/>
      <c r="AE156" s="154"/>
      <c r="AF156" s="155"/>
    </row>
    <row r="157" spans="1:109" ht="15" customHeight="1">
      <c r="A157" s="139"/>
      <c r="B157" s="283"/>
      <c r="C157" s="284"/>
      <c r="D157" s="285"/>
      <c r="E157" s="286"/>
      <c r="F157" s="284"/>
      <c r="G157" s="287"/>
      <c r="H157" s="288"/>
      <c r="I157" s="289"/>
      <c r="J157" s="290"/>
      <c r="K157" s="291"/>
      <c r="L157" s="291"/>
      <c r="M157" s="291"/>
      <c r="N157" s="291"/>
      <c r="O157" s="291"/>
      <c r="P157" s="291"/>
      <c r="Q157" s="291"/>
      <c r="R157" s="291"/>
      <c r="S157" s="137"/>
      <c r="T157" s="296"/>
      <c r="U157" s="293"/>
      <c r="V157" s="293"/>
      <c r="W157" s="293"/>
      <c r="X157" s="293"/>
      <c r="Y157" s="293"/>
      <c r="Z157" s="293"/>
      <c r="AA157" s="294"/>
      <c r="AB157" s="153"/>
      <c r="AC157" s="154"/>
      <c r="AD157" s="154"/>
      <c r="AE157" s="154"/>
      <c r="AF157" s="155"/>
    </row>
    <row r="158" spans="1:109" ht="15" customHeight="1">
      <c r="A158" s="139"/>
      <c r="B158" s="309"/>
      <c r="C158" s="310"/>
      <c r="D158" s="311"/>
      <c r="E158" s="315"/>
      <c r="F158" s="310"/>
      <c r="G158" s="316"/>
      <c r="H158" s="317"/>
      <c r="I158" s="318"/>
      <c r="J158" s="319"/>
      <c r="K158" s="320"/>
      <c r="L158" s="320"/>
      <c r="M158" s="320"/>
      <c r="N158" s="320"/>
      <c r="O158" s="320"/>
      <c r="P158" s="320"/>
      <c r="Q158" s="320"/>
      <c r="R158" s="320"/>
      <c r="S158" s="159"/>
      <c r="T158" s="366"/>
      <c r="U158" s="387"/>
      <c r="V158" s="387"/>
      <c r="W158" s="387"/>
      <c r="X158" s="387"/>
      <c r="Y158" s="387"/>
      <c r="Z158" s="387"/>
      <c r="AA158" s="388"/>
      <c r="AB158" s="153"/>
      <c r="AF158" s="155"/>
    </row>
    <row r="159" spans="1:109" ht="15" customHeight="1">
      <c r="A159" s="139"/>
      <c r="B159" s="283"/>
      <c r="C159" s="284"/>
      <c r="D159" s="285"/>
      <c r="E159" s="286"/>
      <c r="F159" s="284"/>
      <c r="G159" s="287"/>
      <c r="H159" s="288"/>
      <c r="I159" s="289"/>
      <c r="J159" s="290"/>
      <c r="K159" s="291"/>
      <c r="L159" s="291"/>
      <c r="M159" s="291"/>
      <c r="N159" s="291"/>
      <c r="O159" s="291"/>
      <c r="P159" s="291"/>
      <c r="Q159" s="291"/>
      <c r="R159" s="291"/>
      <c r="S159" s="137"/>
      <c r="T159" s="292"/>
      <c r="U159" s="293"/>
      <c r="V159" s="293"/>
      <c r="W159" s="293"/>
      <c r="X159" s="293"/>
      <c r="Y159" s="293"/>
      <c r="Z159" s="293"/>
      <c r="AA159" s="294"/>
      <c r="AB159" s="153"/>
      <c r="AF159" s="155"/>
    </row>
    <row r="160" spans="1:109" s="139" customFormat="1" ht="15" customHeight="1"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3"/>
      <c r="U160" s="143"/>
      <c r="V160" s="143"/>
      <c r="W160" s="143"/>
      <c r="X160" s="143"/>
      <c r="Y160" s="143"/>
      <c r="Z160" s="143"/>
      <c r="AA160" s="143"/>
      <c r="AC160" s="140"/>
      <c r="AD160" s="140"/>
      <c r="AE160" s="140"/>
      <c r="AF160" s="140"/>
      <c r="AG160" s="140"/>
      <c r="AH160" s="141"/>
      <c r="AI160" s="143"/>
      <c r="AJ160" s="140"/>
      <c r="AK160" s="140"/>
      <c r="AL160" s="140"/>
      <c r="AM160" s="140"/>
      <c r="AN160" s="140"/>
      <c r="AO160" s="140"/>
      <c r="AP160" s="140"/>
      <c r="AQ160" s="140"/>
      <c r="AR160" s="140"/>
      <c r="AS160" s="140"/>
      <c r="AT160" s="140"/>
      <c r="AU160" s="140"/>
      <c r="AV160" s="140"/>
      <c r="AW160" s="140"/>
      <c r="AX160" s="140"/>
      <c r="AY160" s="140"/>
      <c r="AZ160" s="140"/>
      <c r="BA160" s="140"/>
      <c r="BB160" s="140"/>
      <c r="BC160" s="140"/>
      <c r="BD160" s="140"/>
      <c r="BE160" s="140"/>
      <c r="BF160" s="140"/>
      <c r="BG160" s="140"/>
      <c r="BH160" s="140"/>
      <c r="BI160" s="140"/>
      <c r="BJ160" s="140"/>
      <c r="BK160" s="140"/>
      <c r="BL160" s="140"/>
      <c r="BM160" s="140"/>
      <c r="BN160" s="140"/>
      <c r="BO160" s="140"/>
      <c r="BP160" s="140"/>
      <c r="BQ160" s="140"/>
      <c r="BR160" s="140"/>
      <c r="BS160" s="140"/>
      <c r="BT160" s="140"/>
      <c r="BU160" s="140"/>
      <c r="BV160" s="140"/>
      <c r="BW160" s="140"/>
      <c r="BX160" s="140"/>
      <c r="BY160" s="140"/>
      <c r="BZ160" s="140"/>
      <c r="CA160" s="140"/>
      <c r="CB160" s="140"/>
      <c r="CC160" s="140"/>
      <c r="CD160" s="140"/>
      <c r="CE160" s="140"/>
      <c r="CF160" s="140"/>
      <c r="CG160" s="140"/>
      <c r="CH160" s="140"/>
      <c r="CI160" s="140"/>
      <c r="CJ160" s="140"/>
      <c r="CK160" s="140"/>
      <c r="CL160" s="140"/>
      <c r="CM160" s="140"/>
      <c r="CN160" s="140"/>
      <c r="CO160" s="140"/>
      <c r="CP160" s="140"/>
      <c r="CQ160" s="140"/>
      <c r="CR160" s="140"/>
      <c r="CS160" s="140"/>
      <c r="CT160" s="140"/>
      <c r="CU160" s="140"/>
      <c r="CV160" s="140"/>
      <c r="CW160" s="140"/>
      <c r="CX160" s="140"/>
      <c r="CY160" s="140"/>
      <c r="CZ160" s="140"/>
      <c r="DA160" s="140"/>
      <c r="DB160" s="140"/>
      <c r="DC160" s="140"/>
      <c r="DD160" s="140"/>
      <c r="DE160" s="140"/>
    </row>
    <row r="161" spans="1:109" s="139" customFormat="1" ht="15" customHeight="1"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3"/>
      <c r="U161" s="143"/>
      <c r="V161" s="143"/>
      <c r="W161" s="143"/>
      <c r="X161" s="143"/>
      <c r="Y161" s="143"/>
      <c r="Z161" s="143"/>
      <c r="AA161" s="143"/>
      <c r="AC161" s="140"/>
      <c r="AD161" s="140"/>
      <c r="AE161" s="140"/>
      <c r="AF161" s="140"/>
      <c r="AG161" s="140"/>
      <c r="AH161" s="141"/>
      <c r="AI161" s="143"/>
      <c r="AJ161" s="140"/>
      <c r="AK161" s="140"/>
      <c r="AL161" s="140"/>
      <c r="AM161" s="140"/>
      <c r="AN161" s="140"/>
      <c r="AO161" s="140"/>
      <c r="AP161" s="140"/>
      <c r="AQ161" s="140"/>
      <c r="AR161" s="140"/>
      <c r="AS161" s="140"/>
      <c r="AT161" s="140"/>
      <c r="AU161" s="140"/>
      <c r="AV161" s="140"/>
      <c r="AW161" s="140"/>
      <c r="AX161" s="140"/>
      <c r="AY161" s="140"/>
      <c r="AZ161" s="140"/>
      <c r="BA161" s="140"/>
      <c r="BB161" s="140"/>
      <c r="BC161" s="140"/>
      <c r="BD161" s="140"/>
      <c r="BE161" s="140"/>
      <c r="BF161" s="140"/>
      <c r="BG161" s="140"/>
      <c r="BH161" s="140"/>
      <c r="BI161" s="140"/>
      <c r="BJ161" s="140"/>
      <c r="BK161" s="140"/>
      <c r="BL161" s="140"/>
      <c r="BM161" s="140"/>
      <c r="BN161" s="140"/>
      <c r="BO161" s="140"/>
      <c r="BP161" s="140"/>
      <c r="BQ161" s="140"/>
      <c r="BR161" s="140"/>
      <c r="BS161" s="140"/>
      <c r="BT161" s="140"/>
      <c r="BU161" s="140"/>
      <c r="BV161" s="140"/>
      <c r="BW161" s="140"/>
      <c r="BX161" s="140"/>
      <c r="BY161" s="140"/>
      <c r="BZ161" s="140"/>
      <c r="CA161" s="140"/>
      <c r="CB161" s="140"/>
      <c r="CC161" s="140"/>
      <c r="CD161" s="140"/>
      <c r="CE161" s="140"/>
      <c r="CF161" s="140"/>
      <c r="CG161" s="140"/>
      <c r="CH161" s="140"/>
      <c r="CI161" s="140"/>
      <c r="CJ161" s="140"/>
      <c r="CK161" s="140"/>
      <c r="CL161" s="140"/>
      <c r="CM161" s="140"/>
      <c r="CN161" s="140"/>
      <c r="CO161" s="140"/>
      <c r="CP161" s="140"/>
      <c r="CQ161" s="140"/>
      <c r="CR161" s="140"/>
      <c r="CS161" s="140"/>
      <c r="CT161" s="140"/>
      <c r="CU161" s="140"/>
      <c r="CV161" s="140"/>
      <c r="CW161" s="140"/>
      <c r="CX161" s="140"/>
      <c r="CY161" s="140"/>
      <c r="CZ161" s="140"/>
      <c r="DA161" s="140"/>
      <c r="DB161" s="140"/>
      <c r="DC161" s="140"/>
      <c r="DD161" s="140"/>
      <c r="DE161" s="140"/>
    </row>
    <row r="162" spans="1:109" s="139" customFormat="1" ht="15" customHeight="1"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3"/>
      <c r="U162" s="143"/>
      <c r="V162" s="143"/>
      <c r="W162" s="143"/>
      <c r="X162" s="143"/>
      <c r="Y162" s="143"/>
      <c r="Z162" s="143"/>
      <c r="AA162" s="143"/>
      <c r="AC162" s="140"/>
      <c r="AD162" s="140"/>
      <c r="AE162" s="140"/>
      <c r="AF162" s="140"/>
      <c r="AG162" s="140"/>
      <c r="AH162" s="141"/>
      <c r="AI162" s="143"/>
      <c r="AJ162" s="140"/>
      <c r="AK162" s="140"/>
      <c r="AL162" s="140"/>
      <c r="AM162" s="140"/>
      <c r="AN162" s="140"/>
      <c r="AO162" s="140"/>
      <c r="AP162" s="140"/>
      <c r="AQ162" s="140"/>
      <c r="AR162" s="140"/>
      <c r="AS162" s="140"/>
      <c r="AT162" s="140"/>
      <c r="AU162" s="140"/>
      <c r="AV162" s="140"/>
      <c r="AW162" s="140"/>
      <c r="AX162" s="140"/>
      <c r="AY162" s="140"/>
      <c r="AZ162" s="140"/>
      <c r="BA162" s="140"/>
      <c r="BB162" s="140"/>
      <c r="BC162" s="140"/>
      <c r="BD162" s="140"/>
      <c r="BE162" s="140"/>
      <c r="BF162" s="140"/>
      <c r="BG162" s="140"/>
      <c r="BH162" s="140"/>
      <c r="BI162" s="140"/>
      <c r="BJ162" s="140"/>
      <c r="BK162" s="140"/>
      <c r="BL162" s="140"/>
      <c r="BM162" s="140"/>
      <c r="BN162" s="140"/>
      <c r="BO162" s="140"/>
      <c r="BP162" s="140"/>
      <c r="BQ162" s="140"/>
      <c r="BR162" s="140"/>
      <c r="BS162" s="140"/>
      <c r="BT162" s="140"/>
      <c r="BU162" s="140"/>
      <c r="BV162" s="140"/>
      <c r="BW162" s="140"/>
      <c r="BX162" s="140"/>
      <c r="BY162" s="140"/>
      <c r="BZ162" s="140"/>
      <c r="CA162" s="140"/>
      <c r="CB162" s="140"/>
      <c r="CC162" s="140"/>
      <c r="CD162" s="140"/>
      <c r="CE162" s="140"/>
      <c r="CF162" s="140"/>
      <c r="CG162" s="140"/>
      <c r="CH162" s="140"/>
      <c r="CI162" s="140"/>
      <c r="CJ162" s="140"/>
      <c r="CK162" s="140"/>
      <c r="CL162" s="140"/>
      <c r="CM162" s="140"/>
      <c r="CN162" s="140"/>
      <c r="CO162" s="140"/>
      <c r="CP162" s="140"/>
      <c r="CQ162" s="140"/>
      <c r="CR162" s="140"/>
      <c r="CS162" s="140"/>
      <c r="CT162" s="140"/>
      <c r="CU162" s="140"/>
      <c r="CV162" s="140"/>
      <c r="CW162" s="140"/>
      <c r="CX162" s="140"/>
      <c r="CY162" s="140"/>
      <c r="CZ162" s="140"/>
      <c r="DA162" s="140"/>
      <c r="DB162" s="140"/>
      <c r="DC162" s="140"/>
      <c r="DD162" s="140"/>
      <c r="DE162" s="140"/>
    </row>
    <row r="163" spans="1:109" s="139" customFormat="1" ht="15" customHeight="1"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3"/>
      <c r="U163" s="143"/>
      <c r="V163" s="143"/>
      <c r="W163" s="143"/>
      <c r="X163" s="143"/>
      <c r="Y163" s="143"/>
      <c r="Z163" s="143"/>
      <c r="AA163" s="143"/>
      <c r="AC163" s="140"/>
      <c r="AD163" s="140"/>
      <c r="AE163" s="140"/>
      <c r="AF163" s="140"/>
      <c r="AG163" s="140"/>
      <c r="AH163" s="141"/>
      <c r="AI163" s="143"/>
      <c r="AJ163" s="140"/>
      <c r="AK163" s="140"/>
      <c r="AL163" s="140"/>
      <c r="AM163" s="140"/>
      <c r="AN163" s="140"/>
      <c r="AO163" s="140"/>
      <c r="AP163" s="140"/>
      <c r="AQ163" s="140"/>
      <c r="AR163" s="140"/>
      <c r="AS163" s="140"/>
      <c r="AT163" s="140"/>
      <c r="AU163" s="140"/>
      <c r="AV163" s="140"/>
      <c r="AW163" s="140"/>
      <c r="AX163" s="140"/>
      <c r="AY163" s="140"/>
      <c r="AZ163" s="140"/>
      <c r="BA163" s="140"/>
      <c r="BB163" s="140"/>
      <c r="BC163" s="140"/>
      <c r="BD163" s="140"/>
      <c r="BE163" s="140"/>
      <c r="BF163" s="140"/>
      <c r="BG163" s="140"/>
      <c r="BH163" s="140"/>
      <c r="BI163" s="140"/>
      <c r="BJ163" s="140"/>
      <c r="BK163" s="140"/>
      <c r="BL163" s="140"/>
      <c r="BM163" s="140"/>
      <c r="BN163" s="140"/>
      <c r="BO163" s="140"/>
      <c r="BP163" s="140"/>
      <c r="BQ163" s="140"/>
      <c r="BR163" s="140"/>
      <c r="BS163" s="140"/>
      <c r="BT163" s="140"/>
      <c r="BU163" s="140"/>
      <c r="BV163" s="140"/>
      <c r="BW163" s="140"/>
      <c r="BX163" s="140"/>
      <c r="BY163" s="140"/>
      <c r="BZ163" s="140"/>
      <c r="CA163" s="140"/>
      <c r="CB163" s="140"/>
      <c r="CC163" s="140"/>
      <c r="CD163" s="140"/>
      <c r="CE163" s="140"/>
      <c r="CF163" s="140"/>
      <c r="CG163" s="140"/>
      <c r="CH163" s="140"/>
      <c r="CI163" s="140"/>
      <c r="CJ163" s="140"/>
      <c r="CK163" s="140"/>
      <c r="CL163" s="140"/>
      <c r="CM163" s="140"/>
      <c r="CN163" s="140"/>
      <c r="CO163" s="140"/>
      <c r="CP163" s="140"/>
      <c r="CQ163" s="140"/>
      <c r="CR163" s="140"/>
      <c r="CS163" s="140"/>
      <c r="CT163" s="140"/>
      <c r="CU163" s="140"/>
      <c r="CV163" s="140"/>
      <c r="CW163" s="140"/>
      <c r="CX163" s="140"/>
      <c r="CY163" s="140"/>
      <c r="CZ163" s="140"/>
      <c r="DA163" s="140"/>
      <c r="DB163" s="140"/>
      <c r="DC163" s="140"/>
      <c r="DD163" s="140"/>
      <c r="DE163" s="140"/>
    </row>
    <row r="164" spans="1:109" s="139" customFormat="1" ht="15" customHeight="1"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3"/>
      <c r="U164" s="143"/>
      <c r="V164" s="143"/>
      <c r="W164" s="143"/>
      <c r="X164" s="143"/>
      <c r="Y164" s="143"/>
      <c r="Z164" s="143"/>
      <c r="AA164" s="143"/>
      <c r="AC164" s="140"/>
      <c r="AD164" s="140"/>
      <c r="AE164" s="140"/>
      <c r="AF164" s="140"/>
      <c r="AG164" s="140"/>
      <c r="AH164" s="141"/>
      <c r="AI164" s="143"/>
      <c r="AJ164" s="140"/>
      <c r="AK164" s="140"/>
      <c r="AL164" s="140"/>
      <c r="AM164" s="140"/>
      <c r="AN164" s="140"/>
      <c r="AO164" s="140"/>
      <c r="AP164" s="140"/>
      <c r="AQ164" s="140"/>
      <c r="AR164" s="140"/>
      <c r="AS164" s="140"/>
      <c r="AT164" s="140"/>
      <c r="AU164" s="140"/>
      <c r="AV164" s="140"/>
      <c r="AW164" s="140"/>
      <c r="AX164" s="140"/>
      <c r="AY164" s="140"/>
      <c r="AZ164" s="140"/>
      <c r="BA164" s="140"/>
      <c r="BB164" s="140"/>
      <c r="BC164" s="140"/>
      <c r="BD164" s="140"/>
      <c r="BE164" s="140"/>
      <c r="BF164" s="140"/>
      <c r="BG164" s="140"/>
      <c r="BH164" s="140"/>
      <c r="BI164" s="140"/>
      <c r="BJ164" s="140"/>
      <c r="BK164" s="140"/>
      <c r="BL164" s="140"/>
      <c r="BM164" s="140"/>
      <c r="BN164" s="140"/>
      <c r="BO164" s="140"/>
      <c r="BP164" s="140"/>
      <c r="BQ164" s="140"/>
      <c r="BR164" s="140"/>
      <c r="BS164" s="140"/>
      <c r="BT164" s="140"/>
      <c r="BU164" s="140"/>
      <c r="BV164" s="140"/>
      <c r="BW164" s="140"/>
      <c r="BX164" s="140"/>
      <c r="BY164" s="140"/>
      <c r="BZ164" s="140"/>
      <c r="CA164" s="140"/>
      <c r="CB164" s="140"/>
      <c r="CC164" s="140"/>
      <c r="CD164" s="140"/>
      <c r="CE164" s="140"/>
      <c r="CF164" s="140"/>
      <c r="CG164" s="140"/>
      <c r="CH164" s="140"/>
      <c r="CI164" s="140"/>
      <c r="CJ164" s="140"/>
      <c r="CK164" s="140"/>
      <c r="CL164" s="140"/>
      <c r="CM164" s="140"/>
      <c r="CN164" s="140"/>
      <c r="CO164" s="140"/>
      <c r="CP164" s="140"/>
      <c r="CQ164" s="140"/>
      <c r="CR164" s="140"/>
      <c r="CS164" s="140"/>
      <c r="CT164" s="140"/>
      <c r="CU164" s="140"/>
      <c r="CV164" s="140"/>
      <c r="CW164" s="140"/>
      <c r="CX164" s="140"/>
      <c r="CY164" s="140"/>
      <c r="CZ164" s="140"/>
      <c r="DA164" s="140"/>
      <c r="DB164" s="140"/>
      <c r="DC164" s="140"/>
      <c r="DD164" s="140"/>
      <c r="DE164" s="140"/>
    </row>
    <row r="165" spans="1:109" s="139" customFormat="1" ht="15" customHeight="1"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3"/>
      <c r="U165" s="143"/>
      <c r="V165" s="143"/>
      <c r="W165" s="143"/>
      <c r="X165" s="143"/>
      <c r="Y165" s="143"/>
      <c r="Z165" s="143"/>
      <c r="AA165" s="143"/>
      <c r="AC165" s="140"/>
      <c r="AD165" s="140"/>
      <c r="AE165" s="140"/>
      <c r="AF165" s="140"/>
      <c r="AG165" s="140"/>
      <c r="AH165" s="141"/>
      <c r="AI165" s="143"/>
      <c r="AJ165" s="140"/>
      <c r="AK165" s="140"/>
      <c r="AL165" s="140"/>
      <c r="AM165" s="140"/>
      <c r="AN165" s="140"/>
      <c r="AO165" s="140"/>
      <c r="AP165" s="140"/>
      <c r="AQ165" s="140"/>
      <c r="AR165" s="140"/>
      <c r="AS165" s="140"/>
      <c r="AT165" s="140"/>
      <c r="AU165" s="140"/>
      <c r="AV165" s="140"/>
      <c r="AW165" s="140"/>
      <c r="AX165" s="140"/>
      <c r="AY165" s="140"/>
      <c r="AZ165" s="140"/>
      <c r="BA165" s="140"/>
      <c r="BB165" s="140"/>
      <c r="BC165" s="140"/>
      <c r="BD165" s="140"/>
      <c r="BE165" s="140"/>
      <c r="BF165" s="140"/>
      <c r="BG165" s="140"/>
      <c r="BH165" s="140"/>
      <c r="BI165" s="140"/>
      <c r="BJ165" s="140"/>
      <c r="BK165" s="140"/>
      <c r="BL165" s="140"/>
      <c r="BM165" s="140"/>
      <c r="BN165" s="140"/>
      <c r="BO165" s="140"/>
      <c r="BP165" s="140"/>
      <c r="BQ165" s="140"/>
      <c r="BR165" s="140"/>
      <c r="BS165" s="140"/>
      <c r="BT165" s="140"/>
      <c r="BU165" s="140"/>
      <c r="BV165" s="140"/>
      <c r="BW165" s="140"/>
      <c r="BX165" s="140"/>
      <c r="BY165" s="140"/>
      <c r="BZ165" s="140"/>
      <c r="CA165" s="140"/>
      <c r="CB165" s="140"/>
      <c r="CC165" s="140"/>
      <c r="CD165" s="140"/>
      <c r="CE165" s="140"/>
      <c r="CF165" s="140"/>
      <c r="CG165" s="140"/>
      <c r="CH165" s="140"/>
      <c r="CI165" s="140"/>
      <c r="CJ165" s="140"/>
      <c r="CK165" s="140"/>
      <c r="CL165" s="140"/>
      <c r="CM165" s="140"/>
      <c r="CN165" s="140"/>
      <c r="CO165" s="140"/>
      <c r="CP165" s="140"/>
      <c r="CQ165" s="140"/>
      <c r="CR165" s="140"/>
      <c r="CS165" s="140"/>
      <c r="CT165" s="140"/>
      <c r="CU165" s="140"/>
      <c r="CV165" s="140"/>
      <c r="CW165" s="140"/>
      <c r="CX165" s="140"/>
      <c r="CY165" s="140"/>
      <c r="CZ165" s="140"/>
      <c r="DA165" s="140"/>
      <c r="DB165" s="140"/>
      <c r="DC165" s="140"/>
      <c r="DD165" s="140"/>
      <c r="DE165" s="140"/>
    </row>
    <row r="166" spans="1:109" s="139" customFormat="1" ht="15" customHeight="1"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3"/>
      <c r="U166" s="143"/>
      <c r="V166" s="143"/>
      <c r="W166" s="143"/>
      <c r="X166" s="143"/>
      <c r="Y166" s="143"/>
      <c r="Z166" s="143"/>
      <c r="AA166" s="143"/>
      <c r="AC166" s="140"/>
      <c r="AD166" s="140"/>
      <c r="AE166" s="140"/>
      <c r="AF166" s="140"/>
      <c r="AG166" s="140"/>
      <c r="AH166" s="141"/>
      <c r="AI166" s="143"/>
      <c r="AJ166" s="140"/>
      <c r="AK166" s="140"/>
      <c r="AL166" s="140"/>
      <c r="AM166" s="140"/>
      <c r="AN166" s="140"/>
      <c r="AO166" s="140"/>
      <c r="AP166" s="140"/>
      <c r="AQ166" s="140"/>
      <c r="AR166" s="140"/>
      <c r="AS166" s="140"/>
      <c r="AT166" s="140"/>
      <c r="AU166" s="140"/>
      <c r="AV166" s="140"/>
      <c r="AW166" s="140"/>
      <c r="AX166" s="140"/>
      <c r="AY166" s="140"/>
      <c r="AZ166" s="140"/>
      <c r="BA166" s="140"/>
      <c r="BB166" s="140"/>
      <c r="BC166" s="140"/>
      <c r="BD166" s="140"/>
      <c r="BE166" s="140"/>
      <c r="BF166" s="140"/>
      <c r="BG166" s="140"/>
      <c r="BH166" s="140"/>
      <c r="BI166" s="140"/>
      <c r="BJ166" s="140"/>
      <c r="BK166" s="140"/>
      <c r="BL166" s="140"/>
      <c r="BM166" s="140"/>
      <c r="BN166" s="140"/>
      <c r="BO166" s="140"/>
      <c r="BP166" s="140"/>
      <c r="BQ166" s="140"/>
      <c r="BR166" s="140"/>
      <c r="BS166" s="140"/>
      <c r="BT166" s="140"/>
      <c r="BU166" s="140"/>
      <c r="BV166" s="140"/>
      <c r="BW166" s="140"/>
      <c r="BX166" s="140"/>
      <c r="BY166" s="140"/>
      <c r="BZ166" s="140"/>
      <c r="CA166" s="140"/>
      <c r="CB166" s="140"/>
      <c r="CC166" s="140"/>
      <c r="CD166" s="140"/>
      <c r="CE166" s="140"/>
      <c r="CF166" s="140"/>
      <c r="CG166" s="140"/>
      <c r="CH166" s="140"/>
      <c r="CI166" s="140"/>
      <c r="CJ166" s="140"/>
      <c r="CK166" s="140"/>
      <c r="CL166" s="140"/>
      <c r="CM166" s="140"/>
      <c r="CN166" s="140"/>
      <c r="CO166" s="140"/>
      <c r="CP166" s="140"/>
      <c r="CQ166" s="140"/>
      <c r="CR166" s="140"/>
      <c r="CS166" s="140"/>
      <c r="CT166" s="140"/>
      <c r="CU166" s="140"/>
      <c r="CV166" s="140"/>
      <c r="CW166" s="140"/>
      <c r="CX166" s="140"/>
      <c r="CY166" s="140"/>
      <c r="CZ166" s="140"/>
      <c r="DA166" s="140"/>
      <c r="DB166" s="140"/>
      <c r="DC166" s="140"/>
      <c r="DD166" s="140"/>
      <c r="DE166" s="140"/>
    </row>
    <row r="167" spans="1:109" s="139" customFormat="1" ht="15" customHeight="1"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3"/>
      <c r="U167" s="143"/>
      <c r="V167" s="143"/>
      <c r="W167" s="143"/>
      <c r="X167" s="143"/>
      <c r="Y167" s="143"/>
      <c r="Z167" s="143"/>
      <c r="AA167" s="143"/>
      <c r="AC167" s="140"/>
      <c r="AD167" s="140"/>
      <c r="AE167" s="140"/>
      <c r="AF167" s="140"/>
      <c r="AG167" s="140"/>
      <c r="AH167" s="141"/>
      <c r="AI167" s="143"/>
      <c r="AJ167" s="140"/>
      <c r="AK167" s="140"/>
      <c r="AL167" s="140"/>
      <c r="AM167" s="140"/>
      <c r="AN167" s="140"/>
      <c r="AO167" s="140"/>
      <c r="AP167" s="140"/>
      <c r="AQ167" s="140"/>
      <c r="AR167" s="140"/>
      <c r="AS167" s="140"/>
      <c r="AT167" s="140"/>
      <c r="AU167" s="140"/>
      <c r="AV167" s="140"/>
      <c r="AW167" s="140"/>
      <c r="AX167" s="140"/>
      <c r="AY167" s="140"/>
      <c r="AZ167" s="140"/>
      <c r="BA167" s="140"/>
      <c r="BB167" s="140"/>
      <c r="BC167" s="140"/>
      <c r="BD167" s="140"/>
      <c r="BE167" s="140"/>
      <c r="BF167" s="140"/>
      <c r="BG167" s="140"/>
      <c r="BH167" s="140"/>
      <c r="BI167" s="140"/>
      <c r="BJ167" s="140"/>
      <c r="BK167" s="140"/>
      <c r="BL167" s="140"/>
      <c r="BM167" s="140"/>
      <c r="BN167" s="140"/>
      <c r="BO167" s="140"/>
      <c r="BP167" s="140"/>
      <c r="BQ167" s="140"/>
      <c r="BR167" s="140"/>
      <c r="BS167" s="140"/>
      <c r="BT167" s="140"/>
      <c r="BU167" s="140"/>
      <c r="BV167" s="140"/>
      <c r="BW167" s="140"/>
      <c r="BX167" s="140"/>
      <c r="BY167" s="140"/>
      <c r="BZ167" s="140"/>
      <c r="CA167" s="140"/>
      <c r="CB167" s="140"/>
      <c r="CC167" s="140"/>
      <c r="CD167" s="140"/>
      <c r="CE167" s="140"/>
      <c r="CF167" s="140"/>
      <c r="CG167" s="140"/>
      <c r="CH167" s="140"/>
      <c r="CI167" s="140"/>
      <c r="CJ167" s="140"/>
      <c r="CK167" s="140"/>
      <c r="CL167" s="140"/>
      <c r="CM167" s="140"/>
      <c r="CN167" s="140"/>
      <c r="CO167" s="140"/>
      <c r="CP167" s="140"/>
      <c r="CQ167" s="140"/>
      <c r="CR167" s="140"/>
      <c r="CS167" s="140"/>
      <c r="CT167" s="140"/>
      <c r="CU167" s="140"/>
      <c r="CV167" s="140"/>
      <c r="CW167" s="140"/>
      <c r="CX167" s="140"/>
      <c r="CY167" s="140"/>
      <c r="CZ167" s="140"/>
      <c r="DA167" s="140"/>
      <c r="DB167" s="140"/>
      <c r="DC167" s="140"/>
      <c r="DD167" s="140"/>
      <c r="DE167" s="140"/>
    </row>
    <row r="168" spans="1:109" s="139" customFormat="1" ht="15" customHeight="1"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3"/>
      <c r="U168" s="143"/>
      <c r="V168" s="143"/>
      <c r="W168" s="143"/>
      <c r="X168" s="143"/>
      <c r="Y168" s="143"/>
      <c r="Z168" s="143"/>
      <c r="AA168" s="143"/>
      <c r="AC168" s="140"/>
      <c r="AD168" s="140"/>
      <c r="AE168" s="140"/>
      <c r="AF168" s="140"/>
      <c r="AG168" s="140"/>
      <c r="AH168" s="141"/>
      <c r="AI168" s="143"/>
      <c r="AJ168" s="140"/>
      <c r="AK168" s="140"/>
      <c r="AL168" s="140"/>
      <c r="AM168" s="140"/>
      <c r="AN168" s="140"/>
      <c r="AO168" s="140"/>
      <c r="AP168" s="140"/>
      <c r="AQ168" s="140"/>
      <c r="AR168" s="140"/>
      <c r="AS168" s="140"/>
      <c r="AT168" s="140"/>
      <c r="AU168" s="140"/>
      <c r="AV168" s="140"/>
      <c r="AW168" s="140"/>
      <c r="AX168" s="140"/>
      <c r="AY168" s="140"/>
      <c r="AZ168" s="140"/>
      <c r="BA168" s="140"/>
      <c r="BB168" s="140"/>
      <c r="BC168" s="140"/>
      <c r="BD168" s="140"/>
      <c r="BE168" s="140"/>
      <c r="BF168" s="140"/>
      <c r="BG168" s="140"/>
      <c r="BH168" s="140"/>
      <c r="BI168" s="140"/>
      <c r="BJ168" s="140"/>
      <c r="BK168" s="140"/>
      <c r="BL168" s="140"/>
      <c r="BM168" s="140"/>
      <c r="BN168" s="140"/>
      <c r="BO168" s="140"/>
      <c r="BP168" s="140"/>
      <c r="BQ168" s="140"/>
      <c r="BR168" s="140"/>
      <c r="BS168" s="140"/>
      <c r="BT168" s="140"/>
      <c r="BU168" s="140"/>
      <c r="BV168" s="140"/>
      <c r="BW168" s="140"/>
      <c r="BX168" s="140"/>
      <c r="BY168" s="140"/>
      <c r="BZ168" s="140"/>
      <c r="CA168" s="140"/>
      <c r="CB168" s="140"/>
      <c r="CC168" s="140"/>
      <c r="CD168" s="140"/>
      <c r="CE168" s="140"/>
      <c r="CF168" s="140"/>
      <c r="CG168" s="140"/>
      <c r="CH168" s="140"/>
      <c r="CI168" s="140"/>
      <c r="CJ168" s="140"/>
      <c r="CK168" s="140"/>
      <c r="CL168" s="140"/>
      <c r="CM168" s="140"/>
      <c r="CN168" s="140"/>
      <c r="CO168" s="140"/>
      <c r="CP168" s="140"/>
      <c r="CQ168" s="140"/>
      <c r="CR168" s="140"/>
      <c r="CS168" s="140"/>
      <c r="CT168" s="140"/>
      <c r="CU168" s="140"/>
      <c r="CV168" s="140"/>
      <c r="CW168" s="140"/>
      <c r="CX168" s="140"/>
      <c r="CY168" s="140"/>
      <c r="CZ168" s="140"/>
      <c r="DA168" s="140"/>
      <c r="DB168" s="140"/>
      <c r="DC168" s="140"/>
      <c r="DD168" s="140"/>
      <c r="DE168" s="140"/>
    </row>
    <row r="169" spans="1:109" s="139" customFormat="1" ht="15" customHeight="1"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3"/>
      <c r="U169" s="143"/>
      <c r="V169" s="143"/>
      <c r="W169" s="143"/>
      <c r="X169" s="143"/>
      <c r="Y169" s="143"/>
      <c r="Z169" s="143"/>
      <c r="AA169" s="143"/>
      <c r="AC169" s="140"/>
      <c r="AD169" s="140"/>
      <c r="AE169" s="140"/>
      <c r="AF169" s="140"/>
      <c r="AG169" s="140"/>
      <c r="AH169" s="141"/>
      <c r="AI169" s="143"/>
      <c r="AJ169" s="140"/>
      <c r="AK169" s="140"/>
      <c r="AL169" s="140"/>
      <c r="AM169" s="140"/>
      <c r="AN169" s="140"/>
      <c r="AO169" s="140"/>
      <c r="AP169" s="140"/>
      <c r="AQ169" s="140"/>
      <c r="AR169" s="140"/>
      <c r="AS169" s="140"/>
      <c r="AT169" s="140"/>
      <c r="AU169" s="140"/>
      <c r="AV169" s="140"/>
      <c r="AW169" s="140"/>
      <c r="AX169" s="140"/>
      <c r="AY169" s="140"/>
      <c r="AZ169" s="140"/>
      <c r="BA169" s="140"/>
      <c r="BB169" s="140"/>
      <c r="BC169" s="140"/>
      <c r="BD169" s="140"/>
      <c r="BE169" s="140"/>
      <c r="BF169" s="140"/>
      <c r="BG169" s="140"/>
      <c r="BH169" s="140"/>
      <c r="BI169" s="140"/>
      <c r="BJ169" s="140"/>
      <c r="BK169" s="140"/>
      <c r="BL169" s="140"/>
      <c r="BM169" s="140"/>
      <c r="BN169" s="140"/>
      <c r="BO169" s="140"/>
      <c r="BP169" s="140"/>
      <c r="BQ169" s="140"/>
      <c r="BR169" s="140"/>
      <c r="BS169" s="140"/>
      <c r="BT169" s="140"/>
      <c r="BU169" s="140"/>
      <c r="BV169" s="140"/>
      <c r="BW169" s="140"/>
      <c r="BX169" s="140"/>
      <c r="BY169" s="140"/>
      <c r="BZ169" s="140"/>
      <c r="CA169" s="140"/>
      <c r="CB169" s="140"/>
      <c r="CC169" s="140"/>
      <c r="CD169" s="140"/>
      <c r="CE169" s="140"/>
      <c r="CF169" s="140"/>
      <c r="CG169" s="140"/>
      <c r="CH169" s="140"/>
      <c r="CI169" s="140"/>
      <c r="CJ169" s="140"/>
      <c r="CK169" s="140"/>
      <c r="CL169" s="140"/>
      <c r="CM169" s="140"/>
      <c r="CN169" s="140"/>
      <c r="CO169" s="140"/>
      <c r="CP169" s="140"/>
      <c r="CQ169" s="140"/>
      <c r="CR169" s="140"/>
      <c r="CS169" s="140"/>
      <c r="CT169" s="140"/>
      <c r="CU169" s="140"/>
      <c r="CV169" s="140"/>
      <c r="CW169" s="140"/>
      <c r="CX169" s="140"/>
      <c r="CY169" s="140"/>
      <c r="CZ169" s="140"/>
      <c r="DA169" s="140"/>
      <c r="DB169" s="140"/>
      <c r="DC169" s="140"/>
      <c r="DD169" s="140"/>
      <c r="DE169" s="140"/>
    </row>
    <row r="170" spans="1:109" s="139" customFormat="1" ht="15" customHeight="1"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3"/>
      <c r="U170" s="143"/>
      <c r="V170" s="143"/>
      <c r="W170" s="143"/>
      <c r="X170" s="143"/>
      <c r="Y170" s="143"/>
      <c r="Z170" s="143"/>
      <c r="AA170" s="143"/>
      <c r="AC170" s="140"/>
      <c r="AD170" s="140"/>
      <c r="AE170" s="140"/>
      <c r="AF170" s="140"/>
      <c r="AG170" s="140"/>
      <c r="AH170" s="141"/>
      <c r="AI170" s="143"/>
      <c r="AJ170" s="140"/>
      <c r="AK170" s="140"/>
      <c r="AL170" s="140"/>
      <c r="AM170" s="140"/>
      <c r="AN170" s="140"/>
      <c r="AO170" s="140"/>
      <c r="AP170" s="140"/>
      <c r="AQ170" s="140"/>
      <c r="AR170" s="140"/>
      <c r="AS170" s="140"/>
      <c r="AT170" s="140"/>
      <c r="AU170" s="140"/>
      <c r="AV170" s="140"/>
      <c r="AW170" s="140"/>
      <c r="AX170" s="140"/>
      <c r="AY170" s="140"/>
      <c r="AZ170" s="140"/>
      <c r="BA170" s="140"/>
      <c r="BB170" s="140"/>
      <c r="BC170" s="140"/>
      <c r="BD170" s="140"/>
      <c r="BE170" s="140"/>
      <c r="BF170" s="140"/>
      <c r="BG170" s="140"/>
      <c r="BH170" s="140"/>
      <c r="BI170" s="140"/>
      <c r="BJ170" s="140"/>
      <c r="BK170" s="140"/>
      <c r="BL170" s="140"/>
      <c r="BM170" s="140"/>
      <c r="BN170" s="140"/>
      <c r="BO170" s="140"/>
      <c r="BP170" s="140"/>
      <c r="BQ170" s="140"/>
      <c r="BR170" s="140"/>
      <c r="BS170" s="140"/>
      <c r="BT170" s="140"/>
      <c r="BU170" s="140"/>
      <c r="BV170" s="140"/>
      <c r="BW170" s="140"/>
      <c r="BX170" s="140"/>
      <c r="BY170" s="140"/>
      <c r="BZ170" s="140"/>
      <c r="CA170" s="140"/>
      <c r="CB170" s="140"/>
      <c r="CC170" s="140"/>
      <c r="CD170" s="140"/>
      <c r="CE170" s="140"/>
      <c r="CF170" s="140"/>
      <c r="CG170" s="140"/>
      <c r="CH170" s="140"/>
      <c r="CI170" s="140"/>
      <c r="CJ170" s="140"/>
      <c r="CK170" s="140"/>
      <c r="CL170" s="140"/>
      <c r="CM170" s="140"/>
      <c r="CN170" s="140"/>
      <c r="CO170" s="140"/>
      <c r="CP170" s="140"/>
      <c r="CQ170" s="140"/>
      <c r="CR170" s="140"/>
      <c r="CS170" s="140"/>
      <c r="CT170" s="140"/>
      <c r="CU170" s="140"/>
      <c r="CV170" s="140"/>
      <c r="CW170" s="140"/>
      <c r="CX170" s="140"/>
      <c r="CY170" s="140"/>
      <c r="CZ170" s="140"/>
      <c r="DA170" s="140"/>
      <c r="DB170" s="140"/>
      <c r="DC170" s="140"/>
      <c r="DD170" s="140"/>
      <c r="DE170" s="140"/>
    </row>
    <row r="171" spans="1:109" s="139" customFormat="1" ht="15" customHeight="1"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3"/>
      <c r="U171" s="143"/>
      <c r="V171" s="143"/>
      <c r="W171" s="143"/>
      <c r="X171" s="143"/>
      <c r="Y171" s="143"/>
      <c r="Z171" s="143"/>
      <c r="AA171" s="143"/>
      <c r="AC171" s="140"/>
      <c r="AD171" s="140"/>
      <c r="AE171" s="140"/>
      <c r="AF171" s="140"/>
      <c r="AG171" s="140"/>
      <c r="AH171" s="141"/>
      <c r="AI171" s="143"/>
      <c r="AJ171" s="140"/>
      <c r="AK171" s="140"/>
      <c r="AL171" s="140"/>
      <c r="AM171" s="140"/>
      <c r="AN171" s="140"/>
      <c r="AO171" s="140"/>
      <c r="AP171" s="140"/>
      <c r="AQ171" s="140"/>
      <c r="AR171" s="140"/>
      <c r="AS171" s="140"/>
      <c r="AT171" s="140"/>
      <c r="AU171" s="140"/>
      <c r="AV171" s="140"/>
      <c r="AW171" s="140"/>
      <c r="AX171" s="140"/>
      <c r="AY171" s="140"/>
      <c r="AZ171" s="140"/>
      <c r="BA171" s="140"/>
      <c r="BB171" s="140"/>
      <c r="BC171" s="140"/>
      <c r="BD171" s="140"/>
      <c r="BE171" s="140"/>
      <c r="BF171" s="140"/>
      <c r="BG171" s="140"/>
      <c r="BH171" s="140"/>
      <c r="BI171" s="140"/>
      <c r="BJ171" s="140"/>
      <c r="BK171" s="140"/>
      <c r="BL171" s="140"/>
      <c r="BM171" s="140"/>
      <c r="BN171" s="140"/>
      <c r="BO171" s="140"/>
      <c r="BP171" s="140"/>
      <c r="BQ171" s="140"/>
      <c r="BR171" s="140"/>
      <c r="BS171" s="140"/>
      <c r="BT171" s="140"/>
      <c r="BU171" s="140"/>
      <c r="BV171" s="140"/>
      <c r="BW171" s="140"/>
      <c r="BX171" s="140"/>
      <c r="BY171" s="140"/>
      <c r="BZ171" s="140"/>
      <c r="CA171" s="140"/>
      <c r="CB171" s="140"/>
      <c r="CC171" s="140"/>
      <c r="CD171" s="140"/>
      <c r="CE171" s="140"/>
      <c r="CF171" s="140"/>
      <c r="CG171" s="140"/>
      <c r="CH171" s="140"/>
      <c r="CI171" s="140"/>
      <c r="CJ171" s="140"/>
      <c r="CK171" s="140"/>
      <c r="CL171" s="140"/>
      <c r="CM171" s="140"/>
      <c r="CN171" s="140"/>
      <c r="CO171" s="140"/>
      <c r="CP171" s="140"/>
      <c r="CQ171" s="140"/>
      <c r="CR171" s="140"/>
      <c r="CS171" s="140"/>
      <c r="CT171" s="140"/>
      <c r="CU171" s="140"/>
      <c r="CV171" s="140"/>
      <c r="CW171" s="140"/>
      <c r="CX171" s="140"/>
      <c r="CY171" s="140"/>
      <c r="CZ171" s="140"/>
      <c r="DA171" s="140"/>
      <c r="DB171" s="140"/>
      <c r="DC171" s="140"/>
      <c r="DD171" s="140"/>
      <c r="DE171" s="140"/>
    </row>
    <row r="172" spans="1:109" s="139" customFormat="1" ht="15" customHeight="1"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3"/>
      <c r="U172" s="143"/>
      <c r="V172" s="143"/>
      <c r="W172" s="143"/>
      <c r="X172" s="143"/>
      <c r="Y172" s="143"/>
      <c r="Z172" s="143"/>
      <c r="AA172" s="143"/>
      <c r="AC172" s="140"/>
      <c r="AD172" s="140"/>
      <c r="AE172" s="140"/>
      <c r="AF172" s="140"/>
      <c r="AG172" s="140"/>
      <c r="AH172" s="141"/>
      <c r="AI172" s="143"/>
      <c r="AJ172" s="140"/>
      <c r="AK172" s="140"/>
      <c r="AL172" s="140"/>
      <c r="AM172" s="140"/>
      <c r="AN172" s="140"/>
      <c r="AO172" s="140"/>
      <c r="AP172" s="140"/>
      <c r="AQ172" s="140"/>
      <c r="AR172" s="140"/>
      <c r="AS172" s="140"/>
      <c r="AT172" s="140"/>
      <c r="AU172" s="140"/>
      <c r="AV172" s="140"/>
      <c r="AW172" s="140"/>
      <c r="AX172" s="140"/>
      <c r="AY172" s="140"/>
      <c r="AZ172" s="140"/>
      <c r="BA172" s="140"/>
      <c r="BB172" s="140"/>
      <c r="BC172" s="140"/>
      <c r="BD172" s="140"/>
      <c r="BE172" s="140"/>
      <c r="BF172" s="140"/>
      <c r="BG172" s="140"/>
      <c r="BH172" s="140"/>
      <c r="BI172" s="140"/>
      <c r="BJ172" s="140"/>
      <c r="BK172" s="140"/>
      <c r="BL172" s="140"/>
      <c r="BM172" s="140"/>
      <c r="BN172" s="140"/>
      <c r="BO172" s="140"/>
      <c r="BP172" s="140"/>
      <c r="BQ172" s="140"/>
      <c r="BR172" s="140"/>
      <c r="BS172" s="140"/>
      <c r="BT172" s="140"/>
      <c r="BU172" s="140"/>
      <c r="BV172" s="140"/>
      <c r="BW172" s="140"/>
      <c r="BX172" s="140"/>
      <c r="BY172" s="140"/>
      <c r="BZ172" s="140"/>
      <c r="CA172" s="140"/>
      <c r="CB172" s="140"/>
      <c r="CC172" s="140"/>
      <c r="CD172" s="140"/>
      <c r="CE172" s="140"/>
      <c r="CF172" s="140"/>
      <c r="CG172" s="140"/>
      <c r="CH172" s="140"/>
      <c r="CI172" s="140"/>
      <c r="CJ172" s="140"/>
      <c r="CK172" s="140"/>
      <c r="CL172" s="140"/>
      <c r="CM172" s="140"/>
      <c r="CN172" s="140"/>
      <c r="CO172" s="140"/>
      <c r="CP172" s="140"/>
      <c r="CQ172" s="140"/>
      <c r="CR172" s="140"/>
      <c r="CS172" s="140"/>
      <c r="CT172" s="140"/>
      <c r="CU172" s="140"/>
      <c r="CV172" s="140"/>
      <c r="CW172" s="140"/>
      <c r="CX172" s="140"/>
      <c r="CY172" s="140"/>
      <c r="CZ172" s="140"/>
      <c r="DA172" s="140"/>
      <c r="DB172" s="140"/>
      <c r="DC172" s="140"/>
      <c r="DD172" s="140"/>
      <c r="DE172" s="140"/>
    </row>
    <row r="173" spans="1:109" s="139" customFormat="1" ht="15" customHeight="1"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3"/>
      <c r="U173" s="143"/>
      <c r="V173" s="143"/>
      <c r="W173" s="143"/>
      <c r="X173" s="143"/>
      <c r="Y173" s="143"/>
      <c r="Z173" s="143"/>
      <c r="AA173" s="143"/>
      <c r="AC173" s="140"/>
      <c r="AD173" s="140"/>
      <c r="AE173" s="140"/>
      <c r="AF173" s="140"/>
      <c r="AG173" s="140"/>
      <c r="AH173" s="141"/>
      <c r="AI173" s="143"/>
      <c r="AJ173" s="140"/>
      <c r="AK173" s="140"/>
      <c r="AL173" s="140"/>
      <c r="AM173" s="140"/>
      <c r="AN173" s="140"/>
      <c r="AO173" s="140"/>
      <c r="AP173" s="140"/>
      <c r="AQ173" s="140"/>
      <c r="AR173" s="140"/>
      <c r="AS173" s="140"/>
      <c r="AT173" s="140"/>
      <c r="AU173" s="140"/>
      <c r="AV173" s="140"/>
      <c r="AW173" s="140"/>
      <c r="AX173" s="140"/>
      <c r="AY173" s="140"/>
      <c r="AZ173" s="140"/>
      <c r="BA173" s="140"/>
      <c r="BB173" s="140"/>
      <c r="BC173" s="140"/>
      <c r="BD173" s="140"/>
      <c r="BE173" s="140"/>
      <c r="BF173" s="140"/>
      <c r="BG173" s="140"/>
      <c r="BH173" s="140"/>
      <c r="BI173" s="140"/>
      <c r="BJ173" s="140"/>
      <c r="BK173" s="140"/>
      <c r="BL173" s="140"/>
      <c r="BM173" s="140"/>
      <c r="BN173" s="140"/>
      <c r="BO173" s="140"/>
      <c r="BP173" s="140"/>
      <c r="BQ173" s="140"/>
      <c r="BR173" s="140"/>
      <c r="BS173" s="140"/>
      <c r="BT173" s="140"/>
      <c r="BU173" s="140"/>
      <c r="BV173" s="140"/>
      <c r="BW173" s="140"/>
      <c r="BX173" s="140"/>
      <c r="BY173" s="140"/>
      <c r="BZ173" s="140"/>
      <c r="CA173" s="140"/>
      <c r="CB173" s="140"/>
      <c r="CC173" s="140"/>
      <c r="CD173" s="140"/>
      <c r="CE173" s="140"/>
      <c r="CF173" s="140"/>
      <c r="CG173" s="140"/>
      <c r="CH173" s="140"/>
      <c r="CI173" s="140"/>
      <c r="CJ173" s="140"/>
      <c r="CK173" s="140"/>
      <c r="CL173" s="140"/>
      <c r="CM173" s="140"/>
      <c r="CN173" s="140"/>
      <c r="CO173" s="140"/>
      <c r="CP173" s="140"/>
      <c r="CQ173" s="140"/>
      <c r="CR173" s="140"/>
      <c r="CS173" s="140"/>
      <c r="CT173" s="140"/>
      <c r="CU173" s="140"/>
      <c r="CV173" s="140"/>
      <c r="CW173" s="140"/>
      <c r="CX173" s="140"/>
      <c r="CY173" s="140"/>
      <c r="CZ173" s="140"/>
      <c r="DA173" s="140"/>
      <c r="DB173" s="140"/>
      <c r="DC173" s="140"/>
      <c r="DD173" s="140"/>
      <c r="DE173" s="140"/>
    </row>
    <row r="174" spans="1:109" s="139" customFormat="1" ht="15" customHeight="1"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3"/>
      <c r="U174" s="143"/>
      <c r="V174" s="143"/>
      <c r="W174" s="143"/>
      <c r="X174" s="143"/>
      <c r="Y174" s="143"/>
      <c r="Z174" s="143"/>
      <c r="AA174" s="143"/>
      <c r="AC174" s="140"/>
      <c r="AD174" s="140"/>
      <c r="AE174" s="140"/>
      <c r="AF174" s="140"/>
      <c r="AG174" s="140"/>
      <c r="AH174" s="141"/>
      <c r="AI174" s="143"/>
      <c r="AJ174" s="140"/>
      <c r="AK174" s="140"/>
      <c r="AL174" s="140"/>
      <c r="AM174" s="140"/>
      <c r="AN174" s="140"/>
      <c r="AO174" s="140"/>
      <c r="AP174" s="140"/>
      <c r="AQ174" s="140"/>
      <c r="AR174" s="140"/>
      <c r="AS174" s="140"/>
      <c r="AT174" s="140"/>
      <c r="AU174" s="140"/>
      <c r="AV174" s="140"/>
      <c r="AW174" s="140"/>
      <c r="AX174" s="140"/>
      <c r="AY174" s="140"/>
      <c r="AZ174" s="140"/>
      <c r="BA174" s="140"/>
      <c r="BB174" s="140"/>
      <c r="BC174" s="140"/>
      <c r="BD174" s="140"/>
      <c r="BE174" s="140"/>
      <c r="BF174" s="140"/>
      <c r="BG174" s="140"/>
      <c r="BH174" s="140"/>
      <c r="BI174" s="140"/>
      <c r="BJ174" s="140"/>
      <c r="BK174" s="140"/>
      <c r="BL174" s="140"/>
      <c r="BM174" s="140"/>
      <c r="BN174" s="140"/>
      <c r="BO174" s="140"/>
      <c r="BP174" s="140"/>
      <c r="BQ174" s="140"/>
      <c r="BR174" s="140"/>
      <c r="BS174" s="140"/>
      <c r="BT174" s="140"/>
      <c r="BU174" s="140"/>
      <c r="BV174" s="140"/>
      <c r="BW174" s="140"/>
      <c r="BX174" s="140"/>
      <c r="BY174" s="140"/>
      <c r="BZ174" s="140"/>
      <c r="CA174" s="140"/>
      <c r="CB174" s="140"/>
      <c r="CC174" s="140"/>
      <c r="CD174" s="140"/>
      <c r="CE174" s="140"/>
      <c r="CF174" s="140"/>
      <c r="CG174" s="140"/>
      <c r="CH174" s="140"/>
      <c r="CI174" s="140"/>
      <c r="CJ174" s="140"/>
      <c r="CK174" s="140"/>
      <c r="CL174" s="140"/>
      <c r="CM174" s="140"/>
      <c r="CN174" s="140"/>
      <c r="CO174" s="140"/>
      <c r="CP174" s="140"/>
      <c r="CQ174" s="140"/>
      <c r="CR174" s="140"/>
      <c r="CS174" s="140"/>
      <c r="CT174" s="140"/>
      <c r="CU174" s="140"/>
      <c r="CV174" s="140"/>
      <c r="CW174" s="140"/>
      <c r="CX174" s="140"/>
      <c r="CY174" s="140"/>
      <c r="CZ174" s="140"/>
      <c r="DA174" s="140"/>
      <c r="DB174" s="140"/>
      <c r="DC174" s="140"/>
      <c r="DD174" s="140"/>
      <c r="DE174" s="140"/>
    </row>
    <row r="175" spans="1:109" s="139" customFormat="1" ht="15" customHeight="1"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3"/>
      <c r="U175" s="143"/>
      <c r="V175" s="143"/>
      <c r="W175" s="143"/>
      <c r="X175" s="143"/>
      <c r="Y175" s="143"/>
      <c r="Z175" s="143"/>
      <c r="AA175" s="143"/>
      <c r="AC175" s="140"/>
      <c r="AD175" s="140"/>
      <c r="AE175" s="140"/>
      <c r="AF175" s="140"/>
      <c r="AG175" s="140"/>
      <c r="AH175" s="141"/>
      <c r="AI175" s="143"/>
      <c r="AJ175" s="140"/>
      <c r="AK175" s="140"/>
      <c r="AL175" s="140"/>
      <c r="AM175" s="140"/>
      <c r="AN175" s="140"/>
      <c r="AO175" s="140"/>
      <c r="AP175" s="140"/>
      <c r="AQ175" s="140"/>
      <c r="AR175" s="140"/>
      <c r="AS175" s="140"/>
      <c r="AT175" s="140"/>
      <c r="AU175" s="140"/>
      <c r="AV175" s="140"/>
      <c r="AW175" s="140"/>
      <c r="AX175" s="140"/>
      <c r="AY175" s="140"/>
      <c r="AZ175" s="140"/>
      <c r="BA175" s="140"/>
      <c r="BB175" s="140"/>
      <c r="BC175" s="140"/>
      <c r="BD175" s="140"/>
      <c r="BE175" s="140"/>
      <c r="BF175" s="140"/>
      <c r="BG175" s="140"/>
      <c r="BH175" s="140"/>
      <c r="BI175" s="140"/>
      <c r="BJ175" s="140"/>
      <c r="BK175" s="140"/>
      <c r="BL175" s="140"/>
      <c r="BM175" s="140"/>
      <c r="BN175" s="140"/>
      <c r="BO175" s="140"/>
      <c r="BP175" s="140"/>
      <c r="BQ175" s="140"/>
      <c r="BR175" s="140"/>
      <c r="BS175" s="140"/>
      <c r="BT175" s="140"/>
      <c r="BU175" s="140"/>
      <c r="BV175" s="140"/>
      <c r="BW175" s="140"/>
      <c r="BX175" s="140"/>
      <c r="BY175" s="140"/>
      <c r="BZ175" s="140"/>
      <c r="CA175" s="140"/>
      <c r="CB175" s="140"/>
      <c r="CC175" s="140"/>
      <c r="CD175" s="140"/>
      <c r="CE175" s="140"/>
      <c r="CF175" s="140"/>
      <c r="CG175" s="140"/>
      <c r="CH175" s="140"/>
      <c r="CI175" s="140"/>
      <c r="CJ175" s="140"/>
      <c r="CK175" s="140"/>
      <c r="CL175" s="140"/>
      <c r="CM175" s="140"/>
      <c r="CN175" s="140"/>
      <c r="CO175" s="140"/>
      <c r="CP175" s="140"/>
      <c r="CQ175" s="140"/>
      <c r="CR175" s="140"/>
      <c r="CS175" s="140"/>
      <c r="CT175" s="140"/>
      <c r="CU175" s="140"/>
      <c r="CV175" s="140"/>
      <c r="CW175" s="140"/>
      <c r="CX175" s="140"/>
      <c r="CY175" s="140"/>
      <c r="CZ175" s="140"/>
      <c r="DA175" s="140"/>
      <c r="DB175" s="140"/>
      <c r="DC175" s="140"/>
      <c r="DD175" s="140"/>
      <c r="DE175" s="140"/>
    </row>
    <row r="176" spans="1:109" ht="15" customHeight="1">
      <c r="A176" s="139"/>
      <c r="T176" s="143"/>
      <c r="U176" s="143"/>
      <c r="V176" s="143"/>
      <c r="W176" s="143"/>
      <c r="X176" s="143"/>
      <c r="Y176" s="143"/>
      <c r="Z176" s="143"/>
      <c r="AA176" s="143"/>
    </row>
    <row r="177" spans="1:35" ht="15" customHeight="1">
      <c r="A177" s="139"/>
      <c r="T177" s="143"/>
      <c r="U177" s="143"/>
      <c r="V177" s="143"/>
      <c r="W177" s="143"/>
      <c r="X177" s="143"/>
      <c r="Y177" s="143"/>
      <c r="Z177" s="143"/>
      <c r="AA177" s="143"/>
    </row>
    <row r="178" spans="1:35" ht="15" customHeight="1">
      <c r="A178" s="139"/>
      <c r="T178" s="143"/>
      <c r="U178" s="143"/>
      <c r="V178" s="143"/>
      <c r="W178" s="143"/>
      <c r="X178" s="143"/>
      <c r="Y178" s="143"/>
      <c r="Z178" s="143"/>
      <c r="AA178" s="143"/>
    </row>
    <row r="179" spans="1:35" ht="15" customHeight="1">
      <c r="A179" s="139"/>
      <c r="T179" s="143"/>
      <c r="U179" s="143"/>
      <c r="V179" s="143"/>
      <c r="W179" s="143"/>
      <c r="X179" s="143"/>
      <c r="Y179" s="143"/>
      <c r="Z179" s="143"/>
      <c r="AA179" s="143"/>
    </row>
    <row r="180" spans="1:35" ht="15" customHeight="1">
      <c r="A180" s="139"/>
      <c r="T180" s="143"/>
      <c r="U180" s="143"/>
      <c r="V180" s="143"/>
      <c r="W180" s="143"/>
      <c r="X180" s="143"/>
      <c r="Y180" s="143"/>
      <c r="Z180" s="143"/>
      <c r="AA180" s="143"/>
    </row>
    <row r="181" spans="1:35" ht="15" customHeight="1">
      <c r="A181" s="139"/>
      <c r="T181" s="143"/>
      <c r="U181" s="143"/>
      <c r="V181" s="143"/>
      <c r="W181" s="143"/>
      <c r="X181" s="143"/>
      <c r="Y181" s="143"/>
      <c r="Z181" s="143"/>
      <c r="AA181" s="143"/>
    </row>
    <row r="182" spans="1:35" ht="15" customHeight="1">
      <c r="A182" s="139"/>
      <c r="T182" s="143"/>
      <c r="U182" s="143"/>
      <c r="V182" s="143"/>
      <c r="W182" s="143"/>
      <c r="X182" s="143"/>
      <c r="Y182" s="143"/>
      <c r="Z182" s="143"/>
      <c r="AA182" s="143"/>
    </row>
    <row r="183" spans="1:35" ht="15" customHeight="1">
      <c r="A183" s="139"/>
      <c r="T183" s="143"/>
      <c r="U183" s="143"/>
      <c r="V183" s="143"/>
      <c r="W183" s="143"/>
      <c r="X183" s="143"/>
      <c r="Y183" s="143"/>
      <c r="Z183" s="143"/>
      <c r="AA183" s="143"/>
    </row>
    <row r="184" spans="1:35" ht="15" customHeight="1">
      <c r="A184" s="139"/>
      <c r="T184" s="143"/>
      <c r="U184" s="143"/>
      <c r="V184" s="143"/>
      <c r="W184" s="143"/>
      <c r="X184" s="143"/>
      <c r="Y184" s="143"/>
      <c r="Z184" s="143"/>
      <c r="AA184" s="143"/>
    </row>
    <row r="185" spans="1:35" ht="15" customHeight="1">
      <c r="A185" s="139"/>
      <c r="T185" s="143"/>
      <c r="U185" s="143"/>
      <c r="V185" s="143"/>
      <c r="W185" s="143"/>
      <c r="X185" s="143"/>
      <c r="Y185" s="143"/>
      <c r="Z185" s="143"/>
      <c r="AA185" s="143"/>
    </row>
    <row r="186" spans="1:35" ht="15" customHeight="1">
      <c r="A186" s="139"/>
      <c r="T186" s="143"/>
      <c r="U186" s="143"/>
      <c r="V186" s="143"/>
      <c r="W186" s="143"/>
      <c r="X186" s="143"/>
      <c r="Y186" s="143"/>
      <c r="Z186" s="143"/>
      <c r="AA186" s="143"/>
    </row>
    <row r="187" spans="1:35" ht="15" customHeight="1">
      <c r="A187" s="139"/>
      <c r="T187" s="143"/>
      <c r="U187" s="143"/>
      <c r="V187" s="143"/>
      <c r="W187" s="143"/>
      <c r="X187" s="143"/>
      <c r="Y187" s="143"/>
      <c r="Z187" s="143"/>
      <c r="AA187" s="143"/>
    </row>
    <row r="188" spans="1:35" ht="15" customHeight="1">
      <c r="A188" s="139"/>
      <c r="T188" s="143"/>
      <c r="U188" s="143"/>
      <c r="V188" s="143"/>
      <c r="W188" s="143"/>
      <c r="X188" s="143"/>
      <c r="Y188" s="143"/>
      <c r="Z188" s="143"/>
      <c r="AA188" s="143"/>
      <c r="AB188" s="153"/>
    </row>
    <row r="189" spans="1:35" s="154" customFormat="1" ht="15" customHeight="1">
      <c r="A189" s="153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3"/>
      <c r="U189" s="143"/>
      <c r="V189" s="143"/>
      <c r="W189" s="143"/>
      <c r="X189" s="143"/>
      <c r="Y189" s="143"/>
      <c r="Z189" s="143"/>
      <c r="AA189" s="143"/>
      <c r="AB189" s="139"/>
      <c r="AI189" s="156"/>
    </row>
    <row r="190" spans="1:35">
      <c r="A190" s="139"/>
      <c r="T190" s="143"/>
      <c r="U190" s="143"/>
      <c r="V190" s="143"/>
      <c r="W190" s="143"/>
      <c r="X190" s="143"/>
      <c r="Y190" s="143"/>
      <c r="Z190" s="143"/>
      <c r="AA190" s="143"/>
      <c r="AB190" s="153"/>
    </row>
    <row r="191" spans="1:35" s="154" customFormat="1" ht="15" customHeight="1">
      <c r="A191" s="153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3"/>
      <c r="U191" s="143"/>
      <c r="V191" s="143"/>
      <c r="W191" s="143"/>
      <c r="X191" s="143"/>
      <c r="Y191" s="143"/>
      <c r="Z191" s="143"/>
      <c r="AA191" s="143"/>
      <c r="AB191" s="153"/>
      <c r="AI191" s="156"/>
    </row>
    <row r="192" spans="1:35" s="154" customFormat="1" ht="15" customHeight="1">
      <c r="A192" s="153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3"/>
      <c r="U192" s="143"/>
      <c r="V192" s="143"/>
      <c r="W192" s="143"/>
      <c r="X192" s="143"/>
      <c r="Y192" s="143"/>
      <c r="Z192" s="143"/>
      <c r="AA192" s="143"/>
      <c r="AB192" s="153"/>
      <c r="AI192" s="156"/>
    </row>
    <row r="193" spans="1:109" s="154" customFormat="1" ht="15" customHeight="1">
      <c r="A193" s="153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3"/>
      <c r="U193" s="143"/>
      <c r="V193" s="143"/>
      <c r="W193" s="143"/>
      <c r="X193" s="143"/>
      <c r="Y193" s="143"/>
      <c r="Z193" s="143"/>
      <c r="AA193" s="143"/>
      <c r="AB193" s="153"/>
      <c r="AI193" s="156"/>
    </row>
    <row r="194" spans="1:109" s="154" customFormat="1" ht="15" customHeight="1">
      <c r="A194" s="153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3"/>
      <c r="U194" s="143"/>
      <c r="V194" s="143"/>
      <c r="W194" s="143"/>
      <c r="X194" s="143"/>
      <c r="Y194" s="143"/>
      <c r="Z194" s="143"/>
      <c r="AA194" s="143"/>
      <c r="AB194" s="153"/>
      <c r="AI194" s="156"/>
    </row>
    <row r="195" spans="1:109" s="154" customFormat="1" ht="15" customHeight="1">
      <c r="A195" s="153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3"/>
      <c r="U195" s="143"/>
      <c r="V195" s="143"/>
      <c r="W195" s="143"/>
      <c r="X195" s="143"/>
      <c r="Y195" s="143"/>
      <c r="Z195" s="143"/>
      <c r="AA195" s="143"/>
      <c r="AB195" s="153"/>
      <c r="AI195" s="156"/>
    </row>
    <row r="196" spans="1:109" s="154" customFormat="1" ht="15" customHeight="1">
      <c r="A196" s="153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3"/>
      <c r="U196" s="143"/>
      <c r="V196" s="143"/>
      <c r="W196" s="143"/>
      <c r="X196" s="143"/>
      <c r="Y196" s="143"/>
      <c r="Z196" s="143"/>
      <c r="AA196" s="143"/>
      <c r="AB196" s="139"/>
      <c r="AC196" s="140"/>
      <c r="AI196" s="156"/>
    </row>
    <row r="197" spans="1:109">
      <c r="T197" s="143"/>
      <c r="U197" s="143"/>
      <c r="V197" s="143"/>
      <c r="W197" s="143"/>
      <c r="X197" s="143"/>
      <c r="Y197" s="143"/>
      <c r="Z197" s="143"/>
      <c r="AA197" s="143"/>
    </row>
    <row r="198" spans="1:109">
      <c r="T198" s="143"/>
      <c r="U198" s="143"/>
      <c r="V198" s="143"/>
      <c r="W198" s="143"/>
      <c r="X198" s="143"/>
      <c r="Y198" s="143"/>
      <c r="Z198" s="143"/>
      <c r="AA198" s="143"/>
    </row>
    <row r="199" spans="1:109">
      <c r="T199" s="143"/>
      <c r="U199" s="143"/>
      <c r="V199" s="143"/>
      <c r="W199" s="143"/>
      <c r="X199" s="143"/>
      <c r="Y199" s="143"/>
      <c r="Z199" s="143"/>
      <c r="AA199" s="143"/>
    </row>
    <row r="200" spans="1:109">
      <c r="T200" s="143"/>
      <c r="U200" s="143"/>
      <c r="V200" s="143"/>
      <c r="W200" s="143"/>
      <c r="X200" s="143"/>
      <c r="Y200" s="143"/>
      <c r="Z200" s="143"/>
      <c r="AA200" s="143"/>
    </row>
    <row r="201" spans="1:109">
      <c r="T201" s="143"/>
      <c r="U201" s="143"/>
      <c r="V201" s="143"/>
      <c r="W201" s="143"/>
      <c r="X201" s="143"/>
      <c r="Y201" s="143"/>
      <c r="Z201" s="143"/>
      <c r="AA201" s="143"/>
    </row>
    <row r="202" spans="1:109">
      <c r="T202" s="143"/>
      <c r="U202" s="143"/>
      <c r="V202" s="143"/>
      <c r="W202" s="143"/>
      <c r="X202" s="143"/>
      <c r="Y202" s="143"/>
      <c r="Z202" s="143"/>
      <c r="AA202" s="143"/>
    </row>
    <row r="203" spans="1:109">
      <c r="T203" s="143"/>
      <c r="U203" s="143"/>
      <c r="V203" s="143"/>
      <c r="W203" s="143"/>
      <c r="X203" s="143"/>
      <c r="Y203" s="143"/>
      <c r="Z203" s="143"/>
      <c r="AA203" s="143"/>
    </row>
    <row r="204" spans="1:109">
      <c r="T204" s="143"/>
      <c r="U204" s="143"/>
      <c r="V204" s="143"/>
      <c r="W204" s="143"/>
      <c r="X204" s="143"/>
      <c r="Y204" s="143"/>
      <c r="Z204" s="143"/>
      <c r="AA204" s="143"/>
    </row>
    <row r="205" spans="1:109">
      <c r="T205" s="143"/>
      <c r="U205" s="143"/>
      <c r="V205" s="143"/>
      <c r="W205" s="143"/>
      <c r="X205" s="143"/>
      <c r="Y205" s="143"/>
      <c r="Z205" s="143"/>
      <c r="AA205" s="143"/>
    </row>
    <row r="206" spans="1:109">
      <c r="T206" s="143"/>
      <c r="U206" s="143"/>
      <c r="V206" s="143"/>
      <c r="W206" s="143"/>
      <c r="X206" s="143"/>
      <c r="Y206" s="143"/>
      <c r="Z206" s="143"/>
      <c r="AA206" s="143"/>
    </row>
    <row r="207" spans="1:109">
      <c r="T207" s="143"/>
      <c r="U207" s="143"/>
      <c r="V207" s="143"/>
      <c r="W207" s="143"/>
      <c r="X207" s="143"/>
      <c r="Y207" s="143"/>
      <c r="Z207" s="143"/>
      <c r="AA207" s="143"/>
    </row>
    <row r="208" spans="1:109" s="139" customForma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3"/>
      <c r="U208" s="143"/>
      <c r="V208" s="143"/>
      <c r="W208" s="143"/>
      <c r="X208" s="143"/>
      <c r="Y208" s="143"/>
      <c r="Z208" s="143"/>
      <c r="AA208" s="143"/>
      <c r="AC208" s="140"/>
      <c r="AD208" s="140"/>
      <c r="AE208" s="140"/>
      <c r="AF208" s="140"/>
      <c r="AG208" s="140"/>
      <c r="AH208" s="141"/>
      <c r="AI208" s="143"/>
      <c r="AJ208" s="140"/>
      <c r="AK208" s="140"/>
      <c r="AL208" s="140"/>
      <c r="AM208" s="140"/>
      <c r="AN208" s="140"/>
      <c r="AO208" s="140"/>
      <c r="AP208" s="140"/>
      <c r="AQ208" s="140"/>
      <c r="AR208" s="140"/>
      <c r="AS208" s="140"/>
      <c r="AT208" s="140"/>
      <c r="AU208" s="140"/>
      <c r="AV208" s="140"/>
      <c r="AW208" s="140"/>
      <c r="AX208" s="140"/>
      <c r="AY208" s="140"/>
      <c r="AZ208" s="140"/>
      <c r="BA208" s="140"/>
      <c r="BB208" s="140"/>
      <c r="BC208" s="140"/>
      <c r="BD208" s="140"/>
      <c r="BE208" s="140"/>
      <c r="BF208" s="140"/>
      <c r="BG208" s="140"/>
      <c r="BH208" s="140"/>
      <c r="BI208" s="140"/>
      <c r="BJ208" s="140"/>
      <c r="BK208" s="140"/>
      <c r="BL208" s="140"/>
      <c r="BM208" s="140"/>
      <c r="BN208" s="140"/>
      <c r="BO208" s="140"/>
      <c r="BP208" s="140"/>
      <c r="BQ208" s="140"/>
      <c r="BR208" s="140"/>
      <c r="BS208" s="140"/>
      <c r="BT208" s="140"/>
      <c r="BU208" s="140"/>
      <c r="BV208" s="140"/>
      <c r="BW208" s="140"/>
      <c r="BX208" s="140"/>
      <c r="BY208" s="140"/>
      <c r="BZ208" s="140"/>
      <c r="CA208" s="140"/>
      <c r="CB208" s="140"/>
      <c r="CC208" s="140"/>
      <c r="CD208" s="140"/>
      <c r="CE208" s="140"/>
      <c r="CF208" s="140"/>
      <c r="CG208" s="140"/>
      <c r="CH208" s="140"/>
      <c r="CI208" s="140"/>
      <c r="CJ208" s="140"/>
      <c r="CK208" s="140"/>
      <c r="CL208" s="140"/>
      <c r="CM208" s="140"/>
      <c r="CN208" s="140"/>
      <c r="CO208" s="140"/>
      <c r="CP208" s="140"/>
      <c r="CQ208" s="140"/>
      <c r="CR208" s="140"/>
      <c r="CS208" s="140"/>
      <c r="CT208" s="140"/>
      <c r="CU208" s="140"/>
      <c r="CV208" s="140"/>
      <c r="CW208" s="140"/>
      <c r="CX208" s="140"/>
      <c r="CY208" s="140"/>
      <c r="CZ208" s="140"/>
      <c r="DA208" s="140"/>
      <c r="DB208" s="140"/>
      <c r="DC208" s="140"/>
      <c r="DD208" s="140"/>
      <c r="DE208" s="140"/>
    </row>
    <row r="209" spans="1:109" s="139" customForma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3"/>
      <c r="U209" s="143"/>
      <c r="V209" s="143"/>
      <c r="W209" s="143"/>
      <c r="X209" s="143"/>
      <c r="Y209" s="143"/>
      <c r="Z209" s="143"/>
      <c r="AA209" s="143"/>
      <c r="AC209" s="140"/>
      <c r="AD209" s="140"/>
      <c r="AE209" s="140"/>
      <c r="AF209" s="140"/>
      <c r="AG209" s="140"/>
      <c r="AH209" s="141"/>
      <c r="AI209" s="143"/>
      <c r="AJ209" s="140"/>
      <c r="AK209" s="140"/>
      <c r="AL209" s="140"/>
      <c r="AM209" s="140"/>
      <c r="AN209" s="140"/>
      <c r="AO209" s="140"/>
      <c r="AP209" s="140"/>
      <c r="AQ209" s="140"/>
      <c r="AR209" s="140"/>
      <c r="AS209" s="140"/>
      <c r="AT209" s="140"/>
      <c r="AU209" s="140"/>
      <c r="AV209" s="140"/>
      <c r="AW209" s="140"/>
      <c r="AX209" s="140"/>
      <c r="AY209" s="140"/>
      <c r="AZ209" s="140"/>
      <c r="BA209" s="140"/>
      <c r="BB209" s="140"/>
      <c r="BC209" s="140"/>
      <c r="BD209" s="140"/>
      <c r="BE209" s="140"/>
      <c r="BF209" s="140"/>
      <c r="BG209" s="140"/>
      <c r="BH209" s="140"/>
      <c r="BI209" s="140"/>
      <c r="BJ209" s="140"/>
      <c r="BK209" s="140"/>
      <c r="BL209" s="140"/>
      <c r="BM209" s="140"/>
      <c r="BN209" s="140"/>
      <c r="BO209" s="140"/>
      <c r="BP209" s="140"/>
      <c r="BQ209" s="140"/>
      <c r="BR209" s="140"/>
      <c r="BS209" s="140"/>
      <c r="BT209" s="140"/>
      <c r="BU209" s="140"/>
      <c r="BV209" s="140"/>
      <c r="BW209" s="140"/>
      <c r="BX209" s="140"/>
      <c r="BY209" s="140"/>
      <c r="BZ209" s="140"/>
      <c r="CA209" s="140"/>
      <c r="CB209" s="140"/>
      <c r="CC209" s="140"/>
      <c r="CD209" s="140"/>
      <c r="CE209" s="140"/>
      <c r="CF209" s="140"/>
      <c r="CG209" s="140"/>
      <c r="CH209" s="140"/>
      <c r="CI209" s="140"/>
      <c r="CJ209" s="140"/>
      <c r="CK209" s="140"/>
      <c r="CL209" s="140"/>
      <c r="CM209" s="140"/>
      <c r="CN209" s="140"/>
      <c r="CO209" s="140"/>
      <c r="CP209" s="140"/>
      <c r="CQ209" s="140"/>
      <c r="CR209" s="140"/>
      <c r="CS209" s="140"/>
      <c r="CT209" s="140"/>
      <c r="CU209" s="140"/>
      <c r="CV209" s="140"/>
      <c r="CW209" s="140"/>
      <c r="CX209" s="140"/>
      <c r="CY209" s="140"/>
      <c r="CZ209" s="140"/>
      <c r="DA209" s="140"/>
      <c r="DB209" s="140"/>
      <c r="DC209" s="140"/>
      <c r="DD209" s="140"/>
      <c r="DE209" s="140"/>
    </row>
    <row r="210" spans="1:109" s="139" customForma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3"/>
      <c r="U210" s="143"/>
      <c r="V210" s="143"/>
      <c r="W210" s="143"/>
      <c r="X210" s="143"/>
      <c r="Y210" s="143"/>
      <c r="Z210" s="143"/>
      <c r="AA210" s="143"/>
      <c r="AC210" s="140"/>
      <c r="AD210" s="140"/>
      <c r="AE210" s="140"/>
      <c r="AF210" s="140"/>
      <c r="AG210" s="140"/>
      <c r="AH210" s="141"/>
      <c r="AI210" s="143"/>
      <c r="AJ210" s="140"/>
      <c r="AK210" s="140"/>
      <c r="AL210" s="140"/>
      <c r="AM210" s="140"/>
      <c r="AN210" s="140"/>
      <c r="AO210" s="140"/>
      <c r="AP210" s="140"/>
      <c r="AQ210" s="140"/>
      <c r="AR210" s="140"/>
      <c r="AS210" s="140"/>
      <c r="AT210" s="140"/>
      <c r="AU210" s="140"/>
      <c r="AV210" s="140"/>
      <c r="AW210" s="140"/>
      <c r="AX210" s="140"/>
      <c r="AY210" s="140"/>
      <c r="AZ210" s="140"/>
      <c r="BA210" s="140"/>
      <c r="BB210" s="140"/>
      <c r="BC210" s="140"/>
      <c r="BD210" s="140"/>
      <c r="BE210" s="140"/>
      <c r="BF210" s="140"/>
      <c r="BG210" s="140"/>
      <c r="BH210" s="140"/>
      <c r="BI210" s="140"/>
      <c r="BJ210" s="140"/>
      <c r="BK210" s="140"/>
      <c r="BL210" s="140"/>
      <c r="BM210" s="140"/>
      <c r="BN210" s="140"/>
      <c r="BO210" s="140"/>
      <c r="BP210" s="140"/>
      <c r="BQ210" s="140"/>
      <c r="BR210" s="140"/>
      <c r="BS210" s="140"/>
      <c r="BT210" s="140"/>
      <c r="BU210" s="140"/>
      <c r="BV210" s="140"/>
      <c r="BW210" s="140"/>
      <c r="BX210" s="140"/>
      <c r="BY210" s="140"/>
      <c r="BZ210" s="140"/>
      <c r="CA210" s="140"/>
      <c r="CB210" s="140"/>
      <c r="CC210" s="140"/>
      <c r="CD210" s="140"/>
      <c r="CE210" s="140"/>
      <c r="CF210" s="140"/>
      <c r="CG210" s="140"/>
      <c r="CH210" s="140"/>
      <c r="CI210" s="140"/>
      <c r="CJ210" s="140"/>
      <c r="CK210" s="140"/>
      <c r="CL210" s="140"/>
      <c r="CM210" s="140"/>
      <c r="CN210" s="140"/>
      <c r="CO210" s="140"/>
      <c r="CP210" s="140"/>
      <c r="CQ210" s="140"/>
      <c r="CR210" s="140"/>
      <c r="CS210" s="140"/>
      <c r="CT210" s="140"/>
      <c r="CU210" s="140"/>
      <c r="CV210" s="140"/>
      <c r="CW210" s="140"/>
      <c r="CX210" s="140"/>
      <c r="CY210" s="140"/>
      <c r="CZ210" s="140"/>
      <c r="DA210" s="140"/>
      <c r="DB210" s="140"/>
      <c r="DC210" s="140"/>
      <c r="DD210" s="140"/>
      <c r="DE210" s="140"/>
    </row>
    <row r="211" spans="1:109" s="139" customForma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3"/>
      <c r="U211" s="143"/>
      <c r="V211" s="143"/>
      <c r="W211" s="143"/>
      <c r="X211" s="143"/>
      <c r="Y211" s="143"/>
      <c r="Z211" s="143"/>
      <c r="AA211" s="143"/>
      <c r="AC211" s="140"/>
      <c r="AD211" s="140"/>
      <c r="AE211" s="140"/>
      <c r="AF211" s="140"/>
      <c r="AG211" s="140"/>
      <c r="AH211" s="141"/>
      <c r="AI211" s="143"/>
      <c r="AJ211" s="140"/>
      <c r="AK211" s="140"/>
      <c r="AL211" s="140"/>
      <c r="AM211" s="140"/>
      <c r="AN211" s="140"/>
      <c r="AO211" s="140"/>
      <c r="AP211" s="140"/>
      <c r="AQ211" s="140"/>
      <c r="AR211" s="140"/>
      <c r="AS211" s="140"/>
      <c r="AT211" s="140"/>
      <c r="AU211" s="140"/>
      <c r="AV211" s="140"/>
      <c r="AW211" s="140"/>
      <c r="AX211" s="140"/>
      <c r="AY211" s="140"/>
      <c r="AZ211" s="140"/>
      <c r="BA211" s="140"/>
      <c r="BB211" s="140"/>
      <c r="BC211" s="140"/>
      <c r="BD211" s="140"/>
      <c r="BE211" s="140"/>
      <c r="BF211" s="140"/>
      <c r="BG211" s="140"/>
      <c r="BH211" s="140"/>
      <c r="BI211" s="140"/>
      <c r="BJ211" s="140"/>
      <c r="BK211" s="140"/>
      <c r="BL211" s="140"/>
      <c r="BM211" s="140"/>
      <c r="BN211" s="140"/>
      <c r="BO211" s="140"/>
      <c r="BP211" s="140"/>
      <c r="BQ211" s="140"/>
      <c r="BR211" s="140"/>
      <c r="BS211" s="140"/>
      <c r="BT211" s="140"/>
      <c r="BU211" s="140"/>
      <c r="BV211" s="140"/>
      <c r="BW211" s="140"/>
      <c r="BX211" s="140"/>
      <c r="BY211" s="140"/>
      <c r="BZ211" s="140"/>
      <c r="CA211" s="140"/>
      <c r="CB211" s="140"/>
      <c r="CC211" s="140"/>
      <c r="CD211" s="140"/>
      <c r="CE211" s="140"/>
      <c r="CF211" s="140"/>
      <c r="CG211" s="140"/>
      <c r="CH211" s="140"/>
      <c r="CI211" s="140"/>
      <c r="CJ211" s="140"/>
      <c r="CK211" s="140"/>
      <c r="CL211" s="140"/>
      <c r="CM211" s="140"/>
      <c r="CN211" s="140"/>
      <c r="CO211" s="140"/>
      <c r="CP211" s="140"/>
      <c r="CQ211" s="140"/>
      <c r="CR211" s="140"/>
      <c r="CS211" s="140"/>
      <c r="CT211" s="140"/>
      <c r="CU211" s="140"/>
      <c r="CV211" s="140"/>
      <c r="CW211" s="140"/>
      <c r="CX211" s="140"/>
      <c r="CY211" s="140"/>
      <c r="CZ211" s="140"/>
      <c r="DA211" s="140"/>
      <c r="DB211" s="140"/>
      <c r="DC211" s="140"/>
      <c r="DD211" s="140"/>
      <c r="DE211" s="140"/>
    </row>
    <row r="212" spans="1:109" s="139" customForma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3"/>
      <c r="U212" s="143"/>
      <c r="V212" s="143"/>
      <c r="W212" s="143"/>
      <c r="X212" s="143"/>
      <c r="Y212" s="143"/>
      <c r="Z212" s="143"/>
      <c r="AA212" s="143"/>
      <c r="AC212" s="140"/>
      <c r="AD212" s="140"/>
      <c r="AE212" s="140"/>
      <c r="AF212" s="140"/>
      <c r="AG212" s="140"/>
      <c r="AH212" s="141"/>
      <c r="AI212" s="143"/>
      <c r="AJ212" s="140"/>
      <c r="AK212" s="140"/>
      <c r="AL212" s="140"/>
      <c r="AM212" s="140"/>
      <c r="AN212" s="140"/>
      <c r="AO212" s="140"/>
      <c r="AP212" s="140"/>
      <c r="AQ212" s="140"/>
      <c r="AR212" s="140"/>
      <c r="AS212" s="140"/>
      <c r="AT212" s="140"/>
      <c r="AU212" s="140"/>
      <c r="AV212" s="140"/>
      <c r="AW212" s="140"/>
      <c r="AX212" s="140"/>
      <c r="AY212" s="140"/>
      <c r="AZ212" s="140"/>
      <c r="BA212" s="140"/>
      <c r="BB212" s="140"/>
      <c r="BC212" s="140"/>
      <c r="BD212" s="140"/>
      <c r="BE212" s="140"/>
      <c r="BF212" s="140"/>
      <c r="BG212" s="140"/>
      <c r="BH212" s="140"/>
      <c r="BI212" s="140"/>
      <c r="BJ212" s="140"/>
      <c r="BK212" s="140"/>
      <c r="BL212" s="140"/>
      <c r="BM212" s="140"/>
      <c r="BN212" s="140"/>
      <c r="BO212" s="140"/>
      <c r="BP212" s="140"/>
      <c r="BQ212" s="140"/>
      <c r="BR212" s="140"/>
      <c r="BS212" s="140"/>
      <c r="BT212" s="140"/>
      <c r="BU212" s="140"/>
      <c r="BV212" s="140"/>
      <c r="BW212" s="140"/>
      <c r="BX212" s="140"/>
      <c r="BY212" s="140"/>
      <c r="BZ212" s="140"/>
      <c r="CA212" s="140"/>
      <c r="CB212" s="140"/>
      <c r="CC212" s="140"/>
      <c r="CD212" s="140"/>
      <c r="CE212" s="140"/>
      <c r="CF212" s="140"/>
      <c r="CG212" s="140"/>
      <c r="CH212" s="140"/>
      <c r="CI212" s="140"/>
      <c r="CJ212" s="140"/>
      <c r="CK212" s="140"/>
      <c r="CL212" s="140"/>
      <c r="CM212" s="140"/>
      <c r="CN212" s="140"/>
      <c r="CO212" s="140"/>
      <c r="CP212" s="140"/>
      <c r="CQ212" s="140"/>
      <c r="CR212" s="140"/>
      <c r="CS212" s="140"/>
      <c r="CT212" s="140"/>
      <c r="CU212" s="140"/>
      <c r="CV212" s="140"/>
      <c r="CW212" s="140"/>
      <c r="CX212" s="140"/>
      <c r="CY212" s="140"/>
      <c r="CZ212" s="140"/>
      <c r="DA212" s="140"/>
      <c r="DB212" s="140"/>
      <c r="DC212" s="140"/>
      <c r="DD212" s="140"/>
      <c r="DE212" s="140"/>
    </row>
    <row r="213" spans="1:109" s="139" customForma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3"/>
      <c r="U213" s="143"/>
      <c r="V213" s="143"/>
      <c r="W213" s="143"/>
      <c r="X213" s="143"/>
      <c r="Y213" s="143"/>
      <c r="Z213" s="143"/>
      <c r="AA213" s="143"/>
      <c r="AC213" s="140"/>
      <c r="AD213" s="140"/>
      <c r="AE213" s="140"/>
      <c r="AF213" s="140"/>
      <c r="AG213" s="140"/>
      <c r="AH213" s="141"/>
      <c r="AI213" s="143"/>
      <c r="AJ213" s="140"/>
      <c r="AK213" s="140"/>
      <c r="AL213" s="140"/>
      <c r="AM213" s="140"/>
      <c r="AN213" s="140"/>
      <c r="AO213" s="140"/>
      <c r="AP213" s="140"/>
      <c r="AQ213" s="140"/>
      <c r="AR213" s="140"/>
      <c r="AS213" s="140"/>
      <c r="AT213" s="140"/>
      <c r="AU213" s="140"/>
      <c r="AV213" s="140"/>
      <c r="AW213" s="140"/>
      <c r="AX213" s="140"/>
      <c r="AY213" s="140"/>
      <c r="AZ213" s="140"/>
      <c r="BA213" s="140"/>
      <c r="BB213" s="140"/>
      <c r="BC213" s="140"/>
      <c r="BD213" s="140"/>
      <c r="BE213" s="140"/>
      <c r="BF213" s="140"/>
      <c r="BG213" s="140"/>
      <c r="BH213" s="140"/>
      <c r="BI213" s="140"/>
      <c r="BJ213" s="140"/>
      <c r="BK213" s="140"/>
      <c r="BL213" s="140"/>
      <c r="BM213" s="140"/>
      <c r="BN213" s="140"/>
      <c r="BO213" s="140"/>
      <c r="BP213" s="140"/>
      <c r="BQ213" s="140"/>
      <c r="BR213" s="140"/>
      <c r="BS213" s="140"/>
      <c r="BT213" s="140"/>
      <c r="BU213" s="140"/>
      <c r="BV213" s="140"/>
      <c r="BW213" s="140"/>
      <c r="BX213" s="140"/>
      <c r="BY213" s="140"/>
      <c r="BZ213" s="140"/>
      <c r="CA213" s="140"/>
      <c r="CB213" s="140"/>
      <c r="CC213" s="140"/>
      <c r="CD213" s="140"/>
      <c r="CE213" s="140"/>
      <c r="CF213" s="140"/>
      <c r="CG213" s="140"/>
      <c r="CH213" s="140"/>
      <c r="CI213" s="140"/>
      <c r="CJ213" s="140"/>
      <c r="CK213" s="140"/>
      <c r="CL213" s="140"/>
      <c r="CM213" s="140"/>
      <c r="CN213" s="140"/>
      <c r="CO213" s="140"/>
      <c r="CP213" s="140"/>
      <c r="CQ213" s="140"/>
      <c r="CR213" s="140"/>
      <c r="CS213" s="140"/>
      <c r="CT213" s="140"/>
      <c r="CU213" s="140"/>
      <c r="CV213" s="140"/>
      <c r="CW213" s="140"/>
      <c r="CX213" s="140"/>
      <c r="CY213" s="140"/>
      <c r="CZ213" s="140"/>
      <c r="DA213" s="140"/>
      <c r="DB213" s="140"/>
      <c r="DC213" s="140"/>
      <c r="DD213" s="140"/>
      <c r="DE213" s="140"/>
    </row>
    <row r="214" spans="1:109" s="139" customForma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3"/>
      <c r="U214" s="143"/>
      <c r="V214" s="143"/>
      <c r="W214" s="143"/>
      <c r="X214" s="143"/>
      <c r="Y214" s="143"/>
      <c r="Z214" s="143"/>
      <c r="AA214" s="143"/>
      <c r="AC214" s="140"/>
      <c r="AD214" s="140"/>
      <c r="AE214" s="140"/>
      <c r="AF214" s="140"/>
      <c r="AG214" s="140"/>
      <c r="AH214" s="141"/>
      <c r="AI214" s="143"/>
      <c r="AJ214" s="140"/>
      <c r="AK214" s="140"/>
      <c r="AL214" s="140"/>
      <c r="AM214" s="140"/>
      <c r="AN214" s="140"/>
      <c r="AO214" s="140"/>
      <c r="AP214" s="140"/>
      <c r="AQ214" s="140"/>
      <c r="AR214" s="140"/>
      <c r="AS214" s="140"/>
      <c r="AT214" s="140"/>
      <c r="AU214" s="140"/>
      <c r="AV214" s="140"/>
      <c r="AW214" s="140"/>
      <c r="AX214" s="140"/>
      <c r="AY214" s="140"/>
      <c r="AZ214" s="140"/>
      <c r="BA214" s="140"/>
      <c r="BB214" s="140"/>
      <c r="BC214" s="140"/>
      <c r="BD214" s="140"/>
      <c r="BE214" s="140"/>
      <c r="BF214" s="140"/>
      <c r="BG214" s="140"/>
      <c r="BH214" s="140"/>
      <c r="BI214" s="140"/>
      <c r="BJ214" s="140"/>
      <c r="BK214" s="140"/>
      <c r="BL214" s="140"/>
      <c r="BM214" s="140"/>
      <c r="BN214" s="140"/>
      <c r="BO214" s="140"/>
      <c r="BP214" s="140"/>
      <c r="BQ214" s="140"/>
      <c r="BR214" s="140"/>
      <c r="BS214" s="140"/>
      <c r="BT214" s="140"/>
      <c r="BU214" s="140"/>
      <c r="BV214" s="140"/>
      <c r="BW214" s="140"/>
      <c r="BX214" s="140"/>
      <c r="BY214" s="140"/>
      <c r="BZ214" s="140"/>
      <c r="CA214" s="140"/>
      <c r="CB214" s="140"/>
      <c r="CC214" s="140"/>
      <c r="CD214" s="140"/>
      <c r="CE214" s="140"/>
      <c r="CF214" s="140"/>
      <c r="CG214" s="140"/>
      <c r="CH214" s="140"/>
      <c r="CI214" s="140"/>
      <c r="CJ214" s="140"/>
      <c r="CK214" s="140"/>
      <c r="CL214" s="140"/>
      <c r="CM214" s="140"/>
      <c r="CN214" s="140"/>
      <c r="CO214" s="140"/>
      <c r="CP214" s="140"/>
      <c r="CQ214" s="140"/>
      <c r="CR214" s="140"/>
      <c r="CS214" s="140"/>
      <c r="CT214" s="140"/>
      <c r="CU214" s="140"/>
      <c r="CV214" s="140"/>
      <c r="CW214" s="140"/>
      <c r="CX214" s="140"/>
      <c r="CY214" s="140"/>
      <c r="CZ214" s="140"/>
      <c r="DA214" s="140"/>
      <c r="DB214" s="140"/>
      <c r="DC214" s="140"/>
      <c r="DD214" s="140"/>
      <c r="DE214" s="140"/>
    </row>
    <row r="215" spans="1:109" s="139" customForma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3"/>
      <c r="U215" s="143"/>
      <c r="V215" s="143"/>
      <c r="W215" s="143"/>
      <c r="X215" s="143"/>
      <c r="Y215" s="143"/>
      <c r="Z215" s="143"/>
      <c r="AA215" s="143"/>
      <c r="AC215" s="140"/>
      <c r="AD215" s="140"/>
      <c r="AE215" s="140"/>
      <c r="AF215" s="140"/>
      <c r="AG215" s="140"/>
      <c r="AH215" s="141"/>
      <c r="AI215" s="143"/>
      <c r="AJ215" s="140"/>
      <c r="AK215" s="140"/>
      <c r="AL215" s="140"/>
      <c r="AM215" s="140"/>
      <c r="AN215" s="140"/>
      <c r="AO215" s="140"/>
      <c r="AP215" s="140"/>
      <c r="AQ215" s="140"/>
      <c r="AR215" s="140"/>
      <c r="AS215" s="140"/>
      <c r="AT215" s="140"/>
      <c r="AU215" s="140"/>
      <c r="AV215" s="140"/>
      <c r="AW215" s="140"/>
      <c r="AX215" s="140"/>
      <c r="AY215" s="140"/>
      <c r="AZ215" s="140"/>
      <c r="BA215" s="140"/>
      <c r="BB215" s="140"/>
      <c r="BC215" s="140"/>
      <c r="BD215" s="140"/>
      <c r="BE215" s="140"/>
      <c r="BF215" s="140"/>
      <c r="BG215" s="140"/>
      <c r="BH215" s="140"/>
      <c r="BI215" s="140"/>
      <c r="BJ215" s="140"/>
      <c r="BK215" s="140"/>
      <c r="BL215" s="140"/>
      <c r="BM215" s="140"/>
      <c r="BN215" s="140"/>
      <c r="BO215" s="140"/>
      <c r="BP215" s="140"/>
      <c r="BQ215" s="140"/>
      <c r="BR215" s="140"/>
      <c r="BS215" s="140"/>
      <c r="BT215" s="140"/>
      <c r="BU215" s="140"/>
      <c r="BV215" s="140"/>
      <c r="BW215" s="140"/>
      <c r="BX215" s="140"/>
      <c r="BY215" s="140"/>
      <c r="BZ215" s="140"/>
      <c r="CA215" s="140"/>
      <c r="CB215" s="140"/>
      <c r="CC215" s="140"/>
      <c r="CD215" s="140"/>
      <c r="CE215" s="140"/>
      <c r="CF215" s="140"/>
      <c r="CG215" s="140"/>
      <c r="CH215" s="140"/>
      <c r="CI215" s="140"/>
      <c r="CJ215" s="140"/>
      <c r="CK215" s="140"/>
      <c r="CL215" s="140"/>
      <c r="CM215" s="140"/>
      <c r="CN215" s="140"/>
      <c r="CO215" s="140"/>
      <c r="CP215" s="140"/>
      <c r="CQ215" s="140"/>
      <c r="CR215" s="140"/>
      <c r="CS215" s="140"/>
      <c r="CT215" s="140"/>
      <c r="CU215" s="140"/>
      <c r="CV215" s="140"/>
      <c r="CW215" s="140"/>
      <c r="CX215" s="140"/>
      <c r="CY215" s="140"/>
      <c r="CZ215" s="140"/>
      <c r="DA215" s="140"/>
      <c r="DB215" s="140"/>
      <c r="DC215" s="140"/>
      <c r="DD215" s="140"/>
      <c r="DE215" s="140"/>
    </row>
    <row r="216" spans="1:109" s="139" customForma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3"/>
      <c r="U216" s="143"/>
      <c r="V216" s="143"/>
      <c r="W216" s="143"/>
      <c r="X216" s="143"/>
      <c r="Y216" s="143"/>
      <c r="Z216" s="143"/>
      <c r="AA216" s="143"/>
      <c r="AC216" s="140"/>
      <c r="AD216" s="140"/>
      <c r="AE216" s="140"/>
      <c r="AF216" s="140"/>
      <c r="AG216" s="140"/>
      <c r="AH216" s="141"/>
      <c r="AI216" s="143"/>
      <c r="AJ216" s="140"/>
      <c r="AK216" s="140"/>
      <c r="AL216" s="140"/>
      <c r="AM216" s="140"/>
      <c r="AN216" s="140"/>
      <c r="AO216" s="140"/>
      <c r="AP216" s="140"/>
      <c r="AQ216" s="140"/>
      <c r="AR216" s="140"/>
      <c r="AS216" s="140"/>
      <c r="AT216" s="140"/>
      <c r="AU216" s="140"/>
      <c r="AV216" s="140"/>
      <c r="AW216" s="140"/>
      <c r="AX216" s="140"/>
      <c r="AY216" s="140"/>
      <c r="AZ216" s="140"/>
      <c r="BA216" s="140"/>
      <c r="BB216" s="140"/>
      <c r="BC216" s="140"/>
      <c r="BD216" s="140"/>
      <c r="BE216" s="140"/>
      <c r="BF216" s="140"/>
      <c r="BG216" s="140"/>
      <c r="BH216" s="140"/>
      <c r="BI216" s="140"/>
      <c r="BJ216" s="140"/>
      <c r="BK216" s="140"/>
      <c r="BL216" s="140"/>
      <c r="BM216" s="140"/>
      <c r="BN216" s="140"/>
      <c r="BO216" s="140"/>
      <c r="BP216" s="140"/>
      <c r="BQ216" s="140"/>
      <c r="BR216" s="140"/>
      <c r="BS216" s="140"/>
      <c r="BT216" s="140"/>
      <c r="BU216" s="140"/>
      <c r="BV216" s="140"/>
      <c r="BW216" s="140"/>
      <c r="BX216" s="140"/>
      <c r="BY216" s="140"/>
      <c r="BZ216" s="140"/>
      <c r="CA216" s="140"/>
      <c r="CB216" s="140"/>
      <c r="CC216" s="140"/>
      <c r="CD216" s="140"/>
      <c r="CE216" s="140"/>
      <c r="CF216" s="140"/>
      <c r="CG216" s="140"/>
      <c r="CH216" s="140"/>
      <c r="CI216" s="140"/>
      <c r="CJ216" s="140"/>
      <c r="CK216" s="140"/>
      <c r="CL216" s="140"/>
      <c r="CM216" s="140"/>
      <c r="CN216" s="140"/>
      <c r="CO216" s="140"/>
      <c r="CP216" s="140"/>
      <c r="CQ216" s="140"/>
      <c r="CR216" s="140"/>
      <c r="CS216" s="140"/>
      <c r="CT216" s="140"/>
      <c r="CU216" s="140"/>
      <c r="CV216" s="140"/>
      <c r="CW216" s="140"/>
      <c r="CX216" s="140"/>
      <c r="CY216" s="140"/>
      <c r="CZ216" s="140"/>
      <c r="DA216" s="140"/>
      <c r="DB216" s="140"/>
      <c r="DC216" s="140"/>
      <c r="DD216" s="140"/>
      <c r="DE216" s="140"/>
    </row>
    <row r="217" spans="1:109" s="139" customForma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3"/>
      <c r="U217" s="143"/>
      <c r="V217" s="143"/>
      <c r="W217" s="143"/>
      <c r="X217" s="143"/>
      <c r="Y217" s="143"/>
      <c r="Z217" s="143"/>
      <c r="AA217" s="143"/>
      <c r="AC217" s="140"/>
      <c r="AD217" s="140"/>
      <c r="AE217" s="140"/>
      <c r="AF217" s="140"/>
      <c r="AG217" s="140"/>
      <c r="AH217" s="141"/>
      <c r="AI217" s="143"/>
      <c r="AJ217" s="140"/>
      <c r="AK217" s="140"/>
      <c r="AL217" s="140"/>
      <c r="AM217" s="140"/>
      <c r="AN217" s="140"/>
      <c r="AO217" s="140"/>
      <c r="AP217" s="140"/>
      <c r="AQ217" s="140"/>
      <c r="AR217" s="140"/>
      <c r="AS217" s="140"/>
      <c r="AT217" s="140"/>
      <c r="AU217" s="140"/>
      <c r="AV217" s="140"/>
      <c r="AW217" s="140"/>
      <c r="AX217" s="140"/>
      <c r="AY217" s="140"/>
      <c r="AZ217" s="140"/>
      <c r="BA217" s="140"/>
      <c r="BB217" s="140"/>
      <c r="BC217" s="140"/>
      <c r="BD217" s="140"/>
      <c r="BE217" s="140"/>
      <c r="BF217" s="140"/>
      <c r="BG217" s="140"/>
      <c r="BH217" s="140"/>
      <c r="BI217" s="140"/>
      <c r="BJ217" s="140"/>
      <c r="BK217" s="140"/>
      <c r="BL217" s="140"/>
      <c r="BM217" s="140"/>
      <c r="BN217" s="140"/>
      <c r="BO217" s="140"/>
      <c r="BP217" s="140"/>
      <c r="BQ217" s="140"/>
      <c r="BR217" s="140"/>
      <c r="BS217" s="140"/>
      <c r="BT217" s="140"/>
      <c r="BU217" s="140"/>
      <c r="BV217" s="140"/>
      <c r="BW217" s="140"/>
      <c r="BX217" s="140"/>
      <c r="BY217" s="140"/>
      <c r="BZ217" s="140"/>
      <c r="CA217" s="140"/>
      <c r="CB217" s="140"/>
      <c r="CC217" s="140"/>
      <c r="CD217" s="140"/>
      <c r="CE217" s="140"/>
      <c r="CF217" s="140"/>
      <c r="CG217" s="140"/>
      <c r="CH217" s="140"/>
      <c r="CI217" s="140"/>
      <c r="CJ217" s="140"/>
      <c r="CK217" s="140"/>
      <c r="CL217" s="140"/>
      <c r="CM217" s="140"/>
      <c r="CN217" s="140"/>
      <c r="CO217" s="140"/>
      <c r="CP217" s="140"/>
      <c r="CQ217" s="140"/>
      <c r="CR217" s="140"/>
      <c r="CS217" s="140"/>
      <c r="CT217" s="140"/>
      <c r="CU217" s="140"/>
      <c r="CV217" s="140"/>
      <c r="CW217" s="140"/>
      <c r="CX217" s="140"/>
      <c r="CY217" s="140"/>
      <c r="CZ217" s="140"/>
      <c r="DA217" s="140"/>
      <c r="DB217" s="140"/>
      <c r="DC217" s="140"/>
      <c r="DD217" s="140"/>
      <c r="DE217" s="140"/>
    </row>
    <row r="218" spans="1:109" s="139" customForma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3"/>
      <c r="U218" s="143"/>
      <c r="V218" s="143"/>
      <c r="W218" s="143"/>
      <c r="X218" s="143"/>
      <c r="Y218" s="143"/>
      <c r="Z218" s="143"/>
      <c r="AA218" s="143"/>
      <c r="AC218" s="140"/>
      <c r="AD218" s="140"/>
      <c r="AE218" s="140"/>
      <c r="AF218" s="140"/>
      <c r="AG218" s="140"/>
      <c r="AH218" s="141"/>
      <c r="AI218" s="143"/>
      <c r="AJ218" s="140"/>
      <c r="AK218" s="140"/>
      <c r="AL218" s="140"/>
      <c r="AM218" s="140"/>
      <c r="AN218" s="140"/>
      <c r="AO218" s="140"/>
      <c r="AP218" s="140"/>
      <c r="AQ218" s="140"/>
      <c r="AR218" s="140"/>
      <c r="AS218" s="140"/>
      <c r="AT218" s="140"/>
      <c r="AU218" s="140"/>
      <c r="AV218" s="140"/>
      <c r="AW218" s="140"/>
      <c r="AX218" s="140"/>
      <c r="AY218" s="140"/>
      <c r="AZ218" s="140"/>
      <c r="BA218" s="140"/>
      <c r="BB218" s="140"/>
      <c r="BC218" s="140"/>
      <c r="BD218" s="140"/>
      <c r="BE218" s="140"/>
      <c r="BF218" s="140"/>
      <c r="BG218" s="140"/>
      <c r="BH218" s="140"/>
      <c r="BI218" s="140"/>
      <c r="BJ218" s="140"/>
      <c r="BK218" s="140"/>
      <c r="BL218" s="140"/>
      <c r="BM218" s="140"/>
      <c r="BN218" s="140"/>
      <c r="BO218" s="140"/>
      <c r="BP218" s="140"/>
      <c r="BQ218" s="140"/>
      <c r="BR218" s="140"/>
      <c r="BS218" s="140"/>
      <c r="BT218" s="140"/>
      <c r="BU218" s="140"/>
      <c r="BV218" s="140"/>
      <c r="BW218" s="140"/>
      <c r="BX218" s="140"/>
      <c r="BY218" s="140"/>
      <c r="BZ218" s="140"/>
      <c r="CA218" s="140"/>
      <c r="CB218" s="140"/>
      <c r="CC218" s="140"/>
      <c r="CD218" s="140"/>
      <c r="CE218" s="140"/>
      <c r="CF218" s="140"/>
      <c r="CG218" s="140"/>
      <c r="CH218" s="140"/>
      <c r="CI218" s="140"/>
      <c r="CJ218" s="140"/>
      <c r="CK218" s="140"/>
      <c r="CL218" s="140"/>
      <c r="CM218" s="140"/>
      <c r="CN218" s="140"/>
      <c r="CO218" s="140"/>
      <c r="CP218" s="140"/>
      <c r="CQ218" s="140"/>
      <c r="CR218" s="140"/>
      <c r="CS218" s="140"/>
      <c r="CT218" s="140"/>
      <c r="CU218" s="140"/>
      <c r="CV218" s="140"/>
      <c r="CW218" s="140"/>
      <c r="CX218" s="140"/>
      <c r="CY218" s="140"/>
      <c r="CZ218" s="140"/>
      <c r="DA218" s="140"/>
      <c r="DB218" s="140"/>
      <c r="DC218" s="140"/>
      <c r="DD218" s="140"/>
      <c r="DE218" s="140"/>
    </row>
    <row r="219" spans="1:109" s="139" customForma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3"/>
      <c r="U219" s="143"/>
      <c r="V219" s="143"/>
      <c r="W219" s="143"/>
      <c r="X219" s="143"/>
      <c r="Y219" s="143"/>
      <c r="Z219" s="143"/>
      <c r="AA219" s="143"/>
      <c r="AC219" s="140"/>
      <c r="AD219" s="140"/>
      <c r="AE219" s="140"/>
      <c r="AF219" s="140"/>
      <c r="AG219" s="140"/>
      <c r="AH219" s="141"/>
      <c r="AI219" s="143"/>
      <c r="AJ219" s="140"/>
      <c r="AK219" s="140"/>
      <c r="AL219" s="140"/>
      <c r="AM219" s="140"/>
      <c r="AN219" s="140"/>
      <c r="AO219" s="140"/>
      <c r="AP219" s="140"/>
      <c r="AQ219" s="140"/>
      <c r="AR219" s="140"/>
      <c r="AS219" s="140"/>
      <c r="AT219" s="140"/>
      <c r="AU219" s="140"/>
      <c r="AV219" s="140"/>
      <c r="AW219" s="140"/>
      <c r="AX219" s="140"/>
      <c r="AY219" s="140"/>
      <c r="AZ219" s="140"/>
      <c r="BA219" s="140"/>
      <c r="BB219" s="140"/>
      <c r="BC219" s="140"/>
      <c r="BD219" s="140"/>
      <c r="BE219" s="140"/>
      <c r="BF219" s="140"/>
      <c r="BG219" s="140"/>
      <c r="BH219" s="140"/>
      <c r="BI219" s="140"/>
      <c r="BJ219" s="140"/>
      <c r="BK219" s="140"/>
      <c r="BL219" s="140"/>
      <c r="BM219" s="140"/>
      <c r="BN219" s="140"/>
      <c r="BO219" s="140"/>
      <c r="BP219" s="140"/>
      <c r="BQ219" s="140"/>
      <c r="BR219" s="140"/>
      <c r="BS219" s="140"/>
      <c r="BT219" s="140"/>
      <c r="BU219" s="140"/>
      <c r="BV219" s="140"/>
      <c r="BW219" s="140"/>
      <c r="BX219" s="140"/>
      <c r="BY219" s="140"/>
      <c r="BZ219" s="140"/>
      <c r="CA219" s="140"/>
      <c r="CB219" s="140"/>
      <c r="CC219" s="140"/>
      <c r="CD219" s="140"/>
      <c r="CE219" s="140"/>
      <c r="CF219" s="140"/>
      <c r="CG219" s="140"/>
      <c r="CH219" s="140"/>
      <c r="CI219" s="140"/>
      <c r="CJ219" s="140"/>
      <c r="CK219" s="140"/>
      <c r="CL219" s="140"/>
      <c r="CM219" s="140"/>
      <c r="CN219" s="140"/>
      <c r="CO219" s="140"/>
      <c r="CP219" s="140"/>
      <c r="CQ219" s="140"/>
      <c r="CR219" s="140"/>
      <c r="CS219" s="140"/>
      <c r="CT219" s="140"/>
      <c r="CU219" s="140"/>
      <c r="CV219" s="140"/>
      <c r="CW219" s="140"/>
      <c r="CX219" s="140"/>
      <c r="CY219" s="140"/>
      <c r="CZ219" s="140"/>
      <c r="DA219" s="140"/>
      <c r="DB219" s="140"/>
      <c r="DC219" s="140"/>
      <c r="DD219" s="140"/>
      <c r="DE219" s="140"/>
    </row>
    <row r="220" spans="1:109" s="139" customForma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3"/>
      <c r="U220" s="143"/>
      <c r="V220" s="143"/>
      <c r="W220" s="143"/>
      <c r="X220" s="143"/>
      <c r="Y220" s="143"/>
      <c r="Z220" s="143"/>
      <c r="AA220" s="143"/>
      <c r="AC220" s="140"/>
      <c r="AD220" s="140"/>
      <c r="AE220" s="140"/>
      <c r="AF220" s="140"/>
      <c r="AG220" s="140"/>
      <c r="AH220" s="141"/>
      <c r="AI220" s="143"/>
      <c r="AJ220" s="140"/>
      <c r="AK220" s="140"/>
      <c r="AL220" s="140"/>
      <c r="AM220" s="140"/>
      <c r="AN220" s="140"/>
      <c r="AO220" s="140"/>
      <c r="AP220" s="140"/>
      <c r="AQ220" s="140"/>
      <c r="AR220" s="140"/>
      <c r="AS220" s="140"/>
      <c r="AT220" s="140"/>
      <c r="AU220" s="140"/>
      <c r="AV220" s="140"/>
      <c r="AW220" s="140"/>
      <c r="AX220" s="140"/>
      <c r="AY220" s="140"/>
      <c r="AZ220" s="140"/>
      <c r="BA220" s="140"/>
      <c r="BB220" s="140"/>
      <c r="BC220" s="140"/>
      <c r="BD220" s="140"/>
      <c r="BE220" s="140"/>
      <c r="BF220" s="140"/>
      <c r="BG220" s="140"/>
      <c r="BH220" s="140"/>
      <c r="BI220" s="140"/>
      <c r="BJ220" s="140"/>
      <c r="BK220" s="140"/>
      <c r="BL220" s="140"/>
      <c r="BM220" s="140"/>
      <c r="BN220" s="140"/>
      <c r="BO220" s="140"/>
      <c r="BP220" s="140"/>
      <c r="BQ220" s="140"/>
      <c r="BR220" s="140"/>
      <c r="BS220" s="140"/>
      <c r="BT220" s="140"/>
      <c r="BU220" s="140"/>
      <c r="BV220" s="140"/>
      <c r="BW220" s="140"/>
      <c r="BX220" s="140"/>
      <c r="BY220" s="140"/>
      <c r="BZ220" s="140"/>
      <c r="CA220" s="140"/>
      <c r="CB220" s="140"/>
      <c r="CC220" s="140"/>
      <c r="CD220" s="140"/>
      <c r="CE220" s="140"/>
      <c r="CF220" s="140"/>
      <c r="CG220" s="140"/>
      <c r="CH220" s="140"/>
      <c r="CI220" s="140"/>
      <c r="CJ220" s="140"/>
      <c r="CK220" s="140"/>
      <c r="CL220" s="140"/>
      <c r="CM220" s="140"/>
      <c r="CN220" s="140"/>
      <c r="CO220" s="140"/>
      <c r="CP220" s="140"/>
      <c r="CQ220" s="140"/>
      <c r="CR220" s="140"/>
      <c r="CS220" s="140"/>
      <c r="CT220" s="140"/>
      <c r="CU220" s="140"/>
      <c r="CV220" s="140"/>
      <c r="CW220" s="140"/>
      <c r="CX220" s="140"/>
      <c r="CY220" s="140"/>
      <c r="CZ220" s="140"/>
      <c r="DA220" s="140"/>
      <c r="DB220" s="140"/>
      <c r="DC220" s="140"/>
      <c r="DD220" s="140"/>
      <c r="DE220" s="140"/>
    </row>
    <row r="221" spans="1:109" s="139" customForma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3"/>
      <c r="U221" s="143"/>
      <c r="V221" s="143"/>
      <c r="W221" s="143"/>
      <c r="X221" s="143"/>
      <c r="Y221" s="143"/>
      <c r="Z221" s="143"/>
      <c r="AA221" s="143"/>
      <c r="AC221" s="140"/>
      <c r="AD221" s="140"/>
      <c r="AE221" s="140"/>
      <c r="AF221" s="140"/>
      <c r="AG221" s="140"/>
      <c r="AH221" s="141"/>
      <c r="AI221" s="143"/>
      <c r="AJ221" s="140"/>
      <c r="AK221" s="140"/>
      <c r="AL221" s="140"/>
      <c r="AM221" s="140"/>
      <c r="AN221" s="140"/>
      <c r="AO221" s="140"/>
      <c r="AP221" s="140"/>
      <c r="AQ221" s="140"/>
      <c r="AR221" s="140"/>
      <c r="AS221" s="140"/>
      <c r="AT221" s="140"/>
      <c r="AU221" s="140"/>
      <c r="AV221" s="140"/>
      <c r="AW221" s="140"/>
      <c r="AX221" s="140"/>
      <c r="AY221" s="140"/>
      <c r="AZ221" s="140"/>
      <c r="BA221" s="140"/>
      <c r="BB221" s="140"/>
      <c r="BC221" s="140"/>
      <c r="BD221" s="140"/>
      <c r="BE221" s="140"/>
      <c r="BF221" s="140"/>
      <c r="BG221" s="140"/>
      <c r="BH221" s="140"/>
      <c r="BI221" s="140"/>
      <c r="BJ221" s="140"/>
      <c r="BK221" s="140"/>
      <c r="BL221" s="140"/>
      <c r="BM221" s="140"/>
      <c r="BN221" s="140"/>
      <c r="BO221" s="140"/>
      <c r="BP221" s="140"/>
      <c r="BQ221" s="140"/>
      <c r="BR221" s="140"/>
      <c r="BS221" s="140"/>
      <c r="BT221" s="140"/>
      <c r="BU221" s="140"/>
      <c r="BV221" s="140"/>
      <c r="BW221" s="140"/>
      <c r="BX221" s="140"/>
      <c r="BY221" s="140"/>
      <c r="BZ221" s="140"/>
      <c r="CA221" s="140"/>
      <c r="CB221" s="140"/>
      <c r="CC221" s="140"/>
      <c r="CD221" s="140"/>
      <c r="CE221" s="140"/>
      <c r="CF221" s="140"/>
      <c r="CG221" s="140"/>
      <c r="CH221" s="140"/>
      <c r="CI221" s="140"/>
      <c r="CJ221" s="140"/>
      <c r="CK221" s="140"/>
      <c r="CL221" s="140"/>
      <c r="CM221" s="140"/>
      <c r="CN221" s="140"/>
      <c r="CO221" s="140"/>
      <c r="CP221" s="140"/>
      <c r="CQ221" s="140"/>
      <c r="CR221" s="140"/>
      <c r="CS221" s="140"/>
      <c r="CT221" s="140"/>
      <c r="CU221" s="140"/>
      <c r="CV221" s="140"/>
      <c r="CW221" s="140"/>
      <c r="CX221" s="140"/>
      <c r="CY221" s="140"/>
      <c r="CZ221" s="140"/>
      <c r="DA221" s="140"/>
      <c r="DB221" s="140"/>
      <c r="DC221" s="140"/>
      <c r="DD221" s="140"/>
      <c r="DE221" s="140"/>
    </row>
    <row r="222" spans="1:109" s="139" customForma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3"/>
      <c r="U222" s="143"/>
      <c r="V222" s="143"/>
      <c r="W222" s="143"/>
      <c r="X222" s="143"/>
      <c r="Y222" s="143"/>
      <c r="Z222" s="143"/>
      <c r="AA222" s="143"/>
      <c r="AC222" s="140"/>
      <c r="AD222" s="140"/>
      <c r="AE222" s="140"/>
      <c r="AF222" s="140"/>
      <c r="AG222" s="140"/>
      <c r="AH222" s="141"/>
      <c r="AI222" s="143"/>
      <c r="AJ222" s="140"/>
      <c r="AK222" s="140"/>
      <c r="AL222" s="140"/>
      <c r="AM222" s="140"/>
      <c r="AN222" s="140"/>
      <c r="AO222" s="140"/>
      <c r="AP222" s="140"/>
      <c r="AQ222" s="140"/>
      <c r="AR222" s="140"/>
      <c r="AS222" s="140"/>
      <c r="AT222" s="140"/>
      <c r="AU222" s="140"/>
      <c r="AV222" s="140"/>
      <c r="AW222" s="140"/>
      <c r="AX222" s="140"/>
      <c r="AY222" s="140"/>
      <c r="AZ222" s="140"/>
      <c r="BA222" s="140"/>
      <c r="BB222" s="140"/>
      <c r="BC222" s="140"/>
      <c r="BD222" s="140"/>
      <c r="BE222" s="140"/>
      <c r="BF222" s="140"/>
      <c r="BG222" s="140"/>
      <c r="BH222" s="140"/>
      <c r="BI222" s="140"/>
      <c r="BJ222" s="140"/>
      <c r="BK222" s="140"/>
      <c r="BL222" s="140"/>
      <c r="BM222" s="140"/>
      <c r="BN222" s="140"/>
      <c r="BO222" s="140"/>
      <c r="BP222" s="140"/>
      <c r="BQ222" s="140"/>
      <c r="BR222" s="140"/>
      <c r="BS222" s="140"/>
      <c r="BT222" s="140"/>
      <c r="BU222" s="140"/>
      <c r="BV222" s="140"/>
      <c r="BW222" s="140"/>
      <c r="BX222" s="140"/>
      <c r="BY222" s="140"/>
      <c r="BZ222" s="140"/>
      <c r="CA222" s="140"/>
      <c r="CB222" s="140"/>
      <c r="CC222" s="140"/>
      <c r="CD222" s="140"/>
      <c r="CE222" s="140"/>
      <c r="CF222" s="140"/>
      <c r="CG222" s="140"/>
      <c r="CH222" s="140"/>
      <c r="CI222" s="140"/>
      <c r="CJ222" s="140"/>
      <c r="CK222" s="140"/>
      <c r="CL222" s="140"/>
      <c r="CM222" s="140"/>
      <c r="CN222" s="140"/>
      <c r="CO222" s="140"/>
      <c r="CP222" s="140"/>
      <c r="CQ222" s="140"/>
      <c r="CR222" s="140"/>
      <c r="CS222" s="140"/>
      <c r="CT222" s="140"/>
      <c r="CU222" s="140"/>
      <c r="CV222" s="140"/>
      <c r="CW222" s="140"/>
      <c r="CX222" s="140"/>
      <c r="CY222" s="140"/>
      <c r="CZ222" s="140"/>
      <c r="DA222" s="140"/>
      <c r="DB222" s="140"/>
      <c r="DC222" s="140"/>
      <c r="DD222" s="140"/>
      <c r="DE222" s="140"/>
    </row>
    <row r="223" spans="1:109" s="139" customForma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3"/>
      <c r="U223" s="143"/>
      <c r="V223" s="143"/>
      <c r="W223" s="143"/>
      <c r="X223" s="143"/>
      <c r="Y223" s="143"/>
      <c r="Z223" s="143"/>
      <c r="AA223" s="143"/>
      <c r="AC223" s="140"/>
      <c r="AD223" s="140"/>
      <c r="AE223" s="140"/>
      <c r="AF223" s="140"/>
      <c r="AG223" s="140"/>
      <c r="AH223" s="141"/>
      <c r="AI223" s="143"/>
      <c r="AJ223" s="140"/>
      <c r="AK223" s="140"/>
      <c r="AL223" s="140"/>
      <c r="AM223" s="140"/>
      <c r="AN223" s="140"/>
      <c r="AO223" s="140"/>
      <c r="AP223" s="140"/>
      <c r="AQ223" s="140"/>
      <c r="AR223" s="140"/>
      <c r="AS223" s="140"/>
      <c r="AT223" s="140"/>
      <c r="AU223" s="140"/>
      <c r="AV223" s="140"/>
      <c r="AW223" s="140"/>
      <c r="AX223" s="140"/>
      <c r="AY223" s="140"/>
      <c r="AZ223" s="140"/>
      <c r="BA223" s="140"/>
      <c r="BB223" s="140"/>
      <c r="BC223" s="140"/>
      <c r="BD223" s="140"/>
      <c r="BE223" s="140"/>
      <c r="BF223" s="140"/>
      <c r="BG223" s="140"/>
      <c r="BH223" s="140"/>
      <c r="BI223" s="140"/>
      <c r="BJ223" s="140"/>
      <c r="BK223" s="140"/>
      <c r="BL223" s="140"/>
      <c r="BM223" s="140"/>
      <c r="BN223" s="140"/>
      <c r="BO223" s="140"/>
      <c r="BP223" s="140"/>
      <c r="BQ223" s="140"/>
      <c r="BR223" s="140"/>
      <c r="BS223" s="140"/>
      <c r="BT223" s="140"/>
      <c r="BU223" s="140"/>
      <c r="BV223" s="140"/>
      <c r="BW223" s="140"/>
      <c r="BX223" s="140"/>
      <c r="BY223" s="140"/>
      <c r="BZ223" s="140"/>
      <c r="CA223" s="140"/>
      <c r="CB223" s="140"/>
      <c r="CC223" s="140"/>
      <c r="CD223" s="140"/>
      <c r="CE223" s="140"/>
      <c r="CF223" s="140"/>
      <c r="CG223" s="140"/>
      <c r="CH223" s="140"/>
      <c r="CI223" s="140"/>
      <c r="CJ223" s="140"/>
      <c r="CK223" s="140"/>
      <c r="CL223" s="140"/>
      <c r="CM223" s="140"/>
      <c r="CN223" s="140"/>
      <c r="CO223" s="140"/>
      <c r="CP223" s="140"/>
      <c r="CQ223" s="140"/>
      <c r="CR223" s="140"/>
      <c r="CS223" s="140"/>
      <c r="CT223" s="140"/>
      <c r="CU223" s="140"/>
      <c r="CV223" s="140"/>
      <c r="CW223" s="140"/>
      <c r="CX223" s="140"/>
      <c r="CY223" s="140"/>
      <c r="CZ223" s="140"/>
      <c r="DA223" s="140"/>
      <c r="DB223" s="140"/>
      <c r="DC223" s="140"/>
      <c r="DD223" s="140"/>
      <c r="DE223" s="140"/>
    </row>
    <row r="224" spans="1:109" s="139" customForma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3"/>
      <c r="U224" s="143"/>
      <c r="V224" s="143"/>
      <c r="W224" s="143"/>
      <c r="X224" s="143"/>
      <c r="Y224" s="143"/>
      <c r="Z224" s="143"/>
      <c r="AA224" s="143"/>
      <c r="AC224" s="140"/>
      <c r="AD224" s="140"/>
      <c r="AE224" s="140"/>
      <c r="AF224" s="140"/>
      <c r="AG224" s="140"/>
      <c r="AH224" s="141"/>
      <c r="AI224" s="143"/>
      <c r="AJ224" s="140"/>
      <c r="AK224" s="140"/>
      <c r="AL224" s="140"/>
      <c r="AM224" s="140"/>
      <c r="AN224" s="140"/>
      <c r="AO224" s="140"/>
      <c r="AP224" s="140"/>
      <c r="AQ224" s="140"/>
      <c r="AR224" s="140"/>
      <c r="AS224" s="140"/>
      <c r="AT224" s="140"/>
      <c r="AU224" s="140"/>
      <c r="AV224" s="140"/>
      <c r="AW224" s="140"/>
      <c r="AX224" s="140"/>
      <c r="AY224" s="140"/>
      <c r="AZ224" s="140"/>
      <c r="BA224" s="140"/>
      <c r="BB224" s="140"/>
      <c r="BC224" s="140"/>
      <c r="BD224" s="140"/>
      <c r="BE224" s="140"/>
      <c r="BF224" s="140"/>
      <c r="BG224" s="140"/>
      <c r="BH224" s="140"/>
      <c r="BI224" s="140"/>
      <c r="BJ224" s="140"/>
      <c r="BK224" s="140"/>
      <c r="BL224" s="140"/>
      <c r="BM224" s="140"/>
      <c r="BN224" s="140"/>
      <c r="BO224" s="140"/>
      <c r="BP224" s="140"/>
      <c r="BQ224" s="140"/>
      <c r="BR224" s="140"/>
      <c r="BS224" s="140"/>
      <c r="BT224" s="140"/>
      <c r="BU224" s="140"/>
      <c r="BV224" s="140"/>
      <c r="BW224" s="140"/>
      <c r="BX224" s="140"/>
      <c r="BY224" s="140"/>
      <c r="BZ224" s="140"/>
      <c r="CA224" s="140"/>
      <c r="CB224" s="140"/>
      <c r="CC224" s="140"/>
      <c r="CD224" s="140"/>
      <c r="CE224" s="140"/>
      <c r="CF224" s="140"/>
      <c r="CG224" s="140"/>
      <c r="CH224" s="140"/>
      <c r="CI224" s="140"/>
      <c r="CJ224" s="140"/>
      <c r="CK224" s="140"/>
      <c r="CL224" s="140"/>
      <c r="CM224" s="140"/>
      <c r="CN224" s="140"/>
      <c r="CO224" s="140"/>
      <c r="CP224" s="140"/>
      <c r="CQ224" s="140"/>
      <c r="CR224" s="140"/>
      <c r="CS224" s="140"/>
      <c r="CT224" s="140"/>
      <c r="CU224" s="140"/>
      <c r="CV224" s="140"/>
      <c r="CW224" s="140"/>
      <c r="CX224" s="140"/>
      <c r="CY224" s="140"/>
      <c r="CZ224" s="140"/>
      <c r="DA224" s="140"/>
      <c r="DB224" s="140"/>
      <c r="DC224" s="140"/>
      <c r="DD224" s="140"/>
      <c r="DE224" s="140"/>
    </row>
    <row r="225" spans="1:109" s="139" customForma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3"/>
      <c r="U225" s="143"/>
      <c r="V225" s="143"/>
      <c r="W225" s="143"/>
      <c r="X225" s="143"/>
      <c r="Y225" s="143"/>
      <c r="Z225" s="143"/>
      <c r="AA225" s="143"/>
      <c r="AC225" s="140"/>
      <c r="AD225" s="140"/>
      <c r="AE225" s="140"/>
      <c r="AF225" s="140"/>
      <c r="AG225" s="140"/>
      <c r="AH225" s="141"/>
      <c r="AI225" s="143"/>
      <c r="AJ225" s="140"/>
      <c r="AK225" s="140"/>
      <c r="AL225" s="140"/>
      <c r="AM225" s="140"/>
      <c r="AN225" s="140"/>
      <c r="AO225" s="140"/>
      <c r="AP225" s="140"/>
      <c r="AQ225" s="140"/>
      <c r="AR225" s="140"/>
      <c r="AS225" s="140"/>
      <c r="AT225" s="140"/>
      <c r="AU225" s="140"/>
      <c r="AV225" s="140"/>
      <c r="AW225" s="140"/>
      <c r="AX225" s="140"/>
      <c r="AY225" s="140"/>
      <c r="AZ225" s="140"/>
      <c r="BA225" s="140"/>
      <c r="BB225" s="140"/>
      <c r="BC225" s="140"/>
      <c r="BD225" s="140"/>
      <c r="BE225" s="140"/>
      <c r="BF225" s="140"/>
      <c r="BG225" s="140"/>
      <c r="BH225" s="140"/>
      <c r="BI225" s="140"/>
      <c r="BJ225" s="140"/>
      <c r="BK225" s="140"/>
      <c r="BL225" s="140"/>
      <c r="BM225" s="140"/>
      <c r="BN225" s="140"/>
      <c r="BO225" s="140"/>
      <c r="BP225" s="140"/>
      <c r="BQ225" s="140"/>
      <c r="BR225" s="140"/>
      <c r="BS225" s="140"/>
      <c r="BT225" s="140"/>
      <c r="BU225" s="140"/>
      <c r="BV225" s="140"/>
      <c r="BW225" s="140"/>
      <c r="BX225" s="140"/>
      <c r="BY225" s="140"/>
      <c r="BZ225" s="140"/>
      <c r="CA225" s="140"/>
      <c r="CB225" s="140"/>
      <c r="CC225" s="140"/>
      <c r="CD225" s="140"/>
      <c r="CE225" s="140"/>
      <c r="CF225" s="140"/>
      <c r="CG225" s="140"/>
      <c r="CH225" s="140"/>
      <c r="CI225" s="140"/>
      <c r="CJ225" s="140"/>
      <c r="CK225" s="140"/>
      <c r="CL225" s="140"/>
      <c r="CM225" s="140"/>
      <c r="CN225" s="140"/>
      <c r="CO225" s="140"/>
      <c r="CP225" s="140"/>
      <c r="CQ225" s="140"/>
      <c r="CR225" s="140"/>
      <c r="CS225" s="140"/>
      <c r="CT225" s="140"/>
      <c r="CU225" s="140"/>
      <c r="CV225" s="140"/>
      <c r="CW225" s="140"/>
      <c r="CX225" s="140"/>
      <c r="CY225" s="140"/>
      <c r="CZ225" s="140"/>
      <c r="DA225" s="140"/>
      <c r="DB225" s="140"/>
      <c r="DC225" s="140"/>
      <c r="DD225" s="140"/>
      <c r="DE225" s="140"/>
    </row>
    <row r="226" spans="1:109" s="139" customForma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3"/>
      <c r="U226" s="143"/>
      <c r="V226" s="143"/>
      <c r="W226" s="143"/>
      <c r="X226" s="143"/>
      <c r="Y226" s="143"/>
      <c r="Z226" s="143"/>
      <c r="AA226" s="143"/>
      <c r="AC226" s="140"/>
      <c r="AD226" s="140"/>
      <c r="AE226" s="140"/>
      <c r="AF226" s="140"/>
      <c r="AG226" s="140"/>
      <c r="AH226" s="141"/>
      <c r="AI226" s="143"/>
      <c r="AJ226" s="140"/>
      <c r="AK226" s="140"/>
      <c r="AL226" s="140"/>
      <c r="AM226" s="140"/>
      <c r="AN226" s="140"/>
      <c r="AO226" s="140"/>
      <c r="AP226" s="140"/>
      <c r="AQ226" s="140"/>
      <c r="AR226" s="140"/>
      <c r="AS226" s="140"/>
      <c r="AT226" s="140"/>
      <c r="AU226" s="140"/>
      <c r="AV226" s="140"/>
      <c r="AW226" s="140"/>
      <c r="AX226" s="140"/>
      <c r="AY226" s="140"/>
      <c r="AZ226" s="140"/>
      <c r="BA226" s="140"/>
      <c r="BB226" s="140"/>
      <c r="BC226" s="140"/>
      <c r="BD226" s="140"/>
      <c r="BE226" s="140"/>
      <c r="BF226" s="140"/>
      <c r="BG226" s="140"/>
      <c r="BH226" s="140"/>
      <c r="BI226" s="140"/>
      <c r="BJ226" s="140"/>
      <c r="BK226" s="140"/>
      <c r="BL226" s="140"/>
      <c r="BM226" s="140"/>
      <c r="BN226" s="140"/>
      <c r="BO226" s="140"/>
      <c r="BP226" s="140"/>
      <c r="BQ226" s="140"/>
      <c r="BR226" s="140"/>
      <c r="BS226" s="140"/>
      <c r="BT226" s="140"/>
      <c r="BU226" s="140"/>
      <c r="BV226" s="140"/>
      <c r="BW226" s="140"/>
      <c r="BX226" s="140"/>
      <c r="BY226" s="140"/>
      <c r="BZ226" s="140"/>
      <c r="CA226" s="140"/>
      <c r="CB226" s="140"/>
      <c r="CC226" s="140"/>
      <c r="CD226" s="140"/>
      <c r="CE226" s="140"/>
      <c r="CF226" s="140"/>
      <c r="CG226" s="140"/>
      <c r="CH226" s="140"/>
      <c r="CI226" s="140"/>
      <c r="CJ226" s="140"/>
      <c r="CK226" s="140"/>
      <c r="CL226" s="140"/>
      <c r="CM226" s="140"/>
      <c r="CN226" s="140"/>
      <c r="CO226" s="140"/>
      <c r="CP226" s="140"/>
      <c r="CQ226" s="140"/>
      <c r="CR226" s="140"/>
      <c r="CS226" s="140"/>
      <c r="CT226" s="140"/>
      <c r="CU226" s="140"/>
      <c r="CV226" s="140"/>
      <c r="CW226" s="140"/>
      <c r="CX226" s="140"/>
      <c r="CY226" s="140"/>
      <c r="CZ226" s="140"/>
      <c r="DA226" s="140"/>
      <c r="DB226" s="140"/>
      <c r="DC226" s="140"/>
      <c r="DD226" s="140"/>
      <c r="DE226" s="140"/>
    </row>
    <row r="227" spans="1:109" s="139" customForma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3"/>
      <c r="U227" s="143"/>
      <c r="V227" s="143"/>
      <c r="W227" s="143"/>
      <c r="X227" s="143"/>
      <c r="Y227" s="143"/>
      <c r="Z227" s="143"/>
      <c r="AA227" s="143"/>
      <c r="AC227" s="140"/>
      <c r="AD227" s="140"/>
      <c r="AE227" s="140"/>
      <c r="AF227" s="140"/>
      <c r="AG227" s="140"/>
      <c r="AH227" s="141"/>
      <c r="AI227" s="143"/>
      <c r="AJ227" s="140"/>
      <c r="AK227" s="140"/>
      <c r="AL227" s="140"/>
      <c r="AM227" s="140"/>
      <c r="AN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  <c r="AY227" s="140"/>
      <c r="AZ227" s="140"/>
      <c r="BA227" s="140"/>
      <c r="BB227" s="140"/>
      <c r="BC227" s="140"/>
      <c r="BD227" s="140"/>
      <c r="BE227" s="140"/>
      <c r="BF227" s="140"/>
      <c r="BG227" s="140"/>
      <c r="BH227" s="140"/>
      <c r="BI227" s="140"/>
      <c r="BJ227" s="140"/>
      <c r="BK227" s="140"/>
      <c r="BL227" s="140"/>
      <c r="BM227" s="140"/>
      <c r="BN227" s="140"/>
      <c r="BO227" s="140"/>
      <c r="BP227" s="140"/>
      <c r="BQ227" s="140"/>
      <c r="BR227" s="140"/>
      <c r="BS227" s="140"/>
      <c r="BT227" s="140"/>
      <c r="BU227" s="140"/>
      <c r="BV227" s="140"/>
      <c r="BW227" s="140"/>
      <c r="BX227" s="140"/>
      <c r="BY227" s="140"/>
      <c r="BZ227" s="140"/>
      <c r="CA227" s="140"/>
      <c r="CB227" s="140"/>
      <c r="CC227" s="140"/>
      <c r="CD227" s="140"/>
      <c r="CE227" s="140"/>
      <c r="CF227" s="140"/>
      <c r="CG227" s="140"/>
      <c r="CH227" s="140"/>
      <c r="CI227" s="140"/>
      <c r="CJ227" s="140"/>
      <c r="CK227" s="140"/>
      <c r="CL227" s="140"/>
      <c r="CM227" s="140"/>
      <c r="CN227" s="140"/>
      <c r="CO227" s="140"/>
      <c r="CP227" s="140"/>
      <c r="CQ227" s="140"/>
      <c r="CR227" s="140"/>
      <c r="CS227" s="140"/>
      <c r="CT227" s="140"/>
      <c r="CU227" s="140"/>
      <c r="CV227" s="140"/>
      <c r="CW227" s="140"/>
      <c r="CX227" s="140"/>
      <c r="CY227" s="140"/>
      <c r="CZ227" s="140"/>
      <c r="DA227" s="140"/>
      <c r="DB227" s="140"/>
      <c r="DC227" s="140"/>
      <c r="DD227" s="140"/>
      <c r="DE227" s="140"/>
    </row>
    <row r="228" spans="1:109" s="139" customForma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3"/>
      <c r="U228" s="143"/>
      <c r="V228" s="143"/>
      <c r="W228" s="143"/>
      <c r="X228" s="143"/>
      <c r="Y228" s="143"/>
      <c r="Z228" s="143"/>
      <c r="AA228" s="143"/>
      <c r="AC228" s="140"/>
      <c r="AD228" s="140"/>
      <c r="AE228" s="140"/>
      <c r="AF228" s="140"/>
      <c r="AG228" s="140"/>
      <c r="AH228" s="141"/>
      <c r="AI228" s="143"/>
      <c r="AJ228" s="140"/>
      <c r="AK228" s="140"/>
      <c r="AL228" s="140"/>
      <c r="AM228" s="140"/>
      <c r="AN228" s="140"/>
      <c r="AO228" s="140"/>
      <c r="AP228" s="140"/>
      <c r="AQ228" s="140"/>
      <c r="AR228" s="140"/>
      <c r="AS228" s="140"/>
      <c r="AT228" s="140"/>
      <c r="AU228" s="140"/>
      <c r="AV228" s="140"/>
      <c r="AW228" s="140"/>
      <c r="AX228" s="140"/>
      <c r="AY228" s="140"/>
      <c r="AZ228" s="140"/>
      <c r="BA228" s="140"/>
      <c r="BB228" s="140"/>
      <c r="BC228" s="140"/>
      <c r="BD228" s="140"/>
      <c r="BE228" s="140"/>
      <c r="BF228" s="140"/>
      <c r="BG228" s="140"/>
      <c r="BH228" s="140"/>
      <c r="BI228" s="140"/>
      <c r="BJ228" s="140"/>
      <c r="BK228" s="140"/>
      <c r="BL228" s="140"/>
      <c r="BM228" s="140"/>
      <c r="BN228" s="140"/>
      <c r="BO228" s="140"/>
      <c r="BP228" s="140"/>
      <c r="BQ228" s="140"/>
      <c r="BR228" s="140"/>
      <c r="BS228" s="140"/>
      <c r="BT228" s="140"/>
      <c r="BU228" s="140"/>
      <c r="BV228" s="140"/>
      <c r="BW228" s="140"/>
      <c r="BX228" s="140"/>
      <c r="BY228" s="140"/>
      <c r="BZ228" s="140"/>
      <c r="CA228" s="140"/>
      <c r="CB228" s="140"/>
      <c r="CC228" s="140"/>
      <c r="CD228" s="140"/>
      <c r="CE228" s="140"/>
      <c r="CF228" s="140"/>
      <c r="CG228" s="140"/>
      <c r="CH228" s="140"/>
      <c r="CI228" s="140"/>
      <c r="CJ228" s="140"/>
      <c r="CK228" s="140"/>
      <c r="CL228" s="140"/>
      <c r="CM228" s="140"/>
      <c r="CN228" s="140"/>
      <c r="CO228" s="140"/>
      <c r="CP228" s="140"/>
      <c r="CQ228" s="140"/>
      <c r="CR228" s="140"/>
      <c r="CS228" s="140"/>
      <c r="CT228" s="140"/>
      <c r="CU228" s="140"/>
      <c r="CV228" s="140"/>
      <c r="CW228" s="140"/>
      <c r="CX228" s="140"/>
      <c r="CY228" s="140"/>
      <c r="CZ228" s="140"/>
      <c r="DA228" s="140"/>
      <c r="DB228" s="140"/>
      <c r="DC228" s="140"/>
      <c r="DD228" s="140"/>
      <c r="DE228" s="140"/>
    </row>
    <row r="229" spans="1:109" s="139" customForma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3"/>
      <c r="U229" s="143"/>
      <c r="V229" s="143"/>
      <c r="W229" s="143"/>
      <c r="X229" s="143"/>
      <c r="Y229" s="143"/>
      <c r="Z229" s="143"/>
      <c r="AA229" s="143"/>
      <c r="AC229" s="140"/>
      <c r="AD229" s="140"/>
      <c r="AE229" s="140"/>
      <c r="AF229" s="140"/>
      <c r="AG229" s="140"/>
      <c r="AH229" s="141"/>
      <c r="AI229" s="143"/>
      <c r="AJ229" s="140"/>
      <c r="AK229" s="140"/>
      <c r="AL229" s="140"/>
      <c r="AM229" s="140"/>
      <c r="AN229" s="140"/>
      <c r="AO229" s="140"/>
      <c r="AP229" s="140"/>
      <c r="AQ229" s="140"/>
      <c r="AR229" s="140"/>
      <c r="AS229" s="140"/>
      <c r="AT229" s="140"/>
      <c r="AU229" s="140"/>
      <c r="AV229" s="140"/>
      <c r="AW229" s="140"/>
      <c r="AX229" s="140"/>
      <c r="AY229" s="140"/>
      <c r="AZ229" s="140"/>
      <c r="BA229" s="140"/>
      <c r="BB229" s="140"/>
      <c r="BC229" s="140"/>
      <c r="BD229" s="140"/>
      <c r="BE229" s="140"/>
      <c r="BF229" s="140"/>
      <c r="BG229" s="140"/>
      <c r="BH229" s="140"/>
      <c r="BI229" s="140"/>
      <c r="BJ229" s="140"/>
      <c r="BK229" s="140"/>
      <c r="BL229" s="140"/>
      <c r="BM229" s="140"/>
      <c r="BN229" s="140"/>
      <c r="BO229" s="140"/>
      <c r="BP229" s="140"/>
      <c r="BQ229" s="140"/>
      <c r="BR229" s="140"/>
      <c r="BS229" s="140"/>
      <c r="BT229" s="140"/>
      <c r="BU229" s="140"/>
      <c r="BV229" s="140"/>
      <c r="BW229" s="140"/>
      <c r="BX229" s="140"/>
      <c r="BY229" s="140"/>
      <c r="BZ229" s="140"/>
      <c r="CA229" s="140"/>
      <c r="CB229" s="140"/>
      <c r="CC229" s="140"/>
      <c r="CD229" s="140"/>
      <c r="CE229" s="140"/>
      <c r="CF229" s="140"/>
      <c r="CG229" s="140"/>
      <c r="CH229" s="140"/>
      <c r="CI229" s="140"/>
      <c r="CJ229" s="140"/>
      <c r="CK229" s="140"/>
      <c r="CL229" s="140"/>
      <c r="CM229" s="140"/>
      <c r="CN229" s="140"/>
      <c r="CO229" s="140"/>
      <c r="CP229" s="140"/>
      <c r="CQ229" s="140"/>
      <c r="CR229" s="140"/>
      <c r="CS229" s="140"/>
      <c r="CT229" s="140"/>
      <c r="CU229" s="140"/>
      <c r="CV229" s="140"/>
      <c r="CW229" s="140"/>
      <c r="CX229" s="140"/>
      <c r="CY229" s="140"/>
      <c r="CZ229" s="140"/>
      <c r="DA229" s="140"/>
      <c r="DB229" s="140"/>
      <c r="DC229" s="140"/>
      <c r="DD229" s="140"/>
      <c r="DE229" s="140"/>
    </row>
    <row r="230" spans="1:109" s="139" customForma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3"/>
      <c r="U230" s="143"/>
      <c r="V230" s="143"/>
      <c r="W230" s="143"/>
      <c r="X230" s="143"/>
      <c r="Y230" s="143"/>
      <c r="Z230" s="143"/>
      <c r="AA230" s="143"/>
      <c r="AC230" s="140"/>
      <c r="AD230" s="140"/>
      <c r="AE230" s="140"/>
      <c r="AF230" s="140"/>
      <c r="AG230" s="140"/>
      <c r="AH230" s="141"/>
      <c r="AI230" s="143"/>
      <c r="AJ230" s="140"/>
      <c r="AK230" s="140"/>
      <c r="AL230" s="140"/>
      <c r="AM230" s="140"/>
      <c r="AN230" s="140"/>
      <c r="AO230" s="140"/>
      <c r="AP230" s="140"/>
      <c r="AQ230" s="140"/>
      <c r="AR230" s="140"/>
      <c r="AS230" s="140"/>
      <c r="AT230" s="140"/>
      <c r="AU230" s="140"/>
      <c r="AV230" s="140"/>
      <c r="AW230" s="140"/>
      <c r="AX230" s="140"/>
      <c r="AY230" s="140"/>
      <c r="AZ230" s="140"/>
      <c r="BA230" s="140"/>
      <c r="BB230" s="140"/>
      <c r="BC230" s="140"/>
      <c r="BD230" s="140"/>
      <c r="BE230" s="140"/>
      <c r="BF230" s="140"/>
      <c r="BG230" s="140"/>
      <c r="BH230" s="140"/>
      <c r="BI230" s="140"/>
      <c r="BJ230" s="140"/>
      <c r="BK230" s="140"/>
      <c r="BL230" s="140"/>
      <c r="BM230" s="140"/>
      <c r="BN230" s="140"/>
      <c r="BO230" s="140"/>
      <c r="BP230" s="140"/>
      <c r="BQ230" s="140"/>
      <c r="BR230" s="140"/>
      <c r="BS230" s="140"/>
      <c r="BT230" s="140"/>
      <c r="BU230" s="140"/>
      <c r="BV230" s="140"/>
      <c r="BW230" s="140"/>
      <c r="BX230" s="140"/>
      <c r="BY230" s="140"/>
      <c r="BZ230" s="140"/>
      <c r="CA230" s="140"/>
      <c r="CB230" s="140"/>
      <c r="CC230" s="140"/>
      <c r="CD230" s="140"/>
      <c r="CE230" s="140"/>
      <c r="CF230" s="140"/>
      <c r="CG230" s="140"/>
      <c r="CH230" s="140"/>
      <c r="CI230" s="140"/>
      <c r="CJ230" s="140"/>
      <c r="CK230" s="140"/>
      <c r="CL230" s="140"/>
      <c r="CM230" s="140"/>
      <c r="CN230" s="140"/>
      <c r="CO230" s="140"/>
      <c r="CP230" s="140"/>
      <c r="CQ230" s="140"/>
      <c r="CR230" s="140"/>
      <c r="CS230" s="140"/>
      <c r="CT230" s="140"/>
      <c r="CU230" s="140"/>
      <c r="CV230" s="140"/>
      <c r="CW230" s="140"/>
      <c r="CX230" s="140"/>
      <c r="CY230" s="140"/>
      <c r="CZ230" s="140"/>
      <c r="DA230" s="140"/>
      <c r="DB230" s="140"/>
      <c r="DC230" s="140"/>
      <c r="DD230" s="140"/>
      <c r="DE230" s="140"/>
    </row>
    <row r="231" spans="1:109" s="139" customForma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3"/>
      <c r="U231" s="143"/>
      <c r="V231" s="143"/>
      <c r="W231" s="143"/>
      <c r="X231" s="143"/>
      <c r="Y231" s="143"/>
      <c r="Z231" s="143"/>
      <c r="AA231" s="143"/>
      <c r="AC231" s="140"/>
      <c r="AD231" s="140"/>
      <c r="AE231" s="140"/>
      <c r="AF231" s="140"/>
      <c r="AG231" s="140"/>
      <c r="AH231" s="141"/>
      <c r="AI231" s="143"/>
      <c r="AJ231" s="140"/>
      <c r="AK231" s="140"/>
      <c r="AL231" s="140"/>
      <c r="AM231" s="140"/>
      <c r="AN231" s="140"/>
      <c r="AO231" s="140"/>
      <c r="AP231" s="140"/>
      <c r="AQ231" s="140"/>
      <c r="AR231" s="140"/>
      <c r="AS231" s="140"/>
      <c r="AT231" s="140"/>
      <c r="AU231" s="140"/>
      <c r="AV231" s="140"/>
      <c r="AW231" s="140"/>
      <c r="AX231" s="140"/>
      <c r="AY231" s="140"/>
      <c r="AZ231" s="140"/>
      <c r="BA231" s="140"/>
      <c r="BB231" s="140"/>
      <c r="BC231" s="140"/>
      <c r="BD231" s="140"/>
      <c r="BE231" s="140"/>
      <c r="BF231" s="140"/>
      <c r="BG231" s="140"/>
      <c r="BH231" s="140"/>
      <c r="BI231" s="140"/>
      <c r="BJ231" s="140"/>
      <c r="BK231" s="140"/>
      <c r="BL231" s="140"/>
      <c r="BM231" s="140"/>
      <c r="BN231" s="140"/>
      <c r="BO231" s="140"/>
      <c r="BP231" s="140"/>
      <c r="BQ231" s="140"/>
      <c r="BR231" s="140"/>
      <c r="BS231" s="140"/>
      <c r="BT231" s="140"/>
      <c r="BU231" s="140"/>
      <c r="BV231" s="140"/>
      <c r="BW231" s="140"/>
      <c r="BX231" s="140"/>
      <c r="BY231" s="140"/>
      <c r="BZ231" s="140"/>
      <c r="CA231" s="140"/>
      <c r="CB231" s="140"/>
      <c r="CC231" s="140"/>
      <c r="CD231" s="140"/>
      <c r="CE231" s="140"/>
      <c r="CF231" s="140"/>
      <c r="CG231" s="140"/>
      <c r="CH231" s="140"/>
      <c r="CI231" s="140"/>
      <c r="CJ231" s="140"/>
      <c r="CK231" s="140"/>
      <c r="CL231" s="140"/>
      <c r="CM231" s="140"/>
      <c r="CN231" s="140"/>
      <c r="CO231" s="140"/>
      <c r="CP231" s="140"/>
      <c r="CQ231" s="140"/>
      <c r="CR231" s="140"/>
      <c r="CS231" s="140"/>
      <c r="CT231" s="140"/>
      <c r="CU231" s="140"/>
      <c r="CV231" s="140"/>
      <c r="CW231" s="140"/>
      <c r="CX231" s="140"/>
      <c r="CY231" s="140"/>
      <c r="CZ231" s="140"/>
      <c r="DA231" s="140"/>
      <c r="DB231" s="140"/>
      <c r="DC231" s="140"/>
      <c r="DD231" s="140"/>
      <c r="DE231" s="140"/>
    </row>
    <row r="232" spans="1:109" s="139" customForma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3"/>
      <c r="U232" s="143"/>
      <c r="V232" s="143"/>
      <c r="W232" s="143"/>
      <c r="X232" s="143"/>
      <c r="Y232" s="143"/>
      <c r="Z232" s="143"/>
      <c r="AA232" s="143"/>
      <c r="AC232" s="140"/>
      <c r="AD232" s="140"/>
      <c r="AE232" s="140"/>
      <c r="AF232" s="140"/>
      <c r="AG232" s="140"/>
      <c r="AH232" s="141"/>
      <c r="AI232" s="143"/>
      <c r="AJ232" s="140"/>
      <c r="AK232" s="140"/>
      <c r="AL232" s="140"/>
      <c r="AM232" s="140"/>
      <c r="AN232" s="140"/>
      <c r="AO232" s="140"/>
      <c r="AP232" s="140"/>
      <c r="AQ232" s="140"/>
      <c r="AR232" s="140"/>
      <c r="AS232" s="140"/>
      <c r="AT232" s="140"/>
      <c r="AU232" s="140"/>
      <c r="AV232" s="140"/>
      <c r="AW232" s="140"/>
      <c r="AX232" s="140"/>
      <c r="AY232" s="140"/>
      <c r="AZ232" s="140"/>
      <c r="BA232" s="140"/>
      <c r="BB232" s="140"/>
      <c r="BC232" s="140"/>
      <c r="BD232" s="140"/>
      <c r="BE232" s="140"/>
      <c r="BF232" s="140"/>
      <c r="BG232" s="140"/>
      <c r="BH232" s="140"/>
      <c r="BI232" s="140"/>
      <c r="BJ232" s="140"/>
      <c r="BK232" s="140"/>
      <c r="BL232" s="140"/>
      <c r="BM232" s="140"/>
      <c r="BN232" s="140"/>
      <c r="BO232" s="140"/>
      <c r="BP232" s="140"/>
      <c r="BQ232" s="140"/>
      <c r="BR232" s="140"/>
      <c r="BS232" s="140"/>
      <c r="BT232" s="140"/>
      <c r="BU232" s="140"/>
      <c r="BV232" s="140"/>
      <c r="BW232" s="140"/>
      <c r="BX232" s="140"/>
      <c r="BY232" s="140"/>
      <c r="BZ232" s="140"/>
      <c r="CA232" s="140"/>
      <c r="CB232" s="140"/>
      <c r="CC232" s="140"/>
      <c r="CD232" s="140"/>
      <c r="CE232" s="140"/>
      <c r="CF232" s="140"/>
      <c r="CG232" s="140"/>
      <c r="CH232" s="140"/>
      <c r="CI232" s="140"/>
      <c r="CJ232" s="140"/>
      <c r="CK232" s="140"/>
      <c r="CL232" s="140"/>
      <c r="CM232" s="140"/>
      <c r="CN232" s="140"/>
      <c r="CO232" s="140"/>
      <c r="CP232" s="140"/>
      <c r="CQ232" s="140"/>
      <c r="CR232" s="140"/>
      <c r="CS232" s="140"/>
      <c r="CT232" s="140"/>
      <c r="CU232" s="140"/>
      <c r="CV232" s="140"/>
      <c r="CW232" s="140"/>
      <c r="CX232" s="140"/>
      <c r="CY232" s="140"/>
      <c r="CZ232" s="140"/>
      <c r="DA232" s="140"/>
      <c r="DB232" s="140"/>
      <c r="DC232" s="140"/>
      <c r="DD232" s="140"/>
      <c r="DE232" s="140"/>
    </row>
    <row r="233" spans="1:109" s="139" customForma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3"/>
      <c r="U233" s="143"/>
      <c r="V233" s="143"/>
      <c r="W233" s="143"/>
      <c r="X233" s="143"/>
      <c r="Y233" s="143"/>
      <c r="Z233" s="143"/>
      <c r="AA233" s="143"/>
      <c r="AC233" s="140"/>
      <c r="AD233" s="140"/>
      <c r="AE233" s="140"/>
      <c r="AF233" s="140"/>
      <c r="AG233" s="140"/>
      <c r="AH233" s="141"/>
      <c r="AI233" s="143"/>
      <c r="AJ233" s="140"/>
      <c r="AK233" s="140"/>
      <c r="AL233" s="140"/>
      <c r="AM233" s="140"/>
      <c r="AN233" s="140"/>
      <c r="AO233" s="140"/>
      <c r="AP233" s="140"/>
      <c r="AQ233" s="140"/>
      <c r="AR233" s="140"/>
      <c r="AS233" s="140"/>
      <c r="AT233" s="140"/>
      <c r="AU233" s="140"/>
      <c r="AV233" s="140"/>
      <c r="AW233" s="140"/>
      <c r="AX233" s="140"/>
      <c r="AY233" s="140"/>
      <c r="AZ233" s="140"/>
      <c r="BA233" s="140"/>
      <c r="BB233" s="140"/>
      <c r="BC233" s="140"/>
      <c r="BD233" s="140"/>
      <c r="BE233" s="140"/>
      <c r="BF233" s="140"/>
      <c r="BG233" s="140"/>
      <c r="BH233" s="140"/>
      <c r="BI233" s="140"/>
      <c r="BJ233" s="140"/>
      <c r="BK233" s="140"/>
      <c r="BL233" s="140"/>
      <c r="BM233" s="140"/>
      <c r="BN233" s="140"/>
      <c r="BO233" s="140"/>
      <c r="BP233" s="140"/>
      <c r="BQ233" s="140"/>
      <c r="BR233" s="140"/>
      <c r="BS233" s="140"/>
      <c r="BT233" s="140"/>
      <c r="BU233" s="140"/>
      <c r="BV233" s="140"/>
      <c r="BW233" s="140"/>
      <c r="BX233" s="140"/>
      <c r="BY233" s="140"/>
      <c r="BZ233" s="140"/>
      <c r="CA233" s="140"/>
      <c r="CB233" s="140"/>
      <c r="CC233" s="140"/>
      <c r="CD233" s="140"/>
      <c r="CE233" s="140"/>
      <c r="CF233" s="140"/>
      <c r="CG233" s="140"/>
      <c r="CH233" s="140"/>
      <c r="CI233" s="140"/>
      <c r="CJ233" s="140"/>
      <c r="CK233" s="140"/>
      <c r="CL233" s="140"/>
      <c r="CM233" s="140"/>
      <c r="CN233" s="140"/>
      <c r="CO233" s="140"/>
      <c r="CP233" s="140"/>
      <c r="CQ233" s="140"/>
      <c r="CR233" s="140"/>
      <c r="CS233" s="140"/>
      <c r="CT233" s="140"/>
      <c r="CU233" s="140"/>
      <c r="CV233" s="140"/>
      <c r="CW233" s="140"/>
      <c r="CX233" s="140"/>
      <c r="CY233" s="140"/>
      <c r="CZ233" s="140"/>
      <c r="DA233" s="140"/>
      <c r="DB233" s="140"/>
      <c r="DC233" s="140"/>
      <c r="DD233" s="140"/>
      <c r="DE233" s="140"/>
    </row>
    <row r="234" spans="1:109" s="139" customForma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3"/>
      <c r="U234" s="143"/>
      <c r="V234" s="143"/>
      <c r="W234" s="143"/>
      <c r="X234" s="143"/>
      <c r="Y234" s="143"/>
      <c r="Z234" s="143"/>
      <c r="AA234" s="143"/>
      <c r="AC234" s="140"/>
      <c r="AD234" s="140"/>
      <c r="AE234" s="140"/>
      <c r="AF234" s="140"/>
      <c r="AG234" s="140"/>
      <c r="AH234" s="141"/>
      <c r="AI234" s="143"/>
      <c r="AJ234" s="140"/>
      <c r="AK234" s="140"/>
      <c r="AL234" s="140"/>
      <c r="AM234" s="140"/>
      <c r="AN234" s="140"/>
      <c r="AO234" s="140"/>
      <c r="AP234" s="140"/>
      <c r="AQ234" s="140"/>
      <c r="AR234" s="140"/>
      <c r="AS234" s="140"/>
      <c r="AT234" s="140"/>
      <c r="AU234" s="140"/>
      <c r="AV234" s="140"/>
      <c r="AW234" s="140"/>
      <c r="AX234" s="140"/>
      <c r="AY234" s="140"/>
      <c r="AZ234" s="140"/>
      <c r="BA234" s="140"/>
      <c r="BB234" s="140"/>
      <c r="BC234" s="140"/>
      <c r="BD234" s="140"/>
      <c r="BE234" s="140"/>
      <c r="BF234" s="140"/>
      <c r="BG234" s="140"/>
      <c r="BH234" s="140"/>
      <c r="BI234" s="140"/>
      <c r="BJ234" s="140"/>
      <c r="BK234" s="140"/>
      <c r="BL234" s="140"/>
      <c r="BM234" s="140"/>
      <c r="BN234" s="140"/>
      <c r="BO234" s="140"/>
      <c r="BP234" s="140"/>
      <c r="BQ234" s="140"/>
      <c r="BR234" s="140"/>
      <c r="BS234" s="140"/>
      <c r="BT234" s="140"/>
      <c r="BU234" s="140"/>
      <c r="BV234" s="140"/>
      <c r="BW234" s="140"/>
      <c r="BX234" s="140"/>
      <c r="BY234" s="140"/>
      <c r="BZ234" s="140"/>
      <c r="CA234" s="140"/>
      <c r="CB234" s="140"/>
      <c r="CC234" s="140"/>
      <c r="CD234" s="140"/>
      <c r="CE234" s="140"/>
      <c r="CF234" s="140"/>
      <c r="CG234" s="140"/>
      <c r="CH234" s="140"/>
      <c r="CI234" s="140"/>
      <c r="CJ234" s="140"/>
      <c r="CK234" s="140"/>
      <c r="CL234" s="140"/>
      <c r="CM234" s="140"/>
      <c r="CN234" s="140"/>
      <c r="CO234" s="140"/>
      <c r="CP234" s="140"/>
      <c r="CQ234" s="140"/>
      <c r="CR234" s="140"/>
      <c r="CS234" s="140"/>
      <c r="CT234" s="140"/>
      <c r="CU234" s="140"/>
      <c r="CV234" s="140"/>
      <c r="CW234" s="140"/>
      <c r="CX234" s="140"/>
      <c r="CY234" s="140"/>
      <c r="CZ234" s="140"/>
      <c r="DA234" s="140"/>
      <c r="DB234" s="140"/>
      <c r="DC234" s="140"/>
      <c r="DD234" s="140"/>
      <c r="DE234" s="140"/>
    </row>
    <row r="235" spans="1:109" s="139" customForma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3"/>
      <c r="U235" s="143"/>
      <c r="V235" s="143"/>
      <c r="W235" s="143"/>
      <c r="X235" s="143"/>
      <c r="Y235" s="143"/>
      <c r="Z235" s="143"/>
      <c r="AA235" s="143"/>
      <c r="AC235" s="140"/>
      <c r="AD235" s="140"/>
      <c r="AE235" s="140"/>
      <c r="AF235" s="140"/>
      <c r="AG235" s="140"/>
      <c r="AH235" s="141"/>
      <c r="AI235" s="143"/>
      <c r="AJ235" s="140"/>
      <c r="AK235" s="140"/>
      <c r="AL235" s="140"/>
      <c r="AM235" s="140"/>
      <c r="AN235" s="140"/>
      <c r="AO235" s="140"/>
      <c r="AP235" s="140"/>
      <c r="AQ235" s="140"/>
      <c r="AR235" s="140"/>
      <c r="AS235" s="140"/>
      <c r="AT235" s="140"/>
      <c r="AU235" s="140"/>
      <c r="AV235" s="140"/>
      <c r="AW235" s="140"/>
      <c r="AX235" s="140"/>
      <c r="AY235" s="140"/>
      <c r="AZ235" s="140"/>
      <c r="BA235" s="140"/>
      <c r="BB235" s="140"/>
      <c r="BC235" s="140"/>
      <c r="BD235" s="140"/>
      <c r="BE235" s="140"/>
      <c r="BF235" s="140"/>
      <c r="BG235" s="140"/>
      <c r="BH235" s="140"/>
      <c r="BI235" s="140"/>
      <c r="BJ235" s="140"/>
      <c r="BK235" s="140"/>
      <c r="BL235" s="140"/>
      <c r="BM235" s="140"/>
      <c r="BN235" s="140"/>
      <c r="BO235" s="140"/>
      <c r="BP235" s="140"/>
      <c r="BQ235" s="140"/>
      <c r="BR235" s="140"/>
      <c r="BS235" s="140"/>
      <c r="BT235" s="140"/>
      <c r="BU235" s="140"/>
      <c r="BV235" s="140"/>
      <c r="BW235" s="140"/>
      <c r="BX235" s="140"/>
      <c r="BY235" s="140"/>
      <c r="BZ235" s="140"/>
      <c r="CA235" s="140"/>
      <c r="CB235" s="140"/>
      <c r="CC235" s="140"/>
      <c r="CD235" s="140"/>
      <c r="CE235" s="140"/>
      <c r="CF235" s="140"/>
      <c r="CG235" s="140"/>
      <c r="CH235" s="140"/>
      <c r="CI235" s="140"/>
      <c r="CJ235" s="140"/>
      <c r="CK235" s="140"/>
      <c r="CL235" s="140"/>
      <c r="CM235" s="140"/>
      <c r="CN235" s="140"/>
      <c r="CO235" s="140"/>
      <c r="CP235" s="140"/>
      <c r="CQ235" s="140"/>
      <c r="CR235" s="140"/>
      <c r="CS235" s="140"/>
      <c r="CT235" s="140"/>
      <c r="CU235" s="140"/>
      <c r="CV235" s="140"/>
      <c r="CW235" s="140"/>
      <c r="CX235" s="140"/>
      <c r="CY235" s="140"/>
      <c r="CZ235" s="140"/>
      <c r="DA235" s="140"/>
      <c r="DB235" s="140"/>
      <c r="DC235" s="140"/>
      <c r="DD235" s="140"/>
      <c r="DE235" s="140"/>
    </row>
    <row r="236" spans="1:109" s="139" customForma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3"/>
      <c r="U236" s="143"/>
      <c r="V236" s="143"/>
      <c r="W236" s="143"/>
      <c r="X236" s="143"/>
      <c r="Y236" s="143"/>
      <c r="Z236" s="143"/>
      <c r="AA236" s="143"/>
      <c r="AC236" s="140"/>
      <c r="AD236" s="140"/>
      <c r="AE236" s="140"/>
      <c r="AF236" s="140"/>
      <c r="AG236" s="140"/>
      <c r="AH236" s="141"/>
      <c r="AI236" s="143"/>
      <c r="AJ236" s="140"/>
      <c r="AK236" s="140"/>
      <c r="AL236" s="140"/>
      <c r="AM236" s="140"/>
      <c r="AN236" s="140"/>
      <c r="AO236" s="140"/>
      <c r="AP236" s="140"/>
      <c r="AQ236" s="140"/>
      <c r="AR236" s="140"/>
      <c r="AS236" s="140"/>
      <c r="AT236" s="140"/>
      <c r="AU236" s="140"/>
      <c r="AV236" s="140"/>
      <c r="AW236" s="140"/>
      <c r="AX236" s="140"/>
      <c r="AY236" s="140"/>
      <c r="AZ236" s="140"/>
      <c r="BA236" s="140"/>
      <c r="BB236" s="140"/>
      <c r="BC236" s="140"/>
      <c r="BD236" s="140"/>
      <c r="BE236" s="140"/>
      <c r="BF236" s="140"/>
      <c r="BG236" s="140"/>
      <c r="BH236" s="140"/>
      <c r="BI236" s="140"/>
      <c r="BJ236" s="140"/>
      <c r="BK236" s="140"/>
      <c r="BL236" s="140"/>
      <c r="BM236" s="140"/>
      <c r="BN236" s="140"/>
      <c r="BO236" s="140"/>
      <c r="BP236" s="140"/>
      <c r="BQ236" s="140"/>
      <c r="BR236" s="140"/>
      <c r="BS236" s="140"/>
      <c r="BT236" s="140"/>
      <c r="BU236" s="140"/>
      <c r="BV236" s="140"/>
      <c r="BW236" s="140"/>
      <c r="BX236" s="140"/>
      <c r="BY236" s="140"/>
      <c r="BZ236" s="140"/>
      <c r="CA236" s="140"/>
      <c r="CB236" s="140"/>
      <c r="CC236" s="140"/>
      <c r="CD236" s="140"/>
      <c r="CE236" s="140"/>
      <c r="CF236" s="140"/>
      <c r="CG236" s="140"/>
      <c r="CH236" s="140"/>
      <c r="CI236" s="140"/>
      <c r="CJ236" s="140"/>
      <c r="CK236" s="140"/>
      <c r="CL236" s="140"/>
      <c r="CM236" s="140"/>
      <c r="CN236" s="140"/>
      <c r="CO236" s="140"/>
      <c r="CP236" s="140"/>
      <c r="CQ236" s="140"/>
      <c r="CR236" s="140"/>
      <c r="CS236" s="140"/>
      <c r="CT236" s="140"/>
      <c r="CU236" s="140"/>
      <c r="CV236" s="140"/>
      <c r="CW236" s="140"/>
      <c r="CX236" s="140"/>
      <c r="CY236" s="140"/>
      <c r="CZ236" s="140"/>
      <c r="DA236" s="140"/>
      <c r="DB236" s="140"/>
      <c r="DC236" s="140"/>
      <c r="DD236" s="140"/>
      <c r="DE236" s="140"/>
    </row>
    <row r="237" spans="1:109" s="139" customForma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3"/>
      <c r="U237" s="143"/>
      <c r="V237" s="143"/>
      <c r="W237" s="143"/>
      <c r="X237" s="143"/>
      <c r="Y237" s="143"/>
      <c r="Z237" s="143"/>
      <c r="AA237" s="143"/>
      <c r="AC237" s="140"/>
      <c r="AD237" s="140"/>
      <c r="AE237" s="140"/>
      <c r="AF237" s="140"/>
      <c r="AG237" s="140"/>
      <c r="AH237" s="141"/>
      <c r="AI237" s="143"/>
      <c r="AJ237" s="140"/>
      <c r="AK237" s="140"/>
      <c r="AL237" s="140"/>
      <c r="AM237" s="140"/>
      <c r="AN237" s="140"/>
      <c r="AO237" s="140"/>
      <c r="AP237" s="140"/>
      <c r="AQ237" s="140"/>
      <c r="AR237" s="140"/>
      <c r="AS237" s="140"/>
      <c r="AT237" s="140"/>
      <c r="AU237" s="140"/>
      <c r="AV237" s="140"/>
      <c r="AW237" s="140"/>
      <c r="AX237" s="140"/>
      <c r="AY237" s="140"/>
      <c r="AZ237" s="140"/>
      <c r="BA237" s="140"/>
      <c r="BB237" s="140"/>
      <c r="BC237" s="140"/>
      <c r="BD237" s="140"/>
      <c r="BE237" s="140"/>
      <c r="BF237" s="140"/>
      <c r="BG237" s="140"/>
      <c r="BH237" s="140"/>
      <c r="BI237" s="140"/>
      <c r="BJ237" s="140"/>
      <c r="BK237" s="140"/>
      <c r="BL237" s="140"/>
      <c r="BM237" s="140"/>
      <c r="BN237" s="140"/>
      <c r="BO237" s="140"/>
      <c r="BP237" s="140"/>
      <c r="BQ237" s="140"/>
      <c r="BR237" s="140"/>
      <c r="BS237" s="140"/>
      <c r="BT237" s="140"/>
      <c r="BU237" s="140"/>
      <c r="BV237" s="140"/>
      <c r="BW237" s="140"/>
      <c r="BX237" s="140"/>
      <c r="BY237" s="140"/>
      <c r="BZ237" s="140"/>
      <c r="CA237" s="140"/>
      <c r="CB237" s="140"/>
      <c r="CC237" s="140"/>
      <c r="CD237" s="140"/>
      <c r="CE237" s="140"/>
      <c r="CF237" s="140"/>
      <c r="CG237" s="140"/>
      <c r="CH237" s="140"/>
      <c r="CI237" s="140"/>
      <c r="CJ237" s="140"/>
      <c r="CK237" s="140"/>
      <c r="CL237" s="140"/>
      <c r="CM237" s="140"/>
      <c r="CN237" s="140"/>
      <c r="CO237" s="140"/>
      <c r="CP237" s="140"/>
      <c r="CQ237" s="140"/>
      <c r="CR237" s="140"/>
      <c r="CS237" s="140"/>
      <c r="CT237" s="140"/>
      <c r="CU237" s="140"/>
      <c r="CV237" s="140"/>
      <c r="CW237" s="140"/>
      <c r="CX237" s="140"/>
      <c r="CY237" s="140"/>
      <c r="CZ237" s="140"/>
      <c r="DA237" s="140"/>
      <c r="DB237" s="140"/>
      <c r="DC237" s="140"/>
      <c r="DD237" s="140"/>
      <c r="DE237" s="140"/>
    </row>
    <row r="238" spans="1:109" s="139" customForma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3"/>
      <c r="U238" s="143"/>
      <c r="V238" s="143"/>
      <c r="W238" s="143"/>
      <c r="X238" s="143"/>
      <c r="Y238" s="143"/>
      <c r="Z238" s="143"/>
      <c r="AA238" s="143"/>
      <c r="AC238" s="140"/>
      <c r="AD238" s="140"/>
      <c r="AE238" s="140"/>
      <c r="AF238" s="140"/>
      <c r="AG238" s="140"/>
      <c r="AH238" s="141"/>
      <c r="AI238" s="143"/>
      <c r="AJ238" s="140"/>
      <c r="AK238" s="140"/>
      <c r="AL238" s="140"/>
      <c r="AM238" s="140"/>
      <c r="AN238" s="140"/>
      <c r="AO238" s="140"/>
      <c r="AP238" s="140"/>
      <c r="AQ238" s="140"/>
      <c r="AR238" s="140"/>
      <c r="AS238" s="140"/>
      <c r="AT238" s="140"/>
      <c r="AU238" s="140"/>
      <c r="AV238" s="140"/>
      <c r="AW238" s="140"/>
      <c r="AX238" s="140"/>
      <c r="AY238" s="140"/>
      <c r="AZ238" s="140"/>
      <c r="BA238" s="140"/>
      <c r="BB238" s="140"/>
      <c r="BC238" s="140"/>
      <c r="BD238" s="140"/>
      <c r="BE238" s="140"/>
      <c r="BF238" s="140"/>
      <c r="BG238" s="140"/>
      <c r="BH238" s="140"/>
      <c r="BI238" s="140"/>
      <c r="BJ238" s="140"/>
      <c r="BK238" s="140"/>
      <c r="BL238" s="140"/>
      <c r="BM238" s="140"/>
      <c r="BN238" s="140"/>
      <c r="BO238" s="140"/>
      <c r="BP238" s="140"/>
      <c r="BQ238" s="140"/>
      <c r="BR238" s="140"/>
      <c r="BS238" s="140"/>
      <c r="BT238" s="140"/>
      <c r="BU238" s="140"/>
      <c r="BV238" s="140"/>
      <c r="BW238" s="140"/>
      <c r="BX238" s="140"/>
      <c r="BY238" s="140"/>
      <c r="BZ238" s="140"/>
      <c r="CA238" s="140"/>
      <c r="CB238" s="140"/>
      <c r="CC238" s="140"/>
      <c r="CD238" s="140"/>
      <c r="CE238" s="140"/>
      <c r="CF238" s="140"/>
      <c r="CG238" s="140"/>
      <c r="CH238" s="140"/>
      <c r="CI238" s="140"/>
      <c r="CJ238" s="140"/>
      <c r="CK238" s="140"/>
      <c r="CL238" s="140"/>
      <c r="CM238" s="140"/>
      <c r="CN238" s="140"/>
      <c r="CO238" s="140"/>
      <c r="CP238" s="140"/>
      <c r="CQ238" s="140"/>
      <c r="CR238" s="140"/>
      <c r="CS238" s="140"/>
      <c r="CT238" s="140"/>
      <c r="CU238" s="140"/>
      <c r="CV238" s="140"/>
      <c r="CW238" s="140"/>
      <c r="CX238" s="140"/>
      <c r="CY238" s="140"/>
      <c r="CZ238" s="140"/>
      <c r="DA238" s="140"/>
      <c r="DB238" s="140"/>
      <c r="DC238" s="140"/>
      <c r="DD238" s="140"/>
      <c r="DE238" s="140"/>
    </row>
    <row r="239" spans="1:109" s="139" customForma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3"/>
      <c r="U239" s="143"/>
      <c r="V239" s="143"/>
      <c r="W239" s="143"/>
      <c r="X239" s="143"/>
      <c r="Y239" s="143"/>
      <c r="Z239" s="143"/>
      <c r="AA239" s="143"/>
      <c r="AC239" s="140"/>
      <c r="AD239" s="140"/>
      <c r="AE239" s="140"/>
      <c r="AF239" s="140"/>
      <c r="AG239" s="140"/>
      <c r="AH239" s="141"/>
      <c r="AI239" s="143"/>
      <c r="AJ239" s="140"/>
      <c r="AK239" s="140"/>
      <c r="AL239" s="140"/>
      <c r="AM239" s="140"/>
      <c r="AN239" s="140"/>
      <c r="AO239" s="140"/>
      <c r="AP239" s="140"/>
      <c r="AQ239" s="140"/>
      <c r="AR239" s="140"/>
      <c r="AS239" s="140"/>
      <c r="AT239" s="140"/>
      <c r="AU239" s="140"/>
      <c r="AV239" s="140"/>
      <c r="AW239" s="140"/>
      <c r="AX239" s="140"/>
      <c r="AY239" s="140"/>
      <c r="AZ239" s="140"/>
      <c r="BA239" s="140"/>
      <c r="BB239" s="140"/>
      <c r="BC239" s="140"/>
      <c r="BD239" s="140"/>
      <c r="BE239" s="140"/>
      <c r="BF239" s="140"/>
      <c r="BG239" s="140"/>
      <c r="BH239" s="140"/>
      <c r="BI239" s="140"/>
      <c r="BJ239" s="140"/>
      <c r="BK239" s="140"/>
      <c r="BL239" s="140"/>
      <c r="BM239" s="140"/>
      <c r="BN239" s="140"/>
      <c r="BO239" s="140"/>
      <c r="BP239" s="140"/>
      <c r="BQ239" s="140"/>
      <c r="BR239" s="140"/>
      <c r="BS239" s="140"/>
      <c r="BT239" s="140"/>
      <c r="BU239" s="140"/>
      <c r="BV239" s="140"/>
      <c r="BW239" s="140"/>
      <c r="BX239" s="140"/>
      <c r="BY239" s="140"/>
      <c r="BZ239" s="140"/>
      <c r="CA239" s="140"/>
      <c r="CB239" s="140"/>
      <c r="CC239" s="140"/>
      <c r="CD239" s="140"/>
      <c r="CE239" s="140"/>
      <c r="CF239" s="140"/>
      <c r="CG239" s="140"/>
      <c r="CH239" s="140"/>
      <c r="CI239" s="140"/>
      <c r="CJ239" s="140"/>
      <c r="CK239" s="140"/>
      <c r="CL239" s="140"/>
      <c r="CM239" s="140"/>
      <c r="CN239" s="140"/>
      <c r="CO239" s="140"/>
      <c r="CP239" s="140"/>
      <c r="CQ239" s="140"/>
      <c r="CR239" s="140"/>
      <c r="CS239" s="140"/>
      <c r="CT239" s="140"/>
      <c r="CU239" s="140"/>
      <c r="CV239" s="140"/>
      <c r="CW239" s="140"/>
      <c r="CX239" s="140"/>
      <c r="CY239" s="140"/>
      <c r="CZ239" s="140"/>
      <c r="DA239" s="140"/>
      <c r="DB239" s="140"/>
      <c r="DC239" s="140"/>
      <c r="DD239" s="140"/>
      <c r="DE239" s="140"/>
    </row>
    <row r="240" spans="1:109" s="139" customForma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3"/>
      <c r="U240" s="143"/>
      <c r="V240" s="143"/>
      <c r="W240" s="143"/>
      <c r="X240" s="143"/>
      <c r="Y240" s="143"/>
      <c r="Z240" s="143"/>
      <c r="AA240" s="143"/>
      <c r="AC240" s="140"/>
      <c r="AD240" s="140"/>
      <c r="AE240" s="140"/>
      <c r="AF240" s="140"/>
      <c r="AG240" s="140"/>
      <c r="AH240" s="141"/>
      <c r="AI240" s="143"/>
      <c r="AJ240" s="140"/>
      <c r="AK240" s="140"/>
      <c r="AL240" s="140"/>
      <c r="AM240" s="140"/>
      <c r="AN240" s="140"/>
      <c r="AO240" s="140"/>
      <c r="AP240" s="140"/>
      <c r="AQ240" s="140"/>
      <c r="AR240" s="140"/>
      <c r="AS240" s="140"/>
      <c r="AT240" s="140"/>
      <c r="AU240" s="140"/>
      <c r="AV240" s="140"/>
      <c r="AW240" s="140"/>
      <c r="AX240" s="140"/>
      <c r="AY240" s="140"/>
      <c r="AZ240" s="140"/>
      <c r="BA240" s="140"/>
      <c r="BB240" s="140"/>
      <c r="BC240" s="140"/>
      <c r="BD240" s="140"/>
      <c r="BE240" s="140"/>
      <c r="BF240" s="140"/>
      <c r="BG240" s="140"/>
      <c r="BH240" s="140"/>
      <c r="BI240" s="140"/>
      <c r="BJ240" s="140"/>
      <c r="BK240" s="140"/>
      <c r="BL240" s="140"/>
      <c r="BM240" s="140"/>
      <c r="BN240" s="140"/>
      <c r="BO240" s="140"/>
      <c r="BP240" s="140"/>
      <c r="BQ240" s="140"/>
      <c r="BR240" s="140"/>
      <c r="BS240" s="140"/>
      <c r="BT240" s="140"/>
      <c r="BU240" s="140"/>
      <c r="BV240" s="140"/>
      <c r="BW240" s="140"/>
      <c r="BX240" s="140"/>
      <c r="BY240" s="140"/>
      <c r="BZ240" s="140"/>
      <c r="CA240" s="140"/>
      <c r="CB240" s="140"/>
      <c r="CC240" s="140"/>
      <c r="CD240" s="140"/>
      <c r="CE240" s="140"/>
      <c r="CF240" s="140"/>
      <c r="CG240" s="140"/>
      <c r="CH240" s="140"/>
      <c r="CI240" s="140"/>
      <c r="CJ240" s="140"/>
      <c r="CK240" s="140"/>
      <c r="CL240" s="140"/>
      <c r="CM240" s="140"/>
      <c r="CN240" s="140"/>
      <c r="CO240" s="140"/>
      <c r="CP240" s="140"/>
      <c r="CQ240" s="140"/>
      <c r="CR240" s="140"/>
      <c r="CS240" s="140"/>
      <c r="CT240" s="140"/>
      <c r="CU240" s="140"/>
      <c r="CV240" s="140"/>
      <c r="CW240" s="140"/>
      <c r="CX240" s="140"/>
      <c r="CY240" s="140"/>
      <c r="CZ240" s="140"/>
      <c r="DA240" s="140"/>
      <c r="DB240" s="140"/>
      <c r="DC240" s="140"/>
      <c r="DD240" s="140"/>
      <c r="DE240" s="140"/>
    </row>
    <row r="241" spans="1:109" s="139" customForma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3"/>
      <c r="U241" s="143"/>
      <c r="V241" s="143"/>
      <c r="W241" s="143"/>
      <c r="X241" s="143"/>
      <c r="Y241" s="143"/>
      <c r="Z241" s="143"/>
      <c r="AA241" s="143"/>
      <c r="AC241" s="140"/>
      <c r="AD241" s="140"/>
      <c r="AE241" s="140"/>
      <c r="AF241" s="140"/>
      <c r="AG241" s="140"/>
      <c r="AH241" s="141"/>
      <c r="AI241" s="143"/>
      <c r="AJ241" s="140"/>
      <c r="AK241" s="140"/>
      <c r="AL241" s="140"/>
      <c r="AM241" s="140"/>
      <c r="AN241" s="140"/>
      <c r="AO241" s="140"/>
      <c r="AP241" s="140"/>
      <c r="AQ241" s="140"/>
      <c r="AR241" s="140"/>
      <c r="AS241" s="140"/>
      <c r="AT241" s="140"/>
      <c r="AU241" s="140"/>
      <c r="AV241" s="140"/>
      <c r="AW241" s="140"/>
      <c r="AX241" s="140"/>
      <c r="AY241" s="140"/>
      <c r="AZ241" s="140"/>
      <c r="BA241" s="140"/>
      <c r="BB241" s="140"/>
      <c r="BC241" s="140"/>
      <c r="BD241" s="140"/>
      <c r="BE241" s="140"/>
      <c r="BF241" s="140"/>
      <c r="BG241" s="140"/>
      <c r="BH241" s="140"/>
      <c r="BI241" s="140"/>
      <c r="BJ241" s="140"/>
      <c r="BK241" s="140"/>
      <c r="BL241" s="140"/>
      <c r="BM241" s="140"/>
      <c r="BN241" s="140"/>
      <c r="BO241" s="140"/>
      <c r="BP241" s="140"/>
      <c r="BQ241" s="140"/>
      <c r="BR241" s="140"/>
      <c r="BS241" s="140"/>
      <c r="BT241" s="140"/>
      <c r="BU241" s="140"/>
      <c r="BV241" s="140"/>
      <c r="BW241" s="140"/>
      <c r="BX241" s="140"/>
      <c r="BY241" s="140"/>
      <c r="BZ241" s="140"/>
      <c r="CA241" s="140"/>
      <c r="CB241" s="140"/>
      <c r="CC241" s="140"/>
      <c r="CD241" s="140"/>
      <c r="CE241" s="140"/>
      <c r="CF241" s="140"/>
      <c r="CG241" s="140"/>
      <c r="CH241" s="140"/>
      <c r="CI241" s="140"/>
      <c r="CJ241" s="140"/>
      <c r="CK241" s="140"/>
      <c r="CL241" s="140"/>
      <c r="CM241" s="140"/>
      <c r="CN241" s="140"/>
      <c r="CO241" s="140"/>
      <c r="CP241" s="140"/>
      <c r="CQ241" s="140"/>
      <c r="CR241" s="140"/>
      <c r="CS241" s="140"/>
      <c r="CT241" s="140"/>
      <c r="CU241" s="140"/>
      <c r="CV241" s="140"/>
      <c r="CW241" s="140"/>
      <c r="CX241" s="140"/>
      <c r="CY241" s="140"/>
      <c r="CZ241" s="140"/>
      <c r="DA241" s="140"/>
      <c r="DB241" s="140"/>
      <c r="DC241" s="140"/>
      <c r="DD241" s="140"/>
      <c r="DE241" s="140"/>
    </row>
    <row r="242" spans="1:109" s="139" customForma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3"/>
      <c r="U242" s="143"/>
      <c r="V242" s="143"/>
      <c r="W242" s="143"/>
      <c r="X242" s="143"/>
      <c r="Y242" s="143"/>
      <c r="Z242" s="143"/>
      <c r="AA242" s="143"/>
      <c r="AC242" s="140"/>
      <c r="AD242" s="140"/>
      <c r="AE242" s="140"/>
      <c r="AF242" s="140"/>
      <c r="AG242" s="140"/>
      <c r="AH242" s="141"/>
      <c r="AI242" s="143"/>
      <c r="AJ242" s="140"/>
      <c r="AK242" s="140"/>
      <c r="AL242" s="140"/>
      <c r="AM242" s="140"/>
      <c r="AN242" s="140"/>
      <c r="AO242" s="140"/>
      <c r="AP242" s="140"/>
      <c r="AQ242" s="140"/>
      <c r="AR242" s="140"/>
      <c r="AS242" s="140"/>
      <c r="AT242" s="140"/>
      <c r="AU242" s="140"/>
      <c r="AV242" s="140"/>
      <c r="AW242" s="140"/>
      <c r="AX242" s="140"/>
      <c r="AY242" s="140"/>
      <c r="AZ242" s="140"/>
      <c r="BA242" s="140"/>
      <c r="BB242" s="140"/>
      <c r="BC242" s="140"/>
      <c r="BD242" s="140"/>
      <c r="BE242" s="140"/>
      <c r="BF242" s="140"/>
      <c r="BG242" s="140"/>
      <c r="BH242" s="140"/>
      <c r="BI242" s="140"/>
      <c r="BJ242" s="140"/>
      <c r="BK242" s="140"/>
      <c r="BL242" s="140"/>
      <c r="BM242" s="140"/>
      <c r="BN242" s="140"/>
      <c r="BO242" s="140"/>
      <c r="BP242" s="140"/>
      <c r="BQ242" s="140"/>
      <c r="BR242" s="140"/>
      <c r="BS242" s="140"/>
      <c r="BT242" s="140"/>
      <c r="BU242" s="140"/>
      <c r="BV242" s="140"/>
      <c r="BW242" s="140"/>
      <c r="BX242" s="140"/>
      <c r="BY242" s="140"/>
      <c r="BZ242" s="140"/>
      <c r="CA242" s="140"/>
      <c r="CB242" s="140"/>
      <c r="CC242" s="140"/>
      <c r="CD242" s="140"/>
      <c r="CE242" s="140"/>
      <c r="CF242" s="140"/>
      <c r="CG242" s="140"/>
      <c r="CH242" s="140"/>
      <c r="CI242" s="140"/>
      <c r="CJ242" s="140"/>
      <c r="CK242" s="140"/>
      <c r="CL242" s="140"/>
      <c r="CM242" s="140"/>
      <c r="CN242" s="140"/>
      <c r="CO242" s="140"/>
      <c r="CP242" s="140"/>
      <c r="CQ242" s="140"/>
      <c r="CR242" s="140"/>
      <c r="CS242" s="140"/>
      <c r="CT242" s="140"/>
      <c r="CU242" s="140"/>
      <c r="CV242" s="140"/>
      <c r="CW242" s="140"/>
      <c r="CX242" s="140"/>
      <c r="CY242" s="140"/>
      <c r="CZ242" s="140"/>
      <c r="DA242" s="140"/>
      <c r="DB242" s="140"/>
      <c r="DC242" s="140"/>
      <c r="DD242" s="140"/>
      <c r="DE242" s="140"/>
    </row>
    <row r="243" spans="1:109" s="139" customForma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3"/>
      <c r="U243" s="143"/>
      <c r="V243" s="143"/>
      <c r="W243" s="143"/>
      <c r="X243" s="143"/>
      <c r="Y243" s="143"/>
      <c r="Z243" s="143"/>
      <c r="AA243" s="143"/>
      <c r="AC243" s="140"/>
      <c r="AD243" s="140"/>
      <c r="AE243" s="140"/>
      <c r="AF243" s="140"/>
      <c r="AG243" s="140"/>
      <c r="AH243" s="141"/>
      <c r="AI243" s="143"/>
      <c r="AJ243" s="140"/>
      <c r="AK243" s="140"/>
      <c r="AL243" s="140"/>
      <c r="AM243" s="140"/>
      <c r="AN243" s="140"/>
      <c r="AO243" s="140"/>
      <c r="AP243" s="140"/>
      <c r="AQ243" s="140"/>
      <c r="AR243" s="140"/>
      <c r="AS243" s="140"/>
      <c r="AT243" s="140"/>
      <c r="AU243" s="140"/>
      <c r="AV243" s="140"/>
      <c r="AW243" s="140"/>
      <c r="AX243" s="140"/>
      <c r="AY243" s="140"/>
      <c r="AZ243" s="140"/>
      <c r="BA243" s="140"/>
      <c r="BB243" s="140"/>
      <c r="BC243" s="140"/>
      <c r="BD243" s="140"/>
      <c r="BE243" s="140"/>
      <c r="BF243" s="140"/>
      <c r="BG243" s="140"/>
      <c r="BH243" s="140"/>
      <c r="BI243" s="140"/>
      <c r="BJ243" s="140"/>
      <c r="BK243" s="140"/>
      <c r="BL243" s="140"/>
      <c r="BM243" s="140"/>
      <c r="BN243" s="140"/>
      <c r="BO243" s="140"/>
      <c r="BP243" s="140"/>
      <c r="BQ243" s="140"/>
      <c r="BR243" s="140"/>
      <c r="BS243" s="140"/>
      <c r="BT243" s="140"/>
      <c r="BU243" s="140"/>
      <c r="BV243" s="140"/>
      <c r="BW243" s="140"/>
      <c r="BX243" s="140"/>
      <c r="BY243" s="140"/>
      <c r="BZ243" s="140"/>
      <c r="CA243" s="140"/>
      <c r="CB243" s="140"/>
      <c r="CC243" s="140"/>
      <c r="CD243" s="140"/>
      <c r="CE243" s="140"/>
      <c r="CF243" s="140"/>
      <c r="CG243" s="140"/>
      <c r="CH243" s="140"/>
      <c r="CI243" s="140"/>
      <c r="CJ243" s="140"/>
      <c r="CK243" s="140"/>
      <c r="CL243" s="140"/>
      <c r="CM243" s="140"/>
      <c r="CN243" s="140"/>
      <c r="CO243" s="140"/>
      <c r="CP243" s="140"/>
      <c r="CQ243" s="140"/>
      <c r="CR243" s="140"/>
      <c r="CS243" s="140"/>
      <c r="CT243" s="140"/>
      <c r="CU243" s="140"/>
      <c r="CV243" s="140"/>
      <c r="CW243" s="140"/>
      <c r="CX243" s="140"/>
      <c r="CY243" s="140"/>
      <c r="CZ243" s="140"/>
      <c r="DA243" s="140"/>
      <c r="DB243" s="140"/>
      <c r="DC243" s="140"/>
      <c r="DD243" s="140"/>
      <c r="DE243" s="140"/>
    </row>
    <row r="244" spans="1:109" s="139" customForma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3"/>
      <c r="U244" s="143"/>
      <c r="V244" s="143"/>
      <c r="W244" s="143"/>
      <c r="X244" s="143"/>
      <c r="Y244" s="143"/>
      <c r="Z244" s="143"/>
      <c r="AA244" s="143"/>
      <c r="AC244" s="140"/>
      <c r="AD244" s="140"/>
      <c r="AE244" s="140"/>
      <c r="AF244" s="140"/>
      <c r="AG244" s="140"/>
      <c r="AH244" s="141"/>
      <c r="AI244" s="143"/>
      <c r="AJ244" s="140"/>
      <c r="AK244" s="140"/>
      <c r="AL244" s="140"/>
      <c r="AM244" s="140"/>
      <c r="AN244" s="140"/>
      <c r="AO244" s="140"/>
      <c r="AP244" s="140"/>
      <c r="AQ244" s="140"/>
      <c r="AR244" s="140"/>
      <c r="AS244" s="140"/>
      <c r="AT244" s="140"/>
      <c r="AU244" s="140"/>
      <c r="AV244" s="140"/>
      <c r="AW244" s="140"/>
      <c r="AX244" s="140"/>
      <c r="AY244" s="140"/>
      <c r="AZ244" s="140"/>
      <c r="BA244" s="140"/>
      <c r="BB244" s="140"/>
      <c r="BC244" s="140"/>
      <c r="BD244" s="140"/>
      <c r="BE244" s="140"/>
      <c r="BF244" s="140"/>
      <c r="BG244" s="140"/>
      <c r="BH244" s="140"/>
      <c r="BI244" s="140"/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</row>
    <row r="245" spans="1:109" s="139" customForma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3"/>
      <c r="U245" s="143"/>
      <c r="V245" s="143"/>
      <c r="W245" s="143"/>
      <c r="X245" s="143"/>
      <c r="Y245" s="143"/>
      <c r="Z245" s="143"/>
      <c r="AA245" s="143"/>
      <c r="AC245" s="140"/>
      <c r="AD245" s="140"/>
      <c r="AE245" s="140"/>
      <c r="AF245" s="140"/>
      <c r="AG245" s="140"/>
      <c r="AH245" s="141"/>
      <c r="AI245" s="143"/>
      <c r="AJ245" s="140"/>
      <c r="AK245" s="140"/>
      <c r="AL245" s="140"/>
      <c r="AM245" s="140"/>
      <c r="AN245" s="140"/>
      <c r="AO245" s="140"/>
      <c r="AP245" s="140"/>
      <c r="AQ245" s="140"/>
      <c r="AR245" s="140"/>
      <c r="AS245" s="140"/>
      <c r="AT245" s="140"/>
      <c r="AU245" s="140"/>
      <c r="AV245" s="140"/>
      <c r="AW245" s="140"/>
      <c r="AX245" s="140"/>
      <c r="AY245" s="140"/>
      <c r="AZ245" s="140"/>
      <c r="BA245" s="140"/>
      <c r="BB245" s="140"/>
      <c r="BC245" s="140"/>
      <c r="BD245" s="140"/>
      <c r="BE245" s="140"/>
      <c r="BF245" s="140"/>
      <c r="BG245" s="140"/>
      <c r="BH245" s="140"/>
      <c r="BI245" s="140"/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</row>
    <row r="246" spans="1:109" s="139" customForma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3"/>
      <c r="U246" s="143"/>
      <c r="V246" s="143"/>
      <c r="W246" s="143"/>
      <c r="X246" s="143"/>
      <c r="Y246" s="143"/>
      <c r="Z246" s="143"/>
      <c r="AA246" s="143"/>
      <c r="AC246" s="140"/>
      <c r="AD246" s="140"/>
      <c r="AE246" s="140"/>
      <c r="AF246" s="140"/>
      <c r="AG246" s="140"/>
      <c r="AH246" s="141"/>
      <c r="AI246" s="143"/>
      <c r="AJ246" s="140"/>
      <c r="AK246" s="140"/>
      <c r="AL246" s="140"/>
      <c r="AM246" s="140"/>
      <c r="AN246" s="140"/>
      <c r="AO246" s="140"/>
      <c r="AP246" s="140"/>
      <c r="AQ246" s="140"/>
      <c r="AR246" s="140"/>
      <c r="AS246" s="140"/>
      <c r="AT246" s="140"/>
      <c r="AU246" s="140"/>
      <c r="AV246" s="140"/>
      <c r="AW246" s="140"/>
      <c r="AX246" s="140"/>
      <c r="AY246" s="140"/>
      <c r="AZ246" s="140"/>
      <c r="BA246" s="140"/>
      <c r="BB246" s="140"/>
      <c r="BC246" s="140"/>
      <c r="BD246" s="140"/>
      <c r="BE246" s="140"/>
      <c r="BF246" s="140"/>
      <c r="BG246" s="140"/>
      <c r="BH246" s="140"/>
      <c r="BI246" s="140"/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</row>
    <row r="247" spans="1:109" s="139" customForma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3"/>
      <c r="U247" s="143"/>
      <c r="V247" s="143"/>
      <c r="W247" s="143"/>
      <c r="X247" s="143"/>
      <c r="Y247" s="143"/>
      <c r="Z247" s="143"/>
      <c r="AA247" s="143"/>
      <c r="AC247" s="140"/>
      <c r="AD247" s="140"/>
      <c r="AE247" s="140"/>
      <c r="AF247" s="140"/>
      <c r="AG247" s="140"/>
      <c r="AH247" s="141"/>
      <c r="AI247" s="143"/>
      <c r="AJ247" s="140"/>
      <c r="AK247" s="140"/>
      <c r="AL247" s="140"/>
      <c r="AM247" s="140"/>
      <c r="AN247" s="140"/>
      <c r="AO247" s="140"/>
      <c r="AP247" s="140"/>
      <c r="AQ247" s="140"/>
      <c r="AR247" s="140"/>
      <c r="AS247" s="140"/>
      <c r="AT247" s="140"/>
      <c r="AU247" s="140"/>
      <c r="AV247" s="140"/>
      <c r="AW247" s="140"/>
      <c r="AX247" s="140"/>
      <c r="AY247" s="140"/>
      <c r="AZ247" s="140"/>
      <c r="BA247" s="140"/>
      <c r="BB247" s="140"/>
      <c r="BC247" s="140"/>
      <c r="BD247" s="140"/>
      <c r="BE247" s="140"/>
      <c r="BF247" s="140"/>
      <c r="BG247" s="140"/>
      <c r="BH247" s="140"/>
      <c r="BI247" s="140"/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</row>
    <row r="248" spans="1:109" s="139" customForma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3"/>
      <c r="U248" s="143"/>
      <c r="V248" s="143"/>
      <c r="W248" s="143"/>
      <c r="X248" s="143"/>
      <c r="Y248" s="143"/>
      <c r="Z248" s="143"/>
      <c r="AA248" s="143"/>
      <c r="AC248" s="140"/>
      <c r="AD248" s="140"/>
      <c r="AE248" s="140"/>
      <c r="AF248" s="140"/>
      <c r="AG248" s="140"/>
      <c r="AH248" s="141"/>
      <c r="AI248" s="143"/>
      <c r="AJ248" s="140"/>
      <c r="AK248" s="140"/>
      <c r="AL248" s="140"/>
      <c r="AM248" s="140"/>
      <c r="AN248" s="140"/>
      <c r="AO248" s="140"/>
      <c r="AP248" s="140"/>
      <c r="AQ248" s="140"/>
      <c r="AR248" s="140"/>
      <c r="AS248" s="140"/>
      <c r="AT248" s="140"/>
      <c r="AU248" s="140"/>
      <c r="AV248" s="140"/>
      <c r="AW248" s="140"/>
      <c r="AX248" s="140"/>
      <c r="AY248" s="140"/>
      <c r="AZ248" s="140"/>
      <c r="BA248" s="140"/>
      <c r="BB248" s="140"/>
      <c r="BC248" s="140"/>
      <c r="BD248" s="140"/>
      <c r="BE248" s="140"/>
      <c r="BF248" s="140"/>
      <c r="BG248" s="140"/>
      <c r="BH248" s="140"/>
      <c r="BI248" s="140"/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</row>
    <row r="249" spans="1:109" s="139" customForma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3"/>
      <c r="U249" s="143"/>
      <c r="V249" s="143"/>
      <c r="W249" s="143"/>
      <c r="X249" s="143"/>
      <c r="Y249" s="143"/>
      <c r="Z249" s="143"/>
      <c r="AA249" s="143"/>
      <c r="AC249" s="140"/>
      <c r="AD249" s="140"/>
      <c r="AE249" s="140"/>
      <c r="AF249" s="140"/>
      <c r="AG249" s="140"/>
      <c r="AH249" s="141"/>
      <c r="AI249" s="143"/>
      <c r="AJ249" s="140"/>
      <c r="AK249" s="140"/>
      <c r="AL249" s="140"/>
      <c r="AM249" s="140"/>
      <c r="AN249" s="140"/>
      <c r="AO249" s="140"/>
      <c r="AP249" s="140"/>
      <c r="AQ249" s="140"/>
      <c r="AR249" s="140"/>
      <c r="AS249" s="140"/>
      <c r="AT249" s="140"/>
      <c r="AU249" s="140"/>
      <c r="AV249" s="140"/>
      <c r="AW249" s="140"/>
      <c r="AX249" s="140"/>
      <c r="AY249" s="140"/>
      <c r="AZ249" s="140"/>
      <c r="BA249" s="140"/>
      <c r="BB249" s="140"/>
      <c r="BC249" s="140"/>
      <c r="BD249" s="140"/>
      <c r="BE249" s="140"/>
      <c r="BF249" s="140"/>
      <c r="BG249" s="140"/>
      <c r="BH249" s="140"/>
      <c r="BI249" s="140"/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</row>
    <row r="250" spans="1:109" s="139" customForma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3"/>
      <c r="U250" s="143"/>
      <c r="V250" s="143"/>
      <c r="W250" s="143"/>
      <c r="X250" s="143"/>
      <c r="Y250" s="143"/>
      <c r="Z250" s="143"/>
      <c r="AA250" s="143"/>
      <c r="AC250" s="140"/>
      <c r="AD250" s="140"/>
      <c r="AE250" s="140"/>
      <c r="AF250" s="140"/>
      <c r="AG250" s="140"/>
      <c r="AH250" s="141"/>
      <c r="AI250" s="143"/>
      <c r="AJ250" s="140"/>
      <c r="AK250" s="140"/>
      <c r="AL250" s="140"/>
      <c r="AM250" s="140"/>
      <c r="AN250" s="140"/>
      <c r="AO250" s="140"/>
      <c r="AP250" s="140"/>
      <c r="AQ250" s="140"/>
      <c r="AR250" s="140"/>
      <c r="AS250" s="140"/>
      <c r="AT250" s="140"/>
      <c r="AU250" s="140"/>
      <c r="AV250" s="140"/>
      <c r="AW250" s="140"/>
      <c r="AX250" s="140"/>
      <c r="AY250" s="140"/>
      <c r="AZ250" s="140"/>
      <c r="BA250" s="140"/>
      <c r="BB250" s="140"/>
      <c r="BC250" s="140"/>
      <c r="BD250" s="140"/>
      <c r="BE250" s="140"/>
      <c r="BF250" s="140"/>
      <c r="BG250" s="140"/>
      <c r="BH250" s="140"/>
      <c r="BI250" s="140"/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</row>
    <row r="251" spans="1:109" s="139" customForma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3"/>
      <c r="U251" s="143"/>
      <c r="V251" s="143"/>
      <c r="W251" s="143"/>
      <c r="X251" s="143"/>
      <c r="Y251" s="143"/>
      <c r="Z251" s="143"/>
      <c r="AA251" s="143"/>
      <c r="AC251" s="140"/>
      <c r="AD251" s="140"/>
      <c r="AE251" s="140"/>
      <c r="AF251" s="140"/>
      <c r="AG251" s="140"/>
      <c r="AH251" s="141"/>
      <c r="AI251" s="143"/>
      <c r="AJ251" s="140"/>
      <c r="AK251" s="140"/>
      <c r="AL251" s="140"/>
      <c r="AM251" s="140"/>
      <c r="AN251" s="140"/>
      <c r="AO251" s="140"/>
      <c r="AP251" s="140"/>
      <c r="AQ251" s="140"/>
      <c r="AR251" s="140"/>
      <c r="AS251" s="140"/>
      <c r="AT251" s="140"/>
      <c r="AU251" s="140"/>
      <c r="AV251" s="140"/>
      <c r="AW251" s="140"/>
      <c r="AX251" s="140"/>
      <c r="AY251" s="140"/>
      <c r="AZ251" s="140"/>
      <c r="BA251" s="140"/>
      <c r="BB251" s="140"/>
      <c r="BC251" s="140"/>
      <c r="BD251" s="140"/>
      <c r="BE251" s="140"/>
      <c r="BF251" s="140"/>
      <c r="BG251" s="140"/>
      <c r="BH251" s="140"/>
      <c r="BI251" s="140"/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</row>
    <row r="252" spans="1:109" s="139" customForma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3"/>
      <c r="U252" s="143"/>
      <c r="V252" s="143"/>
      <c r="W252" s="143"/>
      <c r="X252" s="143"/>
      <c r="Y252" s="143"/>
      <c r="Z252" s="143"/>
      <c r="AA252" s="143"/>
      <c r="AC252" s="140"/>
      <c r="AD252" s="140"/>
      <c r="AE252" s="140"/>
      <c r="AF252" s="140"/>
      <c r="AG252" s="140"/>
      <c r="AH252" s="141"/>
      <c r="AI252" s="143"/>
      <c r="AJ252" s="140"/>
      <c r="AK252" s="140"/>
      <c r="AL252" s="140"/>
      <c r="AM252" s="140"/>
      <c r="AN252" s="140"/>
      <c r="AO252" s="140"/>
      <c r="AP252" s="140"/>
      <c r="AQ252" s="140"/>
      <c r="AR252" s="140"/>
      <c r="AS252" s="140"/>
      <c r="AT252" s="140"/>
      <c r="AU252" s="140"/>
      <c r="AV252" s="140"/>
      <c r="AW252" s="140"/>
      <c r="AX252" s="140"/>
      <c r="AY252" s="140"/>
      <c r="AZ252" s="140"/>
      <c r="BA252" s="140"/>
      <c r="BB252" s="140"/>
      <c r="BC252" s="140"/>
      <c r="BD252" s="140"/>
      <c r="BE252" s="140"/>
      <c r="BF252" s="140"/>
      <c r="BG252" s="140"/>
      <c r="BH252" s="140"/>
      <c r="BI252" s="140"/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</row>
    <row r="253" spans="1:109" s="139" customForma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3"/>
      <c r="U253" s="143"/>
      <c r="V253" s="143"/>
      <c r="W253" s="143"/>
      <c r="X253" s="143"/>
      <c r="Y253" s="143"/>
      <c r="Z253" s="143"/>
      <c r="AA253" s="143"/>
      <c r="AC253" s="140"/>
      <c r="AD253" s="140"/>
      <c r="AE253" s="140"/>
      <c r="AF253" s="140"/>
      <c r="AG253" s="140"/>
      <c r="AH253" s="141"/>
      <c r="AI253" s="143"/>
      <c r="AJ253" s="140"/>
      <c r="AK253" s="140"/>
      <c r="AL253" s="140"/>
      <c r="AM253" s="140"/>
      <c r="AN253" s="140"/>
      <c r="AO253" s="140"/>
      <c r="AP253" s="140"/>
      <c r="AQ253" s="140"/>
      <c r="AR253" s="140"/>
      <c r="AS253" s="140"/>
      <c r="AT253" s="140"/>
      <c r="AU253" s="140"/>
      <c r="AV253" s="140"/>
      <c r="AW253" s="140"/>
      <c r="AX253" s="140"/>
      <c r="AY253" s="140"/>
      <c r="AZ253" s="140"/>
      <c r="BA253" s="140"/>
      <c r="BB253" s="140"/>
      <c r="BC253" s="140"/>
      <c r="BD253" s="140"/>
      <c r="BE253" s="140"/>
      <c r="BF253" s="140"/>
      <c r="BG253" s="140"/>
      <c r="BH253" s="140"/>
      <c r="BI253" s="140"/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</row>
    <row r="254" spans="1:109" s="139" customForma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3"/>
      <c r="U254" s="143"/>
      <c r="V254" s="143"/>
      <c r="W254" s="143"/>
      <c r="X254" s="143"/>
      <c r="Y254" s="143"/>
      <c r="Z254" s="143"/>
      <c r="AA254" s="143"/>
      <c r="AC254" s="140"/>
      <c r="AD254" s="140"/>
      <c r="AE254" s="140"/>
      <c r="AF254" s="140"/>
      <c r="AG254" s="140"/>
      <c r="AH254" s="141"/>
      <c r="AI254" s="143"/>
      <c r="AJ254" s="140"/>
      <c r="AK254" s="140"/>
      <c r="AL254" s="140"/>
      <c r="AM254" s="140"/>
      <c r="AN254" s="140"/>
      <c r="AO254" s="140"/>
      <c r="AP254" s="140"/>
      <c r="AQ254" s="140"/>
      <c r="AR254" s="140"/>
      <c r="AS254" s="140"/>
      <c r="AT254" s="140"/>
      <c r="AU254" s="140"/>
      <c r="AV254" s="140"/>
      <c r="AW254" s="140"/>
      <c r="AX254" s="140"/>
      <c r="AY254" s="140"/>
      <c r="AZ254" s="140"/>
      <c r="BA254" s="140"/>
      <c r="BB254" s="140"/>
      <c r="BC254" s="140"/>
      <c r="BD254" s="140"/>
      <c r="BE254" s="140"/>
      <c r="BF254" s="140"/>
      <c r="BG254" s="140"/>
      <c r="BH254" s="140"/>
      <c r="BI254" s="140"/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</row>
    <row r="255" spans="1:109" s="139" customForma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3"/>
      <c r="U255" s="143"/>
      <c r="V255" s="143"/>
      <c r="W255" s="143"/>
      <c r="X255" s="143"/>
      <c r="Y255" s="143"/>
      <c r="Z255" s="143"/>
      <c r="AA255" s="143"/>
      <c r="AC255" s="140"/>
      <c r="AD255" s="140"/>
      <c r="AE255" s="140"/>
      <c r="AF255" s="140"/>
      <c r="AG255" s="140"/>
      <c r="AH255" s="141"/>
      <c r="AI255" s="143"/>
      <c r="AJ255" s="140"/>
      <c r="AK255" s="140"/>
      <c r="AL255" s="140"/>
      <c r="AM255" s="140"/>
      <c r="AN255" s="140"/>
      <c r="AO255" s="140"/>
      <c r="AP255" s="140"/>
      <c r="AQ255" s="140"/>
      <c r="AR255" s="140"/>
      <c r="AS255" s="140"/>
      <c r="AT255" s="140"/>
      <c r="AU255" s="140"/>
      <c r="AV255" s="140"/>
      <c r="AW255" s="140"/>
      <c r="AX255" s="140"/>
      <c r="AY255" s="140"/>
      <c r="AZ255" s="140"/>
      <c r="BA255" s="140"/>
      <c r="BB255" s="140"/>
      <c r="BC255" s="140"/>
      <c r="BD255" s="140"/>
      <c r="BE255" s="140"/>
      <c r="BF255" s="140"/>
      <c r="BG255" s="140"/>
      <c r="BH255" s="140"/>
      <c r="BI255" s="140"/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</row>
    <row r="256" spans="1:109" s="139" customForma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3"/>
      <c r="U256" s="143"/>
      <c r="V256" s="143"/>
      <c r="W256" s="143"/>
      <c r="X256" s="143"/>
      <c r="Y256" s="143"/>
      <c r="Z256" s="143"/>
      <c r="AA256" s="143"/>
      <c r="AC256" s="140"/>
      <c r="AD256" s="140"/>
      <c r="AE256" s="140"/>
      <c r="AF256" s="140"/>
      <c r="AG256" s="140"/>
      <c r="AH256" s="141"/>
      <c r="AI256" s="143"/>
      <c r="AJ256" s="140"/>
      <c r="AK256" s="140"/>
      <c r="AL256" s="140"/>
      <c r="AM256" s="140"/>
      <c r="AN256" s="140"/>
      <c r="AO256" s="140"/>
      <c r="AP256" s="140"/>
      <c r="AQ256" s="140"/>
      <c r="AR256" s="140"/>
      <c r="AS256" s="140"/>
      <c r="AT256" s="140"/>
      <c r="AU256" s="140"/>
      <c r="AV256" s="140"/>
      <c r="AW256" s="140"/>
      <c r="AX256" s="140"/>
      <c r="AY256" s="140"/>
      <c r="AZ256" s="140"/>
      <c r="BA256" s="140"/>
      <c r="BB256" s="140"/>
      <c r="BC256" s="140"/>
      <c r="BD256" s="140"/>
      <c r="BE256" s="140"/>
      <c r="BF256" s="140"/>
      <c r="BG256" s="140"/>
      <c r="BH256" s="140"/>
      <c r="BI256" s="140"/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</row>
    <row r="257" spans="1:109" s="139" customForma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3"/>
      <c r="U257" s="143"/>
      <c r="V257" s="143"/>
      <c r="W257" s="143"/>
      <c r="X257" s="143"/>
      <c r="Y257" s="143"/>
      <c r="Z257" s="143"/>
      <c r="AA257" s="143"/>
      <c r="AC257" s="140"/>
      <c r="AD257" s="140"/>
      <c r="AE257" s="140"/>
      <c r="AF257" s="140"/>
      <c r="AG257" s="140"/>
      <c r="AH257" s="141"/>
      <c r="AI257" s="143"/>
      <c r="AJ257" s="140"/>
      <c r="AK257" s="140"/>
      <c r="AL257" s="140"/>
      <c r="AM257" s="140"/>
      <c r="AN257" s="140"/>
      <c r="AO257" s="140"/>
      <c r="AP257" s="140"/>
      <c r="AQ257" s="140"/>
      <c r="AR257" s="140"/>
      <c r="AS257" s="140"/>
      <c r="AT257" s="140"/>
      <c r="AU257" s="140"/>
      <c r="AV257" s="140"/>
      <c r="AW257" s="140"/>
      <c r="AX257" s="140"/>
      <c r="AY257" s="140"/>
      <c r="AZ257" s="140"/>
      <c r="BA257" s="140"/>
      <c r="BB257" s="140"/>
      <c r="BC257" s="140"/>
      <c r="BD257" s="140"/>
      <c r="BE257" s="140"/>
      <c r="BF257" s="140"/>
      <c r="BG257" s="140"/>
      <c r="BH257" s="140"/>
      <c r="BI257" s="140"/>
      <c r="BJ257" s="140"/>
      <c r="BK257" s="140"/>
      <c r="BL257" s="140"/>
      <c r="BM257" s="140"/>
      <c r="BN257" s="140"/>
      <c r="BO257" s="140"/>
      <c r="BP257" s="140"/>
      <c r="BQ257" s="140"/>
      <c r="BR257" s="140"/>
      <c r="BS257" s="140"/>
      <c r="BT257" s="140"/>
      <c r="BU257" s="140"/>
      <c r="BV257" s="140"/>
      <c r="BW257" s="140"/>
      <c r="BX257" s="140"/>
      <c r="BY257" s="140"/>
      <c r="BZ257" s="140"/>
      <c r="CA257" s="140"/>
      <c r="CB257" s="140"/>
      <c r="CC257" s="140"/>
      <c r="CD257" s="140"/>
      <c r="CE257" s="140"/>
      <c r="CF257" s="140"/>
      <c r="CG257" s="140"/>
      <c r="CH257" s="140"/>
      <c r="CI257" s="140"/>
      <c r="CJ257" s="140"/>
      <c r="CK257" s="140"/>
      <c r="CL257" s="140"/>
      <c r="CM257" s="140"/>
      <c r="CN257" s="140"/>
      <c r="CO257" s="140"/>
      <c r="CP257" s="140"/>
      <c r="CQ257" s="140"/>
      <c r="CR257" s="140"/>
      <c r="CS257" s="140"/>
      <c r="CT257" s="140"/>
      <c r="CU257" s="140"/>
      <c r="CV257" s="140"/>
      <c r="CW257" s="140"/>
      <c r="CX257" s="140"/>
      <c r="CY257" s="140"/>
      <c r="CZ257" s="140"/>
      <c r="DA257" s="140"/>
      <c r="DB257" s="140"/>
      <c r="DC257" s="140"/>
      <c r="DD257" s="140"/>
      <c r="DE257" s="140"/>
    </row>
    <row r="258" spans="1:109" s="139" customForma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3"/>
      <c r="U258" s="143"/>
      <c r="V258" s="143"/>
      <c r="W258" s="143"/>
      <c r="X258" s="143"/>
      <c r="Y258" s="143"/>
      <c r="Z258" s="143"/>
      <c r="AA258" s="143"/>
      <c r="AC258" s="140"/>
      <c r="AD258" s="140"/>
      <c r="AE258" s="140"/>
      <c r="AF258" s="140"/>
      <c r="AG258" s="140"/>
      <c r="AH258" s="141"/>
      <c r="AI258" s="143"/>
      <c r="AJ258" s="140"/>
      <c r="AK258" s="140"/>
      <c r="AL258" s="140"/>
      <c r="AM258" s="140"/>
      <c r="AN258" s="140"/>
      <c r="AO258" s="140"/>
      <c r="AP258" s="140"/>
      <c r="AQ258" s="140"/>
      <c r="AR258" s="140"/>
      <c r="AS258" s="140"/>
      <c r="AT258" s="140"/>
      <c r="AU258" s="140"/>
      <c r="AV258" s="140"/>
      <c r="AW258" s="140"/>
      <c r="AX258" s="140"/>
      <c r="AY258" s="140"/>
      <c r="AZ258" s="140"/>
      <c r="BA258" s="140"/>
      <c r="BB258" s="140"/>
      <c r="BC258" s="140"/>
      <c r="BD258" s="140"/>
      <c r="BE258" s="140"/>
      <c r="BF258" s="140"/>
      <c r="BG258" s="140"/>
      <c r="BH258" s="140"/>
      <c r="BI258" s="140"/>
      <c r="BJ258" s="140"/>
      <c r="BK258" s="140"/>
      <c r="BL258" s="140"/>
      <c r="BM258" s="140"/>
      <c r="BN258" s="140"/>
      <c r="BO258" s="140"/>
      <c r="BP258" s="140"/>
      <c r="BQ258" s="140"/>
      <c r="BR258" s="140"/>
      <c r="BS258" s="140"/>
      <c r="BT258" s="140"/>
      <c r="BU258" s="140"/>
      <c r="BV258" s="140"/>
      <c r="BW258" s="140"/>
      <c r="BX258" s="140"/>
      <c r="BY258" s="140"/>
      <c r="BZ258" s="140"/>
      <c r="CA258" s="140"/>
      <c r="CB258" s="140"/>
      <c r="CC258" s="140"/>
      <c r="CD258" s="140"/>
      <c r="CE258" s="140"/>
      <c r="CF258" s="140"/>
      <c r="CG258" s="140"/>
      <c r="CH258" s="140"/>
      <c r="CI258" s="140"/>
      <c r="CJ258" s="140"/>
      <c r="CK258" s="140"/>
      <c r="CL258" s="140"/>
      <c r="CM258" s="140"/>
      <c r="CN258" s="140"/>
      <c r="CO258" s="140"/>
      <c r="CP258" s="140"/>
      <c r="CQ258" s="140"/>
      <c r="CR258" s="140"/>
      <c r="CS258" s="140"/>
      <c r="CT258" s="140"/>
      <c r="CU258" s="140"/>
      <c r="CV258" s="140"/>
      <c r="CW258" s="140"/>
      <c r="CX258" s="140"/>
      <c r="CY258" s="140"/>
      <c r="CZ258" s="140"/>
      <c r="DA258" s="140"/>
      <c r="DB258" s="140"/>
      <c r="DC258" s="140"/>
      <c r="DD258" s="140"/>
      <c r="DE258" s="140"/>
    </row>
    <row r="259" spans="1:109" s="139" customForma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3"/>
      <c r="U259" s="143"/>
      <c r="V259" s="143"/>
      <c r="W259" s="143"/>
      <c r="X259" s="143"/>
      <c r="Y259" s="143"/>
      <c r="Z259" s="143"/>
      <c r="AA259" s="143"/>
      <c r="AC259" s="140"/>
      <c r="AD259" s="140"/>
      <c r="AE259" s="140"/>
      <c r="AF259" s="140"/>
      <c r="AG259" s="140"/>
      <c r="AH259" s="141"/>
      <c r="AI259" s="143"/>
      <c r="AJ259" s="140"/>
      <c r="AK259" s="140"/>
      <c r="AL259" s="140"/>
      <c r="AM259" s="140"/>
      <c r="AN259" s="140"/>
      <c r="AO259" s="140"/>
      <c r="AP259" s="140"/>
      <c r="AQ259" s="140"/>
      <c r="AR259" s="140"/>
      <c r="AS259" s="140"/>
      <c r="AT259" s="140"/>
      <c r="AU259" s="140"/>
      <c r="AV259" s="140"/>
      <c r="AW259" s="140"/>
      <c r="AX259" s="140"/>
      <c r="AY259" s="140"/>
      <c r="AZ259" s="140"/>
      <c r="BA259" s="140"/>
      <c r="BB259" s="140"/>
      <c r="BC259" s="140"/>
      <c r="BD259" s="140"/>
      <c r="BE259" s="140"/>
      <c r="BF259" s="140"/>
      <c r="BG259" s="140"/>
      <c r="BH259" s="140"/>
      <c r="BI259" s="140"/>
      <c r="BJ259" s="140"/>
      <c r="BK259" s="140"/>
      <c r="BL259" s="140"/>
      <c r="BM259" s="140"/>
      <c r="BN259" s="140"/>
      <c r="BO259" s="140"/>
      <c r="BP259" s="140"/>
      <c r="BQ259" s="140"/>
      <c r="BR259" s="140"/>
      <c r="BS259" s="140"/>
      <c r="BT259" s="140"/>
      <c r="BU259" s="140"/>
      <c r="BV259" s="140"/>
      <c r="BW259" s="140"/>
      <c r="BX259" s="140"/>
      <c r="BY259" s="140"/>
      <c r="BZ259" s="140"/>
      <c r="CA259" s="140"/>
      <c r="CB259" s="140"/>
      <c r="CC259" s="140"/>
      <c r="CD259" s="140"/>
      <c r="CE259" s="140"/>
      <c r="CF259" s="140"/>
      <c r="CG259" s="140"/>
      <c r="CH259" s="140"/>
      <c r="CI259" s="140"/>
      <c r="CJ259" s="140"/>
      <c r="CK259" s="140"/>
      <c r="CL259" s="140"/>
      <c r="CM259" s="140"/>
      <c r="CN259" s="140"/>
      <c r="CO259" s="140"/>
      <c r="CP259" s="140"/>
      <c r="CQ259" s="140"/>
      <c r="CR259" s="140"/>
      <c r="CS259" s="140"/>
      <c r="CT259" s="140"/>
      <c r="CU259" s="140"/>
      <c r="CV259" s="140"/>
      <c r="CW259" s="140"/>
      <c r="CX259" s="140"/>
      <c r="CY259" s="140"/>
      <c r="CZ259" s="140"/>
      <c r="DA259" s="140"/>
      <c r="DB259" s="140"/>
      <c r="DC259" s="140"/>
      <c r="DD259" s="140"/>
      <c r="DE259" s="140"/>
    </row>
    <row r="260" spans="1:109" s="139" customForma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3"/>
      <c r="U260" s="143"/>
      <c r="V260" s="143"/>
      <c r="W260" s="143"/>
      <c r="X260" s="143"/>
      <c r="Y260" s="143"/>
      <c r="Z260" s="143"/>
      <c r="AA260" s="143"/>
      <c r="AC260" s="140"/>
      <c r="AD260" s="140"/>
      <c r="AE260" s="140"/>
      <c r="AF260" s="140"/>
      <c r="AG260" s="140"/>
      <c r="AH260" s="141"/>
      <c r="AI260" s="143"/>
      <c r="AJ260" s="140"/>
      <c r="AK260" s="140"/>
      <c r="AL260" s="140"/>
      <c r="AM260" s="140"/>
      <c r="AN260" s="140"/>
      <c r="AO260" s="140"/>
      <c r="AP260" s="140"/>
      <c r="AQ260" s="140"/>
      <c r="AR260" s="140"/>
      <c r="AS260" s="140"/>
      <c r="AT260" s="140"/>
      <c r="AU260" s="140"/>
      <c r="AV260" s="140"/>
      <c r="AW260" s="140"/>
      <c r="AX260" s="140"/>
      <c r="AY260" s="140"/>
      <c r="AZ260" s="140"/>
      <c r="BA260" s="140"/>
      <c r="BB260" s="140"/>
      <c r="BC260" s="140"/>
      <c r="BD260" s="140"/>
      <c r="BE260" s="140"/>
      <c r="BF260" s="140"/>
      <c r="BG260" s="140"/>
      <c r="BH260" s="140"/>
      <c r="BI260" s="140"/>
      <c r="BJ260" s="140"/>
      <c r="BK260" s="140"/>
      <c r="BL260" s="140"/>
      <c r="BM260" s="140"/>
      <c r="BN260" s="140"/>
      <c r="BO260" s="140"/>
      <c r="BP260" s="140"/>
      <c r="BQ260" s="140"/>
      <c r="BR260" s="140"/>
      <c r="BS260" s="140"/>
      <c r="BT260" s="140"/>
      <c r="BU260" s="140"/>
      <c r="BV260" s="140"/>
      <c r="BW260" s="140"/>
      <c r="BX260" s="140"/>
      <c r="BY260" s="140"/>
      <c r="BZ260" s="140"/>
      <c r="CA260" s="140"/>
      <c r="CB260" s="140"/>
      <c r="CC260" s="140"/>
      <c r="CD260" s="140"/>
      <c r="CE260" s="140"/>
      <c r="CF260" s="140"/>
      <c r="CG260" s="140"/>
      <c r="CH260" s="140"/>
      <c r="CI260" s="140"/>
      <c r="CJ260" s="140"/>
      <c r="CK260" s="140"/>
      <c r="CL260" s="140"/>
      <c r="CM260" s="140"/>
      <c r="CN260" s="140"/>
      <c r="CO260" s="140"/>
      <c r="CP260" s="140"/>
      <c r="CQ260" s="140"/>
      <c r="CR260" s="140"/>
      <c r="CS260" s="140"/>
      <c r="CT260" s="140"/>
      <c r="CU260" s="140"/>
      <c r="CV260" s="140"/>
      <c r="CW260" s="140"/>
      <c r="CX260" s="140"/>
      <c r="CY260" s="140"/>
      <c r="CZ260" s="140"/>
      <c r="DA260" s="140"/>
      <c r="DB260" s="140"/>
      <c r="DC260" s="140"/>
      <c r="DD260" s="140"/>
      <c r="DE260" s="140"/>
    </row>
    <row r="261" spans="1:109" s="139" customForma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3"/>
      <c r="U261" s="143"/>
      <c r="V261" s="143"/>
      <c r="W261" s="143"/>
      <c r="X261" s="143"/>
      <c r="Y261" s="143"/>
      <c r="Z261" s="143"/>
      <c r="AA261" s="143"/>
      <c r="AC261" s="140"/>
      <c r="AD261" s="140"/>
      <c r="AE261" s="140"/>
      <c r="AF261" s="140"/>
      <c r="AG261" s="140"/>
      <c r="AH261" s="141"/>
      <c r="AI261" s="143"/>
      <c r="AJ261" s="140"/>
      <c r="AK261" s="140"/>
      <c r="AL261" s="140"/>
      <c r="AM261" s="140"/>
      <c r="AN261" s="140"/>
      <c r="AO261" s="140"/>
      <c r="AP261" s="140"/>
      <c r="AQ261" s="140"/>
      <c r="AR261" s="140"/>
      <c r="AS261" s="140"/>
      <c r="AT261" s="140"/>
      <c r="AU261" s="140"/>
      <c r="AV261" s="140"/>
      <c r="AW261" s="140"/>
      <c r="AX261" s="140"/>
      <c r="AY261" s="140"/>
      <c r="AZ261" s="140"/>
      <c r="BA261" s="140"/>
      <c r="BB261" s="140"/>
      <c r="BC261" s="140"/>
      <c r="BD261" s="140"/>
      <c r="BE261" s="140"/>
      <c r="BF261" s="140"/>
      <c r="BG261" s="140"/>
      <c r="BH261" s="140"/>
      <c r="BI261" s="140"/>
      <c r="BJ261" s="140"/>
      <c r="BK261" s="140"/>
      <c r="BL261" s="140"/>
      <c r="BM261" s="140"/>
      <c r="BN261" s="140"/>
      <c r="BO261" s="140"/>
      <c r="BP261" s="140"/>
      <c r="BQ261" s="140"/>
      <c r="BR261" s="140"/>
      <c r="BS261" s="140"/>
      <c r="BT261" s="140"/>
      <c r="BU261" s="140"/>
      <c r="BV261" s="140"/>
      <c r="BW261" s="140"/>
      <c r="BX261" s="140"/>
      <c r="BY261" s="140"/>
      <c r="BZ261" s="140"/>
      <c r="CA261" s="140"/>
      <c r="CB261" s="140"/>
      <c r="CC261" s="140"/>
      <c r="CD261" s="140"/>
      <c r="CE261" s="140"/>
      <c r="CF261" s="140"/>
      <c r="CG261" s="140"/>
      <c r="CH261" s="140"/>
      <c r="CI261" s="140"/>
      <c r="CJ261" s="140"/>
      <c r="CK261" s="140"/>
      <c r="CL261" s="140"/>
      <c r="CM261" s="140"/>
      <c r="CN261" s="140"/>
      <c r="CO261" s="140"/>
      <c r="CP261" s="140"/>
      <c r="CQ261" s="140"/>
      <c r="CR261" s="140"/>
      <c r="CS261" s="140"/>
      <c r="CT261" s="140"/>
      <c r="CU261" s="140"/>
      <c r="CV261" s="140"/>
      <c r="CW261" s="140"/>
      <c r="CX261" s="140"/>
      <c r="CY261" s="140"/>
      <c r="CZ261" s="140"/>
      <c r="DA261" s="140"/>
      <c r="DB261" s="140"/>
      <c r="DC261" s="140"/>
      <c r="DD261" s="140"/>
      <c r="DE261" s="140"/>
    </row>
    <row r="262" spans="1:109" s="139" customForma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3"/>
      <c r="U262" s="143"/>
      <c r="V262" s="143"/>
      <c r="W262" s="143"/>
      <c r="X262" s="143"/>
      <c r="Y262" s="143"/>
      <c r="Z262" s="143"/>
      <c r="AA262" s="143"/>
      <c r="AC262" s="140"/>
      <c r="AD262" s="140"/>
      <c r="AE262" s="140"/>
      <c r="AF262" s="140"/>
      <c r="AG262" s="140"/>
      <c r="AH262" s="141"/>
      <c r="AI262" s="143"/>
      <c r="AJ262" s="140"/>
      <c r="AK262" s="140"/>
      <c r="AL262" s="140"/>
      <c r="AM262" s="140"/>
      <c r="AN262" s="140"/>
      <c r="AO262" s="140"/>
      <c r="AP262" s="140"/>
      <c r="AQ262" s="140"/>
      <c r="AR262" s="140"/>
      <c r="AS262" s="140"/>
      <c r="AT262" s="140"/>
      <c r="AU262" s="140"/>
      <c r="AV262" s="140"/>
      <c r="AW262" s="140"/>
      <c r="AX262" s="140"/>
      <c r="AY262" s="140"/>
      <c r="AZ262" s="140"/>
      <c r="BA262" s="140"/>
      <c r="BB262" s="140"/>
      <c r="BC262" s="140"/>
      <c r="BD262" s="140"/>
      <c r="BE262" s="140"/>
      <c r="BF262" s="140"/>
      <c r="BG262" s="140"/>
      <c r="BH262" s="140"/>
      <c r="BI262" s="140"/>
      <c r="BJ262" s="140"/>
      <c r="BK262" s="140"/>
      <c r="BL262" s="140"/>
      <c r="BM262" s="140"/>
      <c r="BN262" s="140"/>
      <c r="BO262" s="140"/>
      <c r="BP262" s="140"/>
      <c r="BQ262" s="140"/>
      <c r="BR262" s="140"/>
      <c r="BS262" s="140"/>
      <c r="BT262" s="140"/>
      <c r="BU262" s="140"/>
      <c r="BV262" s="140"/>
      <c r="BW262" s="140"/>
      <c r="BX262" s="140"/>
      <c r="BY262" s="140"/>
      <c r="BZ262" s="140"/>
      <c r="CA262" s="140"/>
      <c r="CB262" s="140"/>
      <c r="CC262" s="140"/>
      <c r="CD262" s="140"/>
      <c r="CE262" s="140"/>
      <c r="CF262" s="140"/>
      <c r="CG262" s="140"/>
      <c r="CH262" s="140"/>
      <c r="CI262" s="140"/>
      <c r="CJ262" s="140"/>
      <c r="CK262" s="140"/>
      <c r="CL262" s="140"/>
      <c r="CM262" s="140"/>
      <c r="CN262" s="140"/>
      <c r="CO262" s="140"/>
      <c r="CP262" s="140"/>
      <c r="CQ262" s="140"/>
      <c r="CR262" s="140"/>
      <c r="CS262" s="140"/>
      <c r="CT262" s="140"/>
      <c r="CU262" s="140"/>
      <c r="CV262" s="140"/>
      <c r="CW262" s="140"/>
      <c r="CX262" s="140"/>
      <c r="CY262" s="140"/>
      <c r="CZ262" s="140"/>
      <c r="DA262" s="140"/>
      <c r="DB262" s="140"/>
      <c r="DC262" s="140"/>
      <c r="DD262" s="140"/>
      <c r="DE262" s="140"/>
    </row>
    <row r="263" spans="1:109" s="139" customForma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3"/>
      <c r="U263" s="143"/>
      <c r="V263" s="143"/>
      <c r="W263" s="143"/>
      <c r="X263" s="143"/>
      <c r="Y263" s="143"/>
      <c r="Z263" s="143"/>
      <c r="AA263" s="143"/>
      <c r="AC263" s="140"/>
      <c r="AD263" s="140"/>
      <c r="AE263" s="140"/>
      <c r="AF263" s="140"/>
      <c r="AG263" s="140"/>
      <c r="AH263" s="141"/>
      <c r="AI263" s="143"/>
      <c r="AJ263" s="140"/>
      <c r="AK263" s="140"/>
      <c r="AL263" s="140"/>
      <c r="AM263" s="140"/>
      <c r="AN263" s="140"/>
      <c r="AO263" s="140"/>
      <c r="AP263" s="140"/>
      <c r="AQ263" s="140"/>
      <c r="AR263" s="140"/>
      <c r="AS263" s="140"/>
      <c r="AT263" s="140"/>
      <c r="AU263" s="140"/>
      <c r="AV263" s="140"/>
      <c r="AW263" s="140"/>
      <c r="AX263" s="140"/>
      <c r="AY263" s="140"/>
      <c r="AZ263" s="140"/>
      <c r="BA263" s="140"/>
      <c r="BB263" s="140"/>
      <c r="BC263" s="140"/>
      <c r="BD263" s="140"/>
      <c r="BE263" s="140"/>
      <c r="BF263" s="140"/>
      <c r="BG263" s="140"/>
      <c r="BH263" s="140"/>
      <c r="BI263" s="140"/>
      <c r="BJ263" s="140"/>
      <c r="BK263" s="140"/>
      <c r="BL263" s="140"/>
      <c r="BM263" s="140"/>
      <c r="BN263" s="140"/>
      <c r="BO263" s="140"/>
      <c r="BP263" s="140"/>
      <c r="BQ263" s="140"/>
      <c r="BR263" s="140"/>
      <c r="BS263" s="140"/>
      <c r="BT263" s="140"/>
      <c r="BU263" s="140"/>
      <c r="BV263" s="140"/>
      <c r="BW263" s="140"/>
      <c r="BX263" s="140"/>
      <c r="BY263" s="140"/>
      <c r="BZ263" s="140"/>
      <c r="CA263" s="140"/>
      <c r="CB263" s="140"/>
      <c r="CC263" s="140"/>
      <c r="CD263" s="140"/>
      <c r="CE263" s="140"/>
      <c r="CF263" s="140"/>
      <c r="CG263" s="140"/>
      <c r="CH263" s="140"/>
      <c r="CI263" s="140"/>
      <c r="CJ263" s="140"/>
      <c r="CK263" s="140"/>
      <c r="CL263" s="140"/>
      <c r="CM263" s="140"/>
      <c r="CN263" s="140"/>
      <c r="CO263" s="140"/>
      <c r="CP263" s="140"/>
      <c r="CQ263" s="140"/>
      <c r="CR263" s="140"/>
      <c r="CS263" s="140"/>
      <c r="CT263" s="140"/>
      <c r="CU263" s="140"/>
      <c r="CV263" s="140"/>
      <c r="CW263" s="140"/>
      <c r="CX263" s="140"/>
      <c r="CY263" s="140"/>
      <c r="CZ263" s="140"/>
      <c r="DA263" s="140"/>
      <c r="DB263" s="140"/>
      <c r="DC263" s="140"/>
      <c r="DD263" s="140"/>
      <c r="DE263" s="140"/>
    </row>
    <row r="264" spans="1:109" s="139" customForma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3"/>
      <c r="U264" s="143"/>
      <c r="V264" s="143"/>
      <c r="W264" s="143"/>
      <c r="X264" s="143"/>
      <c r="Y264" s="143"/>
      <c r="Z264" s="143"/>
      <c r="AA264" s="143"/>
      <c r="AC264" s="140"/>
      <c r="AD264" s="140"/>
      <c r="AE264" s="140"/>
      <c r="AF264" s="140"/>
      <c r="AG264" s="140"/>
      <c r="AH264" s="141"/>
      <c r="AI264" s="143"/>
      <c r="AJ264" s="140"/>
      <c r="AK264" s="140"/>
      <c r="AL264" s="140"/>
      <c r="AM264" s="140"/>
      <c r="AN264" s="140"/>
      <c r="AO264" s="140"/>
      <c r="AP264" s="140"/>
      <c r="AQ264" s="140"/>
      <c r="AR264" s="140"/>
      <c r="AS264" s="140"/>
      <c r="AT264" s="140"/>
      <c r="AU264" s="140"/>
      <c r="AV264" s="140"/>
      <c r="AW264" s="140"/>
      <c r="AX264" s="140"/>
      <c r="AY264" s="140"/>
      <c r="AZ264" s="140"/>
      <c r="BA264" s="140"/>
      <c r="BB264" s="140"/>
      <c r="BC264" s="140"/>
      <c r="BD264" s="140"/>
      <c r="BE264" s="140"/>
      <c r="BF264" s="140"/>
      <c r="BG264" s="140"/>
      <c r="BH264" s="140"/>
      <c r="BI264" s="140"/>
      <c r="BJ264" s="140"/>
      <c r="BK264" s="140"/>
      <c r="BL264" s="140"/>
      <c r="BM264" s="140"/>
      <c r="BN264" s="140"/>
      <c r="BO264" s="140"/>
      <c r="BP264" s="140"/>
      <c r="BQ264" s="140"/>
      <c r="BR264" s="140"/>
      <c r="BS264" s="140"/>
      <c r="BT264" s="140"/>
      <c r="BU264" s="140"/>
      <c r="BV264" s="140"/>
      <c r="BW264" s="140"/>
      <c r="BX264" s="140"/>
      <c r="BY264" s="140"/>
      <c r="BZ264" s="140"/>
      <c r="CA264" s="140"/>
      <c r="CB264" s="140"/>
      <c r="CC264" s="140"/>
      <c r="CD264" s="140"/>
      <c r="CE264" s="140"/>
      <c r="CF264" s="140"/>
      <c r="CG264" s="140"/>
      <c r="CH264" s="140"/>
      <c r="CI264" s="140"/>
      <c r="CJ264" s="140"/>
      <c r="CK264" s="140"/>
      <c r="CL264" s="140"/>
      <c r="CM264" s="140"/>
      <c r="CN264" s="140"/>
      <c r="CO264" s="140"/>
      <c r="CP264" s="140"/>
      <c r="CQ264" s="140"/>
      <c r="CR264" s="140"/>
      <c r="CS264" s="140"/>
      <c r="CT264" s="140"/>
      <c r="CU264" s="140"/>
      <c r="CV264" s="140"/>
      <c r="CW264" s="140"/>
      <c r="CX264" s="140"/>
      <c r="CY264" s="140"/>
      <c r="CZ264" s="140"/>
      <c r="DA264" s="140"/>
      <c r="DB264" s="140"/>
      <c r="DC264" s="140"/>
      <c r="DD264" s="140"/>
      <c r="DE264" s="140"/>
    </row>
    <row r="265" spans="1:109" s="139" customForma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3"/>
      <c r="U265" s="143"/>
      <c r="V265" s="143"/>
      <c r="W265" s="143"/>
      <c r="X265" s="143"/>
      <c r="Y265" s="143"/>
      <c r="Z265" s="143"/>
      <c r="AA265" s="143"/>
      <c r="AC265" s="140"/>
      <c r="AD265" s="140"/>
      <c r="AE265" s="140"/>
      <c r="AF265" s="140"/>
      <c r="AG265" s="140"/>
      <c r="AH265" s="141"/>
      <c r="AI265" s="143"/>
      <c r="AJ265" s="140"/>
      <c r="AK265" s="140"/>
      <c r="AL265" s="140"/>
      <c r="AM265" s="140"/>
      <c r="AN265" s="140"/>
      <c r="AO265" s="140"/>
      <c r="AP265" s="140"/>
      <c r="AQ265" s="140"/>
      <c r="AR265" s="140"/>
      <c r="AS265" s="140"/>
      <c r="AT265" s="140"/>
      <c r="AU265" s="140"/>
      <c r="AV265" s="140"/>
      <c r="AW265" s="140"/>
      <c r="AX265" s="140"/>
      <c r="AY265" s="140"/>
      <c r="AZ265" s="140"/>
      <c r="BA265" s="140"/>
      <c r="BB265" s="140"/>
      <c r="BC265" s="140"/>
      <c r="BD265" s="140"/>
      <c r="BE265" s="140"/>
      <c r="BF265" s="140"/>
      <c r="BG265" s="140"/>
      <c r="BH265" s="140"/>
      <c r="BI265" s="140"/>
      <c r="BJ265" s="140"/>
      <c r="BK265" s="140"/>
      <c r="BL265" s="140"/>
      <c r="BM265" s="140"/>
      <c r="BN265" s="140"/>
      <c r="BO265" s="140"/>
      <c r="BP265" s="140"/>
      <c r="BQ265" s="140"/>
      <c r="BR265" s="140"/>
      <c r="BS265" s="140"/>
      <c r="BT265" s="140"/>
      <c r="BU265" s="140"/>
      <c r="BV265" s="140"/>
      <c r="BW265" s="140"/>
      <c r="BX265" s="140"/>
      <c r="BY265" s="140"/>
      <c r="BZ265" s="140"/>
      <c r="CA265" s="140"/>
      <c r="CB265" s="140"/>
      <c r="CC265" s="140"/>
      <c r="CD265" s="140"/>
      <c r="CE265" s="140"/>
      <c r="CF265" s="140"/>
      <c r="CG265" s="140"/>
      <c r="CH265" s="140"/>
      <c r="CI265" s="140"/>
      <c r="CJ265" s="140"/>
      <c r="CK265" s="140"/>
      <c r="CL265" s="140"/>
      <c r="CM265" s="140"/>
      <c r="CN265" s="140"/>
      <c r="CO265" s="140"/>
      <c r="CP265" s="140"/>
      <c r="CQ265" s="140"/>
      <c r="CR265" s="140"/>
      <c r="CS265" s="140"/>
      <c r="CT265" s="140"/>
      <c r="CU265" s="140"/>
      <c r="CV265" s="140"/>
      <c r="CW265" s="140"/>
      <c r="CX265" s="140"/>
      <c r="CY265" s="140"/>
      <c r="CZ265" s="140"/>
      <c r="DA265" s="140"/>
      <c r="DB265" s="140"/>
      <c r="DC265" s="140"/>
      <c r="DD265" s="140"/>
      <c r="DE265" s="140"/>
    </row>
    <row r="266" spans="1:109" s="139" customForma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3"/>
      <c r="U266" s="143"/>
      <c r="V266" s="143"/>
      <c r="W266" s="143"/>
      <c r="X266" s="143"/>
      <c r="Y266" s="143"/>
      <c r="Z266" s="143"/>
      <c r="AA266" s="143"/>
      <c r="AC266" s="140"/>
      <c r="AD266" s="140"/>
      <c r="AE266" s="140"/>
      <c r="AF266" s="140"/>
      <c r="AG266" s="140"/>
      <c r="AH266" s="141"/>
      <c r="AI266" s="143"/>
      <c r="AJ266" s="140"/>
      <c r="AK266" s="140"/>
      <c r="AL266" s="140"/>
      <c r="AM266" s="140"/>
      <c r="AN266" s="140"/>
      <c r="AO266" s="140"/>
      <c r="AP266" s="140"/>
      <c r="AQ266" s="140"/>
      <c r="AR266" s="140"/>
      <c r="AS266" s="140"/>
      <c r="AT266" s="140"/>
      <c r="AU266" s="140"/>
      <c r="AV266" s="140"/>
      <c r="AW266" s="140"/>
      <c r="AX266" s="140"/>
      <c r="AY266" s="140"/>
      <c r="AZ266" s="140"/>
      <c r="BA266" s="140"/>
      <c r="BB266" s="140"/>
      <c r="BC266" s="140"/>
      <c r="BD266" s="140"/>
      <c r="BE266" s="140"/>
      <c r="BF266" s="140"/>
      <c r="BG266" s="140"/>
      <c r="BH266" s="140"/>
      <c r="BI266" s="140"/>
      <c r="BJ266" s="140"/>
      <c r="BK266" s="140"/>
      <c r="BL266" s="140"/>
      <c r="BM266" s="140"/>
      <c r="BN266" s="140"/>
      <c r="BO266" s="140"/>
      <c r="BP266" s="140"/>
      <c r="BQ266" s="140"/>
      <c r="BR266" s="140"/>
      <c r="BS266" s="140"/>
      <c r="BT266" s="140"/>
      <c r="BU266" s="140"/>
      <c r="BV266" s="140"/>
      <c r="BW266" s="140"/>
      <c r="BX266" s="140"/>
      <c r="BY266" s="140"/>
      <c r="BZ266" s="140"/>
      <c r="CA266" s="140"/>
      <c r="CB266" s="140"/>
      <c r="CC266" s="140"/>
      <c r="CD266" s="140"/>
      <c r="CE266" s="140"/>
      <c r="CF266" s="140"/>
      <c r="CG266" s="140"/>
      <c r="CH266" s="140"/>
      <c r="CI266" s="140"/>
      <c r="CJ266" s="140"/>
      <c r="CK266" s="140"/>
      <c r="CL266" s="140"/>
      <c r="CM266" s="140"/>
      <c r="CN266" s="140"/>
      <c r="CO266" s="140"/>
      <c r="CP266" s="140"/>
      <c r="CQ266" s="140"/>
      <c r="CR266" s="140"/>
      <c r="CS266" s="140"/>
      <c r="CT266" s="140"/>
      <c r="CU266" s="140"/>
      <c r="CV266" s="140"/>
      <c r="CW266" s="140"/>
      <c r="CX266" s="140"/>
      <c r="CY266" s="140"/>
      <c r="CZ266" s="140"/>
      <c r="DA266" s="140"/>
      <c r="DB266" s="140"/>
      <c r="DC266" s="140"/>
      <c r="DD266" s="140"/>
      <c r="DE266" s="140"/>
    </row>
    <row r="267" spans="1:109" s="139" customForma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3"/>
      <c r="U267" s="143"/>
      <c r="V267" s="143"/>
      <c r="W267" s="143"/>
      <c r="X267" s="143"/>
      <c r="Y267" s="143"/>
      <c r="Z267" s="143"/>
      <c r="AA267" s="143"/>
      <c r="AC267" s="140"/>
      <c r="AD267" s="140"/>
      <c r="AE267" s="140"/>
      <c r="AF267" s="140"/>
      <c r="AG267" s="140"/>
      <c r="AH267" s="141"/>
      <c r="AI267" s="143"/>
      <c r="AJ267" s="140"/>
      <c r="AK267" s="140"/>
      <c r="AL267" s="140"/>
      <c r="AM267" s="140"/>
      <c r="AN267" s="140"/>
      <c r="AO267" s="140"/>
      <c r="AP267" s="140"/>
      <c r="AQ267" s="140"/>
      <c r="AR267" s="140"/>
      <c r="AS267" s="140"/>
      <c r="AT267" s="140"/>
      <c r="AU267" s="140"/>
      <c r="AV267" s="140"/>
      <c r="AW267" s="140"/>
      <c r="AX267" s="140"/>
      <c r="AY267" s="140"/>
      <c r="AZ267" s="140"/>
      <c r="BA267" s="140"/>
      <c r="BB267" s="140"/>
      <c r="BC267" s="140"/>
      <c r="BD267" s="140"/>
      <c r="BE267" s="140"/>
      <c r="BF267" s="140"/>
      <c r="BG267" s="140"/>
      <c r="BH267" s="140"/>
      <c r="BI267" s="140"/>
      <c r="BJ267" s="140"/>
      <c r="BK267" s="140"/>
      <c r="BL267" s="140"/>
      <c r="BM267" s="140"/>
      <c r="BN267" s="140"/>
      <c r="BO267" s="140"/>
      <c r="BP267" s="140"/>
      <c r="BQ267" s="140"/>
      <c r="BR267" s="140"/>
      <c r="BS267" s="140"/>
      <c r="BT267" s="140"/>
      <c r="BU267" s="140"/>
      <c r="BV267" s="140"/>
      <c r="BW267" s="140"/>
      <c r="BX267" s="140"/>
      <c r="BY267" s="140"/>
      <c r="BZ267" s="140"/>
      <c r="CA267" s="140"/>
      <c r="CB267" s="140"/>
      <c r="CC267" s="140"/>
      <c r="CD267" s="140"/>
      <c r="CE267" s="140"/>
      <c r="CF267" s="140"/>
      <c r="CG267" s="140"/>
      <c r="CH267" s="140"/>
      <c r="CI267" s="140"/>
      <c r="CJ267" s="140"/>
      <c r="CK267" s="140"/>
      <c r="CL267" s="140"/>
      <c r="CM267" s="140"/>
      <c r="CN267" s="140"/>
      <c r="CO267" s="140"/>
      <c r="CP267" s="140"/>
      <c r="CQ267" s="140"/>
      <c r="CR267" s="140"/>
      <c r="CS267" s="140"/>
      <c r="CT267" s="140"/>
      <c r="CU267" s="140"/>
      <c r="CV267" s="140"/>
      <c r="CW267" s="140"/>
      <c r="CX267" s="140"/>
      <c r="CY267" s="140"/>
      <c r="CZ267" s="140"/>
      <c r="DA267" s="140"/>
      <c r="DB267" s="140"/>
      <c r="DC267" s="140"/>
      <c r="DD267" s="140"/>
      <c r="DE267" s="140"/>
    </row>
    <row r="268" spans="1:109" s="139" customForma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3"/>
      <c r="U268" s="143"/>
      <c r="V268" s="143"/>
      <c r="W268" s="143"/>
      <c r="X268" s="143"/>
      <c r="Y268" s="143"/>
      <c r="Z268" s="143"/>
      <c r="AA268" s="143"/>
      <c r="AC268" s="140"/>
      <c r="AD268" s="140"/>
      <c r="AE268" s="140"/>
      <c r="AF268" s="140"/>
      <c r="AG268" s="140"/>
      <c r="AH268" s="141"/>
      <c r="AI268" s="143"/>
      <c r="AJ268" s="140"/>
      <c r="AK268" s="140"/>
      <c r="AL268" s="140"/>
      <c r="AM268" s="140"/>
      <c r="AN268" s="140"/>
      <c r="AO268" s="140"/>
      <c r="AP268" s="140"/>
      <c r="AQ268" s="140"/>
      <c r="AR268" s="140"/>
      <c r="AS268" s="140"/>
      <c r="AT268" s="140"/>
      <c r="AU268" s="140"/>
      <c r="AV268" s="140"/>
      <c r="AW268" s="140"/>
      <c r="AX268" s="140"/>
      <c r="AY268" s="140"/>
      <c r="AZ268" s="140"/>
      <c r="BA268" s="140"/>
      <c r="BB268" s="140"/>
      <c r="BC268" s="140"/>
      <c r="BD268" s="140"/>
      <c r="BE268" s="140"/>
      <c r="BF268" s="140"/>
      <c r="BG268" s="140"/>
      <c r="BH268" s="140"/>
      <c r="BI268" s="140"/>
      <c r="BJ268" s="140"/>
      <c r="BK268" s="140"/>
      <c r="BL268" s="140"/>
      <c r="BM268" s="140"/>
      <c r="BN268" s="140"/>
      <c r="BO268" s="140"/>
      <c r="BP268" s="140"/>
      <c r="BQ268" s="140"/>
      <c r="BR268" s="140"/>
      <c r="BS268" s="140"/>
      <c r="BT268" s="140"/>
      <c r="BU268" s="140"/>
      <c r="BV268" s="140"/>
      <c r="BW268" s="140"/>
      <c r="BX268" s="140"/>
      <c r="BY268" s="140"/>
      <c r="BZ268" s="140"/>
      <c r="CA268" s="140"/>
      <c r="CB268" s="140"/>
      <c r="CC268" s="140"/>
      <c r="CD268" s="140"/>
      <c r="CE268" s="140"/>
      <c r="CF268" s="140"/>
      <c r="CG268" s="140"/>
      <c r="CH268" s="140"/>
      <c r="CI268" s="140"/>
      <c r="CJ268" s="140"/>
      <c r="CK268" s="140"/>
      <c r="CL268" s="140"/>
      <c r="CM268" s="140"/>
      <c r="CN268" s="140"/>
      <c r="CO268" s="140"/>
      <c r="CP268" s="140"/>
      <c r="CQ268" s="140"/>
      <c r="CR268" s="140"/>
      <c r="CS268" s="140"/>
      <c r="CT268" s="140"/>
      <c r="CU268" s="140"/>
      <c r="CV268" s="140"/>
      <c r="CW268" s="140"/>
      <c r="CX268" s="140"/>
      <c r="CY268" s="140"/>
      <c r="CZ268" s="140"/>
      <c r="DA268" s="140"/>
      <c r="DB268" s="140"/>
      <c r="DC268" s="140"/>
      <c r="DD268" s="140"/>
      <c r="DE268" s="140"/>
    </row>
    <row r="269" spans="1:109" s="139" customForma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3"/>
      <c r="U269" s="143"/>
      <c r="V269" s="143"/>
      <c r="W269" s="143"/>
      <c r="X269" s="143"/>
      <c r="Y269" s="143"/>
      <c r="Z269" s="143"/>
      <c r="AA269" s="143"/>
      <c r="AC269" s="140"/>
      <c r="AD269" s="140"/>
      <c r="AE269" s="140"/>
      <c r="AF269" s="140"/>
      <c r="AG269" s="140"/>
      <c r="AH269" s="141"/>
      <c r="AI269" s="143"/>
      <c r="AJ269" s="140"/>
      <c r="AK269" s="140"/>
      <c r="AL269" s="140"/>
      <c r="AM269" s="140"/>
      <c r="AN269" s="140"/>
      <c r="AO269" s="140"/>
      <c r="AP269" s="140"/>
      <c r="AQ269" s="140"/>
      <c r="AR269" s="140"/>
      <c r="AS269" s="140"/>
      <c r="AT269" s="140"/>
      <c r="AU269" s="140"/>
      <c r="AV269" s="140"/>
      <c r="AW269" s="140"/>
      <c r="AX269" s="140"/>
      <c r="AY269" s="140"/>
      <c r="AZ269" s="140"/>
      <c r="BA269" s="140"/>
      <c r="BB269" s="140"/>
      <c r="BC269" s="140"/>
      <c r="BD269" s="140"/>
      <c r="BE269" s="140"/>
      <c r="BF269" s="140"/>
      <c r="BG269" s="140"/>
      <c r="BH269" s="140"/>
      <c r="BI269" s="140"/>
      <c r="BJ269" s="140"/>
      <c r="BK269" s="140"/>
      <c r="BL269" s="140"/>
      <c r="BM269" s="140"/>
      <c r="BN269" s="140"/>
      <c r="BO269" s="140"/>
      <c r="BP269" s="140"/>
      <c r="BQ269" s="140"/>
      <c r="BR269" s="140"/>
      <c r="BS269" s="140"/>
      <c r="BT269" s="140"/>
      <c r="BU269" s="140"/>
      <c r="BV269" s="140"/>
      <c r="BW269" s="140"/>
      <c r="BX269" s="140"/>
      <c r="BY269" s="140"/>
      <c r="BZ269" s="140"/>
      <c r="CA269" s="140"/>
      <c r="CB269" s="140"/>
      <c r="CC269" s="140"/>
      <c r="CD269" s="140"/>
      <c r="CE269" s="140"/>
      <c r="CF269" s="140"/>
      <c r="CG269" s="140"/>
      <c r="CH269" s="140"/>
      <c r="CI269" s="140"/>
      <c r="CJ269" s="140"/>
      <c r="CK269" s="140"/>
      <c r="CL269" s="140"/>
      <c r="CM269" s="140"/>
      <c r="CN269" s="140"/>
      <c r="CO269" s="140"/>
      <c r="CP269" s="140"/>
      <c r="CQ269" s="140"/>
      <c r="CR269" s="140"/>
      <c r="CS269" s="140"/>
      <c r="CT269" s="140"/>
      <c r="CU269" s="140"/>
      <c r="CV269" s="140"/>
      <c r="CW269" s="140"/>
      <c r="CX269" s="140"/>
      <c r="CY269" s="140"/>
      <c r="CZ269" s="140"/>
      <c r="DA269" s="140"/>
      <c r="DB269" s="140"/>
      <c r="DC269" s="140"/>
      <c r="DD269" s="140"/>
      <c r="DE269" s="140"/>
    </row>
    <row r="270" spans="1:109" s="139" customForma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3"/>
      <c r="U270" s="143"/>
      <c r="V270" s="143"/>
      <c r="W270" s="143"/>
      <c r="X270" s="143"/>
      <c r="Y270" s="143"/>
      <c r="Z270" s="143"/>
      <c r="AA270" s="143"/>
      <c r="AC270" s="140"/>
      <c r="AD270" s="140"/>
      <c r="AE270" s="140"/>
      <c r="AF270" s="140"/>
      <c r="AG270" s="140"/>
      <c r="AH270" s="141"/>
      <c r="AI270" s="143"/>
      <c r="AJ270" s="140"/>
      <c r="AK270" s="140"/>
      <c r="AL270" s="140"/>
      <c r="AM270" s="140"/>
      <c r="AN270" s="140"/>
      <c r="AO270" s="140"/>
      <c r="AP270" s="140"/>
      <c r="AQ270" s="140"/>
      <c r="AR270" s="140"/>
      <c r="AS270" s="140"/>
      <c r="AT270" s="140"/>
      <c r="AU270" s="140"/>
      <c r="AV270" s="140"/>
      <c r="AW270" s="140"/>
      <c r="AX270" s="140"/>
      <c r="AY270" s="140"/>
      <c r="AZ270" s="140"/>
      <c r="BA270" s="140"/>
      <c r="BB270" s="140"/>
      <c r="BC270" s="140"/>
      <c r="BD270" s="140"/>
      <c r="BE270" s="140"/>
      <c r="BF270" s="140"/>
      <c r="BG270" s="140"/>
      <c r="BH270" s="140"/>
      <c r="BI270" s="140"/>
      <c r="BJ270" s="140"/>
      <c r="BK270" s="140"/>
      <c r="BL270" s="140"/>
      <c r="BM270" s="140"/>
      <c r="BN270" s="140"/>
      <c r="BO270" s="140"/>
      <c r="BP270" s="140"/>
      <c r="BQ270" s="140"/>
      <c r="BR270" s="140"/>
      <c r="BS270" s="140"/>
      <c r="BT270" s="140"/>
      <c r="BU270" s="140"/>
      <c r="BV270" s="140"/>
      <c r="BW270" s="140"/>
      <c r="BX270" s="140"/>
      <c r="BY270" s="140"/>
      <c r="BZ270" s="140"/>
      <c r="CA270" s="140"/>
      <c r="CB270" s="140"/>
      <c r="CC270" s="140"/>
      <c r="CD270" s="140"/>
      <c r="CE270" s="140"/>
      <c r="CF270" s="140"/>
      <c r="CG270" s="140"/>
      <c r="CH270" s="140"/>
      <c r="CI270" s="140"/>
      <c r="CJ270" s="140"/>
      <c r="CK270" s="140"/>
      <c r="CL270" s="140"/>
      <c r="CM270" s="140"/>
      <c r="CN270" s="140"/>
      <c r="CO270" s="140"/>
      <c r="CP270" s="140"/>
      <c r="CQ270" s="140"/>
      <c r="CR270" s="140"/>
      <c r="CS270" s="140"/>
      <c r="CT270" s="140"/>
      <c r="CU270" s="140"/>
      <c r="CV270" s="140"/>
      <c r="CW270" s="140"/>
      <c r="CX270" s="140"/>
      <c r="CY270" s="140"/>
      <c r="CZ270" s="140"/>
      <c r="DA270" s="140"/>
      <c r="DB270" s="140"/>
      <c r="DC270" s="140"/>
      <c r="DD270" s="140"/>
      <c r="DE270" s="140"/>
    </row>
    <row r="271" spans="1:109" s="139" customForma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3"/>
      <c r="U271" s="143"/>
      <c r="V271" s="143"/>
      <c r="W271" s="143"/>
      <c r="X271" s="143"/>
      <c r="Y271" s="143"/>
      <c r="Z271" s="143"/>
      <c r="AA271" s="143"/>
      <c r="AC271" s="140"/>
      <c r="AD271" s="140"/>
      <c r="AE271" s="140"/>
      <c r="AF271" s="140"/>
      <c r="AG271" s="140"/>
      <c r="AH271" s="141"/>
      <c r="AI271" s="143"/>
      <c r="AJ271" s="140"/>
      <c r="AK271" s="140"/>
      <c r="AL271" s="140"/>
      <c r="AM271" s="140"/>
      <c r="AN271" s="140"/>
      <c r="AO271" s="140"/>
      <c r="AP271" s="140"/>
      <c r="AQ271" s="140"/>
      <c r="AR271" s="140"/>
      <c r="AS271" s="140"/>
      <c r="AT271" s="140"/>
      <c r="AU271" s="140"/>
      <c r="AV271" s="140"/>
      <c r="AW271" s="140"/>
      <c r="AX271" s="140"/>
      <c r="AY271" s="140"/>
      <c r="AZ271" s="140"/>
      <c r="BA271" s="140"/>
      <c r="BB271" s="140"/>
      <c r="BC271" s="140"/>
      <c r="BD271" s="140"/>
      <c r="BE271" s="140"/>
      <c r="BF271" s="140"/>
      <c r="BG271" s="140"/>
      <c r="BH271" s="140"/>
      <c r="BI271" s="140"/>
      <c r="BJ271" s="140"/>
      <c r="BK271" s="140"/>
      <c r="BL271" s="140"/>
      <c r="BM271" s="140"/>
      <c r="BN271" s="140"/>
      <c r="BO271" s="140"/>
      <c r="BP271" s="140"/>
      <c r="BQ271" s="140"/>
      <c r="BR271" s="140"/>
      <c r="BS271" s="140"/>
      <c r="BT271" s="140"/>
      <c r="BU271" s="140"/>
      <c r="BV271" s="140"/>
      <c r="BW271" s="140"/>
      <c r="BX271" s="140"/>
      <c r="BY271" s="140"/>
      <c r="BZ271" s="140"/>
      <c r="CA271" s="140"/>
      <c r="CB271" s="140"/>
      <c r="CC271" s="140"/>
      <c r="CD271" s="140"/>
      <c r="CE271" s="140"/>
      <c r="CF271" s="140"/>
      <c r="CG271" s="140"/>
      <c r="CH271" s="140"/>
      <c r="CI271" s="140"/>
      <c r="CJ271" s="140"/>
      <c r="CK271" s="140"/>
      <c r="CL271" s="140"/>
      <c r="CM271" s="140"/>
      <c r="CN271" s="140"/>
      <c r="CO271" s="140"/>
      <c r="CP271" s="140"/>
      <c r="CQ271" s="140"/>
      <c r="CR271" s="140"/>
      <c r="CS271" s="140"/>
      <c r="CT271" s="140"/>
      <c r="CU271" s="140"/>
      <c r="CV271" s="140"/>
      <c r="CW271" s="140"/>
      <c r="CX271" s="140"/>
      <c r="CY271" s="140"/>
      <c r="CZ271" s="140"/>
      <c r="DA271" s="140"/>
      <c r="DB271" s="140"/>
      <c r="DC271" s="140"/>
      <c r="DD271" s="140"/>
      <c r="DE271" s="140"/>
    </row>
    <row r="272" spans="1:109" s="139" customForma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3"/>
      <c r="U272" s="143"/>
      <c r="V272" s="143"/>
      <c r="W272" s="143"/>
      <c r="X272" s="143"/>
      <c r="Y272" s="143"/>
      <c r="Z272" s="143"/>
      <c r="AA272" s="143"/>
      <c r="AC272" s="140"/>
      <c r="AD272" s="140"/>
      <c r="AE272" s="140"/>
      <c r="AF272" s="140"/>
      <c r="AG272" s="140"/>
      <c r="AH272" s="141"/>
      <c r="AI272" s="143"/>
      <c r="AJ272" s="140"/>
      <c r="AK272" s="140"/>
      <c r="AL272" s="140"/>
      <c r="AM272" s="140"/>
      <c r="AN272" s="140"/>
      <c r="AO272" s="140"/>
      <c r="AP272" s="140"/>
      <c r="AQ272" s="140"/>
      <c r="AR272" s="140"/>
      <c r="AS272" s="140"/>
      <c r="AT272" s="140"/>
      <c r="AU272" s="140"/>
      <c r="AV272" s="140"/>
      <c r="AW272" s="140"/>
      <c r="AX272" s="140"/>
      <c r="AY272" s="140"/>
      <c r="AZ272" s="140"/>
      <c r="BA272" s="140"/>
      <c r="BB272" s="140"/>
      <c r="BC272" s="140"/>
      <c r="BD272" s="140"/>
      <c r="BE272" s="140"/>
      <c r="BF272" s="140"/>
      <c r="BG272" s="140"/>
      <c r="BH272" s="140"/>
      <c r="BI272" s="140"/>
      <c r="BJ272" s="140"/>
      <c r="BK272" s="140"/>
      <c r="BL272" s="140"/>
      <c r="BM272" s="140"/>
      <c r="BN272" s="140"/>
      <c r="BO272" s="140"/>
      <c r="BP272" s="140"/>
      <c r="BQ272" s="140"/>
      <c r="BR272" s="140"/>
      <c r="BS272" s="140"/>
      <c r="BT272" s="140"/>
      <c r="BU272" s="140"/>
      <c r="BV272" s="140"/>
      <c r="BW272" s="140"/>
      <c r="BX272" s="140"/>
      <c r="BY272" s="140"/>
      <c r="BZ272" s="140"/>
      <c r="CA272" s="140"/>
      <c r="CB272" s="140"/>
      <c r="CC272" s="140"/>
      <c r="CD272" s="140"/>
      <c r="CE272" s="140"/>
      <c r="CF272" s="140"/>
      <c r="CG272" s="140"/>
      <c r="CH272" s="140"/>
      <c r="CI272" s="140"/>
      <c r="CJ272" s="140"/>
      <c r="CK272" s="140"/>
      <c r="CL272" s="140"/>
      <c r="CM272" s="140"/>
      <c r="CN272" s="140"/>
      <c r="CO272" s="140"/>
      <c r="CP272" s="140"/>
      <c r="CQ272" s="140"/>
      <c r="CR272" s="140"/>
      <c r="CS272" s="140"/>
      <c r="CT272" s="140"/>
      <c r="CU272" s="140"/>
      <c r="CV272" s="140"/>
      <c r="CW272" s="140"/>
      <c r="CX272" s="140"/>
      <c r="CY272" s="140"/>
      <c r="CZ272" s="140"/>
      <c r="DA272" s="140"/>
      <c r="DB272" s="140"/>
      <c r="DC272" s="140"/>
      <c r="DD272" s="140"/>
      <c r="DE272" s="140"/>
    </row>
    <row r="273" spans="1:109" s="139" customForma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3"/>
      <c r="U273" s="143"/>
      <c r="V273" s="143"/>
      <c r="W273" s="143"/>
      <c r="X273" s="143"/>
      <c r="Y273" s="143"/>
      <c r="Z273" s="143"/>
      <c r="AA273" s="143"/>
      <c r="AC273" s="140"/>
      <c r="AD273" s="140"/>
      <c r="AE273" s="140"/>
      <c r="AF273" s="140"/>
      <c r="AG273" s="140"/>
      <c r="AH273" s="141"/>
      <c r="AI273" s="143"/>
      <c r="AJ273" s="140"/>
      <c r="AK273" s="140"/>
      <c r="AL273" s="140"/>
      <c r="AM273" s="140"/>
      <c r="AN273" s="140"/>
      <c r="AO273" s="140"/>
      <c r="AP273" s="140"/>
      <c r="AQ273" s="140"/>
      <c r="AR273" s="140"/>
      <c r="AS273" s="140"/>
      <c r="AT273" s="140"/>
      <c r="AU273" s="140"/>
      <c r="AV273" s="140"/>
      <c r="AW273" s="140"/>
      <c r="AX273" s="140"/>
      <c r="AY273" s="140"/>
      <c r="AZ273" s="140"/>
      <c r="BA273" s="140"/>
      <c r="BB273" s="140"/>
      <c r="BC273" s="140"/>
      <c r="BD273" s="140"/>
      <c r="BE273" s="140"/>
      <c r="BF273" s="140"/>
      <c r="BG273" s="140"/>
      <c r="BH273" s="140"/>
      <c r="BI273" s="140"/>
      <c r="BJ273" s="140"/>
      <c r="BK273" s="140"/>
      <c r="BL273" s="140"/>
      <c r="BM273" s="140"/>
      <c r="BN273" s="140"/>
      <c r="BO273" s="140"/>
      <c r="BP273" s="140"/>
      <c r="BQ273" s="140"/>
      <c r="BR273" s="140"/>
      <c r="BS273" s="140"/>
      <c r="BT273" s="140"/>
      <c r="BU273" s="140"/>
      <c r="BV273" s="140"/>
      <c r="BW273" s="140"/>
      <c r="BX273" s="140"/>
      <c r="BY273" s="140"/>
      <c r="BZ273" s="140"/>
      <c r="CA273" s="140"/>
      <c r="CB273" s="140"/>
      <c r="CC273" s="140"/>
      <c r="CD273" s="140"/>
      <c r="CE273" s="140"/>
      <c r="CF273" s="140"/>
      <c r="CG273" s="140"/>
      <c r="CH273" s="140"/>
      <c r="CI273" s="140"/>
      <c r="CJ273" s="140"/>
      <c r="CK273" s="140"/>
      <c r="CL273" s="140"/>
      <c r="CM273" s="140"/>
      <c r="CN273" s="140"/>
      <c r="CO273" s="140"/>
      <c r="CP273" s="140"/>
      <c r="CQ273" s="140"/>
      <c r="CR273" s="140"/>
      <c r="CS273" s="140"/>
      <c r="CT273" s="140"/>
      <c r="CU273" s="140"/>
      <c r="CV273" s="140"/>
      <c r="CW273" s="140"/>
      <c r="CX273" s="140"/>
      <c r="CY273" s="140"/>
      <c r="CZ273" s="140"/>
      <c r="DA273" s="140"/>
      <c r="DB273" s="140"/>
      <c r="DC273" s="140"/>
      <c r="DD273" s="140"/>
      <c r="DE273" s="140"/>
    </row>
    <row r="274" spans="1:109" s="139" customForma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3"/>
      <c r="U274" s="143"/>
      <c r="V274" s="143"/>
      <c r="W274" s="143"/>
      <c r="X274" s="143"/>
      <c r="Y274" s="143"/>
      <c r="Z274" s="143"/>
      <c r="AA274" s="143"/>
      <c r="AC274" s="140"/>
      <c r="AD274" s="140"/>
      <c r="AE274" s="140"/>
      <c r="AF274" s="140"/>
      <c r="AG274" s="140"/>
      <c r="AH274" s="141"/>
      <c r="AI274" s="143"/>
      <c r="AJ274" s="140"/>
      <c r="AK274" s="140"/>
      <c r="AL274" s="140"/>
      <c r="AM274" s="140"/>
      <c r="AN274" s="140"/>
      <c r="AO274" s="140"/>
      <c r="AP274" s="140"/>
      <c r="AQ274" s="140"/>
      <c r="AR274" s="140"/>
      <c r="AS274" s="140"/>
      <c r="AT274" s="140"/>
      <c r="AU274" s="140"/>
      <c r="AV274" s="140"/>
      <c r="AW274" s="140"/>
      <c r="AX274" s="140"/>
      <c r="AY274" s="140"/>
      <c r="AZ274" s="140"/>
      <c r="BA274" s="140"/>
      <c r="BB274" s="140"/>
      <c r="BC274" s="140"/>
      <c r="BD274" s="140"/>
      <c r="BE274" s="140"/>
      <c r="BF274" s="140"/>
      <c r="BG274" s="140"/>
      <c r="BH274" s="140"/>
      <c r="BI274" s="140"/>
      <c r="BJ274" s="140"/>
      <c r="BK274" s="140"/>
      <c r="BL274" s="140"/>
      <c r="BM274" s="140"/>
      <c r="BN274" s="140"/>
      <c r="BO274" s="140"/>
      <c r="BP274" s="140"/>
      <c r="BQ274" s="140"/>
      <c r="BR274" s="140"/>
      <c r="BS274" s="140"/>
      <c r="BT274" s="140"/>
      <c r="BU274" s="140"/>
      <c r="BV274" s="140"/>
      <c r="BW274" s="140"/>
      <c r="BX274" s="140"/>
      <c r="BY274" s="140"/>
      <c r="BZ274" s="140"/>
      <c r="CA274" s="140"/>
      <c r="CB274" s="140"/>
      <c r="CC274" s="140"/>
      <c r="CD274" s="140"/>
      <c r="CE274" s="140"/>
      <c r="CF274" s="140"/>
      <c r="CG274" s="140"/>
      <c r="CH274" s="140"/>
      <c r="CI274" s="140"/>
      <c r="CJ274" s="140"/>
      <c r="CK274" s="140"/>
      <c r="CL274" s="140"/>
      <c r="CM274" s="140"/>
      <c r="CN274" s="140"/>
      <c r="CO274" s="140"/>
      <c r="CP274" s="140"/>
      <c r="CQ274" s="140"/>
      <c r="CR274" s="140"/>
      <c r="CS274" s="140"/>
      <c r="CT274" s="140"/>
      <c r="CU274" s="140"/>
      <c r="CV274" s="140"/>
      <c r="CW274" s="140"/>
      <c r="CX274" s="140"/>
      <c r="CY274" s="140"/>
      <c r="CZ274" s="140"/>
      <c r="DA274" s="140"/>
      <c r="DB274" s="140"/>
      <c r="DC274" s="140"/>
      <c r="DD274" s="140"/>
      <c r="DE274" s="140"/>
    </row>
    <row r="275" spans="1:109" s="139" customForma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3"/>
      <c r="U275" s="143"/>
      <c r="V275" s="143"/>
      <c r="W275" s="143"/>
      <c r="X275" s="143"/>
      <c r="Y275" s="143"/>
      <c r="Z275" s="143"/>
      <c r="AA275" s="143"/>
      <c r="AC275" s="140"/>
      <c r="AD275" s="140"/>
      <c r="AE275" s="140"/>
      <c r="AF275" s="140"/>
      <c r="AG275" s="140"/>
      <c r="AH275" s="141"/>
      <c r="AI275" s="143"/>
      <c r="AJ275" s="140"/>
      <c r="AK275" s="140"/>
      <c r="AL275" s="140"/>
      <c r="AM275" s="140"/>
      <c r="AN275" s="140"/>
      <c r="AO275" s="140"/>
      <c r="AP275" s="140"/>
      <c r="AQ275" s="140"/>
      <c r="AR275" s="140"/>
      <c r="AS275" s="140"/>
      <c r="AT275" s="140"/>
      <c r="AU275" s="140"/>
      <c r="AV275" s="140"/>
      <c r="AW275" s="140"/>
      <c r="AX275" s="140"/>
      <c r="AY275" s="140"/>
      <c r="AZ275" s="140"/>
      <c r="BA275" s="140"/>
      <c r="BB275" s="140"/>
      <c r="BC275" s="140"/>
      <c r="BD275" s="140"/>
      <c r="BE275" s="140"/>
      <c r="BF275" s="140"/>
      <c r="BG275" s="140"/>
      <c r="BH275" s="140"/>
      <c r="BI275" s="140"/>
      <c r="BJ275" s="140"/>
      <c r="BK275" s="140"/>
      <c r="BL275" s="140"/>
      <c r="BM275" s="140"/>
      <c r="BN275" s="140"/>
      <c r="BO275" s="140"/>
      <c r="BP275" s="140"/>
      <c r="BQ275" s="140"/>
      <c r="BR275" s="140"/>
      <c r="BS275" s="140"/>
      <c r="BT275" s="140"/>
      <c r="BU275" s="140"/>
      <c r="BV275" s="140"/>
      <c r="BW275" s="140"/>
      <c r="BX275" s="140"/>
      <c r="BY275" s="140"/>
      <c r="BZ275" s="140"/>
      <c r="CA275" s="140"/>
      <c r="CB275" s="140"/>
      <c r="CC275" s="140"/>
      <c r="CD275" s="140"/>
      <c r="CE275" s="140"/>
      <c r="CF275" s="140"/>
      <c r="CG275" s="140"/>
      <c r="CH275" s="140"/>
      <c r="CI275" s="140"/>
      <c r="CJ275" s="140"/>
      <c r="CK275" s="140"/>
      <c r="CL275" s="140"/>
      <c r="CM275" s="140"/>
      <c r="CN275" s="140"/>
      <c r="CO275" s="140"/>
      <c r="CP275" s="140"/>
      <c r="CQ275" s="140"/>
      <c r="CR275" s="140"/>
      <c r="CS275" s="140"/>
      <c r="CT275" s="140"/>
      <c r="CU275" s="140"/>
      <c r="CV275" s="140"/>
      <c r="CW275" s="140"/>
      <c r="CX275" s="140"/>
      <c r="CY275" s="140"/>
      <c r="CZ275" s="140"/>
      <c r="DA275" s="140"/>
      <c r="DB275" s="140"/>
      <c r="DC275" s="140"/>
      <c r="DD275" s="140"/>
      <c r="DE275" s="140"/>
    </row>
    <row r="276" spans="1:109" s="139" customForma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3"/>
      <c r="U276" s="143"/>
      <c r="V276" s="143"/>
      <c r="W276" s="143"/>
      <c r="X276" s="143"/>
      <c r="Y276" s="143"/>
      <c r="Z276" s="143"/>
      <c r="AA276" s="143"/>
      <c r="AC276" s="140"/>
      <c r="AD276" s="140"/>
      <c r="AE276" s="140"/>
      <c r="AF276" s="140"/>
      <c r="AG276" s="140"/>
      <c r="AH276" s="141"/>
      <c r="AI276" s="143"/>
      <c r="AJ276" s="140"/>
      <c r="AK276" s="140"/>
      <c r="AL276" s="140"/>
      <c r="AM276" s="140"/>
      <c r="AN276" s="140"/>
      <c r="AO276" s="140"/>
      <c r="AP276" s="140"/>
      <c r="AQ276" s="140"/>
      <c r="AR276" s="140"/>
      <c r="AS276" s="140"/>
      <c r="AT276" s="140"/>
      <c r="AU276" s="140"/>
      <c r="AV276" s="140"/>
      <c r="AW276" s="140"/>
      <c r="AX276" s="140"/>
      <c r="AY276" s="140"/>
      <c r="AZ276" s="140"/>
      <c r="BA276" s="140"/>
      <c r="BB276" s="140"/>
      <c r="BC276" s="140"/>
      <c r="BD276" s="140"/>
      <c r="BE276" s="140"/>
      <c r="BF276" s="140"/>
      <c r="BG276" s="140"/>
      <c r="BH276" s="140"/>
      <c r="BI276" s="140"/>
      <c r="BJ276" s="140"/>
      <c r="BK276" s="140"/>
      <c r="BL276" s="140"/>
      <c r="BM276" s="140"/>
      <c r="BN276" s="140"/>
      <c r="BO276" s="140"/>
      <c r="BP276" s="140"/>
      <c r="BQ276" s="140"/>
      <c r="BR276" s="140"/>
      <c r="BS276" s="140"/>
      <c r="BT276" s="140"/>
      <c r="BU276" s="140"/>
      <c r="BV276" s="140"/>
      <c r="BW276" s="140"/>
      <c r="BX276" s="140"/>
      <c r="BY276" s="140"/>
      <c r="BZ276" s="140"/>
      <c r="CA276" s="140"/>
      <c r="CB276" s="140"/>
      <c r="CC276" s="140"/>
      <c r="CD276" s="140"/>
      <c r="CE276" s="140"/>
      <c r="CF276" s="140"/>
      <c r="CG276" s="140"/>
      <c r="CH276" s="140"/>
      <c r="CI276" s="140"/>
      <c r="CJ276" s="140"/>
      <c r="CK276" s="140"/>
      <c r="CL276" s="140"/>
      <c r="CM276" s="140"/>
      <c r="CN276" s="140"/>
      <c r="CO276" s="140"/>
      <c r="CP276" s="140"/>
      <c r="CQ276" s="140"/>
      <c r="CR276" s="140"/>
      <c r="CS276" s="140"/>
      <c r="CT276" s="140"/>
      <c r="CU276" s="140"/>
      <c r="CV276" s="140"/>
      <c r="CW276" s="140"/>
      <c r="CX276" s="140"/>
      <c r="CY276" s="140"/>
      <c r="CZ276" s="140"/>
      <c r="DA276" s="140"/>
      <c r="DB276" s="140"/>
      <c r="DC276" s="140"/>
      <c r="DD276" s="140"/>
      <c r="DE276" s="140"/>
    </row>
    <row r="277" spans="1:109" s="139" customForma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3"/>
      <c r="U277" s="143"/>
      <c r="V277" s="143"/>
      <c r="W277" s="143"/>
      <c r="X277" s="143"/>
      <c r="Y277" s="143"/>
      <c r="Z277" s="143"/>
      <c r="AA277" s="143"/>
      <c r="AC277" s="140"/>
      <c r="AD277" s="140"/>
      <c r="AE277" s="140"/>
      <c r="AF277" s="140"/>
      <c r="AG277" s="140"/>
      <c r="AH277" s="141"/>
      <c r="AI277" s="143"/>
      <c r="AJ277" s="140"/>
      <c r="AK277" s="140"/>
      <c r="AL277" s="140"/>
      <c r="AM277" s="140"/>
      <c r="AN277" s="140"/>
      <c r="AO277" s="140"/>
      <c r="AP277" s="140"/>
      <c r="AQ277" s="140"/>
      <c r="AR277" s="140"/>
      <c r="AS277" s="140"/>
      <c r="AT277" s="140"/>
      <c r="AU277" s="140"/>
      <c r="AV277" s="140"/>
      <c r="AW277" s="140"/>
      <c r="AX277" s="140"/>
      <c r="AY277" s="140"/>
      <c r="AZ277" s="140"/>
      <c r="BA277" s="140"/>
      <c r="BB277" s="140"/>
      <c r="BC277" s="140"/>
      <c r="BD277" s="140"/>
      <c r="BE277" s="140"/>
      <c r="BF277" s="140"/>
      <c r="BG277" s="140"/>
      <c r="BH277" s="140"/>
      <c r="BI277" s="140"/>
      <c r="BJ277" s="140"/>
      <c r="BK277" s="140"/>
      <c r="BL277" s="140"/>
      <c r="BM277" s="140"/>
      <c r="BN277" s="140"/>
      <c r="BO277" s="140"/>
      <c r="BP277" s="140"/>
      <c r="BQ277" s="140"/>
      <c r="BR277" s="140"/>
      <c r="BS277" s="140"/>
      <c r="BT277" s="140"/>
      <c r="BU277" s="140"/>
      <c r="BV277" s="140"/>
      <c r="BW277" s="140"/>
      <c r="BX277" s="140"/>
      <c r="BY277" s="140"/>
      <c r="BZ277" s="140"/>
      <c r="CA277" s="140"/>
      <c r="CB277" s="140"/>
      <c r="CC277" s="140"/>
      <c r="CD277" s="140"/>
      <c r="CE277" s="140"/>
      <c r="CF277" s="140"/>
      <c r="CG277" s="140"/>
      <c r="CH277" s="140"/>
      <c r="CI277" s="140"/>
      <c r="CJ277" s="140"/>
      <c r="CK277" s="140"/>
      <c r="CL277" s="140"/>
      <c r="CM277" s="140"/>
      <c r="CN277" s="140"/>
      <c r="CO277" s="140"/>
      <c r="CP277" s="140"/>
      <c r="CQ277" s="140"/>
      <c r="CR277" s="140"/>
      <c r="CS277" s="140"/>
      <c r="CT277" s="140"/>
      <c r="CU277" s="140"/>
      <c r="CV277" s="140"/>
      <c r="CW277" s="140"/>
      <c r="CX277" s="140"/>
      <c r="CY277" s="140"/>
      <c r="CZ277" s="140"/>
      <c r="DA277" s="140"/>
      <c r="DB277" s="140"/>
      <c r="DC277" s="140"/>
      <c r="DD277" s="140"/>
      <c r="DE277" s="140"/>
    </row>
    <row r="278" spans="1:109" s="139" customForma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3"/>
      <c r="U278" s="143"/>
      <c r="V278" s="143"/>
      <c r="W278" s="143"/>
      <c r="X278" s="143"/>
      <c r="Y278" s="143"/>
      <c r="Z278" s="143"/>
      <c r="AA278" s="143"/>
      <c r="AC278" s="140"/>
      <c r="AD278" s="140"/>
      <c r="AE278" s="140"/>
      <c r="AF278" s="140"/>
      <c r="AG278" s="140"/>
      <c r="AH278" s="141"/>
      <c r="AI278" s="143"/>
      <c r="AJ278" s="140"/>
      <c r="AK278" s="140"/>
      <c r="AL278" s="140"/>
      <c r="AM278" s="140"/>
      <c r="AN278" s="140"/>
      <c r="AO278" s="140"/>
      <c r="AP278" s="140"/>
      <c r="AQ278" s="140"/>
      <c r="AR278" s="140"/>
      <c r="AS278" s="140"/>
      <c r="AT278" s="140"/>
      <c r="AU278" s="140"/>
      <c r="AV278" s="140"/>
      <c r="AW278" s="140"/>
      <c r="AX278" s="140"/>
      <c r="AY278" s="140"/>
      <c r="AZ278" s="140"/>
      <c r="BA278" s="140"/>
      <c r="BB278" s="140"/>
      <c r="BC278" s="140"/>
      <c r="BD278" s="140"/>
      <c r="BE278" s="140"/>
      <c r="BF278" s="140"/>
      <c r="BG278" s="140"/>
      <c r="BH278" s="140"/>
      <c r="BI278" s="140"/>
      <c r="BJ278" s="140"/>
      <c r="BK278" s="140"/>
      <c r="BL278" s="140"/>
      <c r="BM278" s="140"/>
      <c r="BN278" s="140"/>
      <c r="BO278" s="140"/>
      <c r="BP278" s="140"/>
      <c r="BQ278" s="140"/>
      <c r="BR278" s="140"/>
      <c r="BS278" s="140"/>
      <c r="BT278" s="140"/>
      <c r="BU278" s="140"/>
      <c r="BV278" s="140"/>
      <c r="BW278" s="140"/>
      <c r="BX278" s="140"/>
      <c r="BY278" s="140"/>
      <c r="BZ278" s="140"/>
      <c r="CA278" s="140"/>
      <c r="CB278" s="140"/>
      <c r="CC278" s="140"/>
      <c r="CD278" s="140"/>
      <c r="CE278" s="140"/>
      <c r="CF278" s="140"/>
      <c r="CG278" s="140"/>
      <c r="CH278" s="140"/>
      <c r="CI278" s="140"/>
      <c r="CJ278" s="140"/>
      <c r="CK278" s="140"/>
      <c r="CL278" s="140"/>
      <c r="CM278" s="140"/>
      <c r="CN278" s="140"/>
      <c r="CO278" s="140"/>
      <c r="CP278" s="140"/>
      <c r="CQ278" s="140"/>
      <c r="CR278" s="140"/>
      <c r="CS278" s="140"/>
      <c r="CT278" s="140"/>
      <c r="CU278" s="140"/>
      <c r="CV278" s="140"/>
      <c r="CW278" s="140"/>
      <c r="CX278" s="140"/>
      <c r="CY278" s="140"/>
      <c r="CZ278" s="140"/>
      <c r="DA278" s="140"/>
      <c r="DB278" s="140"/>
      <c r="DC278" s="140"/>
      <c r="DD278" s="140"/>
      <c r="DE278" s="140"/>
    </row>
    <row r="279" spans="1:109" s="139" customForma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3"/>
      <c r="U279" s="143"/>
      <c r="V279" s="143"/>
      <c r="W279" s="143"/>
      <c r="X279" s="143"/>
      <c r="Y279" s="143"/>
      <c r="Z279" s="143"/>
      <c r="AA279" s="143"/>
      <c r="AC279" s="140"/>
      <c r="AD279" s="140"/>
      <c r="AE279" s="140"/>
      <c r="AF279" s="140"/>
      <c r="AG279" s="140"/>
      <c r="AH279" s="141"/>
      <c r="AI279" s="143"/>
      <c r="AJ279" s="140"/>
      <c r="AK279" s="140"/>
      <c r="AL279" s="140"/>
      <c r="AM279" s="140"/>
      <c r="AN279" s="140"/>
      <c r="AO279" s="140"/>
      <c r="AP279" s="140"/>
      <c r="AQ279" s="140"/>
      <c r="AR279" s="140"/>
      <c r="AS279" s="140"/>
      <c r="AT279" s="140"/>
      <c r="AU279" s="140"/>
      <c r="AV279" s="140"/>
      <c r="AW279" s="140"/>
      <c r="AX279" s="140"/>
      <c r="AY279" s="140"/>
      <c r="AZ279" s="140"/>
      <c r="BA279" s="140"/>
      <c r="BB279" s="140"/>
      <c r="BC279" s="140"/>
      <c r="BD279" s="140"/>
      <c r="BE279" s="140"/>
      <c r="BF279" s="140"/>
      <c r="BG279" s="140"/>
      <c r="BH279" s="140"/>
      <c r="BI279" s="140"/>
      <c r="BJ279" s="140"/>
      <c r="BK279" s="140"/>
      <c r="BL279" s="140"/>
      <c r="BM279" s="140"/>
      <c r="BN279" s="140"/>
      <c r="BO279" s="140"/>
      <c r="BP279" s="140"/>
      <c r="BQ279" s="140"/>
      <c r="BR279" s="140"/>
      <c r="BS279" s="140"/>
      <c r="BT279" s="140"/>
      <c r="BU279" s="140"/>
      <c r="BV279" s="140"/>
      <c r="BW279" s="140"/>
      <c r="BX279" s="140"/>
      <c r="BY279" s="140"/>
      <c r="BZ279" s="140"/>
      <c r="CA279" s="140"/>
      <c r="CB279" s="140"/>
      <c r="CC279" s="140"/>
      <c r="CD279" s="140"/>
      <c r="CE279" s="140"/>
      <c r="CF279" s="140"/>
      <c r="CG279" s="140"/>
      <c r="CH279" s="140"/>
      <c r="CI279" s="140"/>
      <c r="CJ279" s="140"/>
      <c r="CK279" s="140"/>
      <c r="CL279" s="140"/>
      <c r="CM279" s="140"/>
      <c r="CN279" s="140"/>
      <c r="CO279" s="140"/>
      <c r="CP279" s="140"/>
      <c r="CQ279" s="140"/>
      <c r="CR279" s="140"/>
      <c r="CS279" s="140"/>
      <c r="CT279" s="140"/>
      <c r="CU279" s="140"/>
      <c r="CV279" s="140"/>
      <c r="CW279" s="140"/>
      <c r="CX279" s="140"/>
      <c r="CY279" s="140"/>
      <c r="CZ279" s="140"/>
      <c r="DA279" s="140"/>
      <c r="DB279" s="140"/>
      <c r="DC279" s="140"/>
      <c r="DD279" s="140"/>
      <c r="DE279" s="140"/>
    </row>
    <row r="280" spans="1:109" s="139" customForma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3"/>
      <c r="U280" s="143"/>
      <c r="V280" s="143"/>
      <c r="W280" s="143"/>
      <c r="X280" s="143"/>
      <c r="Y280" s="143"/>
      <c r="Z280" s="143"/>
      <c r="AA280" s="143"/>
      <c r="AC280" s="140"/>
      <c r="AD280" s="140"/>
      <c r="AE280" s="140"/>
      <c r="AF280" s="140"/>
      <c r="AG280" s="140"/>
      <c r="AH280" s="141"/>
      <c r="AI280" s="143"/>
      <c r="AJ280" s="140"/>
      <c r="AK280" s="140"/>
      <c r="AL280" s="140"/>
      <c r="AM280" s="140"/>
      <c r="AN280" s="140"/>
      <c r="AO280" s="140"/>
      <c r="AP280" s="140"/>
      <c r="AQ280" s="140"/>
      <c r="AR280" s="140"/>
      <c r="AS280" s="140"/>
      <c r="AT280" s="140"/>
      <c r="AU280" s="140"/>
      <c r="AV280" s="140"/>
      <c r="AW280" s="140"/>
      <c r="AX280" s="140"/>
      <c r="AY280" s="140"/>
      <c r="AZ280" s="140"/>
      <c r="BA280" s="140"/>
      <c r="BB280" s="140"/>
      <c r="BC280" s="140"/>
      <c r="BD280" s="140"/>
      <c r="BE280" s="140"/>
      <c r="BF280" s="140"/>
      <c r="BG280" s="140"/>
      <c r="BH280" s="140"/>
      <c r="BI280" s="140"/>
      <c r="BJ280" s="140"/>
      <c r="BK280" s="140"/>
      <c r="BL280" s="140"/>
      <c r="BM280" s="140"/>
      <c r="BN280" s="140"/>
      <c r="BO280" s="140"/>
      <c r="BP280" s="140"/>
      <c r="BQ280" s="140"/>
      <c r="BR280" s="140"/>
      <c r="BS280" s="140"/>
      <c r="BT280" s="140"/>
      <c r="BU280" s="140"/>
      <c r="BV280" s="140"/>
      <c r="BW280" s="140"/>
      <c r="BX280" s="140"/>
      <c r="BY280" s="140"/>
      <c r="BZ280" s="140"/>
      <c r="CA280" s="140"/>
      <c r="CB280" s="140"/>
      <c r="CC280" s="140"/>
      <c r="CD280" s="140"/>
      <c r="CE280" s="140"/>
      <c r="CF280" s="140"/>
      <c r="CG280" s="140"/>
      <c r="CH280" s="140"/>
      <c r="CI280" s="140"/>
      <c r="CJ280" s="140"/>
      <c r="CK280" s="140"/>
      <c r="CL280" s="140"/>
      <c r="CM280" s="140"/>
      <c r="CN280" s="140"/>
      <c r="CO280" s="140"/>
      <c r="CP280" s="140"/>
      <c r="CQ280" s="140"/>
      <c r="CR280" s="140"/>
      <c r="CS280" s="140"/>
      <c r="CT280" s="140"/>
      <c r="CU280" s="140"/>
      <c r="CV280" s="140"/>
      <c r="CW280" s="140"/>
      <c r="CX280" s="140"/>
      <c r="CY280" s="140"/>
      <c r="CZ280" s="140"/>
      <c r="DA280" s="140"/>
      <c r="DB280" s="140"/>
      <c r="DC280" s="140"/>
      <c r="DD280" s="140"/>
      <c r="DE280" s="140"/>
    </row>
    <row r="281" spans="1:109" s="139" customForma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3"/>
      <c r="U281" s="143"/>
      <c r="V281" s="143"/>
      <c r="W281" s="143"/>
      <c r="X281" s="143"/>
      <c r="Y281" s="143"/>
      <c r="Z281" s="143"/>
      <c r="AA281" s="143"/>
      <c r="AC281" s="140"/>
      <c r="AD281" s="140"/>
      <c r="AE281" s="140"/>
      <c r="AF281" s="140"/>
      <c r="AG281" s="140"/>
      <c r="AH281" s="141"/>
      <c r="AI281" s="143"/>
      <c r="AJ281" s="140"/>
      <c r="AK281" s="140"/>
      <c r="AL281" s="140"/>
      <c r="AM281" s="140"/>
      <c r="AN281" s="140"/>
      <c r="AO281" s="140"/>
      <c r="AP281" s="140"/>
      <c r="AQ281" s="140"/>
      <c r="AR281" s="140"/>
      <c r="AS281" s="140"/>
      <c r="AT281" s="140"/>
      <c r="AU281" s="140"/>
      <c r="AV281" s="140"/>
      <c r="AW281" s="140"/>
      <c r="AX281" s="140"/>
      <c r="AY281" s="140"/>
      <c r="AZ281" s="140"/>
      <c r="BA281" s="140"/>
      <c r="BB281" s="140"/>
      <c r="BC281" s="140"/>
      <c r="BD281" s="140"/>
      <c r="BE281" s="140"/>
      <c r="BF281" s="140"/>
      <c r="BG281" s="140"/>
      <c r="BH281" s="140"/>
      <c r="BI281" s="140"/>
      <c r="BJ281" s="140"/>
      <c r="BK281" s="140"/>
      <c r="BL281" s="140"/>
      <c r="BM281" s="140"/>
      <c r="BN281" s="140"/>
      <c r="BO281" s="140"/>
      <c r="BP281" s="140"/>
      <c r="BQ281" s="140"/>
      <c r="BR281" s="140"/>
      <c r="BS281" s="140"/>
      <c r="BT281" s="140"/>
      <c r="BU281" s="140"/>
      <c r="BV281" s="140"/>
      <c r="BW281" s="140"/>
      <c r="BX281" s="140"/>
      <c r="BY281" s="140"/>
      <c r="BZ281" s="140"/>
      <c r="CA281" s="140"/>
      <c r="CB281" s="140"/>
      <c r="CC281" s="140"/>
      <c r="CD281" s="140"/>
      <c r="CE281" s="140"/>
      <c r="CF281" s="140"/>
      <c r="CG281" s="140"/>
      <c r="CH281" s="140"/>
      <c r="CI281" s="140"/>
      <c r="CJ281" s="140"/>
      <c r="CK281" s="140"/>
      <c r="CL281" s="140"/>
      <c r="CM281" s="140"/>
      <c r="CN281" s="140"/>
      <c r="CO281" s="140"/>
      <c r="CP281" s="140"/>
      <c r="CQ281" s="140"/>
      <c r="CR281" s="140"/>
      <c r="CS281" s="140"/>
      <c r="CT281" s="140"/>
      <c r="CU281" s="140"/>
      <c r="CV281" s="140"/>
      <c r="CW281" s="140"/>
      <c r="CX281" s="140"/>
      <c r="CY281" s="140"/>
      <c r="CZ281" s="140"/>
      <c r="DA281" s="140"/>
      <c r="DB281" s="140"/>
      <c r="DC281" s="140"/>
      <c r="DD281" s="140"/>
      <c r="DE281" s="140"/>
    </row>
    <row r="282" spans="1:109" s="139" customForma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3"/>
      <c r="U282" s="143"/>
      <c r="V282" s="143"/>
      <c r="W282" s="143"/>
      <c r="X282" s="143"/>
      <c r="Y282" s="143"/>
      <c r="Z282" s="143"/>
      <c r="AA282" s="143"/>
      <c r="AC282" s="140"/>
      <c r="AD282" s="140"/>
      <c r="AE282" s="140"/>
      <c r="AF282" s="140"/>
      <c r="AG282" s="140"/>
      <c r="AH282" s="141"/>
      <c r="AI282" s="143"/>
      <c r="AJ282" s="140"/>
      <c r="AK282" s="140"/>
      <c r="AL282" s="140"/>
      <c r="AM282" s="140"/>
      <c r="AN282" s="140"/>
      <c r="AO282" s="140"/>
      <c r="AP282" s="140"/>
      <c r="AQ282" s="140"/>
      <c r="AR282" s="140"/>
      <c r="AS282" s="140"/>
      <c r="AT282" s="140"/>
      <c r="AU282" s="140"/>
      <c r="AV282" s="140"/>
      <c r="AW282" s="140"/>
      <c r="AX282" s="140"/>
      <c r="AY282" s="140"/>
      <c r="AZ282" s="140"/>
      <c r="BA282" s="140"/>
      <c r="BB282" s="140"/>
      <c r="BC282" s="140"/>
      <c r="BD282" s="140"/>
      <c r="BE282" s="140"/>
      <c r="BF282" s="140"/>
      <c r="BG282" s="140"/>
      <c r="BH282" s="140"/>
      <c r="BI282" s="140"/>
      <c r="BJ282" s="140"/>
      <c r="BK282" s="140"/>
      <c r="BL282" s="140"/>
      <c r="BM282" s="140"/>
      <c r="BN282" s="140"/>
      <c r="BO282" s="140"/>
      <c r="BP282" s="140"/>
      <c r="BQ282" s="140"/>
      <c r="BR282" s="140"/>
      <c r="BS282" s="140"/>
      <c r="BT282" s="140"/>
      <c r="BU282" s="140"/>
      <c r="BV282" s="140"/>
      <c r="BW282" s="140"/>
      <c r="BX282" s="140"/>
      <c r="BY282" s="140"/>
      <c r="BZ282" s="140"/>
      <c r="CA282" s="140"/>
      <c r="CB282" s="140"/>
      <c r="CC282" s="140"/>
      <c r="CD282" s="140"/>
      <c r="CE282" s="140"/>
      <c r="CF282" s="140"/>
      <c r="CG282" s="140"/>
      <c r="CH282" s="140"/>
      <c r="CI282" s="140"/>
      <c r="CJ282" s="140"/>
      <c r="CK282" s="140"/>
      <c r="CL282" s="140"/>
      <c r="CM282" s="140"/>
      <c r="CN282" s="140"/>
      <c r="CO282" s="140"/>
      <c r="CP282" s="140"/>
      <c r="CQ282" s="140"/>
      <c r="CR282" s="140"/>
      <c r="CS282" s="140"/>
      <c r="CT282" s="140"/>
      <c r="CU282" s="140"/>
      <c r="CV282" s="140"/>
      <c r="CW282" s="140"/>
      <c r="CX282" s="140"/>
      <c r="CY282" s="140"/>
      <c r="CZ282" s="140"/>
      <c r="DA282" s="140"/>
      <c r="DB282" s="140"/>
      <c r="DC282" s="140"/>
      <c r="DD282" s="140"/>
      <c r="DE282" s="140"/>
    </row>
    <row r="283" spans="1:109" s="139" customForma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3"/>
      <c r="U283" s="143"/>
      <c r="V283" s="143"/>
      <c r="W283" s="143"/>
      <c r="X283" s="143"/>
      <c r="Y283" s="143"/>
      <c r="Z283" s="143"/>
      <c r="AA283" s="143"/>
      <c r="AC283" s="140"/>
      <c r="AD283" s="140"/>
      <c r="AE283" s="140"/>
      <c r="AF283" s="140"/>
      <c r="AG283" s="140"/>
      <c r="AH283" s="141"/>
      <c r="AI283" s="143"/>
      <c r="AJ283" s="140"/>
      <c r="AK283" s="140"/>
      <c r="AL283" s="140"/>
      <c r="AM283" s="140"/>
      <c r="AN283" s="140"/>
      <c r="AO283" s="140"/>
      <c r="AP283" s="140"/>
      <c r="AQ283" s="140"/>
      <c r="AR283" s="140"/>
      <c r="AS283" s="140"/>
      <c r="AT283" s="140"/>
      <c r="AU283" s="140"/>
      <c r="AV283" s="140"/>
      <c r="AW283" s="140"/>
      <c r="AX283" s="140"/>
      <c r="AY283" s="140"/>
      <c r="AZ283" s="140"/>
      <c r="BA283" s="140"/>
      <c r="BB283" s="140"/>
      <c r="BC283" s="140"/>
      <c r="BD283" s="140"/>
      <c r="BE283" s="140"/>
      <c r="BF283" s="140"/>
      <c r="BG283" s="140"/>
      <c r="BH283" s="140"/>
      <c r="BI283" s="140"/>
      <c r="BJ283" s="140"/>
      <c r="BK283" s="140"/>
      <c r="BL283" s="140"/>
      <c r="BM283" s="140"/>
      <c r="BN283" s="140"/>
      <c r="BO283" s="140"/>
      <c r="BP283" s="140"/>
      <c r="BQ283" s="140"/>
      <c r="BR283" s="140"/>
      <c r="BS283" s="140"/>
      <c r="BT283" s="140"/>
      <c r="BU283" s="140"/>
      <c r="BV283" s="140"/>
      <c r="BW283" s="140"/>
      <c r="BX283" s="140"/>
      <c r="BY283" s="140"/>
      <c r="BZ283" s="140"/>
      <c r="CA283" s="140"/>
      <c r="CB283" s="140"/>
      <c r="CC283" s="140"/>
      <c r="CD283" s="140"/>
      <c r="CE283" s="140"/>
      <c r="CF283" s="140"/>
      <c r="CG283" s="140"/>
      <c r="CH283" s="140"/>
      <c r="CI283" s="140"/>
      <c r="CJ283" s="140"/>
      <c r="CK283" s="140"/>
      <c r="CL283" s="140"/>
      <c r="CM283" s="140"/>
      <c r="CN283" s="140"/>
      <c r="CO283" s="140"/>
      <c r="CP283" s="140"/>
      <c r="CQ283" s="140"/>
      <c r="CR283" s="140"/>
      <c r="CS283" s="140"/>
      <c r="CT283" s="140"/>
      <c r="CU283" s="140"/>
      <c r="CV283" s="140"/>
      <c r="CW283" s="140"/>
      <c r="CX283" s="140"/>
      <c r="CY283" s="140"/>
      <c r="CZ283" s="140"/>
      <c r="DA283" s="140"/>
      <c r="DB283" s="140"/>
      <c r="DC283" s="140"/>
      <c r="DD283" s="140"/>
      <c r="DE283" s="140"/>
    </row>
    <row r="284" spans="1:109" s="139" customForma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3"/>
      <c r="U284" s="143"/>
      <c r="V284" s="143"/>
      <c r="W284" s="143"/>
      <c r="X284" s="143"/>
      <c r="Y284" s="143"/>
      <c r="Z284" s="143"/>
      <c r="AA284" s="143"/>
      <c r="AC284" s="140"/>
      <c r="AD284" s="140"/>
      <c r="AE284" s="140"/>
      <c r="AF284" s="140"/>
      <c r="AG284" s="140"/>
      <c r="AH284" s="141"/>
      <c r="AI284" s="143"/>
      <c r="AJ284" s="140"/>
      <c r="AK284" s="140"/>
      <c r="AL284" s="140"/>
      <c r="AM284" s="140"/>
      <c r="AN284" s="140"/>
      <c r="AO284" s="140"/>
      <c r="AP284" s="140"/>
      <c r="AQ284" s="140"/>
      <c r="AR284" s="140"/>
      <c r="AS284" s="140"/>
      <c r="AT284" s="140"/>
      <c r="AU284" s="140"/>
      <c r="AV284" s="140"/>
      <c r="AW284" s="140"/>
      <c r="AX284" s="140"/>
      <c r="AY284" s="140"/>
      <c r="AZ284" s="140"/>
      <c r="BA284" s="140"/>
      <c r="BB284" s="140"/>
      <c r="BC284" s="140"/>
      <c r="BD284" s="140"/>
      <c r="BE284" s="140"/>
      <c r="BF284" s="140"/>
      <c r="BG284" s="140"/>
      <c r="BH284" s="140"/>
      <c r="BI284" s="140"/>
      <c r="BJ284" s="140"/>
      <c r="BK284" s="140"/>
      <c r="BL284" s="140"/>
      <c r="BM284" s="140"/>
      <c r="BN284" s="140"/>
      <c r="BO284" s="140"/>
      <c r="BP284" s="140"/>
      <c r="BQ284" s="140"/>
      <c r="BR284" s="140"/>
      <c r="BS284" s="140"/>
      <c r="BT284" s="140"/>
      <c r="BU284" s="140"/>
      <c r="BV284" s="140"/>
      <c r="BW284" s="140"/>
      <c r="BX284" s="140"/>
      <c r="BY284" s="140"/>
      <c r="BZ284" s="140"/>
      <c r="CA284" s="140"/>
      <c r="CB284" s="140"/>
      <c r="CC284" s="140"/>
      <c r="CD284" s="140"/>
      <c r="CE284" s="140"/>
      <c r="CF284" s="140"/>
      <c r="CG284" s="140"/>
      <c r="CH284" s="140"/>
      <c r="CI284" s="140"/>
      <c r="CJ284" s="140"/>
      <c r="CK284" s="140"/>
      <c r="CL284" s="140"/>
      <c r="CM284" s="140"/>
      <c r="CN284" s="140"/>
      <c r="CO284" s="140"/>
      <c r="CP284" s="140"/>
      <c r="CQ284" s="140"/>
      <c r="CR284" s="140"/>
      <c r="CS284" s="140"/>
      <c r="CT284" s="140"/>
      <c r="CU284" s="140"/>
      <c r="CV284" s="140"/>
      <c r="CW284" s="140"/>
      <c r="CX284" s="140"/>
      <c r="CY284" s="140"/>
      <c r="CZ284" s="140"/>
      <c r="DA284" s="140"/>
      <c r="DB284" s="140"/>
      <c r="DC284" s="140"/>
      <c r="DD284" s="140"/>
      <c r="DE284" s="140"/>
    </row>
    <row r="285" spans="1:109" s="139" customForma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3"/>
      <c r="U285" s="143"/>
      <c r="V285" s="143"/>
      <c r="W285" s="143"/>
      <c r="X285" s="143"/>
      <c r="Y285" s="143"/>
      <c r="Z285" s="143"/>
      <c r="AA285" s="143"/>
      <c r="AC285" s="140"/>
      <c r="AD285" s="140"/>
      <c r="AE285" s="140"/>
      <c r="AF285" s="140"/>
      <c r="AG285" s="140"/>
      <c r="AH285" s="141"/>
      <c r="AI285" s="143"/>
      <c r="AJ285" s="140"/>
      <c r="AK285" s="140"/>
      <c r="AL285" s="140"/>
      <c r="AM285" s="140"/>
      <c r="AN285" s="140"/>
      <c r="AO285" s="140"/>
      <c r="AP285" s="140"/>
      <c r="AQ285" s="140"/>
      <c r="AR285" s="140"/>
      <c r="AS285" s="140"/>
      <c r="AT285" s="140"/>
      <c r="AU285" s="140"/>
      <c r="AV285" s="140"/>
      <c r="AW285" s="140"/>
      <c r="AX285" s="140"/>
      <c r="AY285" s="140"/>
      <c r="AZ285" s="140"/>
      <c r="BA285" s="140"/>
      <c r="BB285" s="140"/>
      <c r="BC285" s="140"/>
      <c r="BD285" s="140"/>
      <c r="BE285" s="140"/>
      <c r="BF285" s="140"/>
      <c r="BG285" s="140"/>
      <c r="BH285" s="140"/>
      <c r="BI285" s="140"/>
      <c r="BJ285" s="140"/>
      <c r="BK285" s="140"/>
      <c r="BL285" s="140"/>
      <c r="BM285" s="140"/>
      <c r="BN285" s="140"/>
      <c r="BO285" s="140"/>
      <c r="BP285" s="140"/>
      <c r="BQ285" s="140"/>
      <c r="BR285" s="140"/>
      <c r="BS285" s="140"/>
      <c r="BT285" s="140"/>
      <c r="BU285" s="140"/>
      <c r="BV285" s="140"/>
      <c r="BW285" s="140"/>
      <c r="BX285" s="140"/>
      <c r="BY285" s="140"/>
      <c r="BZ285" s="140"/>
      <c r="CA285" s="140"/>
      <c r="CB285" s="140"/>
      <c r="CC285" s="140"/>
      <c r="CD285" s="140"/>
      <c r="CE285" s="140"/>
      <c r="CF285" s="140"/>
      <c r="CG285" s="140"/>
      <c r="CH285" s="140"/>
      <c r="CI285" s="140"/>
      <c r="CJ285" s="140"/>
      <c r="CK285" s="140"/>
      <c r="CL285" s="140"/>
      <c r="CM285" s="140"/>
      <c r="CN285" s="140"/>
      <c r="CO285" s="140"/>
      <c r="CP285" s="140"/>
      <c r="CQ285" s="140"/>
      <c r="CR285" s="140"/>
      <c r="CS285" s="140"/>
      <c r="CT285" s="140"/>
      <c r="CU285" s="140"/>
      <c r="CV285" s="140"/>
      <c r="CW285" s="140"/>
      <c r="CX285" s="140"/>
      <c r="CY285" s="140"/>
      <c r="CZ285" s="140"/>
      <c r="DA285" s="140"/>
      <c r="DB285" s="140"/>
      <c r="DC285" s="140"/>
      <c r="DD285" s="140"/>
      <c r="DE285" s="140"/>
    </row>
    <row r="286" spans="1:109" s="139" customForma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3"/>
      <c r="U286" s="143"/>
      <c r="V286" s="143"/>
      <c r="W286" s="143"/>
      <c r="X286" s="143"/>
      <c r="Y286" s="143"/>
      <c r="Z286" s="143"/>
      <c r="AA286" s="143"/>
      <c r="AC286" s="140"/>
      <c r="AD286" s="140"/>
      <c r="AE286" s="140"/>
      <c r="AF286" s="140"/>
      <c r="AG286" s="140"/>
      <c r="AH286" s="141"/>
      <c r="AI286" s="143"/>
      <c r="AJ286" s="140"/>
      <c r="AK286" s="140"/>
      <c r="AL286" s="140"/>
      <c r="AM286" s="140"/>
      <c r="AN286" s="140"/>
      <c r="AO286" s="140"/>
      <c r="AP286" s="140"/>
      <c r="AQ286" s="140"/>
      <c r="AR286" s="140"/>
      <c r="AS286" s="140"/>
      <c r="AT286" s="140"/>
      <c r="AU286" s="140"/>
      <c r="AV286" s="140"/>
      <c r="AW286" s="140"/>
      <c r="AX286" s="140"/>
      <c r="AY286" s="140"/>
      <c r="AZ286" s="140"/>
      <c r="BA286" s="140"/>
      <c r="BB286" s="140"/>
      <c r="BC286" s="140"/>
      <c r="BD286" s="140"/>
      <c r="BE286" s="140"/>
      <c r="BF286" s="140"/>
      <c r="BG286" s="140"/>
      <c r="BH286" s="140"/>
      <c r="BI286" s="140"/>
      <c r="BJ286" s="140"/>
      <c r="BK286" s="140"/>
      <c r="BL286" s="140"/>
      <c r="BM286" s="140"/>
      <c r="BN286" s="140"/>
      <c r="BO286" s="140"/>
      <c r="BP286" s="140"/>
      <c r="BQ286" s="140"/>
      <c r="BR286" s="140"/>
      <c r="BS286" s="140"/>
      <c r="BT286" s="140"/>
      <c r="BU286" s="140"/>
      <c r="BV286" s="140"/>
      <c r="BW286" s="140"/>
      <c r="BX286" s="140"/>
      <c r="BY286" s="140"/>
      <c r="BZ286" s="140"/>
      <c r="CA286" s="140"/>
      <c r="CB286" s="140"/>
      <c r="CC286" s="140"/>
      <c r="CD286" s="140"/>
      <c r="CE286" s="140"/>
      <c r="CF286" s="140"/>
      <c r="CG286" s="140"/>
      <c r="CH286" s="140"/>
      <c r="CI286" s="140"/>
      <c r="CJ286" s="140"/>
      <c r="CK286" s="140"/>
      <c r="CL286" s="140"/>
      <c r="CM286" s="140"/>
      <c r="CN286" s="140"/>
      <c r="CO286" s="140"/>
      <c r="CP286" s="140"/>
      <c r="CQ286" s="140"/>
      <c r="CR286" s="140"/>
      <c r="CS286" s="140"/>
      <c r="CT286" s="140"/>
      <c r="CU286" s="140"/>
      <c r="CV286" s="140"/>
      <c r="CW286" s="140"/>
      <c r="CX286" s="140"/>
      <c r="CY286" s="140"/>
      <c r="CZ286" s="140"/>
      <c r="DA286" s="140"/>
      <c r="DB286" s="140"/>
      <c r="DC286" s="140"/>
      <c r="DD286" s="140"/>
      <c r="DE286" s="140"/>
    </row>
    <row r="287" spans="1:109" s="139" customForma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3"/>
      <c r="U287" s="143"/>
      <c r="V287" s="143"/>
      <c r="W287" s="143"/>
      <c r="X287" s="143"/>
      <c r="Y287" s="143"/>
      <c r="Z287" s="143"/>
      <c r="AA287" s="143"/>
      <c r="AC287" s="140"/>
      <c r="AD287" s="140"/>
      <c r="AE287" s="140"/>
      <c r="AF287" s="140"/>
      <c r="AG287" s="140"/>
      <c r="AH287" s="141"/>
      <c r="AI287" s="143"/>
      <c r="AJ287" s="140"/>
      <c r="AK287" s="140"/>
      <c r="AL287" s="140"/>
      <c r="AM287" s="140"/>
      <c r="AN287" s="140"/>
      <c r="AO287" s="140"/>
      <c r="AP287" s="140"/>
      <c r="AQ287" s="140"/>
      <c r="AR287" s="140"/>
      <c r="AS287" s="140"/>
      <c r="AT287" s="140"/>
      <c r="AU287" s="140"/>
      <c r="AV287" s="140"/>
      <c r="AW287" s="140"/>
      <c r="AX287" s="140"/>
      <c r="AY287" s="140"/>
      <c r="AZ287" s="140"/>
      <c r="BA287" s="140"/>
      <c r="BB287" s="140"/>
      <c r="BC287" s="140"/>
      <c r="BD287" s="140"/>
      <c r="BE287" s="140"/>
      <c r="BF287" s="140"/>
      <c r="BG287" s="140"/>
      <c r="BH287" s="140"/>
      <c r="BI287" s="140"/>
      <c r="BJ287" s="140"/>
      <c r="BK287" s="140"/>
      <c r="BL287" s="140"/>
      <c r="BM287" s="140"/>
      <c r="BN287" s="140"/>
      <c r="BO287" s="140"/>
      <c r="BP287" s="140"/>
      <c r="BQ287" s="140"/>
      <c r="BR287" s="140"/>
      <c r="BS287" s="140"/>
      <c r="BT287" s="140"/>
      <c r="BU287" s="140"/>
      <c r="BV287" s="140"/>
      <c r="BW287" s="140"/>
      <c r="BX287" s="140"/>
      <c r="BY287" s="140"/>
      <c r="BZ287" s="140"/>
      <c r="CA287" s="140"/>
      <c r="CB287" s="140"/>
      <c r="CC287" s="140"/>
      <c r="CD287" s="140"/>
      <c r="CE287" s="140"/>
      <c r="CF287" s="140"/>
      <c r="CG287" s="140"/>
      <c r="CH287" s="140"/>
      <c r="CI287" s="140"/>
      <c r="CJ287" s="140"/>
      <c r="CK287" s="140"/>
      <c r="CL287" s="140"/>
      <c r="CM287" s="140"/>
      <c r="CN287" s="140"/>
      <c r="CO287" s="140"/>
      <c r="CP287" s="140"/>
      <c r="CQ287" s="140"/>
      <c r="CR287" s="140"/>
      <c r="CS287" s="140"/>
      <c r="CT287" s="140"/>
      <c r="CU287" s="140"/>
      <c r="CV287" s="140"/>
      <c r="CW287" s="140"/>
      <c r="CX287" s="140"/>
      <c r="CY287" s="140"/>
      <c r="CZ287" s="140"/>
      <c r="DA287" s="140"/>
      <c r="DB287" s="140"/>
      <c r="DC287" s="140"/>
      <c r="DD287" s="140"/>
      <c r="DE287" s="140"/>
    </row>
    <row r="288" spans="1:109" s="139" customForma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3"/>
      <c r="U288" s="143"/>
      <c r="V288" s="143"/>
      <c r="W288" s="143"/>
      <c r="X288" s="143"/>
      <c r="Y288" s="143"/>
      <c r="Z288" s="143"/>
      <c r="AA288" s="143"/>
      <c r="AC288" s="140"/>
      <c r="AD288" s="140"/>
      <c r="AE288" s="140"/>
      <c r="AF288" s="140"/>
      <c r="AG288" s="140"/>
      <c r="AH288" s="141"/>
      <c r="AI288" s="143"/>
      <c r="AJ288" s="140"/>
      <c r="AK288" s="140"/>
      <c r="AL288" s="140"/>
      <c r="AM288" s="140"/>
      <c r="AN288" s="140"/>
      <c r="AO288" s="140"/>
      <c r="AP288" s="140"/>
      <c r="AQ288" s="140"/>
      <c r="AR288" s="140"/>
      <c r="AS288" s="140"/>
      <c r="AT288" s="140"/>
      <c r="AU288" s="140"/>
      <c r="AV288" s="140"/>
      <c r="AW288" s="140"/>
      <c r="AX288" s="140"/>
      <c r="AY288" s="140"/>
      <c r="AZ288" s="140"/>
      <c r="BA288" s="140"/>
      <c r="BB288" s="140"/>
      <c r="BC288" s="140"/>
      <c r="BD288" s="140"/>
      <c r="BE288" s="140"/>
      <c r="BF288" s="140"/>
      <c r="BG288" s="140"/>
      <c r="BH288" s="140"/>
      <c r="BI288" s="140"/>
      <c r="BJ288" s="140"/>
      <c r="BK288" s="140"/>
      <c r="BL288" s="140"/>
      <c r="BM288" s="140"/>
      <c r="BN288" s="140"/>
      <c r="BO288" s="140"/>
      <c r="BP288" s="140"/>
      <c r="BQ288" s="140"/>
      <c r="BR288" s="140"/>
      <c r="BS288" s="140"/>
      <c r="BT288" s="140"/>
      <c r="BU288" s="140"/>
      <c r="BV288" s="140"/>
      <c r="BW288" s="140"/>
      <c r="BX288" s="140"/>
      <c r="BY288" s="140"/>
      <c r="BZ288" s="140"/>
      <c r="CA288" s="140"/>
      <c r="CB288" s="140"/>
      <c r="CC288" s="140"/>
      <c r="CD288" s="140"/>
      <c r="CE288" s="140"/>
      <c r="CF288" s="140"/>
      <c r="CG288" s="140"/>
      <c r="CH288" s="140"/>
      <c r="CI288" s="140"/>
      <c r="CJ288" s="140"/>
      <c r="CK288" s="140"/>
      <c r="CL288" s="140"/>
      <c r="CM288" s="140"/>
      <c r="CN288" s="140"/>
      <c r="CO288" s="140"/>
      <c r="CP288" s="140"/>
      <c r="CQ288" s="140"/>
      <c r="CR288" s="140"/>
      <c r="CS288" s="140"/>
      <c r="CT288" s="140"/>
      <c r="CU288" s="140"/>
      <c r="CV288" s="140"/>
      <c r="CW288" s="140"/>
      <c r="CX288" s="140"/>
      <c r="CY288" s="140"/>
      <c r="CZ288" s="140"/>
      <c r="DA288" s="140"/>
      <c r="DB288" s="140"/>
      <c r="DC288" s="140"/>
      <c r="DD288" s="140"/>
      <c r="DE288" s="140"/>
    </row>
    <row r="289" spans="1:109" s="139" customForma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3"/>
      <c r="U289" s="143"/>
      <c r="V289" s="143"/>
      <c r="W289" s="143"/>
      <c r="X289" s="143"/>
      <c r="Y289" s="143"/>
      <c r="Z289" s="143"/>
      <c r="AA289" s="143"/>
      <c r="AC289" s="140"/>
      <c r="AD289" s="140"/>
      <c r="AE289" s="140"/>
      <c r="AF289" s="140"/>
      <c r="AG289" s="140"/>
      <c r="AH289" s="141"/>
      <c r="AI289" s="143"/>
      <c r="AJ289" s="140"/>
      <c r="AK289" s="140"/>
      <c r="AL289" s="140"/>
      <c r="AM289" s="140"/>
      <c r="AN289" s="140"/>
      <c r="AO289" s="140"/>
      <c r="AP289" s="140"/>
      <c r="AQ289" s="140"/>
      <c r="AR289" s="140"/>
      <c r="AS289" s="140"/>
      <c r="AT289" s="140"/>
      <c r="AU289" s="140"/>
      <c r="AV289" s="140"/>
      <c r="AW289" s="140"/>
      <c r="AX289" s="140"/>
      <c r="AY289" s="140"/>
      <c r="AZ289" s="140"/>
      <c r="BA289" s="140"/>
      <c r="BB289" s="140"/>
      <c r="BC289" s="140"/>
      <c r="BD289" s="140"/>
      <c r="BE289" s="140"/>
      <c r="BF289" s="140"/>
      <c r="BG289" s="140"/>
      <c r="BH289" s="140"/>
      <c r="BI289" s="140"/>
      <c r="BJ289" s="140"/>
      <c r="BK289" s="140"/>
      <c r="BL289" s="140"/>
      <c r="BM289" s="140"/>
      <c r="BN289" s="140"/>
      <c r="BO289" s="140"/>
      <c r="BP289" s="140"/>
      <c r="BQ289" s="140"/>
      <c r="BR289" s="140"/>
      <c r="BS289" s="140"/>
      <c r="BT289" s="140"/>
      <c r="BU289" s="140"/>
      <c r="BV289" s="140"/>
      <c r="BW289" s="140"/>
      <c r="BX289" s="140"/>
      <c r="BY289" s="140"/>
      <c r="BZ289" s="140"/>
      <c r="CA289" s="140"/>
      <c r="CB289" s="140"/>
      <c r="CC289" s="140"/>
      <c r="CD289" s="140"/>
      <c r="CE289" s="140"/>
      <c r="CF289" s="140"/>
      <c r="CG289" s="140"/>
      <c r="CH289" s="140"/>
      <c r="CI289" s="140"/>
      <c r="CJ289" s="140"/>
      <c r="CK289" s="140"/>
      <c r="CL289" s="140"/>
      <c r="CM289" s="140"/>
      <c r="CN289" s="140"/>
      <c r="CO289" s="140"/>
      <c r="CP289" s="140"/>
      <c r="CQ289" s="140"/>
      <c r="CR289" s="140"/>
      <c r="CS289" s="140"/>
      <c r="CT289" s="140"/>
      <c r="CU289" s="140"/>
      <c r="CV289" s="140"/>
      <c r="CW289" s="140"/>
      <c r="CX289" s="140"/>
      <c r="CY289" s="140"/>
      <c r="CZ289" s="140"/>
      <c r="DA289" s="140"/>
      <c r="DB289" s="140"/>
      <c r="DC289" s="140"/>
      <c r="DD289" s="140"/>
      <c r="DE289" s="140"/>
    </row>
    <row r="290" spans="1:109" s="139" customForma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3"/>
      <c r="U290" s="143"/>
      <c r="V290" s="143"/>
      <c r="W290" s="143"/>
      <c r="X290" s="143"/>
      <c r="Y290" s="143"/>
      <c r="Z290" s="143"/>
      <c r="AA290" s="143"/>
      <c r="AC290" s="140"/>
      <c r="AD290" s="140"/>
      <c r="AE290" s="140"/>
      <c r="AF290" s="140"/>
      <c r="AG290" s="140"/>
      <c r="AH290" s="141"/>
      <c r="AI290" s="143"/>
      <c r="AJ290" s="140"/>
      <c r="AK290" s="140"/>
      <c r="AL290" s="140"/>
      <c r="AM290" s="140"/>
      <c r="AN290" s="140"/>
      <c r="AO290" s="140"/>
      <c r="AP290" s="140"/>
      <c r="AQ290" s="140"/>
      <c r="AR290" s="140"/>
      <c r="AS290" s="140"/>
      <c r="AT290" s="140"/>
      <c r="AU290" s="140"/>
      <c r="AV290" s="140"/>
      <c r="AW290" s="140"/>
      <c r="AX290" s="140"/>
      <c r="AY290" s="140"/>
      <c r="AZ290" s="140"/>
      <c r="BA290" s="140"/>
      <c r="BB290" s="140"/>
      <c r="BC290" s="140"/>
      <c r="BD290" s="140"/>
      <c r="BE290" s="140"/>
      <c r="BF290" s="140"/>
      <c r="BG290" s="140"/>
      <c r="BH290" s="140"/>
      <c r="BI290" s="140"/>
      <c r="BJ290" s="140"/>
      <c r="BK290" s="140"/>
      <c r="BL290" s="140"/>
      <c r="BM290" s="140"/>
      <c r="BN290" s="140"/>
      <c r="BO290" s="140"/>
      <c r="BP290" s="140"/>
      <c r="BQ290" s="140"/>
      <c r="BR290" s="140"/>
      <c r="BS290" s="140"/>
      <c r="BT290" s="140"/>
      <c r="BU290" s="140"/>
      <c r="BV290" s="140"/>
      <c r="BW290" s="140"/>
      <c r="BX290" s="140"/>
      <c r="BY290" s="140"/>
      <c r="BZ290" s="140"/>
      <c r="CA290" s="140"/>
      <c r="CB290" s="140"/>
      <c r="CC290" s="140"/>
      <c r="CD290" s="140"/>
      <c r="CE290" s="140"/>
      <c r="CF290" s="140"/>
      <c r="CG290" s="140"/>
      <c r="CH290" s="140"/>
      <c r="CI290" s="140"/>
      <c r="CJ290" s="140"/>
      <c r="CK290" s="140"/>
      <c r="CL290" s="140"/>
      <c r="CM290" s="140"/>
      <c r="CN290" s="140"/>
      <c r="CO290" s="140"/>
      <c r="CP290" s="140"/>
      <c r="CQ290" s="140"/>
      <c r="CR290" s="140"/>
      <c r="CS290" s="140"/>
      <c r="CT290" s="140"/>
      <c r="CU290" s="140"/>
      <c r="CV290" s="140"/>
      <c r="CW290" s="140"/>
      <c r="CX290" s="140"/>
      <c r="CY290" s="140"/>
      <c r="CZ290" s="140"/>
      <c r="DA290" s="140"/>
      <c r="DB290" s="140"/>
      <c r="DC290" s="140"/>
      <c r="DD290" s="140"/>
      <c r="DE290" s="140"/>
    </row>
    <row r="291" spans="1:109" s="139" customForma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3"/>
      <c r="U291" s="143"/>
      <c r="V291" s="143"/>
      <c r="W291" s="143"/>
      <c r="X291" s="143"/>
      <c r="Y291" s="143"/>
      <c r="Z291" s="143"/>
      <c r="AA291" s="143"/>
      <c r="AC291" s="140"/>
      <c r="AD291" s="140"/>
      <c r="AE291" s="140"/>
      <c r="AF291" s="140"/>
      <c r="AG291" s="140"/>
      <c r="AH291" s="141"/>
      <c r="AI291" s="143"/>
      <c r="AJ291" s="140"/>
      <c r="AK291" s="140"/>
      <c r="AL291" s="140"/>
      <c r="AM291" s="140"/>
      <c r="AN291" s="140"/>
      <c r="AO291" s="140"/>
      <c r="AP291" s="140"/>
      <c r="AQ291" s="140"/>
      <c r="AR291" s="140"/>
      <c r="AS291" s="140"/>
      <c r="AT291" s="140"/>
      <c r="AU291" s="140"/>
      <c r="AV291" s="140"/>
      <c r="AW291" s="140"/>
      <c r="AX291" s="140"/>
      <c r="AY291" s="140"/>
      <c r="AZ291" s="140"/>
      <c r="BA291" s="140"/>
      <c r="BB291" s="140"/>
      <c r="BC291" s="140"/>
      <c r="BD291" s="140"/>
      <c r="BE291" s="140"/>
      <c r="BF291" s="140"/>
      <c r="BG291" s="140"/>
      <c r="BH291" s="140"/>
      <c r="BI291" s="140"/>
      <c r="BJ291" s="140"/>
      <c r="BK291" s="140"/>
      <c r="BL291" s="140"/>
      <c r="BM291" s="140"/>
      <c r="BN291" s="140"/>
      <c r="BO291" s="140"/>
      <c r="BP291" s="140"/>
      <c r="BQ291" s="140"/>
      <c r="BR291" s="140"/>
      <c r="BS291" s="140"/>
      <c r="BT291" s="140"/>
      <c r="BU291" s="140"/>
      <c r="BV291" s="140"/>
      <c r="BW291" s="140"/>
      <c r="BX291" s="140"/>
      <c r="BY291" s="140"/>
      <c r="BZ291" s="140"/>
      <c r="CA291" s="140"/>
      <c r="CB291" s="140"/>
      <c r="CC291" s="140"/>
      <c r="CD291" s="140"/>
      <c r="CE291" s="140"/>
      <c r="CF291" s="140"/>
      <c r="CG291" s="140"/>
      <c r="CH291" s="140"/>
      <c r="CI291" s="140"/>
      <c r="CJ291" s="140"/>
      <c r="CK291" s="140"/>
      <c r="CL291" s="140"/>
      <c r="CM291" s="140"/>
      <c r="CN291" s="140"/>
      <c r="CO291" s="140"/>
      <c r="CP291" s="140"/>
      <c r="CQ291" s="140"/>
      <c r="CR291" s="140"/>
      <c r="CS291" s="140"/>
      <c r="CT291" s="140"/>
      <c r="CU291" s="140"/>
      <c r="CV291" s="140"/>
      <c r="CW291" s="140"/>
      <c r="CX291" s="140"/>
      <c r="CY291" s="140"/>
      <c r="CZ291" s="140"/>
      <c r="DA291" s="140"/>
      <c r="DB291" s="140"/>
      <c r="DC291" s="140"/>
      <c r="DD291" s="140"/>
      <c r="DE291" s="140"/>
    </row>
    <row r="292" spans="1:109" s="139" customForma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3"/>
      <c r="U292" s="143"/>
      <c r="V292" s="143"/>
      <c r="W292" s="143"/>
      <c r="X292" s="143"/>
      <c r="Y292" s="143"/>
      <c r="Z292" s="143"/>
      <c r="AA292" s="143"/>
      <c r="AC292" s="140"/>
      <c r="AD292" s="140"/>
      <c r="AE292" s="140"/>
      <c r="AF292" s="140"/>
      <c r="AG292" s="140"/>
      <c r="AH292" s="141"/>
      <c r="AI292" s="143"/>
      <c r="AJ292" s="140"/>
      <c r="AK292" s="140"/>
      <c r="AL292" s="140"/>
      <c r="AM292" s="140"/>
      <c r="AN292" s="140"/>
      <c r="AO292" s="140"/>
      <c r="AP292" s="140"/>
      <c r="AQ292" s="140"/>
      <c r="AR292" s="140"/>
      <c r="AS292" s="140"/>
      <c r="AT292" s="140"/>
      <c r="AU292" s="140"/>
      <c r="AV292" s="140"/>
      <c r="AW292" s="140"/>
      <c r="AX292" s="140"/>
      <c r="AY292" s="140"/>
      <c r="AZ292" s="140"/>
      <c r="BA292" s="140"/>
      <c r="BB292" s="140"/>
      <c r="BC292" s="140"/>
      <c r="BD292" s="140"/>
      <c r="BE292" s="140"/>
      <c r="BF292" s="140"/>
      <c r="BG292" s="140"/>
      <c r="BH292" s="140"/>
      <c r="BI292" s="140"/>
      <c r="BJ292" s="140"/>
      <c r="BK292" s="140"/>
      <c r="BL292" s="140"/>
      <c r="BM292" s="140"/>
      <c r="BN292" s="140"/>
      <c r="BO292" s="140"/>
      <c r="BP292" s="140"/>
      <c r="BQ292" s="140"/>
      <c r="BR292" s="140"/>
      <c r="BS292" s="140"/>
      <c r="BT292" s="140"/>
      <c r="BU292" s="140"/>
      <c r="BV292" s="140"/>
      <c r="BW292" s="140"/>
      <c r="BX292" s="140"/>
      <c r="BY292" s="140"/>
      <c r="BZ292" s="140"/>
      <c r="CA292" s="140"/>
      <c r="CB292" s="140"/>
      <c r="CC292" s="140"/>
      <c r="CD292" s="140"/>
      <c r="CE292" s="140"/>
      <c r="CF292" s="140"/>
      <c r="CG292" s="140"/>
      <c r="CH292" s="140"/>
      <c r="CI292" s="140"/>
      <c r="CJ292" s="140"/>
      <c r="CK292" s="140"/>
      <c r="CL292" s="140"/>
      <c r="CM292" s="140"/>
      <c r="CN292" s="140"/>
      <c r="CO292" s="140"/>
      <c r="CP292" s="140"/>
      <c r="CQ292" s="140"/>
      <c r="CR292" s="140"/>
      <c r="CS292" s="140"/>
      <c r="CT292" s="140"/>
      <c r="CU292" s="140"/>
      <c r="CV292" s="140"/>
      <c r="CW292" s="140"/>
      <c r="CX292" s="140"/>
      <c r="CY292" s="140"/>
      <c r="CZ292" s="140"/>
      <c r="DA292" s="140"/>
      <c r="DB292" s="140"/>
      <c r="DC292" s="140"/>
      <c r="DD292" s="140"/>
      <c r="DE292" s="140"/>
    </row>
    <row r="293" spans="1:109" s="139" customForma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3"/>
      <c r="U293" s="143"/>
      <c r="V293" s="143"/>
      <c r="W293" s="143"/>
      <c r="X293" s="143"/>
      <c r="Y293" s="143"/>
      <c r="Z293" s="143"/>
      <c r="AA293" s="143"/>
      <c r="AC293" s="140"/>
      <c r="AD293" s="140"/>
      <c r="AE293" s="140"/>
      <c r="AF293" s="140"/>
      <c r="AG293" s="140"/>
      <c r="AH293" s="141"/>
      <c r="AI293" s="143"/>
      <c r="AJ293" s="140"/>
      <c r="AK293" s="140"/>
      <c r="AL293" s="140"/>
      <c r="AM293" s="140"/>
      <c r="AN293" s="140"/>
      <c r="AO293" s="140"/>
      <c r="AP293" s="140"/>
      <c r="AQ293" s="140"/>
      <c r="AR293" s="140"/>
      <c r="AS293" s="140"/>
      <c r="AT293" s="140"/>
      <c r="AU293" s="140"/>
      <c r="AV293" s="140"/>
      <c r="AW293" s="140"/>
      <c r="AX293" s="140"/>
      <c r="AY293" s="140"/>
      <c r="AZ293" s="140"/>
      <c r="BA293" s="140"/>
      <c r="BB293" s="140"/>
      <c r="BC293" s="140"/>
      <c r="BD293" s="140"/>
      <c r="BE293" s="140"/>
      <c r="BF293" s="140"/>
      <c r="BG293" s="140"/>
      <c r="BH293" s="140"/>
      <c r="BI293" s="140"/>
      <c r="BJ293" s="140"/>
      <c r="BK293" s="140"/>
      <c r="BL293" s="140"/>
      <c r="BM293" s="140"/>
      <c r="BN293" s="140"/>
      <c r="BO293" s="140"/>
      <c r="BP293" s="140"/>
      <c r="BQ293" s="140"/>
      <c r="BR293" s="140"/>
      <c r="BS293" s="140"/>
      <c r="BT293" s="140"/>
      <c r="BU293" s="140"/>
      <c r="BV293" s="140"/>
      <c r="BW293" s="140"/>
      <c r="BX293" s="140"/>
      <c r="BY293" s="140"/>
      <c r="BZ293" s="140"/>
      <c r="CA293" s="140"/>
      <c r="CB293" s="140"/>
      <c r="CC293" s="140"/>
      <c r="CD293" s="140"/>
      <c r="CE293" s="140"/>
      <c r="CF293" s="140"/>
      <c r="CG293" s="140"/>
      <c r="CH293" s="140"/>
      <c r="CI293" s="140"/>
      <c r="CJ293" s="140"/>
      <c r="CK293" s="140"/>
      <c r="CL293" s="140"/>
      <c r="CM293" s="140"/>
      <c r="CN293" s="140"/>
      <c r="CO293" s="140"/>
      <c r="CP293" s="140"/>
      <c r="CQ293" s="140"/>
      <c r="CR293" s="140"/>
      <c r="CS293" s="140"/>
      <c r="CT293" s="140"/>
      <c r="CU293" s="140"/>
      <c r="CV293" s="140"/>
      <c r="CW293" s="140"/>
      <c r="CX293" s="140"/>
      <c r="CY293" s="140"/>
      <c r="CZ293" s="140"/>
      <c r="DA293" s="140"/>
      <c r="DB293" s="140"/>
      <c r="DC293" s="140"/>
      <c r="DD293" s="140"/>
      <c r="DE293" s="140"/>
    </row>
    <row r="294" spans="1:109" s="139" customForma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3"/>
      <c r="U294" s="143"/>
      <c r="V294" s="143"/>
      <c r="W294" s="143"/>
      <c r="X294" s="143"/>
      <c r="Y294" s="143"/>
      <c r="Z294" s="143"/>
      <c r="AA294" s="143"/>
      <c r="AC294" s="140"/>
      <c r="AD294" s="140"/>
      <c r="AE294" s="140"/>
      <c r="AF294" s="140"/>
      <c r="AG294" s="140"/>
      <c r="AH294" s="141"/>
      <c r="AI294" s="143"/>
      <c r="AJ294" s="140"/>
      <c r="AK294" s="140"/>
      <c r="AL294" s="140"/>
      <c r="AM294" s="140"/>
      <c r="AN294" s="140"/>
      <c r="AO294" s="140"/>
      <c r="AP294" s="140"/>
      <c r="AQ294" s="140"/>
      <c r="AR294" s="140"/>
      <c r="AS294" s="140"/>
      <c r="AT294" s="140"/>
      <c r="AU294" s="140"/>
      <c r="AV294" s="140"/>
      <c r="AW294" s="140"/>
      <c r="AX294" s="140"/>
      <c r="AY294" s="140"/>
      <c r="AZ294" s="140"/>
      <c r="BA294" s="140"/>
      <c r="BB294" s="140"/>
      <c r="BC294" s="140"/>
      <c r="BD294" s="140"/>
      <c r="BE294" s="140"/>
      <c r="BF294" s="140"/>
      <c r="BG294" s="140"/>
      <c r="BH294" s="140"/>
      <c r="BI294" s="140"/>
      <c r="BJ294" s="140"/>
      <c r="BK294" s="140"/>
      <c r="BL294" s="140"/>
      <c r="BM294" s="140"/>
      <c r="BN294" s="140"/>
      <c r="BO294" s="140"/>
      <c r="BP294" s="140"/>
      <c r="BQ294" s="140"/>
      <c r="BR294" s="140"/>
      <c r="BS294" s="140"/>
      <c r="BT294" s="140"/>
      <c r="BU294" s="140"/>
      <c r="BV294" s="140"/>
      <c r="BW294" s="140"/>
      <c r="BX294" s="140"/>
      <c r="BY294" s="140"/>
      <c r="BZ294" s="140"/>
      <c r="CA294" s="140"/>
      <c r="CB294" s="140"/>
      <c r="CC294" s="140"/>
      <c r="CD294" s="140"/>
      <c r="CE294" s="140"/>
      <c r="CF294" s="140"/>
      <c r="CG294" s="140"/>
      <c r="CH294" s="140"/>
      <c r="CI294" s="140"/>
      <c r="CJ294" s="140"/>
      <c r="CK294" s="140"/>
      <c r="CL294" s="140"/>
      <c r="CM294" s="140"/>
      <c r="CN294" s="140"/>
      <c r="CO294" s="140"/>
      <c r="CP294" s="140"/>
      <c r="CQ294" s="140"/>
      <c r="CR294" s="140"/>
      <c r="CS294" s="140"/>
      <c r="CT294" s="140"/>
      <c r="CU294" s="140"/>
      <c r="CV294" s="140"/>
      <c r="CW294" s="140"/>
      <c r="CX294" s="140"/>
      <c r="CY294" s="140"/>
      <c r="CZ294" s="140"/>
      <c r="DA294" s="140"/>
      <c r="DB294" s="140"/>
      <c r="DC294" s="140"/>
      <c r="DD294" s="140"/>
      <c r="DE294" s="140"/>
    </row>
    <row r="295" spans="1:109" s="139" customForma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3"/>
      <c r="U295" s="143"/>
      <c r="V295" s="143"/>
      <c r="W295" s="143"/>
      <c r="X295" s="143"/>
      <c r="Y295" s="143"/>
      <c r="Z295" s="143"/>
      <c r="AA295" s="143"/>
      <c r="AC295" s="140"/>
      <c r="AD295" s="140"/>
      <c r="AE295" s="140"/>
      <c r="AF295" s="140"/>
      <c r="AG295" s="140"/>
      <c r="AH295" s="141"/>
      <c r="AI295" s="143"/>
      <c r="AJ295" s="140"/>
      <c r="AK295" s="140"/>
      <c r="AL295" s="140"/>
      <c r="AM295" s="140"/>
      <c r="AN295" s="140"/>
      <c r="AO295" s="140"/>
      <c r="AP295" s="140"/>
      <c r="AQ295" s="140"/>
      <c r="AR295" s="140"/>
      <c r="AS295" s="140"/>
      <c r="AT295" s="140"/>
      <c r="AU295" s="140"/>
      <c r="AV295" s="140"/>
      <c r="AW295" s="140"/>
      <c r="AX295" s="140"/>
      <c r="AY295" s="140"/>
      <c r="AZ295" s="140"/>
      <c r="BA295" s="140"/>
      <c r="BB295" s="140"/>
      <c r="BC295" s="140"/>
      <c r="BD295" s="140"/>
      <c r="BE295" s="140"/>
      <c r="BF295" s="140"/>
      <c r="BG295" s="140"/>
      <c r="BH295" s="140"/>
      <c r="BI295" s="140"/>
      <c r="BJ295" s="140"/>
      <c r="BK295" s="140"/>
      <c r="BL295" s="140"/>
      <c r="BM295" s="140"/>
      <c r="BN295" s="140"/>
      <c r="BO295" s="140"/>
      <c r="BP295" s="140"/>
      <c r="BQ295" s="140"/>
      <c r="BR295" s="140"/>
      <c r="BS295" s="140"/>
      <c r="BT295" s="140"/>
      <c r="BU295" s="140"/>
      <c r="BV295" s="140"/>
      <c r="BW295" s="140"/>
      <c r="BX295" s="140"/>
      <c r="BY295" s="140"/>
      <c r="BZ295" s="140"/>
      <c r="CA295" s="140"/>
      <c r="CB295" s="140"/>
      <c r="CC295" s="140"/>
      <c r="CD295" s="140"/>
      <c r="CE295" s="140"/>
      <c r="CF295" s="140"/>
      <c r="CG295" s="140"/>
      <c r="CH295" s="140"/>
      <c r="CI295" s="140"/>
      <c r="CJ295" s="140"/>
      <c r="CK295" s="140"/>
      <c r="CL295" s="140"/>
      <c r="CM295" s="140"/>
      <c r="CN295" s="140"/>
      <c r="CO295" s="140"/>
      <c r="CP295" s="140"/>
      <c r="CQ295" s="140"/>
      <c r="CR295" s="140"/>
      <c r="CS295" s="140"/>
      <c r="CT295" s="140"/>
      <c r="CU295" s="140"/>
      <c r="CV295" s="140"/>
      <c r="CW295" s="140"/>
      <c r="CX295" s="140"/>
      <c r="CY295" s="140"/>
      <c r="CZ295" s="140"/>
      <c r="DA295" s="140"/>
      <c r="DB295" s="140"/>
      <c r="DC295" s="140"/>
      <c r="DD295" s="140"/>
      <c r="DE295" s="140"/>
    </row>
    <row r="296" spans="1:109" s="139" customForma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3"/>
      <c r="U296" s="143"/>
      <c r="V296" s="143"/>
      <c r="W296" s="143"/>
      <c r="X296" s="143"/>
      <c r="Y296" s="143"/>
      <c r="Z296" s="143"/>
      <c r="AA296" s="143"/>
      <c r="AC296" s="140"/>
      <c r="AD296" s="140"/>
      <c r="AE296" s="140"/>
      <c r="AF296" s="140"/>
      <c r="AG296" s="140"/>
      <c r="AH296" s="141"/>
      <c r="AI296" s="143"/>
      <c r="AJ296" s="140"/>
      <c r="AK296" s="140"/>
      <c r="AL296" s="140"/>
      <c r="AM296" s="140"/>
      <c r="AN296" s="140"/>
      <c r="AO296" s="140"/>
      <c r="AP296" s="140"/>
      <c r="AQ296" s="140"/>
      <c r="AR296" s="140"/>
      <c r="AS296" s="140"/>
      <c r="AT296" s="140"/>
      <c r="AU296" s="140"/>
      <c r="AV296" s="140"/>
      <c r="AW296" s="140"/>
      <c r="AX296" s="140"/>
      <c r="AY296" s="140"/>
      <c r="AZ296" s="140"/>
      <c r="BA296" s="140"/>
      <c r="BB296" s="140"/>
      <c r="BC296" s="140"/>
      <c r="BD296" s="140"/>
      <c r="BE296" s="140"/>
      <c r="BF296" s="140"/>
      <c r="BG296" s="140"/>
      <c r="BH296" s="140"/>
      <c r="BI296" s="140"/>
      <c r="BJ296" s="140"/>
      <c r="BK296" s="140"/>
      <c r="BL296" s="140"/>
      <c r="BM296" s="140"/>
      <c r="BN296" s="140"/>
      <c r="BO296" s="140"/>
      <c r="BP296" s="140"/>
      <c r="BQ296" s="140"/>
      <c r="BR296" s="140"/>
      <c r="BS296" s="140"/>
      <c r="BT296" s="140"/>
      <c r="BU296" s="140"/>
      <c r="BV296" s="140"/>
      <c r="BW296" s="140"/>
      <c r="BX296" s="140"/>
      <c r="BY296" s="140"/>
      <c r="BZ296" s="140"/>
      <c r="CA296" s="140"/>
      <c r="CB296" s="140"/>
      <c r="CC296" s="140"/>
      <c r="CD296" s="140"/>
      <c r="CE296" s="140"/>
      <c r="CF296" s="140"/>
      <c r="CG296" s="140"/>
      <c r="CH296" s="140"/>
      <c r="CI296" s="140"/>
      <c r="CJ296" s="140"/>
      <c r="CK296" s="140"/>
      <c r="CL296" s="140"/>
      <c r="CM296" s="140"/>
      <c r="CN296" s="140"/>
      <c r="CO296" s="140"/>
      <c r="CP296" s="140"/>
      <c r="CQ296" s="140"/>
      <c r="CR296" s="140"/>
      <c r="CS296" s="140"/>
      <c r="CT296" s="140"/>
      <c r="CU296" s="140"/>
      <c r="CV296" s="140"/>
      <c r="CW296" s="140"/>
      <c r="CX296" s="140"/>
      <c r="CY296" s="140"/>
      <c r="CZ296" s="140"/>
      <c r="DA296" s="140"/>
      <c r="DB296" s="140"/>
      <c r="DC296" s="140"/>
      <c r="DD296" s="140"/>
      <c r="DE296" s="140"/>
    </row>
    <row r="297" spans="1:109" s="139" customForma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3"/>
      <c r="U297" s="143"/>
      <c r="V297" s="143"/>
      <c r="W297" s="143"/>
      <c r="X297" s="143"/>
      <c r="Y297" s="143"/>
      <c r="Z297" s="143"/>
      <c r="AA297" s="143"/>
      <c r="AC297" s="140"/>
      <c r="AD297" s="140"/>
      <c r="AE297" s="140"/>
      <c r="AF297" s="140"/>
      <c r="AG297" s="140"/>
      <c r="AH297" s="141"/>
      <c r="AI297" s="143"/>
      <c r="AJ297" s="140"/>
      <c r="AK297" s="140"/>
      <c r="AL297" s="140"/>
      <c r="AM297" s="140"/>
      <c r="AN297" s="140"/>
      <c r="AO297" s="140"/>
      <c r="AP297" s="140"/>
      <c r="AQ297" s="140"/>
      <c r="AR297" s="140"/>
      <c r="AS297" s="140"/>
      <c r="AT297" s="140"/>
      <c r="AU297" s="140"/>
      <c r="AV297" s="140"/>
      <c r="AW297" s="140"/>
      <c r="AX297" s="140"/>
      <c r="AY297" s="140"/>
      <c r="AZ297" s="140"/>
      <c r="BA297" s="140"/>
      <c r="BB297" s="140"/>
      <c r="BC297" s="140"/>
      <c r="BD297" s="140"/>
      <c r="BE297" s="140"/>
      <c r="BF297" s="140"/>
      <c r="BG297" s="140"/>
      <c r="BH297" s="140"/>
      <c r="BI297" s="140"/>
      <c r="BJ297" s="140"/>
      <c r="BK297" s="140"/>
      <c r="BL297" s="140"/>
      <c r="BM297" s="140"/>
      <c r="BN297" s="140"/>
      <c r="BO297" s="140"/>
      <c r="BP297" s="140"/>
      <c r="BQ297" s="140"/>
      <c r="BR297" s="140"/>
      <c r="BS297" s="140"/>
      <c r="BT297" s="140"/>
      <c r="BU297" s="140"/>
      <c r="BV297" s="140"/>
      <c r="BW297" s="140"/>
      <c r="BX297" s="140"/>
      <c r="BY297" s="140"/>
      <c r="BZ297" s="140"/>
      <c r="CA297" s="140"/>
      <c r="CB297" s="140"/>
      <c r="CC297" s="140"/>
      <c r="CD297" s="140"/>
      <c r="CE297" s="140"/>
      <c r="CF297" s="140"/>
      <c r="CG297" s="140"/>
      <c r="CH297" s="140"/>
      <c r="CI297" s="140"/>
      <c r="CJ297" s="140"/>
      <c r="CK297" s="140"/>
      <c r="CL297" s="140"/>
      <c r="CM297" s="140"/>
      <c r="CN297" s="140"/>
      <c r="CO297" s="140"/>
      <c r="CP297" s="140"/>
      <c r="CQ297" s="140"/>
      <c r="CR297" s="140"/>
      <c r="CS297" s="140"/>
      <c r="CT297" s="140"/>
      <c r="CU297" s="140"/>
      <c r="CV297" s="140"/>
      <c r="CW297" s="140"/>
      <c r="CX297" s="140"/>
      <c r="CY297" s="140"/>
      <c r="CZ297" s="140"/>
      <c r="DA297" s="140"/>
      <c r="DB297" s="140"/>
      <c r="DC297" s="140"/>
      <c r="DD297" s="140"/>
      <c r="DE297" s="140"/>
    </row>
    <row r="298" spans="1:109" s="139" customForma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3"/>
      <c r="U298" s="143"/>
      <c r="V298" s="143"/>
      <c r="W298" s="143"/>
      <c r="X298" s="143"/>
      <c r="Y298" s="143"/>
      <c r="Z298" s="143"/>
      <c r="AA298" s="143"/>
      <c r="AC298" s="140"/>
      <c r="AD298" s="140"/>
      <c r="AE298" s="140"/>
      <c r="AF298" s="140"/>
      <c r="AG298" s="140"/>
      <c r="AH298" s="141"/>
      <c r="AI298" s="143"/>
      <c r="AJ298" s="140"/>
      <c r="AK298" s="140"/>
      <c r="AL298" s="140"/>
      <c r="AM298" s="140"/>
      <c r="AN298" s="140"/>
      <c r="AO298" s="140"/>
      <c r="AP298" s="140"/>
      <c r="AQ298" s="140"/>
      <c r="AR298" s="140"/>
      <c r="AS298" s="140"/>
      <c r="AT298" s="140"/>
      <c r="AU298" s="140"/>
      <c r="AV298" s="140"/>
      <c r="AW298" s="140"/>
      <c r="AX298" s="140"/>
      <c r="AY298" s="140"/>
      <c r="AZ298" s="140"/>
      <c r="BA298" s="140"/>
      <c r="BB298" s="140"/>
      <c r="BC298" s="140"/>
      <c r="BD298" s="140"/>
      <c r="BE298" s="140"/>
      <c r="BF298" s="140"/>
      <c r="BG298" s="140"/>
      <c r="BH298" s="140"/>
      <c r="BI298" s="140"/>
      <c r="BJ298" s="140"/>
      <c r="BK298" s="140"/>
      <c r="BL298" s="140"/>
      <c r="BM298" s="140"/>
      <c r="BN298" s="140"/>
      <c r="BO298" s="140"/>
      <c r="BP298" s="140"/>
      <c r="BQ298" s="140"/>
      <c r="BR298" s="140"/>
      <c r="BS298" s="140"/>
      <c r="BT298" s="140"/>
      <c r="BU298" s="140"/>
      <c r="BV298" s="140"/>
      <c r="BW298" s="140"/>
      <c r="BX298" s="140"/>
      <c r="BY298" s="140"/>
      <c r="BZ298" s="140"/>
      <c r="CA298" s="140"/>
      <c r="CB298" s="140"/>
      <c r="CC298" s="140"/>
      <c r="CD298" s="140"/>
      <c r="CE298" s="140"/>
      <c r="CF298" s="140"/>
      <c r="CG298" s="140"/>
      <c r="CH298" s="140"/>
      <c r="CI298" s="140"/>
      <c r="CJ298" s="140"/>
      <c r="CK298" s="140"/>
      <c r="CL298" s="140"/>
      <c r="CM298" s="140"/>
      <c r="CN298" s="140"/>
      <c r="CO298" s="140"/>
      <c r="CP298" s="140"/>
      <c r="CQ298" s="140"/>
      <c r="CR298" s="140"/>
      <c r="CS298" s="140"/>
      <c r="CT298" s="140"/>
      <c r="CU298" s="140"/>
      <c r="CV298" s="140"/>
      <c r="CW298" s="140"/>
      <c r="CX298" s="140"/>
      <c r="CY298" s="140"/>
      <c r="CZ298" s="140"/>
      <c r="DA298" s="140"/>
      <c r="DB298" s="140"/>
      <c r="DC298" s="140"/>
      <c r="DD298" s="140"/>
      <c r="DE298" s="140"/>
    </row>
    <row r="299" spans="1:109" s="139" customForma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3"/>
      <c r="U299" s="143"/>
      <c r="V299" s="143"/>
      <c r="W299" s="143"/>
      <c r="X299" s="143"/>
      <c r="Y299" s="143"/>
      <c r="Z299" s="143"/>
      <c r="AA299" s="143"/>
      <c r="AC299" s="140"/>
      <c r="AD299" s="140"/>
      <c r="AE299" s="140"/>
      <c r="AF299" s="140"/>
      <c r="AG299" s="140"/>
      <c r="AH299" s="141"/>
      <c r="AI299" s="143"/>
      <c r="AJ299" s="140"/>
      <c r="AK299" s="140"/>
      <c r="AL299" s="140"/>
      <c r="AM299" s="140"/>
      <c r="AN299" s="140"/>
      <c r="AO299" s="140"/>
      <c r="AP299" s="140"/>
      <c r="AQ299" s="140"/>
      <c r="AR299" s="140"/>
      <c r="AS299" s="140"/>
      <c r="AT299" s="140"/>
      <c r="AU299" s="140"/>
      <c r="AV299" s="140"/>
      <c r="AW299" s="140"/>
      <c r="AX299" s="140"/>
      <c r="AY299" s="140"/>
      <c r="AZ299" s="140"/>
      <c r="BA299" s="140"/>
      <c r="BB299" s="140"/>
      <c r="BC299" s="140"/>
      <c r="BD299" s="140"/>
      <c r="BE299" s="140"/>
      <c r="BF299" s="140"/>
      <c r="BG299" s="140"/>
      <c r="BH299" s="140"/>
      <c r="BI299" s="140"/>
      <c r="BJ299" s="140"/>
      <c r="BK299" s="140"/>
      <c r="BL299" s="140"/>
      <c r="BM299" s="140"/>
      <c r="BN299" s="140"/>
      <c r="BO299" s="140"/>
      <c r="BP299" s="140"/>
      <c r="BQ299" s="140"/>
      <c r="BR299" s="140"/>
      <c r="BS299" s="140"/>
      <c r="BT299" s="140"/>
      <c r="BU299" s="140"/>
      <c r="BV299" s="140"/>
      <c r="BW299" s="140"/>
      <c r="BX299" s="140"/>
      <c r="BY299" s="140"/>
      <c r="BZ299" s="140"/>
      <c r="CA299" s="140"/>
      <c r="CB299" s="140"/>
      <c r="CC299" s="140"/>
      <c r="CD299" s="140"/>
      <c r="CE299" s="140"/>
      <c r="CF299" s="140"/>
      <c r="CG299" s="140"/>
      <c r="CH299" s="140"/>
      <c r="CI299" s="140"/>
      <c r="CJ299" s="140"/>
      <c r="CK299" s="140"/>
      <c r="CL299" s="140"/>
      <c r="CM299" s="140"/>
      <c r="CN299" s="140"/>
      <c r="CO299" s="140"/>
      <c r="CP299" s="140"/>
      <c r="CQ299" s="140"/>
      <c r="CR299" s="140"/>
      <c r="CS299" s="140"/>
      <c r="CT299" s="140"/>
      <c r="CU299" s="140"/>
      <c r="CV299" s="140"/>
      <c r="CW299" s="140"/>
      <c r="CX299" s="140"/>
      <c r="CY299" s="140"/>
      <c r="CZ299" s="140"/>
      <c r="DA299" s="140"/>
      <c r="DB299" s="140"/>
      <c r="DC299" s="140"/>
      <c r="DD299" s="140"/>
      <c r="DE299" s="140"/>
    </row>
    <row r="300" spans="1:109" s="139" customForma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3"/>
      <c r="U300" s="143"/>
      <c r="V300" s="143"/>
      <c r="W300" s="143"/>
      <c r="X300" s="143"/>
      <c r="Y300" s="143"/>
      <c r="Z300" s="143"/>
      <c r="AA300" s="143"/>
      <c r="AC300" s="140"/>
      <c r="AD300" s="140"/>
      <c r="AE300" s="140"/>
      <c r="AF300" s="140"/>
      <c r="AG300" s="140"/>
      <c r="AH300" s="141"/>
      <c r="AI300" s="143"/>
      <c r="AJ300" s="140"/>
      <c r="AK300" s="140"/>
      <c r="AL300" s="140"/>
      <c r="AM300" s="140"/>
      <c r="AN300" s="140"/>
      <c r="AO300" s="140"/>
      <c r="AP300" s="140"/>
      <c r="AQ300" s="140"/>
      <c r="AR300" s="140"/>
      <c r="AS300" s="140"/>
      <c r="AT300" s="140"/>
      <c r="AU300" s="140"/>
      <c r="AV300" s="140"/>
      <c r="AW300" s="140"/>
      <c r="AX300" s="140"/>
      <c r="AY300" s="140"/>
      <c r="AZ300" s="140"/>
      <c r="BA300" s="140"/>
      <c r="BB300" s="140"/>
      <c r="BC300" s="140"/>
      <c r="BD300" s="140"/>
      <c r="BE300" s="140"/>
      <c r="BF300" s="140"/>
      <c r="BG300" s="140"/>
      <c r="BH300" s="140"/>
      <c r="BI300" s="140"/>
      <c r="BJ300" s="140"/>
      <c r="BK300" s="140"/>
      <c r="BL300" s="140"/>
      <c r="BM300" s="140"/>
      <c r="BN300" s="140"/>
      <c r="BO300" s="140"/>
      <c r="BP300" s="140"/>
      <c r="BQ300" s="140"/>
      <c r="BR300" s="140"/>
      <c r="BS300" s="140"/>
      <c r="BT300" s="140"/>
      <c r="BU300" s="140"/>
      <c r="BV300" s="140"/>
      <c r="BW300" s="140"/>
      <c r="BX300" s="140"/>
      <c r="BY300" s="140"/>
      <c r="BZ300" s="140"/>
      <c r="CA300" s="140"/>
      <c r="CB300" s="140"/>
      <c r="CC300" s="140"/>
      <c r="CD300" s="140"/>
      <c r="CE300" s="140"/>
      <c r="CF300" s="140"/>
      <c r="CG300" s="140"/>
      <c r="CH300" s="140"/>
      <c r="CI300" s="140"/>
      <c r="CJ300" s="140"/>
      <c r="CK300" s="140"/>
      <c r="CL300" s="140"/>
      <c r="CM300" s="140"/>
      <c r="CN300" s="140"/>
      <c r="CO300" s="140"/>
      <c r="CP300" s="140"/>
      <c r="CQ300" s="140"/>
      <c r="CR300" s="140"/>
      <c r="CS300" s="140"/>
      <c r="CT300" s="140"/>
      <c r="CU300" s="140"/>
      <c r="CV300" s="140"/>
      <c r="CW300" s="140"/>
      <c r="CX300" s="140"/>
      <c r="CY300" s="140"/>
      <c r="CZ300" s="140"/>
      <c r="DA300" s="140"/>
      <c r="DB300" s="140"/>
      <c r="DC300" s="140"/>
      <c r="DD300" s="140"/>
      <c r="DE300" s="140"/>
    </row>
    <row r="301" spans="1:109" s="139" customForma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3"/>
      <c r="U301" s="143"/>
      <c r="V301" s="143"/>
      <c r="W301" s="143"/>
      <c r="X301" s="143"/>
      <c r="Y301" s="143"/>
      <c r="Z301" s="143"/>
      <c r="AA301" s="143"/>
      <c r="AC301" s="140"/>
      <c r="AD301" s="140"/>
      <c r="AE301" s="140"/>
      <c r="AF301" s="140"/>
      <c r="AG301" s="140"/>
      <c r="AH301" s="141"/>
      <c r="AI301" s="143"/>
      <c r="AJ301" s="140"/>
      <c r="AK301" s="140"/>
      <c r="AL301" s="140"/>
      <c r="AM301" s="140"/>
      <c r="AN301" s="140"/>
      <c r="AO301" s="140"/>
      <c r="AP301" s="140"/>
      <c r="AQ301" s="140"/>
      <c r="AR301" s="140"/>
      <c r="AS301" s="140"/>
      <c r="AT301" s="140"/>
      <c r="AU301" s="140"/>
      <c r="AV301" s="140"/>
      <c r="AW301" s="140"/>
      <c r="AX301" s="140"/>
      <c r="AY301" s="140"/>
      <c r="AZ301" s="140"/>
      <c r="BA301" s="140"/>
      <c r="BB301" s="140"/>
      <c r="BC301" s="140"/>
      <c r="BD301" s="140"/>
      <c r="BE301" s="140"/>
      <c r="BF301" s="140"/>
      <c r="BG301" s="140"/>
      <c r="BH301" s="140"/>
      <c r="BI301" s="140"/>
      <c r="BJ301" s="140"/>
      <c r="BK301" s="140"/>
      <c r="BL301" s="140"/>
      <c r="BM301" s="140"/>
      <c r="BN301" s="140"/>
      <c r="BO301" s="140"/>
      <c r="BP301" s="140"/>
      <c r="BQ301" s="140"/>
      <c r="BR301" s="140"/>
      <c r="BS301" s="140"/>
      <c r="BT301" s="140"/>
      <c r="BU301" s="140"/>
      <c r="BV301" s="140"/>
      <c r="BW301" s="140"/>
      <c r="BX301" s="140"/>
      <c r="BY301" s="140"/>
      <c r="BZ301" s="140"/>
      <c r="CA301" s="140"/>
      <c r="CB301" s="140"/>
      <c r="CC301" s="140"/>
      <c r="CD301" s="140"/>
      <c r="CE301" s="140"/>
      <c r="CF301" s="140"/>
      <c r="CG301" s="140"/>
      <c r="CH301" s="140"/>
      <c r="CI301" s="140"/>
      <c r="CJ301" s="140"/>
      <c r="CK301" s="140"/>
      <c r="CL301" s="140"/>
      <c r="CM301" s="140"/>
      <c r="CN301" s="140"/>
      <c r="CO301" s="140"/>
      <c r="CP301" s="140"/>
      <c r="CQ301" s="140"/>
      <c r="CR301" s="140"/>
      <c r="CS301" s="140"/>
      <c r="CT301" s="140"/>
      <c r="CU301" s="140"/>
      <c r="CV301" s="140"/>
      <c r="CW301" s="140"/>
      <c r="CX301" s="140"/>
      <c r="CY301" s="140"/>
      <c r="CZ301" s="140"/>
      <c r="DA301" s="140"/>
      <c r="DB301" s="140"/>
      <c r="DC301" s="140"/>
      <c r="DD301" s="140"/>
      <c r="DE301" s="140"/>
    </row>
    <row r="302" spans="1:109" s="139" customForma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3"/>
      <c r="U302" s="143"/>
      <c r="V302" s="143"/>
      <c r="W302" s="143"/>
      <c r="X302" s="143"/>
      <c r="Y302" s="143"/>
      <c r="Z302" s="143"/>
      <c r="AA302" s="143"/>
      <c r="AC302" s="140"/>
      <c r="AD302" s="140"/>
      <c r="AE302" s="140"/>
      <c r="AF302" s="140"/>
      <c r="AG302" s="140"/>
      <c r="AH302" s="141"/>
      <c r="AI302" s="143"/>
      <c r="AJ302" s="140"/>
      <c r="AK302" s="140"/>
      <c r="AL302" s="140"/>
      <c r="AM302" s="140"/>
      <c r="AN302" s="140"/>
      <c r="AO302" s="140"/>
      <c r="AP302" s="140"/>
      <c r="AQ302" s="140"/>
      <c r="AR302" s="140"/>
      <c r="AS302" s="140"/>
      <c r="AT302" s="140"/>
      <c r="AU302" s="140"/>
      <c r="AV302" s="140"/>
      <c r="AW302" s="140"/>
      <c r="AX302" s="140"/>
      <c r="AY302" s="140"/>
      <c r="AZ302" s="140"/>
      <c r="BA302" s="140"/>
      <c r="BB302" s="140"/>
      <c r="BC302" s="140"/>
      <c r="BD302" s="140"/>
      <c r="BE302" s="140"/>
      <c r="BF302" s="140"/>
      <c r="BG302" s="140"/>
      <c r="BH302" s="140"/>
      <c r="BI302" s="140"/>
      <c r="BJ302" s="140"/>
      <c r="BK302" s="140"/>
      <c r="BL302" s="140"/>
      <c r="BM302" s="140"/>
      <c r="BN302" s="140"/>
      <c r="BO302" s="140"/>
      <c r="BP302" s="140"/>
      <c r="BQ302" s="140"/>
      <c r="BR302" s="140"/>
      <c r="BS302" s="140"/>
      <c r="BT302" s="140"/>
      <c r="BU302" s="140"/>
      <c r="BV302" s="140"/>
      <c r="BW302" s="140"/>
      <c r="BX302" s="140"/>
      <c r="BY302" s="140"/>
      <c r="BZ302" s="140"/>
      <c r="CA302" s="140"/>
      <c r="CB302" s="140"/>
      <c r="CC302" s="140"/>
      <c r="CD302" s="140"/>
      <c r="CE302" s="140"/>
      <c r="CF302" s="140"/>
      <c r="CG302" s="140"/>
      <c r="CH302" s="140"/>
      <c r="CI302" s="140"/>
      <c r="CJ302" s="140"/>
      <c r="CK302" s="140"/>
      <c r="CL302" s="140"/>
      <c r="CM302" s="140"/>
      <c r="CN302" s="140"/>
      <c r="CO302" s="140"/>
      <c r="CP302" s="140"/>
      <c r="CQ302" s="140"/>
      <c r="CR302" s="140"/>
      <c r="CS302" s="140"/>
      <c r="CT302" s="140"/>
      <c r="CU302" s="140"/>
      <c r="CV302" s="140"/>
      <c r="CW302" s="140"/>
      <c r="CX302" s="140"/>
      <c r="CY302" s="140"/>
      <c r="CZ302" s="140"/>
      <c r="DA302" s="140"/>
      <c r="DB302" s="140"/>
      <c r="DC302" s="140"/>
      <c r="DD302" s="140"/>
      <c r="DE302" s="140"/>
    </row>
    <row r="303" spans="1:109" s="139" customForma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3"/>
      <c r="U303" s="143"/>
      <c r="V303" s="143"/>
      <c r="W303" s="143"/>
      <c r="X303" s="143"/>
      <c r="Y303" s="143"/>
      <c r="Z303" s="143"/>
      <c r="AA303" s="143"/>
      <c r="AC303" s="140"/>
      <c r="AD303" s="140"/>
      <c r="AE303" s="140"/>
      <c r="AF303" s="140"/>
      <c r="AG303" s="140"/>
      <c r="AH303" s="141"/>
      <c r="AI303" s="143"/>
      <c r="AJ303" s="140"/>
      <c r="AK303" s="140"/>
      <c r="AL303" s="140"/>
      <c r="AM303" s="140"/>
      <c r="AN303" s="140"/>
      <c r="AO303" s="140"/>
      <c r="AP303" s="140"/>
      <c r="AQ303" s="140"/>
      <c r="AR303" s="140"/>
      <c r="AS303" s="140"/>
      <c r="AT303" s="140"/>
      <c r="AU303" s="140"/>
      <c r="AV303" s="140"/>
      <c r="AW303" s="140"/>
      <c r="AX303" s="140"/>
      <c r="AY303" s="140"/>
      <c r="AZ303" s="140"/>
      <c r="BA303" s="140"/>
      <c r="BB303" s="140"/>
      <c r="BC303" s="140"/>
      <c r="BD303" s="140"/>
      <c r="BE303" s="140"/>
      <c r="BF303" s="140"/>
      <c r="BG303" s="140"/>
      <c r="BH303" s="140"/>
      <c r="BI303" s="140"/>
      <c r="BJ303" s="140"/>
      <c r="BK303" s="140"/>
      <c r="BL303" s="140"/>
      <c r="BM303" s="140"/>
      <c r="BN303" s="140"/>
      <c r="BO303" s="140"/>
      <c r="BP303" s="140"/>
      <c r="BQ303" s="140"/>
      <c r="BR303" s="140"/>
      <c r="BS303" s="140"/>
      <c r="BT303" s="140"/>
      <c r="BU303" s="140"/>
      <c r="BV303" s="140"/>
      <c r="BW303" s="140"/>
      <c r="BX303" s="140"/>
      <c r="BY303" s="140"/>
      <c r="BZ303" s="140"/>
      <c r="CA303" s="140"/>
      <c r="CB303" s="140"/>
      <c r="CC303" s="140"/>
      <c r="CD303" s="140"/>
      <c r="CE303" s="140"/>
      <c r="CF303" s="140"/>
      <c r="CG303" s="140"/>
      <c r="CH303" s="140"/>
      <c r="CI303" s="140"/>
      <c r="CJ303" s="140"/>
      <c r="CK303" s="140"/>
      <c r="CL303" s="140"/>
      <c r="CM303" s="140"/>
      <c r="CN303" s="140"/>
      <c r="CO303" s="140"/>
      <c r="CP303" s="140"/>
      <c r="CQ303" s="140"/>
      <c r="CR303" s="140"/>
      <c r="CS303" s="140"/>
      <c r="CT303" s="140"/>
      <c r="CU303" s="140"/>
      <c r="CV303" s="140"/>
      <c r="CW303" s="140"/>
      <c r="CX303" s="140"/>
      <c r="CY303" s="140"/>
      <c r="CZ303" s="140"/>
      <c r="DA303" s="140"/>
      <c r="DB303" s="140"/>
      <c r="DC303" s="140"/>
      <c r="DD303" s="140"/>
      <c r="DE303" s="140"/>
    </row>
    <row r="304" spans="1:109" s="139" customForma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3"/>
      <c r="U304" s="143"/>
      <c r="V304" s="143"/>
      <c r="W304" s="143"/>
      <c r="X304" s="143"/>
      <c r="Y304" s="143"/>
      <c r="Z304" s="143"/>
      <c r="AA304" s="143"/>
      <c r="AC304" s="140"/>
      <c r="AD304" s="140"/>
      <c r="AE304" s="140"/>
      <c r="AF304" s="140"/>
      <c r="AG304" s="140"/>
      <c r="AH304" s="141"/>
      <c r="AI304" s="143"/>
      <c r="AJ304" s="140"/>
      <c r="AK304" s="140"/>
      <c r="AL304" s="140"/>
      <c r="AM304" s="140"/>
      <c r="AN304" s="140"/>
      <c r="AO304" s="140"/>
      <c r="AP304" s="140"/>
      <c r="AQ304" s="140"/>
      <c r="AR304" s="140"/>
      <c r="AS304" s="140"/>
      <c r="AT304" s="140"/>
      <c r="AU304" s="140"/>
      <c r="AV304" s="140"/>
      <c r="AW304" s="140"/>
      <c r="AX304" s="140"/>
      <c r="AY304" s="140"/>
      <c r="AZ304" s="140"/>
      <c r="BA304" s="140"/>
      <c r="BB304" s="140"/>
      <c r="BC304" s="140"/>
      <c r="BD304" s="140"/>
      <c r="BE304" s="140"/>
      <c r="BF304" s="140"/>
      <c r="BG304" s="140"/>
      <c r="BH304" s="140"/>
      <c r="BI304" s="140"/>
      <c r="BJ304" s="140"/>
      <c r="BK304" s="140"/>
      <c r="BL304" s="140"/>
      <c r="BM304" s="140"/>
      <c r="BN304" s="140"/>
      <c r="BO304" s="140"/>
      <c r="BP304" s="140"/>
      <c r="BQ304" s="140"/>
      <c r="BR304" s="140"/>
      <c r="BS304" s="140"/>
      <c r="BT304" s="140"/>
      <c r="BU304" s="140"/>
      <c r="BV304" s="140"/>
      <c r="BW304" s="140"/>
      <c r="BX304" s="140"/>
      <c r="BY304" s="140"/>
      <c r="BZ304" s="140"/>
      <c r="CA304" s="140"/>
      <c r="CB304" s="140"/>
      <c r="CC304" s="140"/>
      <c r="CD304" s="140"/>
      <c r="CE304" s="140"/>
      <c r="CF304" s="140"/>
      <c r="CG304" s="140"/>
      <c r="CH304" s="140"/>
      <c r="CI304" s="140"/>
      <c r="CJ304" s="140"/>
      <c r="CK304" s="140"/>
      <c r="CL304" s="140"/>
      <c r="CM304" s="140"/>
      <c r="CN304" s="140"/>
      <c r="CO304" s="140"/>
      <c r="CP304" s="140"/>
      <c r="CQ304" s="140"/>
      <c r="CR304" s="140"/>
      <c r="CS304" s="140"/>
      <c r="CT304" s="140"/>
      <c r="CU304" s="140"/>
      <c r="CV304" s="140"/>
      <c r="CW304" s="140"/>
      <c r="CX304" s="140"/>
      <c r="CY304" s="140"/>
      <c r="CZ304" s="140"/>
      <c r="DA304" s="140"/>
      <c r="DB304" s="140"/>
      <c r="DC304" s="140"/>
      <c r="DD304" s="140"/>
      <c r="DE304" s="140"/>
    </row>
    <row r="305" spans="1:109" s="139" customForma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3"/>
      <c r="U305" s="143"/>
      <c r="V305" s="143"/>
      <c r="W305" s="143"/>
      <c r="X305" s="143"/>
      <c r="Y305" s="143"/>
      <c r="Z305" s="143"/>
      <c r="AA305" s="143"/>
      <c r="AC305" s="140"/>
      <c r="AD305" s="140"/>
      <c r="AE305" s="140"/>
      <c r="AF305" s="140"/>
      <c r="AG305" s="140"/>
      <c r="AH305" s="141"/>
      <c r="AI305" s="143"/>
      <c r="AJ305" s="140"/>
      <c r="AK305" s="140"/>
      <c r="AL305" s="140"/>
      <c r="AM305" s="140"/>
      <c r="AN305" s="140"/>
      <c r="AO305" s="140"/>
      <c r="AP305" s="140"/>
      <c r="AQ305" s="140"/>
      <c r="AR305" s="140"/>
      <c r="AS305" s="140"/>
      <c r="AT305" s="140"/>
      <c r="AU305" s="140"/>
      <c r="AV305" s="140"/>
      <c r="AW305" s="140"/>
      <c r="AX305" s="140"/>
      <c r="AY305" s="140"/>
      <c r="AZ305" s="140"/>
      <c r="BA305" s="140"/>
      <c r="BB305" s="140"/>
      <c r="BC305" s="140"/>
      <c r="BD305" s="140"/>
      <c r="BE305" s="140"/>
      <c r="BF305" s="140"/>
      <c r="BG305" s="140"/>
      <c r="BH305" s="140"/>
      <c r="BI305" s="140"/>
      <c r="BJ305" s="140"/>
      <c r="BK305" s="140"/>
      <c r="BL305" s="140"/>
      <c r="BM305" s="140"/>
      <c r="BN305" s="140"/>
      <c r="BO305" s="140"/>
      <c r="BP305" s="140"/>
      <c r="BQ305" s="140"/>
      <c r="BR305" s="140"/>
      <c r="BS305" s="140"/>
      <c r="BT305" s="140"/>
      <c r="BU305" s="140"/>
      <c r="BV305" s="140"/>
      <c r="BW305" s="140"/>
      <c r="BX305" s="140"/>
      <c r="BY305" s="140"/>
      <c r="BZ305" s="140"/>
      <c r="CA305" s="140"/>
      <c r="CB305" s="140"/>
      <c r="CC305" s="140"/>
      <c r="CD305" s="140"/>
      <c r="CE305" s="140"/>
      <c r="CF305" s="140"/>
      <c r="CG305" s="140"/>
      <c r="CH305" s="140"/>
      <c r="CI305" s="140"/>
      <c r="CJ305" s="140"/>
      <c r="CK305" s="140"/>
      <c r="CL305" s="140"/>
      <c r="CM305" s="140"/>
      <c r="CN305" s="140"/>
      <c r="CO305" s="140"/>
      <c r="CP305" s="140"/>
      <c r="CQ305" s="140"/>
      <c r="CR305" s="140"/>
      <c r="CS305" s="140"/>
      <c r="CT305" s="140"/>
      <c r="CU305" s="140"/>
      <c r="CV305" s="140"/>
      <c r="CW305" s="140"/>
      <c r="CX305" s="140"/>
      <c r="CY305" s="140"/>
      <c r="CZ305" s="140"/>
      <c r="DA305" s="140"/>
      <c r="DB305" s="140"/>
      <c r="DC305" s="140"/>
      <c r="DD305" s="140"/>
      <c r="DE305" s="140"/>
    </row>
    <row r="306" spans="1:109" s="139" customForma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3"/>
      <c r="U306" s="143"/>
      <c r="V306" s="143"/>
      <c r="W306" s="143"/>
      <c r="X306" s="143"/>
      <c r="Y306" s="143"/>
      <c r="Z306" s="143"/>
      <c r="AA306" s="143"/>
      <c r="AC306" s="140"/>
      <c r="AD306" s="140"/>
      <c r="AE306" s="140"/>
      <c r="AF306" s="140"/>
      <c r="AG306" s="140"/>
      <c r="AH306" s="141"/>
      <c r="AI306" s="143"/>
      <c r="AJ306" s="140"/>
      <c r="AK306" s="140"/>
      <c r="AL306" s="140"/>
      <c r="AM306" s="140"/>
      <c r="AN306" s="140"/>
      <c r="AO306" s="140"/>
      <c r="AP306" s="140"/>
      <c r="AQ306" s="140"/>
      <c r="AR306" s="140"/>
      <c r="AS306" s="140"/>
      <c r="AT306" s="140"/>
      <c r="AU306" s="140"/>
      <c r="AV306" s="140"/>
      <c r="AW306" s="140"/>
      <c r="AX306" s="140"/>
      <c r="AY306" s="140"/>
      <c r="AZ306" s="140"/>
      <c r="BA306" s="140"/>
      <c r="BB306" s="140"/>
      <c r="BC306" s="140"/>
      <c r="BD306" s="140"/>
      <c r="BE306" s="140"/>
      <c r="BF306" s="140"/>
      <c r="BG306" s="140"/>
      <c r="BH306" s="140"/>
      <c r="BI306" s="140"/>
      <c r="BJ306" s="140"/>
      <c r="BK306" s="140"/>
      <c r="BL306" s="140"/>
      <c r="BM306" s="140"/>
      <c r="BN306" s="140"/>
      <c r="BO306" s="140"/>
      <c r="BP306" s="140"/>
      <c r="BQ306" s="140"/>
      <c r="BR306" s="140"/>
      <c r="BS306" s="140"/>
      <c r="BT306" s="140"/>
      <c r="BU306" s="140"/>
      <c r="BV306" s="140"/>
      <c r="BW306" s="140"/>
      <c r="BX306" s="140"/>
      <c r="BY306" s="140"/>
      <c r="BZ306" s="140"/>
      <c r="CA306" s="140"/>
      <c r="CB306" s="140"/>
      <c r="CC306" s="140"/>
      <c r="CD306" s="140"/>
      <c r="CE306" s="140"/>
      <c r="CF306" s="140"/>
      <c r="CG306" s="140"/>
      <c r="CH306" s="140"/>
      <c r="CI306" s="140"/>
      <c r="CJ306" s="140"/>
      <c r="CK306" s="140"/>
      <c r="CL306" s="140"/>
      <c r="CM306" s="140"/>
      <c r="CN306" s="140"/>
      <c r="CO306" s="140"/>
      <c r="CP306" s="140"/>
      <c r="CQ306" s="140"/>
      <c r="CR306" s="140"/>
      <c r="CS306" s="140"/>
      <c r="CT306" s="140"/>
      <c r="CU306" s="140"/>
      <c r="CV306" s="140"/>
      <c r="CW306" s="140"/>
      <c r="CX306" s="140"/>
      <c r="CY306" s="140"/>
      <c r="CZ306" s="140"/>
      <c r="DA306" s="140"/>
      <c r="DB306" s="140"/>
      <c r="DC306" s="140"/>
      <c r="DD306" s="140"/>
      <c r="DE306" s="140"/>
    </row>
    <row r="307" spans="1:109" s="139" customForma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3"/>
      <c r="U307" s="143"/>
      <c r="V307" s="143"/>
      <c r="W307" s="143"/>
      <c r="X307" s="143"/>
      <c r="Y307" s="143"/>
      <c r="Z307" s="143"/>
      <c r="AA307" s="143"/>
      <c r="AC307" s="140"/>
      <c r="AD307" s="140"/>
      <c r="AE307" s="140"/>
      <c r="AF307" s="140"/>
      <c r="AG307" s="140"/>
      <c r="AH307" s="141"/>
      <c r="AI307" s="143"/>
      <c r="AJ307" s="140"/>
      <c r="AK307" s="140"/>
      <c r="AL307" s="140"/>
      <c r="AM307" s="140"/>
      <c r="AN307" s="140"/>
      <c r="AO307" s="140"/>
      <c r="AP307" s="140"/>
      <c r="AQ307" s="140"/>
      <c r="AR307" s="140"/>
      <c r="AS307" s="140"/>
      <c r="AT307" s="140"/>
      <c r="AU307" s="140"/>
      <c r="AV307" s="140"/>
      <c r="AW307" s="140"/>
      <c r="AX307" s="140"/>
      <c r="AY307" s="140"/>
      <c r="AZ307" s="140"/>
      <c r="BA307" s="140"/>
      <c r="BB307" s="140"/>
      <c r="BC307" s="140"/>
      <c r="BD307" s="140"/>
      <c r="BE307" s="140"/>
      <c r="BF307" s="140"/>
      <c r="BG307" s="140"/>
      <c r="BH307" s="140"/>
      <c r="BI307" s="140"/>
      <c r="BJ307" s="140"/>
      <c r="BK307" s="140"/>
      <c r="BL307" s="140"/>
      <c r="BM307" s="140"/>
      <c r="BN307" s="140"/>
      <c r="BO307" s="140"/>
      <c r="BP307" s="140"/>
      <c r="BQ307" s="140"/>
      <c r="BR307" s="140"/>
      <c r="BS307" s="140"/>
      <c r="BT307" s="140"/>
      <c r="BU307" s="140"/>
      <c r="BV307" s="140"/>
      <c r="BW307" s="140"/>
      <c r="BX307" s="140"/>
      <c r="BY307" s="140"/>
      <c r="BZ307" s="140"/>
      <c r="CA307" s="140"/>
      <c r="CB307" s="140"/>
      <c r="CC307" s="140"/>
      <c r="CD307" s="140"/>
      <c r="CE307" s="140"/>
      <c r="CF307" s="140"/>
      <c r="CG307" s="140"/>
      <c r="CH307" s="140"/>
      <c r="CI307" s="140"/>
      <c r="CJ307" s="140"/>
      <c r="CK307" s="140"/>
      <c r="CL307" s="140"/>
      <c r="CM307" s="140"/>
      <c r="CN307" s="140"/>
      <c r="CO307" s="140"/>
      <c r="CP307" s="140"/>
      <c r="CQ307" s="140"/>
      <c r="CR307" s="140"/>
      <c r="CS307" s="140"/>
      <c r="CT307" s="140"/>
      <c r="CU307" s="140"/>
      <c r="CV307" s="140"/>
      <c r="CW307" s="140"/>
      <c r="CX307" s="140"/>
      <c r="CY307" s="140"/>
      <c r="CZ307" s="140"/>
      <c r="DA307" s="140"/>
      <c r="DB307" s="140"/>
      <c r="DC307" s="140"/>
      <c r="DD307" s="140"/>
      <c r="DE307" s="140"/>
    </row>
    <row r="308" spans="1:109" s="139" customForma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3"/>
      <c r="U308" s="143"/>
      <c r="V308" s="143"/>
      <c r="W308" s="143"/>
      <c r="X308" s="143"/>
      <c r="Y308" s="143"/>
      <c r="Z308" s="143"/>
      <c r="AA308" s="143"/>
      <c r="AC308" s="140"/>
      <c r="AD308" s="140"/>
      <c r="AE308" s="140"/>
      <c r="AF308" s="140"/>
      <c r="AG308" s="140"/>
      <c r="AH308" s="141"/>
      <c r="AI308" s="143"/>
      <c r="AJ308" s="140"/>
      <c r="AK308" s="140"/>
      <c r="AL308" s="140"/>
      <c r="AM308" s="140"/>
      <c r="AN308" s="140"/>
      <c r="AO308" s="140"/>
      <c r="AP308" s="140"/>
      <c r="AQ308" s="140"/>
      <c r="AR308" s="140"/>
      <c r="AS308" s="140"/>
      <c r="AT308" s="140"/>
      <c r="AU308" s="140"/>
      <c r="AV308" s="140"/>
      <c r="AW308" s="140"/>
      <c r="AX308" s="140"/>
      <c r="AY308" s="140"/>
      <c r="AZ308" s="140"/>
      <c r="BA308" s="140"/>
      <c r="BB308" s="140"/>
      <c r="BC308" s="140"/>
      <c r="BD308" s="140"/>
      <c r="BE308" s="140"/>
      <c r="BF308" s="140"/>
      <c r="BG308" s="140"/>
      <c r="BH308" s="140"/>
      <c r="BI308" s="140"/>
      <c r="BJ308" s="140"/>
      <c r="BK308" s="140"/>
      <c r="BL308" s="140"/>
      <c r="BM308" s="140"/>
      <c r="BN308" s="140"/>
      <c r="BO308" s="140"/>
      <c r="BP308" s="140"/>
      <c r="BQ308" s="140"/>
      <c r="BR308" s="140"/>
      <c r="BS308" s="140"/>
      <c r="BT308" s="140"/>
      <c r="BU308" s="140"/>
      <c r="BV308" s="140"/>
      <c r="BW308" s="140"/>
      <c r="BX308" s="140"/>
      <c r="BY308" s="140"/>
      <c r="BZ308" s="140"/>
      <c r="CA308" s="140"/>
      <c r="CB308" s="140"/>
      <c r="CC308" s="140"/>
      <c r="CD308" s="140"/>
      <c r="CE308" s="140"/>
      <c r="CF308" s="140"/>
      <c r="CG308" s="140"/>
      <c r="CH308" s="140"/>
      <c r="CI308" s="140"/>
      <c r="CJ308" s="140"/>
      <c r="CK308" s="140"/>
      <c r="CL308" s="140"/>
      <c r="CM308" s="140"/>
      <c r="CN308" s="140"/>
      <c r="CO308" s="140"/>
      <c r="CP308" s="140"/>
      <c r="CQ308" s="140"/>
      <c r="CR308" s="140"/>
      <c r="CS308" s="140"/>
      <c r="CT308" s="140"/>
      <c r="CU308" s="140"/>
      <c r="CV308" s="140"/>
      <c r="CW308" s="140"/>
      <c r="CX308" s="140"/>
      <c r="CY308" s="140"/>
      <c r="CZ308" s="140"/>
      <c r="DA308" s="140"/>
      <c r="DB308" s="140"/>
      <c r="DC308" s="140"/>
      <c r="DD308" s="140"/>
      <c r="DE308" s="140"/>
    </row>
    <row r="309" spans="1:109" s="139" customForma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3"/>
      <c r="U309" s="143"/>
      <c r="V309" s="143"/>
      <c r="W309" s="143"/>
      <c r="X309" s="143"/>
      <c r="Y309" s="143"/>
      <c r="Z309" s="143"/>
      <c r="AA309" s="143"/>
      <c r="AC309" s="140"/>
      <c r="AD309" s="140"/>
      <c r="AE309" s="140"/>
      <c r="AF309" s="140"/>
      <c r="AG309" s="140"/>
      <c r="AH309" s="141"/>
      <c r="AI309" s="143"/>
      <c r="AJ309" s="140"/>
      <c r="AK309" s="140"/>
      <c r="AL309" s="140"/>
      <c r="AM309" s="140"/>
      <c r="AN309" s="140"/>
      <c r="AO309" s="140"/>
      <c r="AP309" s="140"/>
      <c r="AQ309" s="140"/>
      <c r="AR309" s="140"/>
      <c r="AS309" s="140"/>
      <c r="AT309" s="140"/>
      <c r="AU309" s="140"/>
      <c r="AV309" s="140"/>
      <c r="AW309" s="140"/>
      <c r="AX309" s="140"/>
      <c r="AY309" s="140"/>
      <c r="AZ309" s="140"/>
      <c r="BA309" s="140"/>
      <c r="BB309" s="140"/>
      <c r="BC309" s="140"/>
      <c r="BD309" s="140"/>
      <c r="BE309" s="140"/>
      <c r="BF309" s="140"/>
      <c r="BG309" s="140"/>
      <c r="BH309" s="140"/>
      <c r="BI309" s="140"/>
      <c r="BJ309" s="140"/>
      <c r="BK309" s="140"/>
      <c r="BL309" s="140"/>
      <c r="BM309" s="140"/>
      <c r="BN309" s="140"/>
      <c r="BO309" s="140"/>
      <c r="BP309" s="140"/>
      <c r="BQ309" s="140"/>
      <c r="BR309" s="140"/>
      <c r="BS309" s="140"/>
      <c r="BT309" s="140"/>
      <c r="BU309" s="140"/>
      <c r="BV309" s="140"/>
      <c r="BW309" s="140"/>
      <c r="BX309" s="140"/>
      <c r="BY309" s="140"/>
      <c r="BZ309" s="140"/>
      <c r="CA309" s="140"/>
      <c r="CB309" s="140"/>
      <c r="CC309" s="140"/>
      <c r="CD309" s="140"/>
      <c r="CE309" s="140"/>
      <c r="CF309" s="140"/>
      <c r="CG309" s="140"/>
      <c r="CH309" s="140"/>
      <c r="CI309" s="140"/>
      <c r="CJ309" s="140"/>
      <c r="CK309" s="140"/>
      <c r="CL309" s="140"/>
      <c r="CM309" s="140"/>
      <c r="CN309" s="140"/>
      <c r="CO309" s="140"/>
      <c r="CP309" s="140"/>
      <c r="CQ309" s="140"/>
      <c r="CR309" s="140"/>
      <c r="CS309" s="140"/>
      <c r="CT309" s="140"/>
      <c r="CU309" s="140"/>
      <c r="CV309" s="140"/>
      <c r="CW309" s="140"/>
      <c r="CX309" s="140"/>
      <c r="CY309" s="140"/>
      <c r="CZ309" s="140"/>
      <c r="DA309" s="140"/>
      <c r="DB309" s="140"/>
      <c r="DC309" s="140"/>
      <c r="DD309" s="140"/>
      <c r="DE309" s="140"/>
    </row>
    <row r="310" spans="1:109" s="139" customForma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3"/>
      <c r="U310" s="143"/>
      <c r="V310" s="143"/>
      <c r="W310" s="143"/>
      <c r="X310" s="143"/>
      <c r="Y310" s="143"/>
      <c r="Z310" s="143"/>
      <c r="AA310" s="143"/>
      <c r="AC310" s="140"/>
      <c r="AD310" s="140"/>
      <c r="AE310" s="140"/>
      <c r="AF310" s="140"/>
      <c r="AG310" s="140"/>
      <c r="AH310" s="141"/>
      <c r="AI310" s="143"/>
      <c r="AJ310" s="140"/>
      <c r="AK310" s="140"/>
      <c r="AL310" s="140"/>
      <c r="AM310" s="140"/>
      <c r="AN310" s="140"/>
      <c r="AO310" s="140"/>
      <c r="AP310" s="140"/>
      <c r="AQ310" s="140"/>
      <c r="AR310" s="140"/>
      <c r="AS310" s="140"/>
      <c r="AT310" s="140"/>
      <c r="AU310" s="140"/>
      <c r="AV310" s="140"/>
      <c r="AW310" s="140"/>
      <c r="AX310" s="140"/>
      <c r="AY310" s="140"/>
      <c r="AZ310" s="140"/>
      <c r="BA310" s="140"/>
      <c r="BB310" s="140"/>
      <c r="BC310" s="140"/>
      <c r="BD310" s="140"/>
      <c r="BE310" s="140"/>
      <c r="BF310" s="140"/>
      <c r="BG310" s="140"/>
      <c r="BH310" s="140"/>
      <c r="BI310" s="140"/>
      <c r="BJ310" s="140"/>
      <c r="BK310" s="140"/>
      <c r="BL310" s="140"/>
      <c r="BM310" s="140"/>
      <c r="BN310" s="140"/>
      <c r="BO310" s="140"/>
      <c r="BP310" s="140"/>
      <c r="BQ310" s="140"/>
      <c r="BR310" s="140"/>
      <c r="BS310" s="140"/>
      <c r="BT310" s="140"/>
      <c r="BU310" s="140"/>
      <c r="BV310" s="140"/>
      <c r="BW310" s="140"/>
      <c r="BX310" s="140"/>
      <c r="BY310" s="140"/>
      <c r="BZ310" s="140"/>
      <c r="CA310" s="140"/>
      <c r="CB310" s="140"/>
      <c r="CC310" s="140"/>
      <c r="CD310" s="140"/>
      <c r="CE310" s="140"/>
      <c r="CF310" s="140"/>
      <c r="CG310" s="140"/>
      <c r="CH310" s="140"/>
      <c r="CI310" s="140"/>
      <c r="CJ310" s="140"/>
      <c r="CK310" s="140"/>
      <c r="CL310" s="140"/>
      <c r="CM310" s="140"/>
      <c r="CN310" s="140"/>
      <c r="CO310" s="140"/>
      <c r="CP310" s="140"/>
      <c r="CQ310" s="140"/>
      <c r="CR310" s="140"/>
      <c r="CS310" s="140"/>
      <c r="CT310" s="140"/>
      <c r="CU310" s="140"/>
      <c r="CV310" s="140"/>
      <c r="CW310" s="140"/>
      <c r="CX310" s="140"/>
      <c r="CY310" s="140"/>
      <c r="CZ310" s="140"/>
      <c r="DA310" s="140"/>
      <c r="DB310" s="140"/>
      <c r="DC310" s="140"/>
      <c r="DD310" s="140"/>
      <c r="DE310" s="140"/>
    </row>
    <row r="311" spans="1:109" s="139" customForma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3"/>
      <c r="U311" s="143"/>
      <c r="V311" s="143"/>
      <c r="W311" s="143"/>
      <c r="X311" s="143"/>
      <c r="Y311" s="143"/>
      <c r="Z311" s="143"/>
      <c r="AA311" s="143"/>
      <c r="AC311" s="140"/>
      <c r="AD311" s="140"/>
      <c r="AE311" s="140"/>
      <c r="AF311" s="140"/>
      <c r="AG311" s="140"/>
      <c r="AH311" s="141"/>
      <c r="AI311" s="143"/>
      <c r="AJ311" s="140"/>
      <c r="AK311" s="140"/>
      <c r="AL311" s="140"/>
      <c r="AM311" s="140"/>
      <c r="AN311" s="140"/>
      <c r="AO311" s="140"/>
      <c r="AP311" s="140"/>
      <c r="AQ311" s="140"/>
      <c r="AR311" s="140"/>
      <c r="AS311" s="140"/>
      <c r="AT311" s="140"/>
      <c r="AU311" s="140"/>
      <c r="AV311" s="140"/>
      <c r="AW311" s="140"/>
      <c r="AX311" s="140"/>
      <c r="AY311" s="140"/>
      <c r="AZ311" s="140"/>
      <c r="BA311" s="140"/>
      <c r="BB311" s="140"/>
      <c r="BC311" s="140"/>
      <c r="BD311" s="140"/>
      <c r="BE311" s="140"/>
      <c r="BF311" s="140"/>
      <c r="BG311" s="140"/>
      <c r="BH311" s="140"/>
      <c r="BI311" s="140"/>
      <c r="BJ311" s="140"/>
      <c r="BK311" s="140"/>
      <c r="BL311" s="140"/>
      <c r="BM311" s="140"/>
      <c r="BN311" s="140"/>
      <c r="BO311" s="140"/>
      <c r="BP311" s="140"/>
      <c r="BQ311" s="140"/>
      <c r="BR311" s="140"/>
      <c r="BS311" s="140"/>
      <c r="BT311" s="140"/>
      <c r="BU311" s="140"/>
      <c r="BV311" s="140"/>
      <c r="BW311" s="140"/>
      <c r="BX311" s="140"/>
      <c r="BY311" s="140"/>
      <c r="BZ311" s="140"/>
      <c r="CA311" s="140"/>
      <c r="CB311" s="140"/>
      <c r="CC311" s="140"/>
      <c r="CD311" s="140"/>
      <c r="CE311" s="140"/>
      <c r="CF311" s="140"/>
      <c r="CG311" s="140"/>
      <c r="CH311" s="140"/>
      <c r="CI311" s="140"/>
      <c r="CJ311" s="140"/>
      <c r="CK311" s="140"/>
      <c r="CL311" s="140"/>
      <c r="CM311" s="140"/>
      <c r="CN311" s="140"/>
      <c r="CO311" s="140"/>
      <c r="CP311" s="140"/>
      <c r="CQ311" s="140"/>
      <c r="CR311" s="140"/>
      <c r="CS311" s="140"/>
      <c r="CT311" s="140"/>
      <c r="CU311" s="140"/>
      <c r="CV311" s="140"/>
      <c r="CW311" s="140"/>
      <c r="CX311" s="140"/>
      <c r="CY311" s="140"/>
      <c r="CZ311" s="140"/>
      <c r="DA311" s="140"/>
      <c r="DB311" s="140"/>
      <c r="DC311" s="140"/>
      <c r="DD311" s="140"/>
      <c r="DE311" s="140"/>
    </row>
    <row r="312" spans="1:109" s="139" customForma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3"/>
      <c r="U312" s="143"/>
      <c r="V312" s="143"/>
      <c r="W312" s="143"/>
      <c r="X312" s="143"/>
      <c r="Y312" s="143"/>
      <c r="Z312" s="143"/>
      <c r="AA312" s="143"/>
      <c r="AC312" s="140"/>
      <c r="AD312" s="140"/>
      <c r="AE312" s="140"/>
      <c r="AF312" s="140"/>
      <c r="AG312" s="140"/>
      <c r="AH312" s="141"/>
      <c r="AI312" s="143"/>
      <c r="AJ312" s="140"/>
      <c r="AK312" s="140"/>
      <c r="AL312" s="140"/>
      <c r="AM312" s="140"/>
      <c r="AN312" s="140"/>
      <c r="AO312" s="140"/>
      <c r="AP312" s="140"/>
      <c r="AQ312" s="140"/>
      <c r="AR312" s="140"/>
      <c r="AS312" s="140"/>
      <c r="AT312" s="140"/>
      <c r="AU312" s="140"/>
      <c r="AV312" s="140"/>
      <c r="AW312" s="140"/>
      <c r="AX312" s="140"/>
      <c r="AY312" s="140"/>
      <c r="AZ312" s="140"/>
      <c r="BA312" s="140"/>
      <c r="BB312" s="140"/>
      <c r="BC312" s="140"/>
      <c r="BD312" s="140"/>
      <c r="BE312" s="140"/>
      <c r="BF312" s="140"/>
      <c r="BG312" s="140"/>
      <c r="BH312" s="140"/>
      <c r="BI312" s="140"/>
      <c r="BJ312" s="140"/>
      <c r="BK312" s="140"/>
      <c r="BL312" s="140"/>
      <c r="BM312" s="140"/>
      <c r="BN312" s="140"/>
      <c r="BO312" s="140"/>
      <c r="BP312" s="140"/>
      <c r="BQ312" s="140"/>
      <c r="BR312" s="140"/>
      <c r="BS312" s="140"/>
      <c r="BT312" s="140"/>
      <c r="BU312" s="140"/>
      <c r="BV312" s="140"/>
      <c r="BW312" s="140"/>
      <c r="BX312" s="140"/>
      <c r="BY312" s="140"/>
      <c r="BZ312" s="140"/>
      <c r="CA312" s="140"/>
      <c r="CB312" s="140"/>
      <c r="CC312" s="140"/>
      <c r="CD312" s="140"/>
      <c r="CE312" s="140"/>
      <c r="CF312" s="140"/>
      <c r="CG312" s="140"/>
      <c r="CH312" s="140"/>
      <c r="CI312" s="140"/>
      <c r="CJ312" s="140"/>
      <c r="CK312" s="140"/>
      <c r="CL312" s="140"/>
      <c r="CM312" s="140"/>
      <c r="CN312" s="140"/>
      <c r="CO312" s="140"/>
      <c r="CP312" s="140"/>
      <c r="CQ312" s="140"/>
      <c r="CR312" s="140"/>
      <c r="CS312" s="140"/>
      <c r="CT312" s="140"/>
      <c r="CU312" s="140"/>
      <c r="CV312" s="140"/>
      <c r="CW312" s="140"/>
      <c r="CX312" s="140"/>
      <c r="CY312" s="140"/>
      <c r="CZ312" s="140"/>
      <c r="DA312" s="140"/>
      <c r="DB312" s="140"/>
      <c r="DC312" s="140"/>
      <c r="DD312" s="140"/>
      <c r="DE312" s="140"/>
    </row>
    <row r="313" spans="1:109" s="139" customForma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3"/>
      <c r="U313" s="143"/>
      <c r="V313" s="143"/>
      <c r="W313" s="143"/>
      <c r="X313" s="143"/>
      <c r="Y313" s="143"/>
      <c r="Z313" s="143"/>
      <c r="AA313" s="143"/>
      <c r="AC313" s="140"/>
      <c r="AD313" s="140"/>
      <c r="AE313" s="140"/>
      <c r="AF313" s="140"/>
      <c r="AG313" s="140"/>
      <c r="AH313" s="141"/>
      <c r="AI313" s="143"/>
      <c r="AJ313" s="140"/>
      <c r="AK313" s="140"/>
      <c r="AL313" s="140"/>
      <c r="AM313" s="140"/>
      <c r="AN313" s="140"/>
      <c r="AO313" s="140"/>
      <c r="AP313" s="140"/>
      <c r="AQ313" s="140"/>
      <c r="AR313" s="140"/>
      <c r="AS313" s="140"/>
      <c r="AT313" s="140"/>
      <c r="AU313" s="140"/>
      <c r="AV313" s="140"/>
      <c r="AW313" s="140"/>
      <c r="AX313" s="140"/>
      <c r="AY313" s="140"/>
      <c r="AZ313" s="140"/>
      <c r="BA313" s="140"/>
      <c r="BB313" s="140"/>
      <c r="BC313" s="140"/>
      <c r="BD313" s="140"/>
      <c r="BE313" s="140"/>
      <c r="BF313" s="140"/>
      <c r="BG313" s="140"/>
      <c r="BH313" s="140"/>
      <c r="BI313" s="140"/>
      <c r="BJ313" s="140"/>
      <c r="BK313" s="140"/>
      <c r="BL313" s="140"/>
      <c r="BM313" s="140"/>
      <c r="BN313" s="140"/>
      <c r="BO313" s="140"/>
      <c r="BP313" s="140"/>
      <c r="BQ313" s="140"/>
      <c r="BR313" s="140"/>
      <c r="BS313" s="140"/>
      <c r="BT313" s="140"/>
      <c r="BU313" s="140"/>
      <c r="BV313" s="140"/>
      <c r="BW313" s="140"/>
      <c r="BX313" s="140"/>
      <c r="BY313" s="140"/>
      <c r="BZ313" s="140"/>
      <c r="CA313" s="140"/>
      <c r="CB313" s="140"/>
      <c r="CC313" s="140"/>
      <c r="CD313" s="140"/>
      <c r="CE313" s="140"/>
      <c r="CF313" s="140"/>
      <c r="CG313" s="140"/>
      <c r="CH313" s="140"/>
      <c r="CI313" s="140"/>
      <c r="CJ313" s="140"/>
      <c r="CK313" s="140"/>
      <c r="CL313" s="140"/>
      <c r="CM313" s="140"/>
      <c r="CN313" s="140"/>
      <c r="CO313" s="140"/>
      <c r="CP313" s="140"/>
      <c r="CQ313" s="140"/>
      <c r="CR313" s="140"/>
      <c r="CS313" s="140"/>
      <c r="CT313" s="140"/>
      <c r="CU313" s="140"/>
      <c r="CV313" s="140"/>
      <c r="CW313" s="140"/>
      <c r="CX313" s="140"/>
      <c r="CY313" s="140"/>
      <c r="CZ313" s="140"/>
      <c r="DA313" s="140"/>
      <c r="DB313" s="140"/>
      <c r="DC313" s="140"/>
      <c r="DD313" s="140"/>
      <c r="DE313" s="140"/>
    </row>
    <row r="314" spans="1:109" s="139" customForma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3"/>
      <c r="U314" s="143"/>
      <c r="V314" s="143"/>
      <c r="W314" s="143"/>
      <c r="X314" s="143"/>
      <c r="Y314" s="143"/>
      <c r="Z314" s="143"/>
      <c r="AA314" s="143"/>
      <c r="AC314" s="140"/>
      <c r="AD314" s="140"/>
      <c r="AE314" s="140"/>
      <c r="AF314" s="140"/>
      <c r="AG314" s="140"/>
      <c r="AH314" s="141"/>
      <c r="AI314" s="143"/>
      <c r="AJ314" s="140"/>
      <c r="AK314" s="140"/>
      <c r="AL314" s="140"/>
      <c r="AM314" s="140"/>
      <c r="AN314" s="140"/>
      <c r="AO314" s="140"/>
      <c r="AP314" s="140"/>
      <c r="AQ314" s="140"/>
      <c r="AR314" s="140"/>
      <c r="AS314" s="140"/>
      <c r="AT314" s="140"/>
      <c r="AU314" s="140"/>
      <c r="AV314" s="140"/>
      <c r="AW314" s="140"/>
      <c r="AX314" s="140"/>
      <c r="AY314" s="140"/>
      <c r="AZ314" s="140"/>
      <c r="BA314" s="140"/>
      <c r="BB314" s="140"/>
      <c r="BC314" s="140"/>
      <c r="BD314" s="140"/>
      <c r="BE314" s="140"/>
      <c r="BF314" s="140"/>
      <c r="BG314" s="140"/>
      <c r="BH314" s="140"/>
      <c r="BI314" s="140"/>
      <c r="BJ314" s="140"/>
      <c r="BK314" s="140"/>
      <c r="BL314" s="140"/>
      <c r="BM314" s="140"/>
      <c r="BN314" s="140"/>
      <c r="BO314" s="140"/>
      <c r="BP314" s="140"/>
      <c r="BQ314" s="140"/>
      <c r="BR314" s="140"/>
      <c r="BS314" s="140"/>
      <c r="BT314" s="140"/>
      <c r="BU314" s="140"/>
      <c r="BV314" s="140"/>
      <c r="BW314" s="140"/>
      <c r="BX314" s="140"/>
      <c r="BY314" s="140"/>
      <c r="BZ314" s="140"/>
      <c r="CA314" s="140"/>
      <c r="CB314" s="140"/>
      <c r="CC314" s="140"/>
      <c r="CD314" s="140"/>
      <c r="CE314" s="140"/>
      <c r="CF314" s="140"/>
      <c r="CG314" s="140"/>
      <c r="CH314" s="140"/>
      <c r="CI314" s="140"/>
      <c r="CJ314" s="140"/>
      <c r="CK314" s="140"/>
      <c r="CL314" s="140"/>
      <c r="CM314" s="140"/>
      <c r="CN314" s="140"/>
      <c r="CO314" s="140"/>
      <c r="CP314" s="140"/>
      <c r="CQ314" s="140"/>
      <c r="CR314" s="140"/>
      <c r="CS314" s="140"/>
      <c r="CT314" s="140"/>
      <c r="CU314" s="140"/>
      <c r="CV314" s="140"/>
      <c r="CW314" s="140"/>
      <c r="CX314" s="140"/>
      <c r="CY314" s="140"/>
      <c r="CZ314" s="140"/>
      <c r="DA314" s="140"/>
      <c r="DB314" s="140"/>
      <c r="DC314" s="140"/>
      <c r="DD314" s="140"/>
      <c r="DE314" s="140"/>
    </row>
    <row r="315" spans="1:109" s="139" customForma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3"/>
      <c r="U315" s="143"/>
      <c r="V315" s="143"/>
      <c r="W315" s="143"/>
      <c r="X315" s="143"/>
      <c r="Y315" s="143"/>
      <c r="Z315" s="143"/>
      <c r="AA315" s="143"/>
      <c r="AC315" s="140"/>
      <c r="AD315" s="140"/>
      <c r="AE315" s="140"/>
      <c r="AF315" s="140"/>
      <c r="AG315" s="140"/>
      <c r="AH315" s="141"/>
      <c r="AI315" s="143"/>
      <c r="AJ315" s="140"/>
      <c r="AK315" s="140"/>
      <c r="AL315" s="140"/>
      <c r="AM315" s="140"/>
      <c r="AN315" s="140"/>
      <c r="AO315" s="140"/>
      <c r="AP315" s="140"/>
      <c r="AQ315" s="140"/>
      <c r="AR315" s="140"/>
      <c r="AS315" s="140"/>
      <c r="AT315" s="140"/>
      <c r="AU315" s="140"/>
      <c r="AV315" s="140"/>
      <c r="AW315" s="140"/>
      <c r="AX315" s="140"/>
      <c r="AY315" s="140"/>
      <c r="AZ315" s="140"/>
      <c r="BA315" s="140"/>
      <c r="BB315" s="140"/>
      <c r="BC315" s="140"/>
      <c r="BD315" s="140"/>
      <c r="BE315" s="140"/>
      <c r="BF315" s="140"/>
      <c r="BG315" s="140"/>
      <c r="BH315" s="140"/>
      <c r="BI315" s="140"/>
      <c r="BJ315" s="140"/>
      <c r="BK315" s="140"/>
      <c r="BL315" s="140"/>
      <c r="BM315" s="140"/>
      <c r="BN315" s="140"/>
      <c r="BO315" s="140"/>
      <c r="BP315" s="140"/>
      <c r="BQ315" s="140"/>
      <c r="BR315" s="140"/>
      <c r="BS315" s="140"/>
      <c r="BT315" s="140"/>
      <c r="BU315" s="140"/>
      <c r="BV315" s="140"/>
      <c r="BW315" s="140"/>
      <c r="BX315" s="140"/>
      <c r="BY315" s="140"/>
      <c r="BZ315" s="140"/>
      <c r="CA315" s="140"/>
      <c r="CB315" s="140"/>
      <c r="CC315" s="140"/>
      <c r="CD315" s="140"/>
      <c r="CE315" s="140"/>
      <c r="CF315" s="140"/>
      <c r="CG315" s="140"/>
      <c r="CH315" s="140"/>
      <c r="CI315" s="140"/>
      <c r="CJ315" s="140"/>
      <c r="CK315" s="140"/>
      <c r="CL315" s="140"/>
      <c r="CM315" s="140"/>
      <c r="CN315" s="140"/>
      <c r="CO315" s="140"/>
      <c r="CP315" s="140"/>
      <c r="CQ315" s="140"/>
      <c r="CR315" s="140"/>
      <c r="CS315" s="140"/>
      <c r="CT315" s="140"/>
      <c r="CU315" s="140"/>
      <c r="CV315" s="140"/>
      <c r="CW315" s="140"/>
      <c r="CX315" s="140"/>
      <c r="CY315" s="140"/>
      <c r="CZ315" s="140"/>
      <c r="DA315" s="140"/>
      <c r="DB315" s="140"/>
      <c r="DC315" s="140"/>
      <c r="DD315" s="140"/>
      <c r="DE315" s="140"/>
    </row>
    <row r="316" spans="1:109" s="139" customForma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3"/>
      <c r="U316" s="143"/>
      <c r="V316" s="143"/>
      <c r="W316" s="143"/>
      <c r="X316" s="143"/>
      <c r="Y316" s="143"/>
      <c r="Z316" s="143"/>
      <c r="AA316" s="143"/>
      <c r="AC316" s="140"/>
      <c r="AD316" s="140"/>
      <c r="AE316" s="140"/>
      <c r="AF316" s="140"/>
      <c r="AG316" s="140"/>
      <c r="AH316" s="141"/>
      <c r="AI316" s="143"/>
      <c r="AJ316" s="140"/>
      <c r="AK316" s="140"/>
      <c r="AL316" s="140"/>
      <c r="AM316" s="140"/>
      <c r="AN316" s="140"/>
      <c r="AO316" s="140"/>
      <c r="AP316" s="140"/>
      <c r="AQ316" s="140"/>
      <c r="AR316" s="140"/>
      <c r="AS316" s="140"/>
      <c r="AT316" s="140"/>
      <c r="AU316" s="140"/>
      <c r="AV316" s="140"/>
      <c r="AW316" s="140"/>
      <c r="AX316" s="140"/>
      <c r="AY316" s="140"/>
      <c r="AZ316" s="140"/>
      <c r="BA316" s="140"/>
      <c r="BB316" s="140"/>
      <c r="BC316" s="140"/>
      <c r="BD316" s="140"/>
      <c r="BE316" s="140"/>
      <c r="BF316" s="140"/>
      <c r="BG316" s="140"/>
      <c r="BH316" s="140"/>
      <c r="BI316" s="140"/>
      <c r="BJ316" s="140"/>
      <c r="BK316" s="140"/>
      <c r="BL316" s="140"/>
      <c r="BM316" s="140"/>
      <c r="BN316" s="140"/>
      <c r="BO316" s="140"/>
      <c r="BP316" s="140"/>
      <c r="BQ316" s="140"/>
      <c r="BR316" s="140"/>
      <c r="BS316" s="140"/>
      <c r="BT316" s="140"/>
      <c r="BU316" s="140"/>
      <c r="BV316" s="140"/>
      <c r="BW316" s="140"/>
      <c r="BX316" s="140"/>
      <c r="BY316" s="140"/>
      <c r="BZ316" s="140"/>
      <c r="CA316" s="140"/>
      <c r="CB316" s="140"/>
      <c r="CC316" s="140"/>
      <c r="CD316" s="140"/>
      <c r="CE316" s="140"/>
      <c r="CF316" s="140"/>
      <c r="CG316" s="140"/>
      <c r="CH316" s="140"/>
      <c r="CI316" s="140"/>
      <c r="CJ316" s="140"/>
      <c r="CK316" s="140"/>
      <c r="CL316" s="140"/>
      <c r="CM316" s="140"/>
      <c r="CN316" s="140"/>
      <c r="CO316" s="140"/>
      <c r="CP316" s="140"/>
      <c r="CQ316" s="140"/>
      <c r="CR316" s="140"/>
      <c r="CS316" s="140"/>
      <c r="CT316" s="140"/>
      <c r="CU316" s="140"/>
      <c r="CV316" s="140"/>
      <c r="CW316" s="140"/>
      <c r="CX316" s="140"/>
      <c r="CY316" s="140"/>
      <c r="CZ316" s="140"/>
      <c r="DA316" s="140"/>
      <c r="DB316" s="140"/>
      <c r="DC316" s="140"/>
      <c r="DD316" s="140"/>
      <c r="DE316" s="140"/>
    </row>
    <row r="317" spans="1:109" s="139" customForma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3"/>
      <c r="U317" s="143"/>
      <c r="V317" s="143"/>
      <c r="W317" s="143"/>
      <c r="X317" s="143"/>
      <c r="Y317" s="143"/>
      <c r="Z317" s="143"/>
      <c r="AA317" s="143"/>
      <c r="AC317" s="140"/>
      <c r="AD317" s="140"/>
      <c r="AE317" s="140"/>
      <c r="AF317" s="140"/>
      <c r="AG317" s="140"/>
      <c r="AH317" s="141"/>
      <c r="AI317" s="143"/>
      <c r="AJ317" s="140"/>
      <c r="AK317" s="140"/>
      <c r="AL317" s="140"/>
      <c r="AM317" s="140"/>
      <c r="AN317" s="140"/>
      <c r="AO317" s="140"/>
      <c r="AP317" s="140"/>
      <c r="AQ317" s="140"/>
      <c r="AR317" s="140"/>
      <c r="AS317" s="140"/>
      <c r="AT317" s="140"/>
      <c r="AU317" s="140"/>
      <c r="AV317" s="140"/>
      <c r="AW317" s="140"/>
      <c r="AX317" s="140"/>
      <c r="AY317" s="140"/>
      <c r="AZ317" s="140"/>
      <c r="BA317" s="140"/>
      <c r="BB317" s="140"/>
      <c r="BC317" s="140"/>
      <c r="BD317" s="140"/>
      <c r="BE317" s="140"/>
      <c r="BF317" s="140"/>
      <c r="BG317" s="140"/>
      <c r="BH317" s="140"/>
      <c r="BI317" s="140"/>
      <c r="BJ317" s="140"/>
      <c r="BK317" s="140"/>
      <c r="BL317" s="140"/>
      <c r="BM317" s="140"/>
      <c r="BN317" s="140"/>
      <c r="BO317" s="140"/>
      <c r="BP317" s="140"/>
      <c r="BQ317" s="140"/>
      <c r="BR317" s="140"/>
      <c r="BS317" s="140"/>
      <c r="BT317" s="140"/>
      <c r="BU317" s="140"/>
      <c r="BV317" s="140"/>
      <c r="BW317" s="140"/>
      <c r="BX317" s="140"/>
      <c r="BY317" s="140"/>
      <c r="BZ317" s="140"/>
      <c r="CA317" s="140"/>
      <c r="CB317" s="140"/>
      <c r="CC317" s="140"/>
      <c r="CD317" s="140"/>
      <c r="CE317" s="140"/>
      <c r="CF317" s="140"/>
      <c r="CG317" s="140"/>
      <c r="CH317" s="140"/>
      <c r="CI317" s="140"/>
      <c r="CJ317" s="140"/>
      <c r="CK317" s="140"/>
      <c r="CL317" s="140"/>
      <c r="CM317" s="140"/>
      <c r="CN317" s="140"/>
      <c r="CO317" s="140"/>
      <c r="CP317" s="140"/>
      <c r="CQ317" s="140"/>
      <c r="CR317" s="140"/>
      <c r="CS317" s="140"/>
      <c r="CT317" s="140"/>
      <c r="CU317" s="140"/>
      <c r="CV317" s="140"/>
      <c r="CW317" s="140"/>
      <c r="CX317" s="140"/>
      <c r="CY317" s="140"/>
      <c r="CZ317" s="140"/>
      <c r="DA317" s="140"/>
      <c r="DB317" s="140"/>
      <c r="DC317" s="140"/>
      <c r="DD317" s="140"/>
      <c r="DE317" s="140"/>
    </row>
    <row r="318" spans="1:109" s="139" customForma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3"/>
      <c r="U318" s="143"/>
      <c r="V318" s="143"/>
      <c r="W318" s="143"/>
      <c r="X318" s="143"/>
      <c r="Y318" s="143"/>
      <c r="Z318" s="143"/>
      <c r="AA318" s="143"/>
      <c r="AC318" s="140"/>
      <c r="AD318" s="140"/>
      <c r="AE318" s="140"/>
      <c r="AF318" s="140"/>
      <c r="AG318" s="140"/>
      <c r="AH318" s="141"/>
      <c r="AI318" s="143"/>
      <c r="AJ318" s="140"/>
      <c r="AK318" s="140"/>
      <c r="AL318" s="140"/>
      <c r="AM318" s="140"/>
      <c r="AN318" s="140"/>
      <c r="AO318" s="140"/>
      <c r="AP318" s="140"/>
      <c r="AQ318" s="140"/>
      <c r="AR318" s="140"/>
      <c r="AS318" s="140"/>
      <c r="AT318" s="140"/>
      <c r="AU318" s="140"/>
      <c r="AV318" s="140"/>
      <c r="AW318" s="140"/>
      <c r="AX318" s="140"/>
      <c r="AY318" s="140"/>
      <c r="AZ318" s="140"/>
      <c r="BA318" s="140"/>
      <c r="BB318" s="140"/>
      <c r="BC318" s="140"/>
      <c r="BD318" s="140"/>
      <c r="BE318" s="140"/>
      <c r="BF318" s="140"/>
      <c r="BG318" s="140"/>
      <c r="BH318" s="140"/>
      <c r="BI318" s="140"/>
      <c r="BJ318" s="140"/>
      <c r="BK318" s="140"/>
      <c r="BL318" s="140"/>
      <c r="BM318" s="140"/>
      <c r="BN318" s="140"/>
      <c r="BO318" s="140"/>
      <c r="BP318" s="140"/>
      <c r="BQ318" s="140"/>
      <c r="BR318" s="140"/>
      <c r="BS318" s="140"/>
      <c r="BT318" s="140"/>
      <c r="BU318" s="140"/>
      <c r="BV318" s="140"/>
      <c r="BW318" s="140"/>
      <c r="BX318" s="140"/>
      <c r="BY318" s="140"/>
      <c r="BZ318" s="140"/>
      <c r="CA318" s="140"/>
      <c r="CB318" s="140"/>
      <c r="CC318" s="140"/>
      <c r="CD318" s="140"/>
      <c r="CE318" s="140"/>
      <c r="CF318" s="140"/>
      <c r="CG318" s="140"/>
      <c r="CH318" s="140"/>
      <c r="CI318" s="140"/>
      <c r="CJ318" s="140"/>
      <c r="CK318" s="140"/>
      <c r="CL318" s="140"/>
      <c r="CM318" s="140"/>
      <c r="CN318" s="140"/>
      <c r="CO318" s="140"/>
      <c r="CP318" s="140"/>
      <c r="CQ318" s="140"/>
      <c r="CR318" s="140"/>
      <c r="CS318" s="140"/>
      <c r="CT318" s="140"/>
      <c r="CU318" s="140"/>
      <c r="CV318" s="140"/>
      <c r="CW318" s="140"/>
      <c r="CX318" s="140"/>
      <c r="CY318" s="140"/>
      <c r="CZ318" s="140"/>
      <c r="DA318" s="140"/>
      <c r="DB318" s="140"/>
      <c r="DC318" s="140"/>
      <c r="DD318" s="140"/>
      <c r="DE318" s="140"/>
    </row>
    <row r="319" spans="1:109" s="139" customForma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3"/>
      <c r="U319" s="143"/>
      <c r="V319" s="143"/>
      <c r="W319" s="143"/>
      <c r="X319" s="143"/>
      <c r="Y319" s="143"/>
      <c r="Z319" s="143"/>
      <c r="AA319" s="143"/>
      <c r="AC319" s="140"/>
      <c r="AD319" s="140"/>
      <c r="AE319" s="140"/>
      <c r="AF319" s="140"/>
      <c r="AG319" s="140"/>
      <c r="AH319" s="141"/>
      <c r="AI319" s="143"/>
      <c r="AJ319" s="140"/>
      <c r="AK319" s="140"/>
      <c r="AL319" s="140"/>
      <c r="AM319" s="140"/>
      <c r="AN319" s="140"/>
      <c r="AO319" s="140"/>
      <c r="AP319" s="140"/>
      <c r="AQ319" s="140"/>
      <c r="AR319" s="140"/>
      <c r="AS319" s="140"/>
      <c r="AT319" s="140"/>
      <c r="AU319" s="140"/>
      <c r="AV319" s="140"/>
      <c r="AW319" s="140"/>
      <c r="AX319" s="140"/>
      <c r="AY319" s="140"/>
      <c r="AZ319" s="140"/>
      <c r="BA319" s="140"/>
      <c r="BB319" s="140"/>
      <c r="BC319" s="140"/>
      <c r="BD319" s="140"/>
      <c r="BE319" s="140"/>
      <c r="BF319" s="140"/>
      <c r="BG319" s="140"/>
      <c r="BH319" s="140"/>
      <c r="BI319" s="140"/>
      <c r="BJ319" s="140"/>
      <c r="BK319" s="140"/>
      <c r="BL319" s="140"/>
      <c r="BM319" s="140"/>
      <c r="BN319" s="140"/>
      <c r="BO319" s="140"/>
      <c r="BP319" s="140"/>
      <c r="BQ319" s="140"/>
      <c r="BR319" s="140"/>
      <c r="BS319" s="140"/>
      <c r="BT319" s="140"/>
      <c r="BU319" s="140"/>
      <c r="BV319" s="140"/>
      <c r="BW319" s="140"/>
      <c r="BX319" s="140"/>
      <c r="BY319" s="140"/>
      <c r="BZ319" s="140"/>
      <c r="CA319" s="140"/>
      <c r="CB319" s="140"/>
      <c r="CC319" s="140"/>
      <c r="CD319" s="140"/>
      <c r="CE319" s="140"/>
      <c r="CF319" s="140"/>
      <c r="CG319" s="140"/>
      <c r="CH319" s="140"/>
      <c r="CI319" s="140"/>
      <c r="CJ319" s="140"/>
      <c r="CK319" s="140"/>
      <c r="CL319" s="140"/>
      <c r="CM319" s="140"/>
      <c r="CN319" s="140"/>
      <c r="CO319" s="140"/>
      <c r="CP319" s="140"/>
      <c r="CQ319" s="140"/>
      <c r="CR319" s="140"/>
      <c r="CS319" s="140"/>
      <c r="CT319" s="140"/>
      <c r="CU319" s="140"/>
      <c r="CV319" s="140"/>
      <c r="CW319" s="140"/>
      <c r="CX319" s="140"/>
      <c r="CY319" s="140"/>
      <c r="CZ319" s="140"/>
      <c r="DA319" s="140"/>
      <c r="DB319" s="140"/>
      <c r="DC319" s="140"/>
      <c r="DD319" s="140"/>
      <c r="DE319" s="140"/>
    </row>
    <row r="320" spans="1:109" s="139" customForma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3"/>
      <c r="U320" s="143"/>
      <c r="V320" s="143"/>
      <c r="W320" s="143"/>
      <c r="X320" s="143"/>
      <c r="Y320" s="143"/>
      <c r="Z320" s="143"/>
      <c r="AA320" s="143"/>
      <c r="AC320" s="140"/>
      <c r="AD320" s="140"/>
      <c r="AE320" s="140"/>
      <c r="AF320" s="140"/>
      <c r="AG320" s="140"/>
      <c r="AH320" s="141"/>
      <c r="AI320" s="143"/>
      <c r="AJ320" s="140"/>
      <c r="AK320" s="140"/>
      <c r="AL320" s="140"/>
      <c r="AM320" s="140"/>
      <c r="AN320" s="140"/>
      <c r="AO320" s="140"/>
      <c r="AP320" s="140"/>
      <c r="AQ320" s="140"/>
      <c r="AR320" s="140"/>
      <c r="AS320" s="140"/>
      <c r="AT320" s="140"/>
      <c r="AU320" s="140"/>
      <c r="AV320" s="140"/>
      <c r="AW320" s="140"/>
      <c r="AX320" s="140"/>
      <c r="AY320" s="140"/>
      <c r="AZ320" s="140"/>
      <c r="BA320" s="140"/>
      <c r="BB320" s="140"/>
      <c r="BC320" s="140"/>
      <c r="BD320" s="140"/>
      <c r="BE320" s="140"/>
      <c r="BF320" s="140"/>
      <c r="BG320" s="140"/>
      <c r="BH320" s="140"/>
      <c r="BI320" s="140"/>
      <c r="BJ320" s="140"/>
      <c r="BK320" s="140"/>
      <c r="BL320" s="140"/>
      <c r="BM320" s="140"/>
      <c r="BN320" s="140"/>
      <c r="BO320" s="140"/>
      <c r="BP320" s="140"/>
      <c r="BQ320" s="140"/>
      <c r="BR320" s="140"/>
      <c r="BS320" s="140"/>
      <c r="BT320" s="140"/>
      <c r="BU320" s="140"/>
      <c r="BV320" s="140"/>
      <c r="BW320" s="140"/>
      <c r="BX320" s="140"/>
      <c r="BY320" s="140"/>
      <c r="BZ320" s="140"/>
      <c r="CA320" s="140"/>
      <c r="CB320" s="140"/>
      <c r="CC320" s="140"/>
      <c r="CD320" s="140"/>
      <c r="CE320" s="140"/>
      <c r="CF320" s="140"/>
      <c r="CG320" s="140"/>
      <c r="CH320" s="140"/>
      <c r="CI320" s="140"/>
      <c r="CJ320" s="140"/>
      <c r="CK320" s="140"/>
      <c r="CL320" s="140"/>
      <c r="CM320" s="140"/>
      <c r="CN320" s="140"/>
      <c r="CO320" s="140"/>
      <c r="CP320" s="140"/>
      <c r="CQ320" s="140"/>
      <c r="CR320" s="140"/>
      <c r="CS320" s="140"/>
      <c r="CT320" s="140"/>
      <c r="CU320" s="140"/>
      <c r="CV320" s="140"/>
      <c r="CW320" s="140"/>
      <c r="CX320" s="140"/>
      <c r="CY320" s="140"/>
      <c r="CZ320" s="140"/>
      <c r="DA320" s="140"/>
      <c r="DB320" s="140"/>
      <c r="DC320" s="140"/>
      <c r="DD320" s="140"/>
      <c r="DE320" s="140"/>
    </row>
    <row r="321" spans="1:109" s="139" customForma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3"/>
      <c r="U321" s="143"/>
      <c r="V321" s="143"/>
      <c r="W321" s="143"/>
      <c r="X321" s="143"/>
      <c r="Y321" s="143"/>
      <c r="Z321" s="143"/>
      <c r="AA321" s="143"/>
      <c r="AC321" s="140"/>
      <c r="AD321" s="140"/>
      <c r="AE321" s="140"/>
      <c r="AF321" s="140"/>
      <c r="AG321" s="140"/>
      <c r="AH321" s="141"/>
      <c r="AI321" s="143"/>
      <c r="AJ321" s="140"/>
      <c r="AK321" s="140"/>
      <c r="AL321" s="140"/>
      <c r="AM321" s="140"/>
      <c r="AN321" s="140"/>
      <c r="AO321" s="140"/>
      <c r="AP321" s="140"/>
      <c r="AQ321" s="140"/>
      <c r="AR321" s="140"/>
      <c r="AS321" s="140"/>
      <c r="AT321" s="140"/>
      <c r="AU321" s="140"/>
      <c r="AV321" s="140"/>
      <c r="AW321" s="140"/>
      <c r="AX321" s="140"/>
      <c r="AY321" s="140"/>
      <c r="AZ321" s="140"/>
      <c r="BA321" s="140"/>
      <c r="BB321" s="140"/>
      <c r="BC321" s="140"/>
      <c r="BD321" s="140"/>
      <c r="BE321" s="140"/>
      <c r="BF321" s="140"/>
      <c r="BG321" s="140"/>
      <c r="BH321" s="140"/>
      <c r="BI321" s="140"/>
      <c r="BJ321" s="140"/>
      <c r="BK321" s="140"/>
      <c r="BL321" s="140"/>
      <c r="BM321" s="140"/>
      <c r="BN321" s="140"/>
      <c r="BO321" s="140"/>
      <c r="BP321" s="140"/>
      <c r="BQ321" s="140"/>
      <c r="BR321" s="140"/>
      <c r="BS321" s="140"/>
      <c r="BT321" s="140"/>
      <c r="BU321" s="140"/>
      <c r="BV321" s="140"/>
      <c r="BW321" s="140"/>
      <c r="BX321" s="140"/>
      <c r="BY321" s="140"/>
      <c r="BZ321" s="140"/>
      <c r="CA321" s="140"/>
      <c r="CB321" s="140"/>
      <c r="CC321" s="140"/>
      <c r="CD321" s="140"/>
      <c r="CE321" s="140"/>
      <c r="CF321" s="140"/>
      <c r="CG321" s="140"/>
      <c r="CH321" s="140"/>
      <c r="CI321" s="140"/>
      <c r="CJ321" s="140"/>
      <c r="CK321" s="140"/>
      <c r="CL321" s="140"/>
      <c r="CM321" s="140"/>
      <c r="CN321" s="140"/>
      <c r="CO321" s="140"/>
      <c r="CP321" s="140"/>
      <c r="CQ321" s="140"/>
      <c r="CR321" s="140"/>
      <c r="CS321" s="140"/>
      <c r="CT321" s="140"/>
      <c r="CU321" s="140"/>
      <c r="CV321" s="140"/>
      <c r="CW321" s="140"/>
      <c r="CX321" s="140"/>
      <c r="CY321" s="140"/>
      <c r="CZ321" s="140"/>
      <c r="DA321" s="140"/>
      <c r="DB321" s="140"/>
      <c r="DC321" s="140"/>
      <c r="DD321" s="140"/>
      <c r="DE321" s="140"/>
    </row>
    <row r="322" spans="1:109" s="139" customForma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3"/>
      <c r="U322" s="143"/>
      <c r="V322" s="143"/>
      <c r="W322" s="143"/>
      <c r="X322" s="143"/>
      <c r="Y322" s="143"/>
      <c r="Z322" s="143"/>
      <c r="AA322" s="143"/>
      <c r="AC322" s="140"/>
      <c r="AD322" s="140"/>
      <c r="AE322" s="140"/>
      <c r="AF322" s="140"/>
      <c r="AG322" s="140"/>
      <c r="AH322" s="141"/>
      <c r="AI322" s="143"/>
      <c r="AJ322" s="140"/>
      <c r="AK322" s="140"/>
      <c r="AL322" s="140"/>
      <c r="AM322" s="140"/>
      <c r="AN322" s="140"/>
      <c r="AO322" s="140"/>
      <c r="AP322" s="140"/>
      <c r="AQ322" s="140"/>
      <c r="AR322" s="140"/>
      <c r="AS322" s="140"/>
      <c r="AT322" s="140"/>
      <c r="AU322" s="140"/>
      <c r="AV322" s="140"/>
      <c r="AW322" s="140"/>
      <c r="AX322" s="140"/>
      <c r="AY322" s="140"/>
      <c r="AZ322" s="140"/>
      <c r="BA322" s="140"/>
      <c r="BB322" s="140"/>
      <c r="BC322" s="140"/>
      <c r="BD322" s="140"/>
      <c r="BE322" s="140"/>
      <c r="BF322" s="140"/>
      <c r="BG322" s="140"/>
      <c r="BH322" s="140"/>
      <c r="BI322" s="140"/>
      <c r="BJ322" s="140"/>
      <c r="BK322" s="140"/>
      <c r="BL322" s="140"/>
      <c r="BM322" s="140"/>
      <c r="BN322" s="140"/>
      <c r="BO322" s="140"/>
      <c r="BP322" s="140"/>
      <c r="BQ322" s="140"/>
      <c r="BR322" s="140"/>
      <c r="BS322" s="140"/>
      <c r="BT322" s="140"/>
      <c r="BU322" s="140"/>
      <c r="BV322" s="140"/>
      <c r="BW322" s="140"/>
      <c r="BX322" s="140"/>
      <c r="BY322" s="140"/>
      <c r="BZ322" s="140"/>
      <c r="CA322" s="140"/>
      <c r="CB322" s="140"/>
      <c r="CC322" s="140"/>
      <c r="CD322" s="140"/>
      <c r="CE322" s="140"/>
      <c r="CF322" s="140"/>
      <c r="CG322" s="140"/>
      <c r="CH322" s="140"/>
      <c r="CI322" s="140"/>
      <c r="CJ322" s="140"/>
      <c r="CK322" s="140"/>
      <c r="CL322" s="140"/>
      <c r="CM322" s="140"/>
      <c r="CN322" s="140"/>
      <c r="CO322" s="140"/>
      <c r="CP322" s="140"/>
      <c r="CQ322" s="140"/>
      <c r="CR322" s="140"/>
      <c r="CS322" s="140"/>
      <c r="CT322" s="140"/>
      <c r="CU322" s="140"/>
      <c r="CV322" s="140"/>
      <c r="CW322" s="140"/>
      <c r="CX322" s="140"/>
      <c r="CY322" s="140"/>
      <c r="CZ322" s="140"/>
      <c r="DA322" s="140"/>
      <c r="DB322" s="140"/>
      <c r="DC322" s="140"/>
      <c r="DD322" s="140"/>
      <c r="DE322" s="140"/>
    </row>
    <row r="323" spans="1:109" s="139" customForma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3"/>
      <c r="U323" s="143"/>
      <c r="V323" s="143"/>
      <c r="W323" s="143"/>
      <c r="X323" s="143"/>
      <c r="Y323" s="143"/>
      <c r="Z323" s="143"/>
      <c r="AA323" s="143"/>
      <c r="AC323" s="140"/>
      <c r="AD323" s="140"/>
      <c r="AE323" s="140"/>
      <c r="AF323" s="140"/>
      <c r="AG323" s="140"/>
      <c r="AH323" s="141"/>
      <c r="AI323" s="143"/>
      <c r="AJ323" s="140"/>
      <c r="AK323" s="140"/>
      <c r="AL323" s="140"/>
      <c r="AM323" s="140"/>
      <c r="AN323" s="140"/>
      <c r="AO323" s="140"/>
      <c r="AP323" s="140"/>
      <c r="AQ323" s="140"/>
      <c r="AR323" s="140"/>
      <c r="AS323" s="140"/>
      <c r="AT323" s="140"/>
      <c r="AU323" s="140"/>
      <c r="AV323" s="140"/>
      <c r="AW323" s="140"/>
      <c r="AX323" s="140"/>
      <c r="AY323" s="140"/>
      <c r="AZ323" s="140"/>
      <c r="BA323" s="140"/>
      <c r="BB323" s="140"/>
      <c r="BC323" s="140"/>
      <c r="BD323" s="140"/>
      <c r="BE323" s="140"/>
      <c r="BF323" s="140"/>
      <c r="BG323" s="140"/>
      <c r="BH323" s="140"/>
      <c r="BI323" s="140"/>
      <c r="BJ323" s="140"/>
      <c r="BK323" s="140"/>
      <c r="BL323" s="140"/>
      <c r="BM323" s="140"/>
      <c r="BN323" s="140"/>
      <c r="BO323" s="140"/>
      <c r="BP323" s="140"/>
      <c r="BQ323" s="140"/>
      <c r="BR323" s="140"/>
      <c r="BS323" s="140"/>
      <c r="BT323" s="140"/>
      <c r="BU323" s="140"/>
      <c r="BV323" s="140"/>
      <c r="BW323" s="140"/>
      <c r="BX323" s="140"/>
      <c r="BY323" s="140"/>
      <c r="BZ323" s="140"/>
      <c r="CA323" s="140"/>
      <c r="CB323" s="140"/>
      <c r="CC323" s="140"/>
      <c r="CD323" s="140"/>
      <c r="CE323" s="140"/>
      <c r="CF323" s="140"/>
      <c r="CG323" s="140"/>
      <c r="CH323" s="140"/>
      <c r="CI323" s="140"/>
      <c r="CJ323" s="140"/>
      <c r="CK323" s="140"/>
      <c r="CL323" s="140"/>
      <c r="CM323" s="140"/>
      <c r="CN323" s="140"/>
      <c r="CO323" s="140"/>
      <c r="CP323" s="140"/>
      <c r="CQ323" s="140"/>
      <c r="CR323" s="140"/>
      <c r="CS323" s="140"/>
      <c r="CT323" s="140"/>
      <c r="CU323" s="140"/>
      <c r="CV323" s="140"/>
      <c r="CW323" s="140"/>
      <c r="CX323" s="140"/>
      <c r="CY323" s="140"/>
      <c r="CZ323" s="140"/>
      <c r="DA323" s="140"/>
      <c r="DB323" s="140"/>
      <c r="DC323" s="140"/>
      <c r="DD323" s="140"/>
      <c r="DE323" s="140"/>
    </row>
    <row r="324" spans="1:109" s="139" customForma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3"/>
      <c r="U324" s="143"/>
      <c r="V324" s="143"/>
      <c r="W324" s="143"/>
      <c r="X324" s="143"/>
      <c r="Y324" s="143"/>
      <c r="Z324" s="143"/>
      <c r="AA324" s="143"/>
      <c r="AC324" s="140"/>
      <c r="AD324" s="140"/>
      <c r="AE324" s="140"/>
      <c r="AF324" s="140"/>
      <c r="AG324" s="140"/>
      <c r="AH324" s="141"/>
      <c r="AI324" s="143"/>
      <c r="AJ324" s="140"/>
      <c r="AK324" s="140"/>
      <c r="AL324" s="140"/>
      <c r="AM324" s="140"/>
      <c r="AN324" s="140"/>
      <c r="AO324" s="140"/>
      <c r="AP324" s="140"/>
      <c r="AQ324" s="140"/>
      <c r="AR324" s="140"/>
      <c r="AS324" s="140"/>
      <c r="AT324" s="140"/>
      <c r="AU324" s="140"/>
      <c r="AV324" s="140"/>
      <c r="AW324" s="140"/>
      <c r="AX324" s="140"/>
      <c r="AY324" s="140"/>
      <c r="AZ324" s="140"/>
      <c r="BA324" s="140"/>
      <c r="BB324" s="140"/>
      <c r="BC324" s="140"/>
      <c r="BD324" s="140"/>
      <c r="BE324" s="140"/>
      <c r="BF324" s="140"/>
      <c r="BG324" s="140"/>
      <c r="BH324" s="140"/>
      <c r="BI324" s="140"/>
      <c r="BJ324" s="140"/>
      <c r="BK324" s="140"/>
      <c r="BL324" s="140"/>
      <c r="BM324" s="140"/>
      <c r="BN324" s="140"/>
      <c r="BO324" s="140"/>
      <c r="BP324" s="140"/>
      <c r="BQ324" s="140"/>
      <c r="BR324" s="140"/>
      <c r="BS324" s="140"/>
      <c r="BT324" s="140"/>
      <c r="BU324" s="140"/>
      <c r="BV324" s="140"/>
      <c r="BW324" s="140"/>
      <c r="BX324" s="140"/>
      <c r="BY324" s="140"/>
      <c r="BZ324" s="140"/>
      <c r="CA324" s="140"/>
      <c r="CB324" s="140"/>
      <c r="CC324" s="140"/>
      <c r="CD324" s="140"/>
      <c r="CE324" s="140"/>
      <c r="CF324" s="140"/>
      <c r="CG324" s="140"/>
      <c r="CH324" s="140"/>
      <c r="CI324" s="140"/>
      <c r="CJ324" s="140"/>
      <c r="CK324" s="140"/>
      <c r="CL324" s="140"/>
      <c r="CM324" s="140"/>
      <c r="CN324" s="140"/>
      <c r="CO324" s="140"/>
      <c r="CP324" s="140"/>
      <c r="CQ324" s="140"/>
      <c r="CR324" s="140"/>
      <c r="CS324" s="140"/>
      <c r="CT324" s="140"/>
      <c r="CU324" s="140"/>
      <c r="CV324" s="140"/>
      <c r="CW324" s="140"/>
      <c r="CX324" s="140"/>
      <c r="CY324" s="140"/>
      <c r="CZ324" s="140"/>
      <c r="DA324" s="140"/>
      <c r="DB324" s="140"/>
      <c r="DC324" s="140"/>
      <c r="DD324" s="140"/>
      <c r="DE324" s="140"/>
    </row>
    <row r="325" spans="1:109" s="139" customForma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3"/>
      <c r="U325" s="143"/>
      <c r="V325" s="143"/>
      <c r="W325" s="143"/>
      <c r="X325" s="143"/>
      <c r="Y325" s="143"/>
      <c r="Z325" s="143"/>
      <c r="AA325" s="143"/>
      <c r="AC325" s="140"/>
      <c r="AD325" s="140"/>
      <c r="AE325" s="140"/>
      <c r="AF325" s="140"/>
      <c r="AG325" s="140"/>
      <c r="AH325" s="141"/>
      <c r="AI325" s="143"/>
      <c r="AJ325" s="140"/>
      <c r="AK325" s="140"/>
      <c r="AL325" s="140"/>
      <c r="AM325" s="140"/>
      <c r="AN325" s="140"/>
      <c r="AO325" s="140"/>
      <c r="AP325" s="140"/>
      <c r="AQ325" s="140"/>
      <c r="AR325" s="140"/>
      <c r="AS325" s="140"/>
      <c r="AT325" s="140"/>
      <c r="AU325" s="140"/>
      <c r="AV325" s="140"/>
      <c r="AW325" s="140"/>
      <c r="AX325" s="140"/>
      <c r="AY325" s="140"/>
      <c r="AZ325" s="140"/>
      <c r="BA325" s="140"/>
      <c r="BB325" s="140"/>
      <c r="BC325" s="140"/>
      <c r="BD325" s="140"/>
      <c r="BE325" s="140"/>
      <c r="BF325" s="140"/>
      <c r="BG325" s="140"/>
      <c r="BH325" s="140"/>
      <c r="BI325" s="140"/>
      <c r="BJ325" s="140"/>
      <c r="BK325" s="140"/>
      <c r="BL325" s="140"/>
      <c r="BM325" s="140"/>
      <c r="BN325" s="140"/>
      <c r="BO325" s="140"/>
      <c r="BP325" s="140"/>
      <c r="BQ325" s="140"/>
      <c r="BR325" s="140"/>
      <c r="BS325" s="140"/>
      <c r="BT325" s="140"/>
      <c r="BU325" s="140"/>
      <c r="BV325" s="140"/>
      <c r="BW325" s="140"/>
      <c r="BX325" s="140"/>
      <c r="BY325" s="140"/>
      <c r="BZ325" s="140"/>
      <c r="CA325" s="140"/>
      <c r="CB325" s="140"/>
      <c r="CC325" s="140"/>
      <c r="CD325" s="140"/>
      <c r="CE325" s="140"/>
      <c r="CF325" s="140"/>
      <c r="CG325" s="140"/>
      <c r="CH325" s="140"/>
      <c r="CI325" s="140"/>
      <c r="CJ325" s="140"/>
      <c r="CK325" s="140"/>
      <c r="CL325" s="140"/>
      <c r="CM325" s="140"/>
      <c r="CN325" s="140"/>
      <c r="CO325" s="140"/>
      <c r="CP325" s="140"/>
      <c r="CQ325" s="140"/>
      <c r="CR325" s="140"/>
      <c r="CS325" s="140"/>
      <c r="CT325" s="140"/>
      <c r="CU325" s="140"/>
      <c r="CV325" s="140"/>
      <c r="CW325" s="140"/>
      <c r="CX325" s="140"/>
      <c r="CY325" s="140"/>
      <c r="CZ325" s="140"/>
      <c r="DA325" s="140"/>
      <c r="DB325" s="140"/>
      <c r="DC325" s="140"/>
      <c r="DD325" s="140"/>
      <c r="DE325" s="140"/>
    </row>
    <row r="326" spans="1:109" s="139" customForma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3"/>
      <c r="U326" s="143"/>
      <c r="V326" s="143"/>
      <c r="W326" s="143"/>
      <c r="X326" s="143"/>
      <c r="Y326" s="143"/>
      <c r="Z326" s="143"/>
      <c r="AA326" s="143"/>
      <c r="AC326" s="140"/>
      <c r="AD326" s="140"/>
      <c r="AE326" s="140"/>
      <c r="AF326" s="140"/>
      <c r="AG326" s="140"/>
      <c r="AH326" s="141"/>
      <c r="AI326" s="143"/>
      <c r="AJ326" s="140"/>
      <c r="AK326" s="140"/>
      <c r="AL326" s="140"/>
      <c r="AM326" s="140"/>
      <c r="AN326" s="140"/>
      <c r="AO326" s="140"/>
      <c r="AP326" s="140"/>
      <c r="AQ326" s="140"/>
      <c r="AR326" s="140"/>
      <c r="AS326" s="140"/>
      <c r="AT326" s="140"/>
      <c r="AU326" s="140"/>
      <c r="AV326" s="140"/>
      <c r="AW326" s="140"/>
      <c r="AX326" s="140"/>
      <c r="AY326" s="140"/>
      <c r="AZ326" s="140"/>
      <c r="BA326" s="140"/>
      <c r="BB326" s="140"/>
      <c r="BC326" s="140"/>
      <c r="BD326" s="140"/>
      <c r="BE326" s="140"/>
      <c r="BF326" s="140"/>
      <c r="BG326" s="140"/>
      <c r="BH326" s="140"/>
      <c r="BI326" s="140"/>
      <c r="BJ326" s="140"/>
      <c r="BK326" s="140"/>
      <c r="BL326" s="140"/>
      <c r="BM326" s="140"/>
      <c r="BN326" s="140"/>
      <c r="BO326" s="140"/>
      <c r="BP326" s="140"/>
      <c r="BQ326" s="140"/>
      <c r="BR326" s="140"/>
      <c r="BS326" s="140"/>
      <c r="BT326" s="140"/>
      <c r="BU326" s="140"/>
      <c r="BV326" s="140"/>
      <c r="BW326" s="140"/>
      <c r="BX326" s="140"/>
      <c r="BY326" s="140"/>
      <c r="BZ326" s="140"/>
      <c r="CA326" s="140"/>
      <c r="CB326" s="140"/>
      <c r="CC326" s="140"/>
      <c r="CD326" s="140"/>
      <c r="CE326" s="140"/>
      <c r="CF326" s="140"/>
      <c r="CG326" s="140"/>
      <c r="CH326" s="140"/>
      <c r="CI326" s="140"/>
      <c r="CJ326" s="140"/>
      <c r="CK326" s="140"/>
      <c r="CL326" s="140"/>
      <c r="CM326" s="140"/>
      <c r="CN326" s="140"/>
      <c r="CO326" s="140"/>
      <c r="CP326" s="140"/>
      <c r="CQ326" s="140"/>
      <c r="CR326" s="140"/>
      <c r="CS326" s="140"/>
      <c r="CT326" s="140"/>
      <c r="CU326" s="140"/>
      <c r="CV326" s="140"/>
      <c r="CW326" s="140"/>
      <c r="CX326" s="140"/>
      <c r="CY326" s="140"/>
      <c r="CZ326" s="140"/>
      <c r="DA326" s="140"/>
      <c r="DB326" s="140"/>
      <c r="DC326" s="140"/>
      <c r="DD326" s="140"/>
      <c r="DE326" s="140"/>
    </row>
    <row r="327" spans="1:109" s="139" customForma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3"/>
      <c r="U327" s="143"/>
      <c r="V327" s="143"/>
      <c r="W327" s="143"/>
      <c r="X327" s="143"/>
      <c r="Y327" s="143"/>
      <c r="Z327" s="143"/>
      <c r="AA327" s="143"/>
      <c r="AC327" s="140"/>
      <c r="AD327" s="140"/>
      <c r="AE327" s="140"/>
      <c r="AF327" s="140"/>
      <c r="AG327" s="140"/>
      <c r="AH327" s="141"/>
      <c r="AI327" s="143"/>
      <c r="AJ327" s="140"/>
      <c r="AK327" s="140"/>
      <c r="AL327" s="140"/>
      <c r="AM327" s="140"/>
      <c r="AN327" s="140"/>
      <c r="AO327" s="140"/>
      <c r="AP327" s="140"/>
      <c r="AQ327" s="140"/>
      <c r="AR327" s="140"/>
      <c r="AS327" s="140"/>
      <c r="AT327" s="140"/>
      <c r="AU327" s="140"/>
      <c r="AV327" s="140"/>
      <c r="AW327" s="140"/>
      <c r="AX327" s="140"/>
      <c r="AY327" s="140"/>
      <c r="AZ327" s="140"/>
      <c r="BA327" s="140"/>
      <c r="BB327" s="140"/>
      <c r="BC327" s="140"/>
      <c r="BD327" s="140"/>
      <c r="BE327" s="140"/>
      <c r="BF327" s="140"/>
      <c r="BG327" s="140"/>
      <c r="BH327" s="140"/>
      <c r="BI327" s="140"/>
      <c r="BJ327" s="140"/>
      <c r="BK327" s="140"/>
      <c r="BL327" s="140"/>
      <c r="BM327" s="140"/>
      <c r="BN327" s="140"/>
      <c r="BO327" s="140"/>
      <c r="BP327" s="140"/>
      <c r="BQ327" s="140"/>
      <c r="BR327" s="140"/>
      <c r="BS327" s="140"/>
      <c r="BT327" s="140"/>
      <c r="BU327" s="140"/>
      <c r="BV327" s="140"/>
      <c r="BW327" s="140"/>
      <c r="BX327" s="140"/>
      <c r="BY327" s="140"/>
      <c r="BZ327" s="140"/>
      <c r="CA327" s="140"/>
      <c r="CB327" s="140"/>
      <c r="CC327" s="140"/>
      <c r="CD327" s="140"/>
      <c r="CE327" s="140"/>
      <c r="CF327" s="140"/>
      <c r="CG327" s="140"/>
      <c r="CH327" s="140"/>
      <c r="CI327" s="140"/>
      <c r="CJ327" s="140"/>
      <c r="CK327" s="140"/>
      <c r="CL327" s="140"/>
      <c r="CM327" s="140"/>
      <c r="CN327" s="140"/>
      <c r="CO327" s="140"/>
      <c r="CP327" s="140"/>
      <c r="CQ327" s="140"/>
      <c r="CR327" s="140"/>
      <c r="CS327" s="140"/>
      <c r="CT327" s="140"/>
      <c r="CU327" s="140"/>
      <c r="CV327" s="140"/>
      <c r="CW327" s="140"/>
      <c r="CX327" s="140"/>
      <c r="CY327" s="140"/>
      <c r="CZ327" s="140"/>
      <c r="DA327" s="140"/>
      <c r="DB327" s="140"/>
      <c r="DC327" s="140"/>
      <c r="DD327" s="140"/>
      <c r="DE327" s="140"/>
    </row>
    <row r="328" spans="1:109" s="139" customForma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3"/>
      <c r="U328" s="143"/>
      <c r="V328" s="143"/>
      <c r="W328" s="143"/>
      <c r="X328" s="143"/>
      <c r="Y328" s="143"/>
      <c r="Z328" s="143"/>
      <c r="AA328" s="143"/>
      <c r="AC328" s="140"/>
      <c r="AD328" s="140"/>
      <c r="AE328" s="140"/>
      <c r="AF328" s="140"/>
      <c r="AG328" s="140"/>
      <c r="AH328" s="141"/>
      <c r="AI328" s="143"/>
      <c r="AJ328" s="140"/>
      <c r="AK328" s="140"/>
      <c r="AL328" s="140"/>
      <c r="AM328" s="140"/>
      <c r="AN328" s="140"/>
      <c r="AO328" s="140"/>
      <c r="AP328" s="140"/>
      <c r="AQ328" s="140"/>
      <c r="AR328" s="140"/>
      <c r="AS328" s="140"/>
      <c r="AT328" s="140"/>
      <c r="AU328" s="140"/>
      <c r="AV328" s="140"/>
      <c r="AW328" s="140"/>
      <c r="AX328" s="140"/>
      <c r="AY328" s="140"/>
      <c r="AZ328" s="140"/>
      <c r="BA328" s="140"/>
      <c r="BB328" s="140"/>
      <c r="BC328" s="140"/>
      <c r="BD328" s="140"/>
      <c r="BE328" s="140"/>
      <c r="BF328" s="140"/>
      <c r="BG328" s="140"/>
      <c r="BH328" s="140"/>
      <c r="BI328" s="140"/>
      <c r="BJ328" s="140"/>
      <c r="BK328" s="140"/>
      <c r="BL328" s="140"/>
      <c r="BM328" s="140"/>
      <c r="BN328" s="140"/>
      <c r="BO328" s="140"/>
      <c r="BP328" s="140"/>
      <c r="BQ328" s="140"/>
      <c r="BR328" s="140"/>
      <c r="BS328" s="140"/>
      <c r="BT328" s="140"/>
      <c r="BU328" s="140"/>
      <c r="BV328" s="140"/>
      <c r="BW328" s="140"/>
      <c r="BX328" s="140"/>
      <c r="BY328" s="140"/>
      <c r="BZ328" s="140"/>
      <c r="CA328" s="140"/>
      <c r="CB328" s="140"/>
      <c r="CC328" s="140"/>
      <c r="CD328" s="140"/>
      <c r="CE328" s="140"/>
      <c r="CF328" s="140"/>
      <c r="CG328" s="140"/>
      <c r="CH328" s="140"/>
      <c r="CI328" s="140"/>
      <c r="CJ328" s="140"/>
      <c r="CK328" s="140"/>
      <c r="CL328" s="140"/>
      <c r="CM328" s="140"/>
      <c r="CN328" s="140"/>
      <c r="CO328" s="140"/>
      <c r="CP328" s="140"/>
      <c r="CQ328" s="140"/>
      <c r="CR328" s="140"/>
      <c r="CS328" s="140"/>
      <c r="CT328" s="140"/>
      <c r="CU328" s="140"/>
      <c r="CV328" s="140"/>
      <c r="CW328" s="140"/>
      <c r="CX328" s="140"/>
      <c r="CY328" s="140"/>
      <c r="CZ328" s="140"/>
      <c r="DA328" s="140"/>
      <c r="DB328" s="140"/>
      <c r="DC328" s="140"/>
      <c r="DD328" s="140"/>
      <c r="DE328" s="140"/>
    </row>
    <row r="329" spans="1:109" s="139" customForma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3"/>
      <c r="U329" s="143"/>
      <c r="V329" s="143"/>
      <c r="W329" s="143"/>
      <c r="X329" s="143"/>
      <c r="Y329" s="143"/>
      <c r="Z329" s="143"/>
      <c r="AA329" s="143"/>
      <c r="AC329" s="140"/>
      <c r="AD329" s="140"/>
      <c r="AE329" s="140"/>
      <c r="AF329" s="140"/>
      <c r="AG329" s="140"/>
      <c r="AH329" s="141"/>
      <c r="AI329" s="143"/>
      <c r="AJ329" s="140"/>
      <c r="AK329" s="140"/>
      <c r="AL329" s="140"/>
      <c r="AM329" s="140"/>
      <c r="AN329" s="140"/>
      <c r="AO329" s="140"/>
      <c r="AP329" s="140"/>
      <c r="AQ329" s="140"/>
      <c r="AR329" s="140"/>
      <c r="AS329" s="140"/>
      <c r="AT329" s="140"/>
      <c r="AU329" s="140"/>
      <c r="AV329" s="140"/>
      <c r="AW329" s="140"/>
      <c r="AX329" s="140"/>
      <c r="AY329" s="140"/>
      <c r="AZ329" s="140"/>
      <c r="BA329" s="140"/>
      <c r="BB329" s="140"/>
      <c r="BC329" s="140"/>
      <c r="BD329" s="140"/>
      <c r="BE329" s="140"/>
      <c r="BF329" s="140"/>
      <c r="BG329" s="140"/>
      <c r="BH329" s="140"/>
      <c r="BI329" s="140"/>
      <c r="BJ329" s="140"/>
      <c r="BK329" s="140"/>
      <c r="BL329" s="140"/>
      <c r="BM329" s="140"/>
      <c r="BN329" s="140"/>
      <c r="BO329" s="140"/>
      <c r="BP329" s="140"/>
      <c r="BQ329" s="140"/>
      <c r="BR329" s="140"/>
      <c r="BS329" s="140"/>
      <c r="BT329" s="140"/>
      <c r="BU329" s="140"/>
      <c r="BV329" s="140"/>
      <c r="BW329" s="140"/>
      <c r="BX329" s="140"/>
      <c r="BY329" s="140"/>
      <c r="BZ329" s="140"/>
      <c r="CA329" s="140"/>
      <c r="CB329" s="140"/>
      <c r="CC329" s="140"/>
      <c r="CD329" s="140"/>
      <c r="CE329" s="140"/>
      <c r="CF329" s="140"/>
      <c r="CG329" s="140"/>
      <c r="CH329" s="140"/>
      <c r="CI329" s="140"/>
      <c r="CJ329" s="140"/>
      <c r="CK329" s="140"/>
      <c r="CL329" s="140"/>
      <c r="CM329" s="140"/>
      <c r="CN329" s="140"/>
      <c r="CO329" s="140"/>
      <c r="CP329" s="140"/>
      <c r="CQ329" s="140"/>
      <c r="CR329" s="140"/>
      <c r="CS329" s="140"/>
      <c r="CT329" s="140"/>
      <c r="CU329" s="140"/>
      <c r="CV329" s="140"/>
      <c r="CW329" s="140"/>
      <c r="CX329" s="140"/>
      <c r="CY329" s="140"/>
      <c r="CZ329" s="140"/>
      <c r="DA329" s="140"/>
      <c r="DB329" s="140"/>
      <c r="DC329" s="140"/>
      <c r="DD329" s="140"/>
      <c r="DE329" s="140"/>
    </row>
    <row r="330" spans="1:109" s="139" customForma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3"/>
      <c r="U330" s="143"/>
      <c r="V330" s="143"/>
      <c r="W330" s="143"/>
      <c r="X330" s="143"/>
      <c r="Y330" s="143"/>
      <c r="Z330" s="143"/>
      <c r="AA330" s="143"/>
      <c r="AC330" s="140"/>
      <c r="AD330" s="140"/>
      <c r="AE330" s="140"/>
      <c r="AF330" s="140"/>
      <c r="AG330" s="140"/>
      <c r="AH330" s="141"/>
      <c r="AI330" s="143"/>
      <c r="AJ330" s="140"/>
      <c r="AK330" s="140"/>
      <c r="AL330" s="140"/>
      <c r="AM330" s="140"/>
      <c r="AN330" s="140"/>
      <c r="AO330" s="140"/>
      <c r="AP330" s="140"/>
      <c r="AQ330" s="140"/>
      <c r="AR330" s="140"/>
      <c r="AS330" s="140"/>
      <c r="AT330" s="140"/>
      <c r="AU330" s="140"/>
      <c r="AV330" s="140"/>
      <c r="AW330" s="140"/>
      <c r="AX330" s="140"/>
      <c r="AY330" s="140"/>
      <c r="AZ330" s="140"/>
      <c r="BA330" s="140"/>
      <c r="BB330" s="140"/>
      <c r="BC330" s="140"/>
      <c r="BD330" s="140"/>
      <c r="BE330" s="140"/>
      <c r="BF330" s="140"/>
      <c r="BG330" s="140"/>
      <c r="BH330" s="140"/>
      <c r="BI330" s="140"/>
      <c r="BJ330" s="140"/>
      <c r="BK330" s="140"/>
      <c r="BL330" s="140"/>
      <c r="BM330" s="140"/>
      <c r="BN330" s="140"/>
      <c r="BO330" s="140"/>
      <c r="BP330" s="140"/>
      <c r="BQ330" s="140"/>
      <c r="BR330" s="140"/>
      <c r="BS330" s="140"/>
      <c r="BT330" s="140"/>
      <c r="BU330" s="140"/>
      <c r="BV330" s="140"/>
      <c r="BW330" s="140"/>
      <c r="BX330" s="140"/>
      <c r="BY330" s="140"/>
      <c r="BZ330" s="140"/>
      <c r="CA330" s="140"/>
      <c r="CB330" s="140"/>
      <c r="CC330" s="140"/>
      <c r="CD330" s="140"/>
      <c r="CE330" s="140"/>
      <c r="CF330" s="140"/>
      <c r="CG330" s="140"/>
      <c r="CH330" s="140"/>
      <c r="CI330" s="140"/>
      <c r="CJ330" s="140"/>
      <c r="CK330" s="140"/>
      <c r="CL330" s="140"/>
      <c r="CM330" s="140"/>
      <c r="CN330" s="140"/>
      <c r="CO330" s="140"/>
      <c r="CP330" s="140"/>
      <c r="CQ330" s="140"/>
      <c r="CR330" s="140"/>
      <c r="CS330" s="140"/>
      <c r="CT330" s="140"/>
      <c r="CU330" s="140"/>
      <c r="CV330" s="140"/>
      <c r="CW330" s="140"/>
      <c r="CX330" s="140"/>
      <c r="CY330" s="140"/>
      <c r="CZ330" s="140"/>
      <c r="DA330" s="140"/>
      <c r="DB330" s="140"/>
      <c r="DC330" s="140"/>
      <c r="DD330" s="140"/>
      <c r="DE330" s="140"/>
    </row>
    <row r="331" spans="1:109" s="139" customForma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3"/>
      <c r="U331" s="143"/>
      <c r="V331" s="143"/>
      <c r="W331" s="143"/>
      <c r="X331" s="143"/>
      <c r="Y331" s="143"/>
      <c r="Z331" s="143"/>
      <c r="AA331" s="143"/>
      <c r="AC331" s="140"/>
      <c r="AD331" s="140"/>
      <c r="AE331" s="140"/>
      <c r="AF331" s="140"/>
      <c r="AG331" s="140"/>
      <c r="AH331" s="141"/>
      <c r="AI331" s="143"/>
      <c r="AJ331" s="140"/>
      <c r="AK331" s="140"/>
      <c r="AL331" s="140"/>
      <c r="AM331" s="140"/>
      <c r="AN331" s="140"/>
      <c r="AO331" s="140"/>
      <c r="AP331" s="140"/>
      <c r="AQ331" s="140"/>
      <c r="AR331" s="140"/>
      <c r="AS331" s="140"/>
      <c r="AT331" s="140"/>
      <c r="AU331" s="140"/>
      <c r="AV331" s="140"/>
      <c r="AW331" s="140"/>
      <c r="AX331" s="140"/>
      <c r="AY331" s="140"/>
      <c r="AZ331" s="140"/>
      <c r="BA331" s="140"/>
      <c r="BB331" s="140"/>
      <c r="BC331" s="140"/>
      <c r="BD331" s="140"/>
      <c r="BE331" s="140"/>
      <c r="BF331" s="140"/>
      <c r="BG331" s="140"/>
      <c r="BH331" s="140"/>
      <c r="BI331" s="140"/>
      <c r="BJ331" s="140"/>
      <c r="BK331" s="140"/>
      <c r="BL331" s="140"/>
      <c r="BM331" s="140"/>
      <c r="BN331" s="140"/>
      <c r="BO331" s="140"/>
      <c r="BP331" s="140"/>
      <c r="BQ331" s="140"/>
      <c r="BR331" s="140"/>
      <c r="BS331" s="140"/>
      <c r="BT331" s="140"/>
      <c r="BU331" s="140"/>
      <c r="BV331" s="140"/>
      <c r="BW331" s="140"/>
      <c r="BX331" s="140"/>
      <c r="BY331" s="140"/>
      <c r="BZ331" s="140"/>
      <c r="CA331" s="140"/>
      <c r="CB331" s="140"/>
      <c r="CC331" s="140"/>
      <c r="CD331" s="140"/>
      <c r="CE331" s="140"/>
      <c r="CF331" s="140"/>
      <c r="CG331" s="140"/>
      <c r="CH331" s="140"/>
      <c r="CI331" s="140"/>
      <c r="CJ331" s="140"/>
      <c r="CK331" s="140"/>
      <c r="CL331" s="140"/>
      <c r="CM331" s="140"/>
      <c r="CN331" s="140"/>
      <c r="CO331" s="140"/>
      <c r="CP331" s="140"/>
      <c r="CQ331" s="140"/>
      <c r="CR331" s="140"/>
      <c r="CS331" s="140"/>
      <c r="CT331" s="140"/>
      <c r="CU331" s="140"/>
      <c r="CV331" s="140"/>
      <c r="CW331" s="140"/>
      <c r="CX331" s="140"/>
      <c r="CY331" s="140"/>
      <c r="CZ331" s="140"/>
      <c r="DA331" s="140"/>
      <c r="DB331" s="140"/>
      <c r="DC331" s="140"/>
      <c r="DD331" s="140"/>
      <c r="DE331" s="140"/>
    </row>
    <row r="332" spans="1:109" s="139" customForma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3"/>
      <c r="U332" s="143"/>
      <c r="V332" s="143"/>
      <c r="W332" s="143"/>
      <c r="X332" s="143"/>
      <c r="Y332" s="143"/>
      <c r="Z332" s="143"/>
      <c r="AA332" s="143"/>
      <c r="AC332" s="140"/>
      <c r="AD332" s="140"/>
      <c r="AE332" s="140"/>
      <c r="AF332" s="140"/>
      <c r="AG332" s="140"/>
      <c r="AH332" s="141"/>
      <c r="AI332" s="143"/>
      <c r="AJ332" s="140"/>
      <c r="AK332" s="140"/>
      <c r="AL332" s="140"/>
      <c r="AM332" s="140"/>
      <c r="AN332" s="140"/>
      <c r="AO332" s="140"/>
      <c r="AP332" s="140"/>
      <c r="AQ332" s="140"/>
      <c r="AR332" s="140"/>
      <c r="AS332" s="140"/>
      <c r="AT332" s="140"/>
      <c r="AU332" s="140"/>
      <c r="AV332" s="140"/>
      <c r="AW332" s="140"/>
      <c r="AX332" s="140"/>
      <c r="AY332" s="140"/>
      <c r="AZ332" s="140"/>
      <c r="BA332" s="140"/>
      <c r="BB332" s="140"/>
      <c r="BC332" s="140"/>
      <c r="BD332" s="140"/>
      <c r="BE332" s="140"/>
      <c r="BF332" s="140"/>
      <c r="BG332" s="140"/>
      <c r="BH332" s="140"/>
      <c r="BI332" s="140"/>
      <c r="BJ332" s="140"/>
      <c r="BK332" s="140"/>
      <c r="BL332" s="140"/>
      <c r="BM332" s="140"/>
      <c r="BN332" s="140"/>
      <c r="BO332" s="140"/>
      <c r="BP332" s="140"/>
      <c r="BQ332" s="140"/>
      <c r="BR332" s="140"/>
      <c r="BS332" s="140"/>
      <c r="BT332" s="140"/>
      <c r="BU332" s="140"/>
      <c r="BV332" s="140"/>
      <c r="BW332" s="140"/>
      <c r="BX332" s="140"/>
      <c r="BY332" s="140"/>
      <c r="BZ332" s="140"/>
      <c r="CA332" s="140"/>
      <c r="CB332" s="140"/>
      <c r="CC332" s="140"/>
      <c r="CD332" s="140"/>
      <c r="CE332" s="140"/>
      <c r="CF332" s="140"/>
      <c r="CG332" s="140"/>
      <c r="CH332" s="140"/>
      <c r="CI332" s="140"/>
      <c r="CJ332" s="140"/>
      <c r="CK332" s="140"/>
      <c r="CL332" s="140"/>
      <c r="CM332" s="140"/>
      <c r="CN332" s="140"/>
      <c r="CO332" s="140"/>
      <c r="CP332" s="140"/>
      <c r="CQ332" s="140"/>
      <c r="CR332" s="140"/>
      <c r="CS332" s="140"/>
      <c r="CT332" s="140"/>
      <c r="CU332" s="140"/>
      <c r="CV332" s="140"/>
      <c r="CW332" s="140"/>
      <c r="CX332" s="140"/>
      <c r="CY332" s="140"/>
      <c r="CZ332" s="140"/>
      <c r="DA332" s="140"/>
      <c r="DB332" s="140"/>
      <c r="DC332" s="140"/>
      <c r="DD332" s="140"/>
      <c r="DE332" s="140"/>
    </row>
    <row r="333" spans="1:109" s="139" customForma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3"/>
      <c r="U333" s="143"/>
      <c r="V333" s="143"/>
      <c r="W333" s="143"/>
      <c r="X333" s="143"/>
      <c r="Y333" s="143"/>
      <c r="Z333" s="143"/>
      <c r="AA333" s="143"/>
      <c r="AC333" s="140"/>
      <c r="AD333" s="140"/>
      <c r="AE333" s="140"/>
      <c r="AF333" s="140"/>
      <c r="AG333" s="140"/>
      <c r="AH333" s="141"/>
      <c r="AI333" s="143"/>
      <c r="AJ333" s="140"/>
      <c r="AK333" s="140"/>
      <c r="AL333" s="140"/>
      <c r="AM333" s="140"/>
      <c r="AN333" s="140"/>
      <c r="AO333" s="140"/>
      <c r="AP333" s="140"/>
      <c r="AQ333" s="140"/>
      <c r="AR333" s="140"/>
      <c r="AS333" s="140"/>
      <c r="AT333" s="140"/>
      <c r="AU333" s="140"/>
      <c r="AV333" s="140"/>
      <c r="AW333" s="140"/>
      <c r="AX333" s="140"/>
      <c r="AY333" s="140"/>
      <c r="AZ333" s="140"/>
      <c r="BA333" s="140"/>
      <c r="BB333" s="140"/>
      <c r="BC333" s="140"/>
      <c r="BD333" s="140"/>
      <c r="BE333" s="140"/>
      <c r="BF333" s="140"/>
      <c r="BG333" s="140"/>
      <c r="BH333" s="140"/>
      <c r="BI333" s="140"/>
      <c r="BJ333" s="140"/>
      <c r="BK333" s="140"/>
      <c r="BL333" s="140"/>
      <c r="BM333" s="140"/>
      <c r="BN333" s="140"/>
      <c r="BO333" s="140"/>
      <c r="BP333" s="140"/>
      <c r="BQ333" s="140"/>
      <c r="BR333" s="140"/>
      <c r="BS333" s="140"/>
      <c r="BT333" s="140"/>
      <c r="BU333" s="140"/>
      <c r="BV333" s="140"/>
      <c r="BW333" s="140"/>
      <c r="BX333" s="140"/>
      <c r="BY333" s="140"/>
      <c r="BZ333" s="140"/>
      <c r="CA333" s="140"/>
      <c r="CB333" s="140"/>
      <c r="CC333" s="140"/>
      <c r="CD333" s="140"/>
      <c r="CE333" s="140"/>
      <c r="CF333" s="140"/>
      <c r="CG333" s="140"/>
      <c r="CH333" s="140"/>
      <c r="CI333" s="140"/>
      <c r="CJ333" s="140"/>
      <c r="CK333" s="140"/>
      <c r="CL333" s="140"/>
      <c r="CM333" s="140"/>
      <c r="CN333" s="140"/>
      <c r="CO333" s="140"/>
      <c r="CP333" s="140"/>
      <c r="CQ333" s="140"/>
      <c r="CR333" s="140"/>
      <c r="CS333" s="140"/>
      <c r="CT333" s="140"/>
      <c r="CU333" s="140"/>
      <c r="CV333" s="140"/>
      <c r="CW333" s="140"/>
      <c r="CX333" s="140"/>
      <c r="CY333" s="140"/>
      <c r="CZ333" s="140"/>
      <c r="DA333" s="140"/>
      <c r="DB333" s="140"/>
      <c r="DC333" s="140"/>
      <c r="DD333" s="140"/>
      <c r="DE333" s="140"/>
    </row>
    <row r="334" spans="1:109" s="139" customForma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3"/>
      <c r="U334" s="143"/>
      <c r="V334" s="143"/>
      <c r="W334" s="143"/>
      <c r="X334" s="143"/>
      <c r="Y334" s="143"/>
      <c r="Z334" s="143"/>
      <c r="AA334" s="143"/>
      <c r="AC334" s="140"/>
      <c r="AD334" s="140"/>
      <c r="AE334" s="140"/>
      <c r="AF334" s="140"/>
      <c r="AG334" s="140"/>
      <c r="AH334" s="141"/>
      <c r="AI334" s="143"/>
      <c r="AJ334" s="140"/>
      <c r="AK334" s="140"/>
      <c r="AL334" s="140"/>
      <c r="AM334" s="140"/>
      <c r="AN334" s="140"/>
      <c r="AO334" s="140"/>
      <c r="AP334" s="140"/>
      <c r="AQ334" s="140"/>
      <c r="AR334" s="140"/>
      <c r="AS334" s="140"/>
      <c r="AT334" s="140"/>
      <c r="AU334" s="140"/>
      <c r="AV334" s="140"/>
      <c r="AW334" s="140"/>
      <c r="AX334" s="140"/>
      <c r="AY334" s="140"/>
      <c r="AZ334" s="140"/>
      <c r="BA334" s="140"/>
      <c r="BB334" s="140"/>
      <c r="BC334" s="140"/>
      <c r="BD334" s="140"/>
      <c r="BE334" s="140"/>
      <c r="BF334" s="140"/>
      <c r="BG334" s="140"/>
      <c r="BH334" s="140"/>
      <c r="BI334" s="140"/>
      <c r="BJ334" s="140"/>
      <c r="BK334" s="140"/>
      <c r="BL334" s="140"/>
      <c r="BM334" s="140"/>
      <c r="BN334" s="140"/>
      <c r="BO334" s="140"/>
      <c r="BP334" s="140"/>
      <c r="BQ334" s="140"/>
      <c r="BR334" s="140"/>
      <c r="BS334" s="140"/>
      <c r="BT334" s="140"/>
      <c r="BU334" s="140"/>
      <c r="BV334" s="140"/>
      <c r="BW334" s="140"/>
      <c r="BX334" s="140"/>
      <c r="BY334" s="140"/>
      <c r="BZ334" s="140"/>
      <c r="CA334" s="140"/>
      <c r="CB334" s="140"/>
      <c r="CC334" s="140"/>
      <c r="CD334" s="140"/>
      <c r="CE334" s="140"/>
      <c r="CF334" s="140"/>
      <c r="CG334" s="140"/>
      <c r="CH334" s="140"/>
      <c r="CI334" s="140"/>
      <c r="CJ334" s="140"/>
      <c r="CK334" s="140"/>
      <c r="CL334" s="140"/>
      <c r="CM334" s="140"/>
      <c r="CN334" s="140"/>
      <c r="CO334" s="140"/>
      <c r="CP334" s="140"/>
      <c r="CQ334" s="140"/>
      <c r="CR334" s="140"/>
      <c r="CS334" s="140"/>
      <c r="CT334" s="140"/>
      <c r="CU334" s="140"/>
      <c r="CV334" s="140"/>
      <c r="CW334" s="140"/>
      <c r="CX334" s="140"/>
      <c r="CY334" s="140"/>
      <c r="CZ334" s="140"/>
      <c r="DA334" s="140"/>
      <c r="DB334" s="140"/>
      <c r="DC334" s="140"/>
      <c r="DD334" s="140"/>
      <c r="DE334" s="140"/>
    </row>
    <row r="335" spans="1:109" s="139" customForma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3"/>
      <c r="U335" s="143"/>
      <c r="V335" s="143"/>
      <c r="W335" s="143"/>
      <c r="X335" s="143"/>
      <c r="Y335" s="143"/>
      <c r="Z335" s="143"/>
      <c r="AA335" s="143"/>
      <c r="AC335" s="140"/>
      <c r="AD335" s="140"/>
      <c r="AE335" s="140"/>
      <c r="AF335" s="140"/>
      <c r="AG335" s="140"/>
      <c r="AH335" s="141"/>
      <c r="AI335" s="143"/>
      <c r="AJ335" s="140"/>
      <c r="AK335" s="140"/>
      <c r="AL335" s="140"/>
      <c r="AM335" s="140"/>
      <c r="AN335" s="140"/>
      <c r="AO335" s="140"/>
      <c r="AP335" s="140"/>
      <c r="AQ335" s="140"/>
      <c r="AR335" s="140"/>
      <c r="AS335" s="140"/>
      <c r="AT335" s="140"/>
      <c r="AU335" s="140"/>
      <c r="AV335" s="140"/>
      <c r="AW335" s="140"/>
      <c r="AX335" s="140"/>
      <c r="AY335" s="140"/>
      <c r="AZ335" s="140"/>
      <c r="BA335" s="140"/>
      <c r="BB335" s="140"/>
      <c r="BC335" s="140"/>
      <c r="BD335" s="140"/>
      <c r="BE335" s="140"/>
      <c r="BF335" s="140"/>
      <c r="BG335" s="140"/>
      <c r="BH335" s="140"/>
      <c r="BI335" s="140"/>
      <c r="BJ335" s="140"/>
      <c r="BK335" s="140"/>
      <c r="BL335" s="140"/>
      <c r="BM335" s="140"/>
      <c r="BN335" s="140"/>
      <c r="BO335" s="140"/>
      <c r="BP335" s="140"/>
      <c r="BQ335" s="140"/>
      <c r="BR335" s="140"/>
      <c r="BS335" s="140"/>
      <c r="BT335" s="140"/>
      <c r="BU335" s="140"/>
      <c r="BV335" s="140"/>
      <c r="BW335" s="140"/>
      <c r="BX335" s="140"/>
      <c r="BY335" s="140"/>
      <c r="BZ335" s="140"/>
      <c r="CA335" s="140"/>
      <c r="CB335" s="140"/>
      <c r="CC335" s="140"/>
      <c r="CD335" s="140"/>
      <c r="CE335" s="140"/>
      <c r="CF335" s="140"/>
      <c r="CG335" s="140"/>
      <c r="CH335" s="140"/>
      <c r="CI335" s="140"/>
      <c r="CJ335" s="140"/>
      <c r="CK335" s="140"/>
      <c r="CL335" s="140"/>
      <c r="CM335" s="140"/>
      <c r="CN335" s="140"/>
      <c r="CO335" s="140"/>
      <c r="CP335" s="140"/>
      <c r="CQ335" s="140"/>
      <c r="CR335" s="140"/>
      <c r="CS335" s="140"/>
      <c r="CT335" s="140"/>
      <c r="CU335" s="140"/>
      <c r="CV335" s="140"/>
      <c r="CW335" s="140"/>
      <c r="CX335" s="140"/>
      <c r="CY335" s="140"/>
      <c r="CZ335" s="140"/>
      <c r="DA335" s="140"/>
      <c r="DB335" s="140"/>
      <c r="DC335" s="140"/>
      <c r="DD335" s="140"/>
      <c r="DE335" s="140"/>
    </row>
    <row r="336" spans="1:109" s="139" customForma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3"/>
      <c r="U336" s="143"/>
      <c r="V336" s="143"/>
      <c r="W336" s="143"/>
      <c r="X336" s="143"/>
      <c r="Y336" s="143"/>
      <c r="Z336" s="143"/>
      <c r="AA336" s="143"/>
      <c r="AC336" s="140"/>
      <c r="AD336" s="140"/>
      <c r="AE336" s="140"/>
      <c r="AF336" s="140"/>
      <c r="AG336" s="140"/>
      <c r="AH336" s="141"/>
      <c r="AI336" s="143"/>
      <c r="AJ336" s="140"/>
      <c r="AK336" s="140"/>
      <c r="AL336" s="140"/>
      <c r="AM336" s="140"/>
      <c r="AN336" s="140"/>
      <c r="AO336" s="140"/>
      <c r="AP336" s="140"/>
      <c r="AQ336" s="140"/>
      <c r="AR336" s="140"/>
      <c r="AS336" s="140"/>
      <c r="AT336" s="140"/>
      <c r="AU336" s="140"/>
      <c r="AV336" s="140"/>
      <c r="AW336" s="140"/>
      <c r="AX336" s="140"/>
      <c r="AY336" s="140"/>
      <c r="AZ336" s="140"/>
      <c r="BA336" s="140"/>
      <c r="BB336" s="140"/>
      <c r="BC336" s="140"/>
      <c r="BD336" s="140"/>
      <c r="BE336" s="140"/>
      <c r="BF336" s="140"/>
      <c r="BG336" s="140"/>
      <c r="BH336" s="140"/>
      <c r="BI336" s="140"/>
      <c r="BJ336" s="140"/>
      <c r="BK336" s="140"/>
      <c r="BL336" s="140"/>
      <c r="BM336" s="140"/>
      <c r="BN336" s="140"/>
      <c r="BO336" s="140"/>
      <c r="BP336" s="140"/>
      <c r="BQ336" s="140"/>
      <c r="BR336" s="140"/>
      <c r="BS336" s="140"/>
      <c r="BT336" s="140"/>
      <c r="BU336" s="140"/>
      <c r="BV336" s="140"/>
      <c r="BW336" s="140"/>
      <c r="BX336" s="140"/>
      <c r="BY336" s="140"/>
      <c r="BZ336" s="140"/>
      <c r="CA336" s="140"/>
      <c r="CB336" s="140"/>
      <c r="CC336" s="140"/>
      <c r="CD336" s="140"/>
      <c r="CE336" s="140"/>
      <c r="CF336" s="140"/>
      <c r="CG336" s="140"/>
      <c r="CH336" s="140"/>
      <c r="CI336" s="140"/>
      <c r="CJ336" s="140"/>
      <c r="CK336" s="140"/>
      <c r="CL336" s="140"/>
      <c r="CM336" s="140"/>
      <c r="CN336" s="140"/>
      <c r="CO336" s="140"/>
      <c r="CP336" s="140"/>
      <c r="CQ336" s="140"/>
      <c r="CR336" s="140"/>
      <c r="CS336" s="140"/>
      <c r="CT336" s="140"/>
      <c r="CU336" s="140"/>
      <c r="CV336" s="140"/>
      <c r="CW336" s="140"/>
      <c r="CX336" s="140"/>
      <c r="CY336" s="140"/>
      <c r="CZ336" s="140"/>
      <c r="DA336" s="140"/>
      <c r="DB336" s="140"/>
      <c r="DC336" s="140"/>
      <c r="DD336" s="140"/>
      <c r="DE336" s="140"/>
    </row>
    <row r="337" spans="1:109" s="139" customForma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3"/>
      <c r="U337" s="143"/>
      <c r="V337" s="143"/>
      <c r="W337" s="143"/>
      <c r="X337" s="143"/>
      <c r="Y337" s="143"/>
      <c r="Z337" s="143"/>
      <c r="AA337" s="143"/>
      <c r="AC337" s="140"/>
      <c r="AD337" s="140"/>
      <c r="AE337" s="140"/>
      <c r="AF337" s="140"/>
      <c r="AG337" s="140"/>
      <c r="AH337" s="141"/>
      <c r="AI337" s="143"/>
      <c r="AJ337" s="140"/>
      <c r="AK337" s="140"/>
      <c r="AL337" s="140"/>
      <c r="AM337" s="140"/>
      <c r="AN337" s="140"/>
      <c r="AO337" s="140"/>
      <c r="AP337" s="140"/>
      <c r="AQ337" s="140"/>
      <c r="AR337" s="140"/>
      <c r="AS337" s="140"/>
      <c r="AT337" s="140"/>
      <c r="AU337" s="140"/>
      <c r="AV337" s="140"/>
      <c r="AW337" s="140"/>
      <c r="AX337" s="140"/>
      <c r="AY337" s="140"/>
      <c r="AZ337" s="140"/>
      <c r="BA337" s="140"/>
      <c r="BB337" s="140"/>
      <c r="BC337" s="140"/>
      <c r="BD337" s="140"/>
      <c r="BE337" s="140"/>
      <c r="BF337" s="140"/>
      <c r="BG337" s="140"/>
      <c r="BH337" s="140"/>
      <c r="BI337" s="140"/>
      <c r="BJ337" s="140"/>
      <c r="BK337" s="140"/>
      <c r="BL337" s="140"/>
      <c r="BM337" s="140"/>
      <c r="BN337" s="140"/>
      <c r="BO337" s="140"/>
      <c r="BP337" s="140"/>
      <c r="BQ337" s="140"/>
      <c r="BR337" s="140"/>
      <c r="BS337" s="140"/>
      <c r="BT337" s="140"/>
      <c r="BU337" s="140"/>
      <c r="BV337" s="140"/>
      <c r="BW337" s="140"/>
      <c r="BX337" s="140"/>
      <c r="BY337" s="140"/>
      <c r="BZ337" s="140"/>
      <c r="CA337" s="140"/>
      <c r="CB337" s="140"/>
      <c r="CC337" s="140"/>
      <c r="CD337" s="140"/>
      <c r="CE337" s="140"/>
      <c r="CF337" s="140"/>
      <c r="CG337" s="140"/>
      <c r="CH337" s="140"/>
      <c r="CI337" s="140"/>
      <c r="CJ337" s="140"/>
      <c r="CK337" s="140"/>
      <c r="CL337" s="140"/>
      <c r="CM337" s="140"/>
      <c r="CN337" s="140"/>
      <c r="CO337" s="140"/>
      <c r="CP337" s="140"/>
      <c r="CQ337" s="140"/>
      <c r="CR337" s="140"/>
      <c r="CS337" s="140"/>
      <c r="CT337" s="140"/>
      <c r="CU337" s="140"/>
      <c r="CV337" s="140"/>
      <c r="CW337" s="140"/>
      <c r="CX337" s="140"/>
      <c r="CY337" s="140"/>
      <c r="CZ337" s="140"/>
      <c r="DA337" s="140"/>
      <c r="DB337" s="140"/>
      <c r="DC337" s="140"/>
      <c r="DD337" s="140"/>
      <c r="DE337" s="140"/>
    </row>
    <row r="338" spans="1:109" s="139" customForma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3"/>
      <c r="U338" s="143"/>
      <c r="V338" s="143"/>
      <c r="W338" s="143"/>
      <c r="X338" s="143"/>
      <c r="Y338" s="143"/>
      <c r="Z338" s="143"/>
      <c r="AA338" s="143"/>
      <c r="AC338" s="140"/>
      <c r="AD338" s="140"/>
      <c r="AE338" s="140"/>
      <c r="AF338" s="140"/>
      <c r="AG338" s="140"/>
      <c r="AH338" s="141"/>
      <c r="AI338" s="143"/>
      <c r="AJ338" s="140"/>
      <c r="AK338" s="140"/>
      <c r="AL338" s="140"/>
      <c r="AM338" s="140"/>
      <c r="AN338" s="140"/>
      <c r="AO338" s="140"/>
      <c r="AP338" s="140"/>
      <c r="AQ338" s="140"/>
      <c r="AR338" s="140"/>
      <c r="AS338" s="140"/>
      <c r="AT338" s="140"/>
      <c r="AU338" s="140"/>
      <c r="AV338" s="140"/>
      <c r="AW338" s="140"/>
      <c r="AX338" s="140"/>
      <c r="AY338" s="140"/>
      <c r="AZ338" s="140"/>
      <c r="BA338" s="140"/>
      <c r="BB338" s="140"/>
      <c r="BC338" s="140"/>
      <c r="BD338" s="140"/>
      <c r="BE338" s="140"/>
      <c r="BF338" s="140"/>
      <c r="BG338" s="140"/>
      <c r="BH338" s="140"/>
      <c r="BI338" s="140"/>
      <c r="BJ338" s="140"/>
      <c r="BK338" s="140"/>
      <c r="BL338" s="140"/>
      <c r="BM338" s="140"/>
      <c r="BN338" s="140"/>
      <c r="BO338" s="140"/>
      <c r="BP338" s="140"/>
      <c r="BQ338" s="140"/>
      <c r="BR338" s="140"/>
      <c r="BS338" s="140"/>
      <c r="BT338" s="140"/>
      <c r="BU338" s="140"/>
      <c r="BV338" s="140"/>
      <c r="BW338" s="140"/>
      <c r="BX338" s="140"/>
      <c r="BY338" s="140"/>
      <c r="BZ338" s="140"/>
      <c r="CA338" s="140"/>
      <c r="CB338" s="140"/>
      <c r="CC338" s="140"/>
      <c r="CD338" s="140"/>
      <c r="CE338" s="140"/>
      <c r="CF338" s="140"/>
      <c r="CG338" s="140"/>
      <c r="CH338" s="140"/>
      <c r="CI338" s="140"/>
      <c r="CJ338" s="140"/>
      <c r="CK338" s="140"/>
      <c r="CL338" s="140"/>
      <c r="CM338" s="140"/>
      <c r="CN338" s="140"/>
      <c r="CO338" s="140"/>
      <c r="CP338" s="140"/>
      <c r="CQ338" s="140"/>
      <c r="CR338" s="140"/>
      <c r="CS338" s="140"/>
      <c r="CT338" s="140"/>
      <c r="CU338" s="140"/>
      <c r="CV338" s="140"/>
      <c r="CW338" s="140"/>
      <c r="CX338" s="140"/>
      <c r="CY338" s="140"/>
      <c r="CZ338" s="140"/>
      <c r="DA338" s="140"/>
      <c r="DB338" s="140"/>
      <c r="DC338" s="140"/>
      <c r="DD338" s="140"/>
      <c r="DE338" s="140"/>
    </row>
    <row r="339" spans="1:109" s="139" customForma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3"/>
      <c r="U339" s="143"/>
      <c r="V339" s="143"/>
      <c r="W339" s="143"/>
      <c r="X339" s="143"/>
      <c r="Y339" s="143"/>
      <c r="Z339" s="143"/>
      <c r="AA339" s="143"/>
      <c r="AC339" s="140"/>
      <c r="AD339" s="140"/>
      <c r="AE339" s="140"/>
      <c r="AF339" s="140"/>
      <c r="AG339" s="140"/>
      <c r="AH339" s="141"/>
      <c r="AI339" s="143"/>
      <c r="AJ339" s="140"/>
      <c r="AK339" s="140"/>
      <c r="AL339" s="140"/>
      <c r="AM339" s="140"/>
      <c r="AN339" s="140"/>
      <c r="AO339" s="140"/>
      <c r="AP339" s="140"/>
      <c r="AQ339" s="140"/>
      <c r="AR339" s="140"/>
      <c r="AS339" s="140"/>
      <c r="AT339" s="140"/>
      <c r="AU339" s="140"/>
      <c r="AV339" s="140"/>
      <c r="AW339" s="140"/>
      <c r="AX339" s="140"/>
      <c r="AY339" s="140"/>
      <c r="AZ339" s="140"/>
      <c r="BA339" s="140"/>
      <c r="BB339" s="140"/>
      <c r="BC339" s="140"/>
      <c r="BD339" s="140"/>
      <c r="BE339" s="140"/>
      <c r="BF339" s="140"/>
      <c r="BG339" s="140"/>
      <c r="BH339" s="140"/>
      <c r="BI339" s="140"/>
      <c r="BJ339" s="140"/>
      <c r="BK339" s="140"/>
      <c r="BL339" s="140"/>
      <c r="BM339" s="140"/>
      <c r="BN339" s="140"/>
      <c r="BO339" s="140"/>
      <c r="BP339" s="140"/>
      <c r="BQ339" s="140"/>
      <c r="BR339" s="140"/>
      <c r="BS339" s="140"/>
      <c r="BT339" s="140"/>
      <c r="BU339" s="140"/>
      <c r="BV339" s="140"/>
      <c r="BW339" s="140"/>
      <c r="BX339" s="140"/>
      <c r="BY339" s="140"/>
      <c r="BZ339" s="140"/>
      <c r="CA339" s="140"/>
      <c r="CB339" s="140"/>
      <c r="CC339" s="140"/>
      <c r="CD339" s="140"/>
      <c r="CE339" s="140"/>
      <c r="CF339" s="140"/>
      <c r="CG339" s="140"/>
      <c r="CH339" s="140"/>
      <c r="CI339" s="140"/>
      <c r="CJ339" s="140"/>
      <c r="CK339" s="140"/>
      <c r="CL339" s="140"/>
      <c r="CM339" s="140"/>
      <c r="CN339" s="140"/>
      <c r="CO339" s="140"/>
      <c r="CP339" s="140"/>
      <c r="CQ339" s="140"/>
      <c r="CR339" s="140"/>
      <c r="CS339" s="140"/>
      <c r="CT339" s="140"/>
      <c r="CU339" s="140"/>
      <c r="CV339" s="140"/>
      <c r="CW339" s="140"/>
      <c r="CX339" s="140"/>
      <c r="CY339" s="140"/>
      <c r="CZ339" s="140"/>
      <c r="DA339" s="140"/>
      <c r="DB339" s="140"/>
      <c r="DC339" s="140"/>
      <c r="DD339" s="140"/>
      <c r="DE339" s="140"/>
    </row>
    <row r="340" spans="1:109" s="139" customForma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3"/>
      <c r="U340" s="143"/>
      <c r="V340" s="143"/>
      <c r="W340" s="143"/>
      <c r="X340" s="143"/>
      <c r="Y340" s="143"/>
      <c r="Z340" s="143"/>
      <c r="AA340" s="143"/>
      <c r="AC340" s="140"/>
      <c r="AD340" s="140"/>
      <c r="AE340" s="140"/>
      <c r="AF340" s="140"/>
      <c r="AG340" s="140"/>
      <c r="AH340" s="141"/>
      <c r="AI340" s="143"/>
      <c r="AJ340" s="140"/>
      <c r="AK340" s="140"/>
      <c r="AL340" s="140"/>
      <c r="AM340" s="140"/>
      <c r="AN340" s="140"/>
      <c r="AO340" s="140"/>
      <c r="AP340" s="140"/>
      <c r="AQ340" s="140"/>
      <c r="AR340" s="140"/>
      <c r="AS340" s="140"/>
      <c r="AT340" s="140"/>
      <c r="AU340" s="140"/>
      <c r="AV340" s="140"/>
      <c r="AW340" s="140"/>
      <c r="AX340" s="140"/>
      <c r="AY340" s="140"/>
      <c r="AZ340" s="140"/>
      <c r="BA340" s="140"/>
      <c r="BB340" s="140"/>
      <c r="BC340" s="140"/>
      <c r="BD340" s="140"/>
      <c r="BE340" s="140"/>
      <c r="BF340" s="140"/>
      <c r="BG340" s="140"/>
      <c r="BH340" s="140"/>
      <c r="BI340" s="140"/>
      <c r="BJ340" s="140"/>
      <c r="BK340" s="140"/>
      <c r="BL340" s="140"/>
      <c r="BM340" s="140"/>
      <c r="BN340" s="140"/>
      <c r="BO340" s="140"/>
      <c r="BP340" s="140"/>
      <c r="BQ340" s="140"/>
      <c r="BR340" s="140"/>
      <c r="BS340" s="140"/>
      <c r="BT340" s="140"/>
      <c r="BU340" s="140"/>
      <c r="BV340" s="140"/>
      <c r="BW340" s="140"/>
      <c r="BX340" s="140"/>
      <c r="BY340" s="140"/>
      <c r="BZ340" s="140"/>
      <c r="CA340" s="140"/>
      <c r="CB340" s="140"/>
      <c r="CC340" s="140"/>
      <c r="CD340" s="140"/>
      <c r="CE340" s="140"/>
      <c r="CF340" s="140"/>
      <c r="CG340" s="140"/>
      <c r="CH340" s="140"/>
      <c r="CI340" s="140"/>
      <c r="CJ340" s="140"/>
      <c r="CK340" s="140"/>
      <c r="CL340" s="140"/>
      <c r="CM340" s="140"/>
      <c r="CN340" s="140"/>
      <c r="CO340" s="140"/>
      <c r="CP340" s="140"/>
      <c r="CQ340" s="140"/>
      <c r="CR340" s="140"/>
      <c r="CS340" s="140"/>
      <c r="CT340" s="140"/>
      <c r="CU340" s="140"/>
      <c r="CV340" s="140"/>
      <c r="CW340" s="140"/>
      <c r="CX340" s="140"/>
      <c r="CY340" s="140"/>
      <c r="CZ340" s="140"/>
      <c r="DA340" s="140"/>
      <c r="DB340" s="140"/>
      <c r="DC340" s="140"/>
      <c r="DD340" s="140"/>
      <c r="DE340" s="140"/>
    </row>
    <row r="341" spans="1:109" s="139" customForma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3"/>
      <c r="U341" s="143"/>
      <c r="V341" s="143"/>
      <c r="W341" s="143"/>
      <c r="X341" s="143"/>
      <c r="Y341" s="143"/>
      <c r="Z341" s="143"/>
      <c r="AA341" s="143"/>
      <c r="AC341" s="140"/>
      <c r="AD341" s="140"/>
      <c r="AE341" s="140"/>
      <c r="AF341" s="140"/>
      <c r="AG341" s="140"/>
      <c r="AH341" s="141"/>
      <c r="AI341" s="143"/>
      <c r="AJ341" s="140"/>
      <c r="AK341" s="140"/>
      <c r="AL341" s="140"/>
      <c r="AM341" s="140"/>
      <c r="AN341" s="140"/>
      <c r="AO341" s="140"/>
      <c r="AP341" s="140"/>
      <c r="AQ341" s="140"/>
      <c r="AR341" s="140"/>
      <c r="AS341" s="140"/>
      <c r="AT341" s="140"/>
      <c r="AU341" s="140"/>
      <c r="AV341" s="140"/>
      <c r="AW341" s="140"/>
      <c r="AX341" s="140"/>
      <c r="AY341" s="140"/>
      <c r="AZ341" s="140"/>
      <c r="BA341" s="140"/>
      <c r="BB341" s="140"/>
      <c r="BC341" s="140"/>
      <c r="BD341" s="140"/>
      <c r="BE341" s="140"/>
      <c r="BF341" s="140"/>
      <c r="BG341" s="140"/>
      <c r="BH341" s="140"/>
      <c r="BI341" s="140"/>
      <c r="BJ341" s="140"/>
      <c r="BK341" s="140"/>
      <c r="BL341" s="140"/>
      <c r="BM341" s="140"/>
      <c r="BN341" s="140"/>
      <c r="BO341" s="140"/>
      <c r="BP341" s="140"/>
      <c r="BQ341" s="140"/>
      <c r="BR341" s="140"/>
      <c r="BS341" s="140"/>
      <c r="BT341" s="140"/>
      <c r="BU341" s="140"/>
      <c r="BV341" s="140"/>
      <c r="BW341" s="140"/>
      <c r="BX341" s="140"/>
      <c r="BY341" s="140"/>
      <c r="BZ341" s="140"/>
      <c r="CA341" s="140"/>
      <c r="CB341" s="140"/>
      <c r="CC341" s="140"/>
      <c r="CD341" s="140"/>
      <c r="CE341" s="140"/>
      <c r="CF341" s="140"/>
      <c r="CG341" s="140"/>
      <c r="CH341" s="140"/>
      <c r="CI341" s="140"/>
      <c r="CJ341" s="140"/>
      <c r="CK341" s="140"/>
      <c r="CL341" s="140"/>
      <c r="CM341" s="140"/>
      <c r="CN341" s="140"/>
      <c r="CO341" s="140"/>
      <c r="CP341" s="140"/>
      <c r="CQ341" s="140"/>
      <c r="CR341" s="140"/>
      <c r="CS341" s="140"/>
      <c r="CT341" s="140"/>
      <c r="CU341" s="140"/>
      <c r="CV341" s="140"/>
      <c r="CW341" s="140"/>
      <c r="CX341" s="140"/>
      <c r="CY341" s="140"/>
      <c r="CZ341" s="140"/>
      <c r="DA341" s="140"/>
      <c r="DB341" s="140"/>
      <c r="DC341" s="140"/>
      <c r="DD341" s="140"/>
      <c r="DE341" s="140"/>
    </row>
    <row r="342" spans="1:109" s="139" customForma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3"/>
      <c r="U342" s="143"/>
      <c r="V342" s="143"/>
      <c r="W342" s="143"/>
      <c r="X342" s="143"/>
      <c r="Y342" s="143"/>
      <c r="Z342" s="143"/>
      <c r="AA342" s="143"/>
      <c r="AC342" s="140"/>
      <c r="AD342" s="140"/>
      <c r="AE342" s="140"/>
      <c r="AF342" s="140"/>
      <c r="AG342" s="140"/>
      <c r="AH342" s="141"/>
      <c r="AI342" s="143"/>
      <c r="AJ342" s="140"/>
      <c r="AK342" s="140"/>
      <c r="AL342" s="140"/>
      <c r="AM342" s="140"/>
      <c r="AN342" s="140"/>
      <c r="AO342" s="140"/>
      <c r="AP342" s="140"/>
      <c r="AQ342" s="140"/>
      <c r="AR342" s="140"/>
      <c r="AS342" s="140"/>
      <c r="AT342" s="140"/>
      <c r="AU342" s="140"/>
      <c r="AV342" s="140"/>
      <c r="AW342" s="140"/>
      <c r="AX342" s="140"/>
      <c r="AY342" s="140"/>
      <c r="AZ342" s="140"/>
      <c r="BA342" s="140"/>
      <c r="BB342" s="140"/>
      <c r="BC342" s="140"/>
      <c r="BD342" s="140"/>
      <c r="BE342" s="140"/>
      <c r="BF342" s="140"/>
      <c r="BG342" s="140"/>
      <c r="BH342" s="140"/>
      <c r="BI342" s="140"/>
      <c r="BJ342" s="140"/>
      <c r="BK342" s="140"/>
      <c r="BL342" s="140"/>
      <c r="BM342" s="140"/>
      <c r="BN342" s="140"/>
      <c r="BO342" s="140"/>
      <c r="BP342" s="140"/>
      <c r="BQ342" s="140"/>
      <c r="BR342" s="140"/>
      <c r="BS342" s="140"/>
      <c r="BT342" s="140"/>
      <c r="BU342" s="140"/>
      <c r="BV342" s="140"/>
      <c r="BW342" s="140"/>
      <c r="BX342" s="140"/>
      <c r="BY342" s="140"/>
      <c r="BZ342" s="140"/>
      <c r="CA342" s="140"/>
      <c r="CB342" s="140"/>
      <c r="CC342" s="140"/>
      <c r="CD342" s="140"/>
      <c r="CE342" s="140"/>
      <c r="CF342" s="140"/>
      <c r="CG342" s="140"/>
      <c r="CH342" s="140"/>
      <c r="CI342" s="140"/>
      <c r="CJ342" s="140"/>
      <c r="CK342" s="140"/>
      <c r="CL342" s="140"/>
      <c r="CM342" s="140"/>
      <c r="CN342" s="140"/>
      <c r="CO342" s="140"/>
      <c r="CP342" s="140"/>
      <c r="CQ342" s="140"/>
      <c r="CR342" s="140"/>
      <c r="CS342" s="140"/>
      <c r="CT342" s="140"/>
      <c r="CU342" s="140"/>
      <c r="CV342" s="140"/>
      <c r="CW342" s="140"/>
      <c r="CX342" s="140"/>
      <c r="CY342" s="140"/>
      <c r="CZ342" s="140"/>
      <c r="DA342" s="140"/>
      <c r="DB342" s="140"/>
      <c r="DC342" s="140"/>
      <c r="DD342" s="140"/>
      <c r="DE342" s="140"/>
    </row>
    <row r="343" spans="1:109" s="139" customForma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3"/>
      <c r="U343" s="143"/>
      <c r="V343" s="143"/>
      <c r="W343" s="143"/>
      <c r="X343" s="143"/>
      <c r="Y343" s="143"/>
      <c r="Z343" s="143"/>
      <c r="AA343" s="143"/>
      <c r="AC343" s="140"/>
      <c r="AD343" s="140"/>
      <c r="AE343" s="140"/>
      <c r="AF343" s="140"/>
      <c r="AG343" s="140"/>
      <c r="AH343" s="141"/>
      <c r="AI343" s="143"/>
      <c r="AJ343" s="140"/>
      <c r="AK343" s="140"/>
      <c r="AL343" s="140"/>
      <c r="AM343" s="140"/>
      <c r="AN343" s="140"/>
      <c r="AO343" s="140"/>
      <c r="AP343" s="140"/>
      <c r="AQ343" s="140"/>
      <c r="AR343" s="140"/>
      <c r="AS343" s="140"/>
      <c r="AT343" s="140"/>
      <c r="AU343" s="140"/>
      <c r="AV343" s="140"/>
      <c r="AW343" s="140"/>
      <c r="AX343" s="140"/>
      <c r="AY343" s="140"/>
      <c r="AZ343" s="140"/>
      <c r="BA343" s="140"/>
      <c r="BB343" s="140"/>
      <c r="BC343" s="140"/>
      <c r="BD343" s="140"/>
      <c r="BE343" s="140"/>
      <c r="BF343" s="140"/>
      <c r="BG343" s="140"/>
      <c r="BH343" s="140"/>
      <c r="BI343" s="140"/>
      <c r="BJ343" s="140"/>
      <c r="BK343" s="140"/>
      <c r="BL343" s="140"/>
      <c r="BM343" s="140"/>
      <c r="BN343" s="140"/>
      <c r="BO343" s="140"/>
      <c r="BP343" s="140"/>
      <c r="BQ343" s="140"/>
      <c r="BR343" s="140"/>
      <c r="BS343" s="140"/>
      <c r="BT343" s="140"/>
      <c r="BU343" s="140"/>
      <c r="BV343" s="140"/>
      <c r="BW343" s="140"/>
      <c r="BX343" s="140"/>
      <c r="BY343" s="140"/>
      <c r="BZ343" s="140"/>
      <c r="CA343" s="140"/>
      <c r="CB343" s="140"/>
      <c r="CC343" s="140"/>
      <c r="CD343" s="140"/>
      <c r="CE343" s="140"/>
      <c r="CF343" s="140"/>
      <c r="CG343" s="140"/>
      <c r="CH343" s="140"/>
      <c r="CI343" s="140"/>
      <c r="CJ343" s="140"/>
      <c r="CK343" s="140"/>
      <c r="CL343" s="140"/>
      <c r="CM343" s="140"/>
      <c r="CN343" s="140"/>
      <c r="CO343" s="140"/>
      <c r="CP343" s="140"/>
      <c r="CQ343" s="140"/>
      <c r="CR343" s="140"/>
      <c r="CS343" s="140"/>
      <c r="CT343" s="140"/>
      <c r="CU343" s="140"/>
      <c r="CV343" s="140"/>
      <c r="CW343" s="140"/>
      <c r="CX343" s="140"/>
      <c r="CY343" s="140"/>
      <c r="CZ343" s="140"/>
      <c r="DA343" s="140"/>
      <c r="DB343" s="140"/>
      <c r="DC343" s="140"/>
      <c r="DD343" s="140"/>
      <c r="DE343" s="140"/>
    </row>
    <row r="344" spans="1:109" s="139" customForma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3"/>
      <c r="U344" s="143"/>
      <c r="V344" s="143"/>
      <c r="W344" s="143"/>
      <c r="X344" s="143"/>
      <c r="Y344" s="143"/>
      <c r="Z344" s="143"/>
      <c r="AA344" s="143"/>
      <c r="AC344" s="140"/>
      <c r="AD344" s="140"/>
      <c r="AE344" s="140"/>
      <c r="AF344" s="140"/>
      <c r="AG344" s="140"/>
      <c r="AH344" s="141"/>
      <c r="AI344" s="143"/>
      <c r="AJ344" s="140"/>
      <c r="AK344" s="140"/>
      <c r="AL344" s="140"/>
      <c r="AM344" s="140"/>
      <c r="AN344" s="140"/>
      <c r="AO344" s="140"/>
      <c r="AP344" s="140"/>
      <c r="AQ344" s="140"/>
      <c r="AR344" s="140"/>
      <c r="AS344" s="140"/>
      <c r="AT344" s="140"/>
      <c r="AU344" s="140"/>
      <c r="AV344" s="140"/>
      <c r="AW344" s="140"/>
      <c r="AX344" s="140"/>
      <c r="AY344" s="140"/>
      <c r="AZ344" s="140"/>
      <c r="BA344" s="140"/>
      <c r="BB344" s="140"/>
      <c r="BC344" s="140"/>
      <c r="BD344" s="140"/>
      <c r="BE344" s="140"/>
      <c r="BF344" s="140"/>
      <c r="BG344" s="140"/>
      <c r="BH344" s="140"/>
      <c r="BI344" s="140"/>
      <c r="BJ344" s="140"/>
      <c r="BK344" s="140"/>
      <c r="BL344" s="140"/>
      <c r="BM344" s="140"/>
      <c r="BN344" s="140"/>
      <c r="BO344" s="140"/>
      <c r="BP344" s="140"/>
      <c r="BQ344" s="140"/>
      <c r="BR344" s="140"/>
      <c r="BS344" s="140"/>
      <c r="BT344" s="140"/>
      <c r="BU344" s="140"/>
      <c r="BV344" s="140"/>
      <c r="BW344" s="140"/>
      <c r="BX344" s="140"/>
      <c r="BY344" s="140"/>
      <c r="BZ344" s="140"/>
      <c r="CA344" s="140"/>
      <c r="CB344" s="140"/>
      <c r="CC344" s="140"/>
      <c r="CD344" s="140"/>
      <c r="CE344" s="140"/>
      <c r="CF344" s="140"/>
      <c r="CG344" s="140"/>
      <c r="CH344" s="140"/>
      <c r="CI344" s="140"/>
      <c r="CJ344" s="140"/>
      <c r="CK344" s="140"/>
      <c r="CL344" s="140"/>
      <c r="CM344" s="140"/>
      <c r="CN344" s="140"/>
      <c r="CO344" s="140"/>
      <c r="CP344" s="140"/>
      <c r="CQ344" s="140"/>
      <c r="CR344" s="140"/>
      <c r="CS344" s="140"/>
      <c r="CT344" s="140"/>
      <c r="CU344" s="140"/>
      <c r="CV344" s="140"/>
      <c r="CW344" s="140"/>
      <c r="CX344" s="140"/>
      <c r="CY344" s="140"/>
      <c r="CZ344" s="140"/>
      <c r="DA344" s="140"/>
      <c r="DB344" s="140"/>
      <c r="DC344" s="140"/>
      <c r="DD344" s="140"/>
      <c r="DE344" s="140"/>
    </row>
    <row r="345" spans="1:109" s="139" customForma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3"/>
      <c r="U345" s="143"/>
      <c r="V345" s="143"/>
      <c r="W345" s="143"/>
      <c r="X345" s="143"/>
      <c r="Y345" s="143"/>
      <c r="Z345" s="143"/>
      <c r="AA345" s="143"/>
      <c r="AC345" s="140"/>
      <c r="AD345" s="140"/>
      <c r="AE345" s="140"/>
      <c r="AF345" s="140"/>
      <c r="AG345" s="140"/>
      <c r="AH345" s="141"/>
      <c r="AI345" s="143"/>
      <c r="AJ345" s="140"/>
      <c r="AK345" s="140"/>
      <c r="AL345" s="140"/>
      <c r="AM345" s="140"/>
      <c r="AN345" s="140"/>
      <c r="AO345" s="140"/>
      <c r="AP345" s="140"/>
      <c r="AQ345" s="140"/>
      <c r="AR345" s="140"/>
      <c r="AS345" s="140"/>
      <c r="AT345" s="140"/>
      <c r="AU345" s="140"/>
      <c r="AV345" s="140"/>
      <c r="AW345" s="140"/>
      <c r="AX345" s="140"/>
      <c r="AY345" s="140"/>
      <c r="AZ345" s="140"/>
      <c r="BA345" s="140"/>
      <c r="BB345" s="140"/>
      <c r="BC345" s="140"/>
      <c r="BD345" s="140"/>
      <c r="BE345" s="140"/>
      <c r="BF345" s="140"/>
      <c r="BG345" s="140"/>
      <c r="BH345" s="140"/>
      <c r="BI345" s="140"/>
      <c r="BJ345" s="140"/>
      <c r="BK345" s="140"/>
      <c r="BL345" s="140"/>
      <c r="BM345" s="140"/>
      <c r="BN345" s="140"/>
      <c r="BO345" s="140"/>
      <c r="BP345" s="140"/>
      <c r="BQ345" s="140"/>
      <c r="BR345" s="140"/>
      <c r="BS345" s="140"/>
      <c r="BT345" s="140"/>
      <c r="BU345" s="140"/>
      <c r="BV345" s="140"/>
      <c r="BW345" s="140"/>
      <c r="BX345" s="140"/>
      <c r="BY345" s="140"/>
      <c r="BZ345" s="140"/>
      <c r="CA345" s="140"/>
      <c r="CB345" s="140"/>
      <c r="CC345" s="140"/>
      <c r="CD345" s="140"/>
      <c r="CE345" s="140"/>
      <c r="CF345" s="140"/>
      <c r="CG345" s="140"/>
      <c r="CH345" s="140"/>
      <c r="CI345" s="140"/>
      <c r="CJ345" s="140"/>
      <c r="CK345" s="140"/>
      <c r="CL345" s="140"/>
      <c r="CM345" s="140"/>
      <c r="CN345" s="140"/>
      <c r="CO345" s="140"/>
      <c r="CP345" s="140"/>
      <c r="CQ345" s="140"/>
      <c r="CR345" s="140"/>
      <c r="CS345" s="140"/>
      <c r="CT345" s="140"/>
      <c r="CU345" s="140"/>
      <c r="CV345" s="140"/>
      <c r="CW345" s="140"/>
      <c r="CX345" s="140"/>
      <c r="CY345" s="140"/>
      <c r="CZ345" s="140"/>
      <c r="DA345" s="140"/>
      <c r="DB345" s="140"/>
      <c r="DC345" s="140"/>
      <c r="DD345" s="140"/>
      <c r="DE345" s="140"/>
    </row>
    <row r="346" spans="1:109" s="139" customForma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3"/>
      <c r="U346" s="143"/>
      <c r="V346" s="143"/>
      <c r="W346" s="143"/>
      <c r="X346" s="143"/>
      <c r="Y346" s="143"/>
      <c r="Z346" s="143"/>
      <c r="AA346" s="143"/>
      <c r="AC346" s="140"/>
      <c r="AD346" s="140"/>
      <c r="AE346" s="140"/>
      <c r="AF346" s="140"/>
      <c r="AG346" s="140"/>
      <c r="AH346" s="141"/>
      <c r="AI346" s="143"/>
      <c r="AJ346" s="140"/>
      <c r="AK346" s="140"/>
      <c r="AL346" s="140"/>
      <c r="AM346" s="140"/>
      <c r="AN346" s="140"/>
      <c r="AO346" s="140"/>
      <c r="AP346" s="140"/>
      <c r="AQ346" s="140"/>
      <c r="AR346" s="140"/>
      <c r="AS346" s="140"/>
      <c r="AT346" s="140"/>
      <c r="AU346" s="140"/>
      <c r="AV346" s="140"/>
      <c r="AW346" s="140"/>
      <c r="AX346" s="140"/>
      <c r="AY346" s="140"/>
      <c r="AZ346" s="140"/>
      <c r="BA346" s="140"/>
      <c r="BB346" s="140"/>
      <c r="BC346" s="140"/>
      <c r="BD346" s="140"/>
      <c r="BE346" s="140"/>
      <c r="BF346" s="140"/>
      <c r="BG346" s="140"/>
      <c r="BH346" s="140"/>
      <c r="BI346" s="140"/>
      <c r="BJ346" s="140"/>
      <c r="BK346" s="140"/>
      <c r="BL346" s="140"/>
      <c r="BM346" s="140"/>
      <c r="BN346" s="140"/>
      <c r="BO346" s="140"/>
      <c r="BP346" s="140"/>
      <c r="BQ346" s="140"/>
      <c r="BR346" s="140"/>
      <c r="BS346" s="140"/>
      <c r="BT346" s="140"/>
      <c r="BU346" s="140"/>
      <c r="BV346" s="140"/>
      <c r="BW346" s="140"/>
      <c r="BX346" s="140"/>
      <c r="BY346" s="140"/>
      <c r="BZ346" s="140"/>
      <c r="CA346" s="140"/>
      <c r="CB346" s="140"/>
      <c r="CC346" s="140"/>
      <c r="CD346" s="140"/>
      <c r="CE346" s="140"/>
      <c r="CF346" s="140"/>
      <c r="CG346" s="140"/>
      <c r="CH346" s="140"/>
      <c r="CI346" s="140"/>
      <c r="CJ346" s="140"/>
      <c r="CK346" s="140"/>
      <c r="CL346" s="140"/>
      <c r="CM346" s="140"/>
      <c r="CN346" s="140"/>
      <c r="CO346" s="140"/>
      <c r="CP346" s="140"/>
      <c r="CQ346" s="140"/>
      <c r="CR346" s="140"/>
      <c r="CS346" s="140"/>
      <c r="CT346" s="140"/>
      <c r="CU346" s="140"/>
      <c r="CV346" s="140"/>
      <c r="CW346" s="140"/>
      <c r="CX346" s="140"/>
      <c r="CY346" s="140"/>
      <c r="CZ346" s="140"/>
      <c r="DA346" s="140"/>
      <c r="DB346" s="140"/>
      <c r="DC346" s="140"/>
      <c r="DD346" s="140"/>
      <c r="DE346" s="140"/>
    </row>
    <row r="347" spans="1:109" s="139" customForma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3"/>
      <c r="U347" s="143"/>
      <c r="V347" s="143"/>
      <c r="W347" s="143"/>
      <c r="X347" s="143"/>
      <c r="Y347" s="143"/>
      <c r="Z347" s="143"/>
      <c r="AA347" s="143"/>
      <c r="AC347" s="140"/>
      <c r="AD347" s="140"/>
      <c r="AE347" s="140"/>
      <c r="AF347" s="140"/>
      <c r="AG347" s="140"/>
      <c r="AH347" s="141"/>
      <c r="AI347" s="143"/>
      <c r="AJ347" s="140"/>
      <c r="AK347" s="140"/>
      <c r="AL347" s="140"/>
      <c r="AM347" s="140"/>
      <c r="AN347" s="140"/>
      <c r="AO347" s="140"/>
      <c r="AP347" s="140"/>
      <c r="AQ347" s="140"/>
      <c r="AR347" s="140"/>
      <c r="AS347" s="140"/>
      <c r="AT347" s="140"/>
      <c r="AU347" s="140"/>
      <c r="AV347" s="140"/>
      <c r="AW347" s="140"/>
      <c r="AX347" s="140"/>
      <c r="AY347" s="140"/>
      <c r="AZ347" s="140"/>
      <c r="BA347" s="140"/>
      <c r="BB347" s="140"/>
      <c r="BC347" s="140"/>
      <c r="BD347" s="140"/>
      <c r="BE347" s="140"/>
      <c r="BF347" s="140"/>
      <c r="BG347" s="140"/>
      <c r="BH347" s="140"/>
      <c r="BI347" s="140"/>
      <c r="BJ347" s="140"/>
      <c r="BK347" s="140"/>
      <c r="BL347" s="140"/>
      <c r="BM347" s="140"/>
      <c r="BN347" s="140"/>
      <c r="BO347" s="140"/>
      <c r="BP347" s="140"/>
      <c r="BQ347" s="140"/>
      <c r="BR347" s="140"/>
      <c r="BS347" s="140"/>
      <c r="BT347" s="140"/>
      <c r="BU347" s="140"/>
      <c r="BV347" s="140"/>
      <c r="BW347" s="140"/>
      <c r="BX347" s="140"/>
      <c r="BY347" s="140"/>
      <c r="BZ347" s="140"/>
      <c r="CA347" s="140"/>
      <c r="CB347" s="140"/>
      <c r="CC347" s="140"/>
      <c r="CD347" s="140"/>
      <c r="CE347" s="140"/>
      <c r="CF347" s="140"/>
      <c r="CG347" s="140"/>
      <c r="CH347" s="140"/>
      <c r="CI347" s="140"/>
      <c r="CJ347" s="140"/>
      <c r="CK347" s="140"/>
      <c r="CL347" s="140"/>
      <c r="CM347" s="140"/>
      <c r="CN347" s="140"/>
      <c r="CO347" s="140"/>
      <c r="CP347" s="140"/>
      <c r="CQ347" s="140"/>
      <c r="CR347" s="140"/>
      <c r="CS347" s="140"/>
      <c r="CT347" s="140"/>
      <c r="CU347" s="140"/>
      <c r="CV347" s="140"/>
      <c r="CW347" s="140"/>
      <c r="CX347" s="140"/>
      <c r="CY347" s="140"/>
      <c r="CZ347" s="140"/>
      <c r="DA347" s="140"/>
      <c r="DB347" s="140"/>
      <c r="DC347" s="140"/>
      <c r="DD347" s="140"/>
      <c r="DE347" s="140"/>
    </row>
    <row r="348" spans="1:109" s="139" customForma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3"/>
      <c r="U348" s="143"/>
      <c r="V348" s="143"/>
      <c r="W348" s="143"/>
      <c r="X348" s="143"/>
      <c r="Y348" s="143"/>
      <c r="Z348" s="143"/>
      <c r="AA348" s="143"/>
      <c r="AC348" s="140"/>
      <c r="AD348" s="140"/>
      <c r="AE348" s="140"/>
      <c r="AF348" s="140"/>
      <c r="AG348" s="140"/>
      <c r="AH348" s="141"/>
      <c r="AI348" s="143"/>
      <c r="AJ348" s="140"/>
      <c r="AK348" s="140"/>
      <c r="AL348" s="140"/>
      <c r="AM348" s="140"/>
      <c r="AN348" s="140"/>
      <c r="AO348" s="140"/>
      <c r="AP348" s="140"/>
      <c r="AQ348" s="140"/>
      <c r="AR348" s="140"/>
      <c r="AS348" s="140"/>
      <c r="AT348" s="140"/>
      <c r="AU348" s="140"/>
      <c r="AV348" s="140"/>
      <c r="AW348" s="140"/>
      <c r="AX348" s="140"/>
      <c r="AY348" s="140"/>
      <c r="AZ348" s="140"/>
      <c r="BA348" s="140"/>
      <c r="BB348" s="140"/>
      <c r="BC348" s="140"/>
      <c r="BD348" s="140"/>
      <c r="BE348" s="140"/>
      <c r="BF348" s="140"/>
      <c r="BG348" s="140"/>
      <c r="BH348" s="140"/>
      <c r="BI348" s="140"/>
      <c r="BJ348" s="140"/>
      <c r="BK348" s="140"/>
      <c r="BL348" s="140"/>
      <c r="BM348" s="140"/>
      <c r="BN348" s="140"/>
      <c r="BO348" s="140"/>
      <c r="BP348" s="140"/>
      <c r="BQ348" s="140"/>
      <c r="BR348" s="140"/>
      <c r="BS348" s="140"/>
      <c r="BT348" s="140"/>
      <c r="BU348" s="140"/>
      <c r="BV348" s="140"/>
      <c r="BW348" s="140"/>
      <c r="BX348" s="140"/>
      <c r="BY348" s="140"/>
      <c r="BZ348" s="140"/>
      <c r="CA348" s="140"/>
      <c r="CB348" s="140"/>
      <c r="CC348" s="140"/>
      <c r="CD348" s="140"/>
      <c r="CE348" s="140"/>
      <c r="CF348" s="140"/>
      <c r="CG348" s="140"/>
      <c r="CH348" s="140"/>
      <c r="CI348" s="140"/>
      <c r="CJ348" s="140"/>
      <c r="CK348" s="140"/>
      <c r="CL348" s="140"/>
      <c r="CM348" s="140"/>
      <c r="CN348" s="140"/>
      <c r="CO348" s="140"/>
      <c r="CP348" s="140"/>
      <c r="CQ348" s="140"/>
      <c r="CR348" s="140"/>
      <c r="CS348" s="140"/>
      <c r="CT348" s="140"/>
      <c r="CU348" s="140"/>
      <c r="CV348" s="140"/>
      <c r="CW348" s="140"/>
      <c r="CX348" s="140"/>
      <c r="CY348" s="140"/>
      <c r="CZ348" s="140"/>
      <c r="DA348" s="140"/>
      <c r="DB348" s="140"/>
      <c r="DC348" s="140"/>
      <c r="DD348" s="140"/>
      <c r="DE348" s="140"/>
    </row>
    <row r="349" spans="1:109" s="139" customForma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3"/>
      <c r="U349" s="143"/>
      <c r="V349" s="143"/>
      <c r="W349" s="143"/>
      <c r="X349" s="143"/>
      <c r="Y349" s="143"/>
      <c r="Z349" s="143"/>
      <c r="AA349" s="143"/>
      <c r="AC349" s="140"/>
      <c r="AD349" s="140"/>
      <c r="AE349" s="140"/>
      <c r="AF349" s="140"/>
      <c r="AG349" s="140"/>
      <c r="AH349" s="141"/>
      <c r="AI349" s="143"/>
      <c r="AJ349" s="140"/>
      <c r="AK349" s="140"/>
      <c r="AL349" s="140"/>
      <c r="AM349" s="140"/>
      <c r="AN349" s="140"/>
      <c r="AO349" s="140"/>
      <c r="AP349" s="140"/>
      <c r="AQ349" s="140"/>
      <c r="AR349" s="140"/>
      <c r="AS349" s="140"/>
      <c r="AT349" s="140"/>
      <c r="AU349" s="140"/>
      <c r="AV349" s="140"/>
      <c r="AW349" s="140"/>
      <c r="AX349" s="140"/>
      <c r="AY349" s="140"/>
      <c r="AZ349" s="140"/>
      <c r="BA349" s="140"/>
      <c r="BB349" s="140"/>
      <c r="BC349" s="140"/>
      <c r="BD349" s="140"/>
      <c r="BE349" s="140"/>
      <c r="BF349" s="140"/>
      <c r="BG349" s="140"/>
      <c r="BH349" s="140"/>
      <c r="BI349" s="140"/>
      <c r="BJ349" s="140"/>
      <c r="BK349" s="140"/>
      <c r="BL349" s="140"/>
      <c r="BM349" s="140"/>
      <c r="BN349" s="140"/>
      <c r="BO349" s="140"/>
      <c r="BP349" s="140"/>
      <c r="BQ349" s="140"/>
      <c r="BR349" s="140"/>
      <c r="BS349" s="140"/>
      <c r="BT349" s="140"/>
      <c r="BU349" s="140"/>
      <c r="BV349" s="140"/>
      <c r="BW349" s="140"/>
      <c r="BX349" s="140"/>
      <c r="BY349" s="140"/>
      <c r="BZ349" s="140"/>
      <c r="CA349" s="140"/>
      <c r="CB349" s="140"/>
      <c r="CC349" s="140"/>
      <c r="CD349" s="140"/>
      <c r="CE349" s="140"/>
      <c r="CF349" s="140"/>
      <c r="CG349" s="140"/>
      <c r="CH349" s="140"/>
      <c r="CI349" s="140"/>
      <c r="CJ349" s="140"/>
      <c r="CK349" s="140"/>
      <c r="CL349" s="140"/>
      <c r="CM349" s="140"/>
      <c r="CN349" s="140"/>
      <c r="CO349" s="140"/>
      <c r="CP349" s="140"/>
      <c r="CQ349" s="140"/>
      <c r="CR349" s="140"/>
      <c r="CS349" s="140"/>
      <c r="CT349" s="140"/>
      <c r="CU349" s="140"/>
      <c r="CV349" s="140"/>
      <c r="CW349" s="140"/>
      <c r="CX349" s="140"/>
      <c r="CY349" s="140"/>
      <c r="CZ349" s="140"/>
      <c r="DA349" s="140"/>
      <c r="DB349" s="140"/>
      <c r="DC349" s="140"/>
      <c r="DD349" s="140"/>
      <c r="DE349" s="140"/>
    </row>
    <row r="350" spans="1:109" s="139" customForma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3"/>
      <c r="U350" s="143"/>
      <c r="V350" s="143"/>
      <c r="W350" s="143"/>
      <c r="X350" s="143"/>
      <c r="Y350" s="143"/>
      <c r="Z350" s="143"/>
      <c r="AA350" s="143"/>
      <c r="AC350" s="140"/>
      <c r="AD350" s="140"/>
      <c r="AE350" s="140"/>
      <c r="AF350" s="140"/>
      <c r="AG350" s="140"/>
      <c r="AH350" s="141"/>
      <c r="AI350" s="143"/>
      <c r="AJ350" s="140"/>
      <c r="AK350" s="140"/>
      <c r="AL350" s="140"/>
      <c r="AM350" s="140"/>
      <c r="AN350" s="140"/>
      <c r="AO350" s="140"/>
      <c r="AP350" s="140"/>
      <c r="AQ350" s="140"/>
      <c r="AR350" s="140"/>
      <c r="AS350" s="140"/>
      <c r="AT350" s="140"/>
      <c r="AU350" s="140"/>
      <c r="AV350" s="140"/>
      <c r="AW350" s="140"/>
      <c r="AX350" s="140"/>
      <c r="AY350" s="140"/>
      <c r="AZ350" s="140"/>
      <c r="BA350" s="140"/>
      <c r="BB350" s="140"/>
      <c r="BC350" s="140"/>
      <c r="BD350" s="140"/>
      <c r="BE350" s="140"/>
      <c r="BF350" s="140"/>
      <c r="BG350" s="140"/>
      <c r="BH350" s="140"/>
      <c r="BI350" s="140"/>
      <c r="BJ350" s="140"/>
      <c r="BK350" s="140"/>
      <c r="BL350" s="140"/>
      <c r="BM350" s="140"/>
      <c r="BN350" s="140"/>
      <c r="BO350" s="140"/>
      <c r="BP350" s="140"/>
      <c r="BQ350" s="140"/>
      <c r="BR350" s="140"/>
      <c r="BS350" s="140"/>
      <c r="BT350" s="140"/>
      <c r="BU350" s="140"/>
      <c r="BV350" s="140"/>
      <c r="BW350" s="140"/>
      <c r="BX350" s="140"/>
      <c r="BY350" s="140"/>
      <c r="BZ350" s="140"/>
      <c r="CA350" s="140"/>
      <c r="CB350" s="140"/>
      <c r="CC350" s="140"/>
      <c r="CD350" s="140"/>
      <c r="CE350" s="140"/>
      <c r="CF350" s="140"/>
      <c r="CG350" s="140"/>
      <c r="CH350" s="140"/>
      <c r="CI350" s="140"/>
      <c r="CJ350" s="140"/>
      <c r="CK350" s="140"/>
      <c r="CL350" s="140"/>
      <c r="CM350" s="140"/>
      <c r="CN350" s="140"/>
      <c r="CO350" s="140"/>
      <c r="CP350" s="140"/>
      <c r="CQ350" s="140"/>
      <c r="CR350" s="140"/>
      <c r="CS350" s="140"/>
      <c r="CT350" s="140"/>
      <c r="CU350" s="140"/>
      <c r="CV350" s="140"/>
      <c r="CW350" s="140"/>
      <c r="CX350" s="140"/>
      <c r="CY350" s="140"/>
      <c r="CZ350" s="140"/>
      <c r="DA350" s="140"/>
      <c r="DB350" s="140"/>
      <c r="DC350" s="140"/>
      <c r="DD350" s="140"/>
      <c r="DE350" s="140"/>
    </row>
    <row r="351" spans="1:109" s="139" customForma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3"/>
      <c r="U351" s="143"/>
      <c r="V351" s="143"/>
      <c r="W351" s="143"/>
      <c r="X351" s="143"/>
      <c r="Y351" s="143"/>
      <c r="Z351" s="143"/>
      <c r="AA351" s="143"/>
      <c r="AC351" s="140"/>
      <c r="AD351" s="140"/>
      <c r="AE351" s="140"/>
      <c r="AF351" s="140"/>
      <c r="AG351" s="140"/>
      <c r="AH351" s="141"/>
      <c r="AI351" s="143"/>
      <c r="AJ351" s="140"/>
      <c r="AK351" s="140"/>
      <c r="AL351" s="140"/>
      <c r="AM351" s="140"/>
      <c r="AN351" s="140"/>
      <c r="AO351" s="140"/>
      <c r="AP351" s="140"/>
      <c r="AQ351" s="140"/>
      <c r="AR351" s="140"/>
      <c r="AS351" s="140"/>
      <c r="AT351" s="140"/>
      <c r="AU351" s="140"/>
      <c r="AV351" s="140"/>
      <c r="AW351" s="140"/>
      <c r="AX351" s="140"/>
      <c r="AY351" s="140"/>
      <c r="AZ351" s="140"/>
      <c r="BA351" s="140"/>
      <c r="BB351" s="140"/>
      <c r="BC351" s="140"/>
      <c r="BD351" s="140"/>
      <c r="BE351" s="140"/>
      <c r="BF351" s="140"/>
      <c r="BG351" s="140"/>
      <c r="BH351" s="140"/>
      <c r="BI351" s="140"/>
      <c r="BJ351" s="140"/>
      <c r="BK351" s="140"/>
      <c r="BL351" s="140"/>
      <c r="BM351" s="140"/>
      <c r="BN351" s="140"/>
      <c r="BO351" s="140"/>
      <c r="BP351" s="140"/>
      <c r="BQ351" s="140"/>
      <c r="BR351" s="140"/>
      <c r="BS351" s="140"/>
      <c r="BT351" s="140"/>
      <c r="BU351" s="140"/>
      <c r="BV351" s="140"/>
      <c r="BW351" s="140"/>
      <c r="BX351" s="140"/>
      <c r="BY351" s="140"/>
      <c r="BZ351" s="140"/>
      <c r="CA351" s="140"/>
      <c r="CB351" s="140"/>
      <c r="CC351" s="140"/>
      <c r="CD351" s="140"/>
      <c r="CE351" s="140"/>
      <c r="CF351" s="140"/>
      <c r="CG351" s="140"/>
      <c r="CH351" s="140"/>
      <c r="CI351" s="140"/>
      <c r="CJ351" s="140"/>
      <c r="CK351" s="140"/>
      <c r="CL351" s="140"/>
      <c r="CM351" s="140"/>
      <c r="CN351" s="140"/>
      <c r="CO351" s="140"/>
      <c r="CP351" s="140"/>
      <c r="CQ351" s="140"/>
      <c r="CR351" s="140"/>
      <c r="CS351" s="140"/>
      <c r="CT351" s="140"/>
      <c r="CU351" s="140"/>
      <c r="CV351" s="140"/>
      <c r="CW351" s="140"/>
      <c r="CX351" s="140"/>
      <c r="CY351" s="140"/>
      <c r="CZ351" s="140"/>
      <c r="DA351" s="140"/>
      <c r="DB351" s="140"/>
      <c r="DC351" s="140"/>
      <c r="DD351" s="140"/>
      <c r="DE351" s="140"/>
    </row>
    <row r="352" spans="1:109" s="139" customForma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3"/>
      <c r="U352" s="143"/>
      <c r="V352" s="143"/>
      <c r="W352" s="143"/>
      <c r="X352" s="143"/>
      <c r="Y352" s="143"/>
      <c r="Z352" s="143"/>
      <c r="AA352" s="143"/>
      <c r="AC352" s="140"/>
      <c r="AD352" s="140"/>
      <c r="AE352" s="140"/>
      <c r="AF352" s="140"/>
      <c r="AG352" s="140"/>
      <c r="AH352" s="141"/>
      <c r="AI352" s="143"/>
      <c r="AJ352" s="140"/>
      <c r="AK352" s="140"/>
      <c r="AL352" s="140"/>
      <c r="AM352" s="140"/>
      <c r="AN352" s="140"/>
      <c r="AO352" s="140"/>
      <c r="AP352" s="140"/>
      <c r="AQ352" s="140"/>
      <c r="AR352" s="140"/>
      <c r="AS352" s="140"/>
      <c r="AT352" s="140"/>
      <c r="AU352" s="140"/>
      <c r="AV352" s="140"/>
      <c r="AW352" s="140"/>
      <c r="AX352" s="140"/>
      <c r="AY352" s="140"/>
      <c r="AZ352" s="140"/>
      <c r="BA352" s="140"/>
      <c r="BB352" s="140"/>
      <c r="BC352" s="140"/>
      <c r="BD352" s="140"/>
      <c r="BE352" s="140"/>
      <c r="BF352" s="140"/>
      <c r="BG352" s="140"/>
      <c r="BH352" s="140"/>
      <c r="BI352" s="140"/>
      <c r="BJ352" s="140"/>
      <c r="BK352" s="140"/>
      <c r="BL352" s="140"/>
      <c r="BM352" s="140"/>
      <c r="BN352" s="140"/>
      <c r="BO352" s="140"/>
      <c r="BP352" s="140"/>
      <c r="BQ352" s="140"/>
      <c r="BR352" s="140"/>
      <c r="BS352" s="140"/>
      <c r="BT352" s="140"/>
      <c r="BU352" s="140"/>
      <c r="BV352" s="140"/>
      <c r="BW352" s="140"/>
      <c r="BX352" s="140"/>
      <c r="BY352" s="140"/>
      <c r="BZ352" s="140"/>
      <c r="CA352" s="140"/>
      <c r="CB352" s="140"/>
      <c r="CC352" s="140"/>
      <c r="CD352" s="140"/>
      <c r="CE352" s="140"/>
      <c r="CF352" s="140"/>
      <c r="CG352" s="140"/>
      <c r="CH352" s="140"/>
      <c r="CI352" s="140"/>
      <c r="CJ352" s="140"/>
      <c r="CK352" s="140"/>
      <c r="CL352" s="140"/>
      <c r="CM352" s="140"/>
      <c r="CN352" s="140"/>
      <c r="CO352" s="140"/>
      <c r="CP352" s="140"/>
      <c r="CQ352" s="140"/>
      <c r="CR352" s="140"/>
      <c r="CS352" s="140"/>
      <c r="CT352" s="140"/>
      <c r="CU352" s="140"/>
      <c r="CV352" s="140"/>
      <c r="CW352" s="140"/>
      <c r="CX352" s="140"/>
      <c r="CY352" s="140"/>
      <c r="CZ352" s="140"/>
      <c r="DA352" s="140"/>
      <c r="DB352" s="140"/>
      <c r="DC352" s="140"/>
      <c r="DD352" s="140"/>
      <c r="DE352" s="140"/>
    </row>
    <row r="353" spans="1:109" s="139" customForma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3"/>
      <c r="U353" s="143"/>
      <c r="V353" s="143"/>
      <c r="W353" s="143"/>
      <c r="X353" s="143"/>
      <c r="Y353" s="143"/>
      <c r="Z353" s="143"/>
      <c r="AA353" s="143"/>
      <c r="AC353" s="140"/>
      <c r="AD353" s="140"/>
      <c r="AE353" s="140"/>
      <c r="AF353" s="140"/>
      <c r="AG353" s="140"/>
      <c r="AH353" s="141"/>
      <c r="AI353" s="143"/>
      <c r="AJ353" s="140"/>
      <c r="AK353" s="140"/>
      <c r="AL353" s="140"/>
      <c r="AM353" s="140"/>
      <c r="AN353" s="140"/>
      <c r="AO353" s="140"/>
      <c r="AP353" s="140"/>
      <c r="AQ353" s="140"/>
      <c r="AR353" s="140"/>
      <c r="AS353" s="140"/>
      <c r="AT353" s="140"/>
      <c r="AU353" s="140"/>
      <c r="AV353" s="140"/>
      <c r="AW353" s="140"/>
      <c r="AX353" s="140"/>
      <c r="AY353" s="140"/>
      <c r="AZ353" s="140"/>
      <c r="BA353" s="140"/>
      <c r="BB353" s="140"/>
      <c r="BC353" s="140"/>
      <c r="BD353" s="140"/>
      <c r="BE353" s="140"/>
      <c r="BF353" s="140"/>
      <c r="BG353" s="140"/>
      <c r="BH353" s="140"/>
      <c r="BI353" s="140"/>
      <c r="BJ353" s="140"/>
      <c r="BK353" s="140"/>
      <c r="BL353" s="140"/>
      <c r="BM353" s="140"/>
      <c r="BN353" s="140"/>
      <c r="BO353" s="140"/>
      <c r="BP353" s="140"/>
      <c r="BQ353" s="140"/>
      <c r="BR353" s="140"/>
      <c r="BS353" s="140"/>
      <c r="BT353" s="140"/>
      <c r="BU353" s="140"/>
      <c r="BV353" s="140"/>
      <c r="BW353" s="140"/>
      <c r="BX353" s="140"/>
      <c r="BY353" s="140"/>
      <c r="BZ353" s="140"/>
      <c r="CA353" s="140"/>
      <c r="CB353" s="140"/>
      <c r="CC353" s="140"/>
      <c r="CD353" s="140"/>
      <c r="CE353" s="140"/>
      <c r="CF353" s="140"/>
      <c r="CG353" s="140"/>
      <c r="CH353" s="140"/>
      <c r="CI353" s="140"/>
      <c r="CJ353" s="140"/>
      <c r="CK353" s="140"/>
      <c r="CL353" s="140"/>
      <c r="CM353" s="140"/>
      <c r="CN353" s="140"/>
      <c r="CO353" s="140"/>
      <c r="CP353" s="140"/>
      <c r="CQ353" s="140"/>
      <c r="CR353" s="140"/>
      <c r="CS353" s="140"/>
      <c r="CT353" s="140"/>
      <c r="CU353" s="140"/>
      <c r="CV353" s="140"/>
      <c r="CW353" s="140"/>
      <c r="CX353" s="140"/>
      <c r="CY353" s="140"/>
      <c r="CZ353" s="140"/>
      <c r="DA353" s="140"/>
      <c r="DB353" s="140"/>
      <c r="DC353" s="140"/>
      <c r="DD353" s="140"/>
      <c r="DE353" s="140"/>
    </row>
    <row r="354" spans="1:109" s="139" customForma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3"/>
      <c r="U354" s="143"/>
      <c r="V354" s="143"/>
      <c r="W354" s="143"/>
      <c r="X354" s="143"/>
      <c r="Y354" s="143"/>
      <c r="Z354" s="143"/>
      <c r="AA354" s="143"/>
      <c r="AC354" s="140"/>
      <c r="AD354" s="140"/>
      <c r="AE354" s="140"/>
      <c r="AF354" s="140"/>
      <c r="AG354" s="140"/>
      <c r="AH354" s="141"/>
      <c r="AI354" s="143"/>
      <c r="AJ354" s="140"/>
      <c r="AK354" s="140"/>
      <c r="AL354" s="140"/>
      <c r="AM354" s="140"/>
      <c r="AN354" s="140"/>
      <c r="AO354" s="140"/>
      <c r="AP354" s="140"/>
      <c r="AQ354" s="140"/>
      <c r="AR354" s="140"/>
      <c r="AS354" s="140"/>
      <c r="AT354" s="140"/>
      <c r="AU354" s="140"/>
      <c r="AV354" s="140"/>
      <c r="AW354" s="140"/>
      <c r="AX354" s="140"/>
      <c r="AY354" s="140"/>
      <c r="AZ354" s="140"/>
      <c r="BA354" s="140"/>
      <c r="BB354" s="140"/>
      <c r="BC354" s="140"/>
      <c r="BD354" s="140"/>
      <c r="BE354" s="140"/>
      <c r="BF354" s="140"/>
      <c r="BG354" s="140"/>
      <c r="BH354" s="140"/>
      <c r="BI354" s="140"/>
      <c r="BJ354" s="140"/>
      <c r="BK354" s="140"/>
      <c r="BL354" s="140"/>
      <c r="BM354" s="140"/>
      <c r="BN354" s="140"/>
      <c r="BO354" s="140"/>
      <c r="BP354" s="140"/>
      <c r="BQ354" s="140"/>
      <c r="BR354" s="140"/>
      <c r="BS354" s="140"/>
      <c r="BT354" s="140"/>
      <c r="BU354" s="140"/>
      <c r="BV354" s="140"/>
      <c r="BW354" s="140"/>
      <c r="BX354" s="140"/>
      <c r="BY354" s="140"/>
      <c r="BZ354" s="140"/>
      <c r="CA354" s="140"/>
      <c r="CB354" s="140"/>
      <c r="CC354" s="140"/>
      <c r="CD354" s="140"/>
      <c r="CE354" s="140"/>
      <c r="CF354" s="140"/>
      <c r="CG354" s="140"/>
      <c r="CH354" s="140"/>
      <c r="CI354" s="140"/>
      <c r="CJ354" s="140"/>
      <c r="CK354" s="140"/>
      <c r="CL354" s="140"/>
      <c r="CM354" s="140"/>
      <c r="CN354" s="140"/>
      <c r="CO354" s="140"/>
      <c r="CP354" s="140"/>
      <c r="CQ354" s="140"/>
      <c r="CR354" s="140"/>
      <c r="CS354" s="140"/>
      <c r="CT354" s="140"/>
      <c r="CU354" s="140"/>
      <c r="CV354" s="140"/>
      <c r="CW354" s="140"/>
      <c r="CX354" s="140"/>
      <c r="CY354" s="140"/>
      <c r="CZ354" s="140"/>
      <c r="DA354" s="140"/>
      <c r="DB354" s="140"/>
      <c r="DC354" s="140"/>
      <c r="DD354" s="140"/>
      <c r="DE354" s="140"/>
    </row>
    <row r="355" spans="1:109" s="139" customForma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3"/>
      <c r="U355" s="143"/>
      <c r="V355" s="143"/>
      <c r="W355" s="143"/>
      <c r="X355" s="143"/>
      <c r="Y355" s="143"/>
      <c r="Z355" s="143"/>
      <c r="AA355" s="143"/>
      <c r="AC355" s="140"/>
      <c r="AD355" s="140"/>
      <c r="AE355" s="140"/>
      <c r="AF355" s="140"/>
      <c r="AG355" s="140"/>
      <c r="AH355" s="141"/>
      <c r="AI355" s="143"/>
      <c r="AJ355" s="140"/>
      <c r="AK355" s="140"/>
      <c r="AL355" s="140"/>
      <c r="AM355" s="140"/>
      <c r="AN355" s="140"/>
      <c r="AO355" s="140"/>
      <c r="AP355" s="140"/>
      <c r="AQ355" s="140"/>
      <c r="AR355" s="140"/>
      <c r="AS355" s="140"/>
      <c r="AT355" s="140"/>
      <c r="AU355" s="140"/>
      <c r="AV355" s="140"/>
      <c r="AW355" s="140"/>
      <c r="AX355" s="140"/>
      <c r="AY355" s="140"/>
      <c r="AZ355" s="140"/>
      <c r="BA355" s="140"/>
      <c r="BB355" s="140"/>
      <c r="BC355" s="140"/>
      <c r="BD355" s="140"/>
      <c r="BE355" s="140"/>
      <c r="BF355" s="140"/>
      <c r="BG355" s="140"/>
      <c r="BH355" s="140"/>
      <c r="BI355" s="140"/>
      <c r="BJ355" s="140"/>
      <c r="BK355" s="140"/>
      <c r="BL355" s="140"/>
      <c r="BM355" s="140"/>
      <c r="BN355" s="140"/>
      <c r="BO355" s="140"/>
      <c r="BP355" s="140"/>
      <c r="BQ355" s="140"/>
      <c r="BR355" s="140"/>
      <c r="BS355" s="140"/>
      <c r="BT355" s="140"/>
      <c r="BU355" s="140"/>
      <c r="BV355" s="140"/>
      <c r="BW355" s="140"/>
      <c r="BX355" s="140"/>
      <c r="BY355" s="140"/>
      <c r="BZ355" s="140"/>
      <c r="CA355" s="140"/>
      <c r="CB355" s="140"/>
      <c r="CC355" s="140"/>
      <c r="CD355" s="140"/>
      <c r="CE355" s="140"/>
      <c r="CF355" s="140"/>
      <c r="CG355" s="140"/>
      <c r="CH355" s="140"/>
      <c r="CI355" s="140"/>
      <c r="CJ355" s="140"/>
      <c r="CK355" s="140"/>
      <c r="CL355" s="140"/>
      <c r="CM355" s="140"/>
      <c r="CN355" s="140"/>
      <c r="CO355" s="140"/>
      <c r="CP355" s="140"/>
      <c r="CQ355" s="140"/>
      <c r="CR355" s="140"/>
      <c r="CS355" s="140"/>
      <c r="CT355" s="140"/>
      <c r="CU355" s="140"/>
      <c r="CV355" s="140"/>
      <c r="CW355" s="140"/>
      <c r="CX355" s="140"/>
      <c r="CY355" s="140"/>
      <c r="CZ355" s="140"/>
      <c r="DA355" s="140"/>
      <c r="DB355" s="140"/>
      <c r="DC355" s="140"/>
      <c r="DD355" s="140"/>
      <c r="DE355" s="140"/>
    </row>
    <row r="356" spans="1:109" s="139" customForma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3"/>
      <c r="U356" s="143"/>
      <c r="V356" s="143"/>
      <c r="W356" s="143"/>
      <c r="X356" s="143"/>
      <c r="Y356" s="143"/>
      <c r="Z356" s="143"/>
      <c r="AA356" s="143"/>
      <c r="AC356" s="140"/>
      <c r="AD356" s="140"/>
      <c r="AE356" s="140"/>
      <c r="AF356" s="140"/>
      <c r="AG356" s="140"/>
      <c r="AH356" s="141"/>
      <c r="AI356" s="143"/>
      <c r="AJ356" s="140"/>
      <c r="AK356" s="140"/>
      <c r="AL356" s="140"/>
      <c r="AM356" s="140"/>
      <c r="AN356" s="140"/>
      <c r="AO356" s="140"/>
      <c r="AP356" s="140"/>
      <c r="AQ356" s="140"/>
      <c r="AR356" s="140"/>
      <c r="AS356" s="140"/>
      <c r="AT356" s="140"/>
      <c r="AU356" s="140"/>
      <c r="AV356" s="140"/>
      <c r="AW356" s="140"/>
      <c r="AX356" s="140"/>
      <c r="AY356" s="140"/>
      <c r="AZ356" s="140"/>
      <c r="BA356" s="140"/>
      <c r="BB356" s="140"/>
      <c r="BC356" s="140"/>
      <c r="BD356" s="140"/>
      <c r="BE356" s="140"/>
      <c r="BF356" s="140"/>
      <c r="BG356" s="140"/>
      <c r="BH356" s="140"/>
      <c r="BI356" s="140"/>
      <c r="BJ356" s="140"/>
      <c r="BK356" s="140"/>
      <c r="BL356" s="140"/>
      <c r="BM356" s="140"/>
      <c r="BN356" s="140"/>
      <c r="BO356" s="140"/>
      <c r="BP356" s="140"/>
      <c r="BQ356" s="140"/>
      <c r="BR356" s="140"/>
      <c r="BS356" s="140"/>
      <c r="BT356" s="140"/>
      <c r="BU356" s="140"/>
      <c r="BV356" s="140"/>
      <c r="BW356" s="140"/>
      <c r="BX356" s="140"/>
      <c r="BY356" s="140"/>
      <c r="BZ356" s="140"/>
      <c r="CA356" s="140"/>
      <c r="CB356" s="140"/>
      <c r="CC356" s="140"/>
      <c r="CD356" s="140"/>
      <c r="CE356" s="140"/>
      <c r="CF356" s="140"/>
      <c r="CG356" s="140"/>
      <c r="CH356" s="140"/>
      <c r="CI356" s="140"/>
      <c r="CJ356" s="140"/>
      <c r="CK356" s="140"/>
      <c r="CL356" s="140"/>
      <c r="CM356" s="140"/>
      <c r="CN356" s="140"/>
      <c r="CO356" s="140"/>
      <c r="CP356" s="140"/>
      <c r="CQ356" s="140"/>
      <c r="CR356" s="140"/>
      <c r="CS356" s="140"/>
      <c r="CT356" s="140"/>
      <c r="CU356" s="140"/>
      <c r="CV356" s="140"/>
      <c r="CW356" s="140"/>
      <c r="CX356" s="140"/>
      <c r="CY356" s="140"/>
      <c r="CZ356" s="140"/>
      <c r="DA356" s="140"/>
      <c r="DB356" s="140"/>
      <c r="DC356" s="140"/>
      <c r="DD356" s="140"/>
      <c r="DE356" s="140"/>
    </row>
    <row r="357" spans="1:109" s="139" customForma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3"/>
      <c r="U357" s="143"/>
      <c r="V357" s="143"/>
      <c r="W357" s="143"/>
      <c r="X357" s="143"/>
      <c r="Y357" s="143"/>
      <c r="Z357" s="143"/>
      <c r="AA357" s="143"/>
      <c r="AC357" s="140"/>
      <c r="AD357" s="140"/>
      <c r="AE357" s="140"/>
      <c r="AF357" s="140"/>
      <c r="AG357" s="140"/>
      <c r="AH357" s="141"/>
      <c r="AI357" s="143"/>
      <c r="AJ357" s="140"/>
      <c r="AK357" s="140"/>
      <c r="AL357" s="140"/>
      <c r="AM357" s="140"/>
      <c r="AN357" s="140"/>
      <c r="AO357" s="140"/>
      <c r="AP357" s="140"/>
      <c r="AQ357" s="140"/>
      <c r="AR357" s="140"/>
      <c r="AS357" s="140"/>
      <c r="AT357" s="140"/>
      <c r="AU357" s="140"/>
      <c r="AV357" s="140"/>
      <c r="AW357" s="140"/>
      <c r="AX357" s="140"/>
      <c r="AY357" s="140"/>
      <c r="AZ357" s="140"/>
      <c r="BA357" s="140"/>
      <c r="BB357" s="140"/>
      <c r="BC357" s="140"/>
      <c r="BD357" s="140"/>
      <c r="BE357" s="140"/>
      <c r="BF357" s="140"/>
      <c r="BG357" s="140"/>
      <c r="BH357" s="140"/>
      <c r="BI357" s="140"/>
      <c r="BJ357" s="140"/>
      <c r="BK357" s="140"/>
      <c r="BL357" s="140"/>
      <c r="BM357" s="140"/>
      <c r="BN357" s="140"/>
      <c r="BO357" s="140"/>
      <c r="BP357" s="140"/>
      <c r="BQ357" s="140"/>
      <c r="BR357" s="140"/>
      <c r="BS357" s="140"/>
      <c r="BT357" s="140"/>
      <c r="BU357" s="140"/>
      <c r="BV357" s="140"/>
      <c r="BW357" s="140"/>
      <c r="BX357" s="140"/>
      <c r="BY357" s="140"/>
      <c r="BZ357" s="140"/>
      <c r="CA357" s="140"/>
      <c r="CB357" s="140"/>
      <c r="CC357" s="140"/>
      <c r="CD357" s="140"/>
      <c r="CE357" s="140"/>
      <c r="CF357" s="140"/>
      <c r="CG357" s="140"/>
      <c r="CH357" s="140"/>
      <c r="CI357" s="140"/>
      <c r="CJ357" s="140"/>
      <c r="CK357" s="140"/>
      <c r="CL357" s="140"/>
      <c r="CM357" s="140"/>
      <c r="CN357" s="140"/>
      <c r="CO357" s="140"/>
      <c r="CP357" s="140"/>
      <c r="CQ357" s="140"/>
      <c r="CR357" s="140"/>
      <c r="CS357" s="140"/>
      <c r="CT357" s="140"/>
      <c r="CU357" s="140"/>
      <c r="CV357" s="140"/>
      <c r="CW357" s="140"/>
      <c r="CX357" s="140"/>
      <c r="CY357" s="140"/>
      <c r="CZ357" s="140"/>
      <c r="DA357" s="140"/>
      <c r="DB357" s="140"/>
      <c r="DC357" s="140"/>
      <c r="DD357" s="140"/>
      <c r="DE357" s="140"/>
    </row>
  </sheetData>
  <sheetProtection formatCells="0" formatColumns="0" formatRows="0" insertColumns="0" insertRows="0" deleteColumns="0" deleteRows="0"/>
  <protectedRanges>
    <protectedRange sqref="J138:R138 T75:AA75 B111:G111 B84:G84 J82:S82 B138:G138 J111:R111 J70:AA71 E70:G71 B72:G72 J84:S84 E145:G145 J154:R154 J157:AA157 J145:S146 B154:G154 J156:R156 E75:G75 B60:D71 J67:AA68 J72:R72 E66:G68 J103:S104 J131:S132 J78:S79 J66:S66 E103:G103 B75:D83 B43:D46 E131:G131" name="Range1_6_1_1_2_1"/>
    <protectedRange sqref="E65:G65 B59:G59 J65:AA65 E77:G77 E102:G102 J102:AA102 B124:G124 J59:AA59 J139:AA139 E130:G130 J130:AA130 B56:G56 J56:AA56 J124:AA124 J77:AA77 J85:AA85 B88:G88 J88:R88 J96:AA96 S121:AA121 T158:AA158 S114 B92:G92 J92:AA92 J155:AA155 B96:G96 E144:G144 J144:AA144 E46:G46 J46:AA46 S112 J112:R114 T112:AA115 J142:R142" name="Range1_1_1_1_1_1_1"/>
    <protectedRange sqref="S75 T60:AA60 J76:R76 E60:G63 S61:AA61 T145:AA145 S125:AA126 E125:G128 S63:AA63 J62:AA62 S97:AA98 S128:AA128 J127:AA127 E101:G101 S101:AA101 J99:AA99 E97:G99 E43:G45 T66:AA66 T103:AA103 T43:AA45 T131:AA131" name="Range1_4_2_1_1_1_2_4_1"/>
    <protectedRange sqref="J109:AA109 J121:R121 J137:AA137 B121:G121 J151:AA151 B143:D151 B97:D109 B125:D137" name="Range1_11_1_1_1_1"/>
    <protectedRange sqref="J106:AA106 E106:G106 E109:G109 J134:AA134 E134:G134 E137:G137 J148:AA148 E148:G148 E151:G151" name="Range1_6_3_1_1_1_1"/>
    <protectedRange sqref="J105:AA105 E105:G105 J133:AA133 E133:G133 J147:AA147 E147:G147" name="Range1_6_5_3_1_1_1_1"/>
    <protectedRange sqref="E107:G108 J107:AA108 J135:AA136 E135:G136 E149:G150 J149:AA150" name="Range1_6_4_2_1_1_1"/>
    <protectedRange sqref="J61:R61 J63:R63" name="Range1_4_2_1_1_1_2_1_1_1_1"/>
    <protectedRange sqref="J75:R75" name="Range1_4_2_1_1_1_2_2_1_1"/>
    <protectedRange sqref="J126:R126 J98:R98 J128:R128 J101:R101" name="Range1_4_2_1_1_1_2_3_1_1"/>
    <protectedRange sqref="J14:R14 B14:G14" name="Range1_1_1_1_1_1_7_1"/>
    <protectedRange sqref="B10:D10" name="Range1_4_1_3_1_1_1_3_1"/>
    <protectedRange sqref="E10:G10" name="Range1_4_1_4_1_1_1_1_1"/>
    <protectedRange sqref="J10:R10" name="Range1_4_1_5_1_1_1_1_1"/>
    <protectedRange sqref="S10" name="Range1_4_1_6_1_1_1_1_1"/>
    <protectedRange sqref="T10:AA10" name="Range1_4_1_7_1_1_1_1_1"/>
    <protectedRange sqref="J17:AA17" name="Range1_4_1_1_1_1_3"/>
    <protectedRange sqref="B26:G26 E17:G17 J26:R26" name="Range1_1_1_1_1_1_4_1"/>
    <protectedRange sqref="B17:D17" name="Range1_4_1_3_1_1_1_4"/>
    <protectedRange sqref="J29:AA29" name="Range1_4_1_1_1_1_1"/>
    <protectedRange sqref="B39:D39 J47:AA47 B47:G47" name="Range1_6_1_1_2_2"/>
    <protectedRange sqref="E29:G29 J53:R53 J52:S52 B52:G53" name="Range1_1_1_1_1_1_2"/>
    <protectedRange sqref="B29:D29" name="Range1_4_1_3_1_1_1"/>
  </protectedRanges>
  <mergeCells count="831">
    <mergeCell ref="B94:D94"/>
    <mergeCell ref="E94:G94"/>
    <mergeCell ref="H94:I94"/>
    <mergeCell ref="J94:R94"/>
    <mergeCell ref="T94:AA94"/>
    <mergeCell ref="AC39:AE39"/>
    <mergeCell ref="B139:D139"/>
    <mergeCell ref="E139:G139"/>
    <mergeCell ref="H139:I139"/>
    <mergeCell ref="J139:R139"/>
    <mergeCell ref="T139:AA139"/>
    <mergeCell ref="B39:D39"/>
    <mergeCell ref="E39:G39"/>
    <mergeCell ref="H39:I39"/>
    <mergeCell ref="J39:R39"/>
    <mergeCell ref="T39:AA39"/>
    <mergeCell ref="B113:D113"/>
    <mergeCell ref="E113:G113"/>
    <mergeCell ref="H113:I113"/>
    <mergeCell ref="J113:R113"/>
    <mergeCell ref="T113:AA113"/>
    <mergeCell ref="B120:D120"/>
    <mergeCell ref="E120:G120"/>
    <mergeCell ref="H120:I120"/>
    <mergeCell ref="J120:R120"/>
    <mergeCell ref="T120:AA120"/>
    <mergeCell ref="B53:D53"/>
    <mergeCell ref="E53:G53"/>
    <mergeCell ref="H53:I53"/>
    <mergeCell ref="J53:R53"/>
    <mergeCell ref="T53:AA53"/>
    <mergeCell ref="B47:D47"/>
    <mergeCell ref="E47:G47"/>
    <mergeCell ref="H47:I47"/>
    <mergeCell ref="J47:R47"/>
    <mergeCell ref="T47:AA47"/>
    <mergeCell ref="B73:D73"/>
    <mergeCell ref="E73:G73"/>
    <mergeCell ref="H73:I73"/>
    <mergeCell ref="J73:R73"/>
    <mergeCell ref="T73:AA73"/>
    <mergeCell ref="B89:D89"/>
    <mergeCell ref="E89:G89"/>
    <mergeCell ref="H89:I89"/>
    <mergeCell ref="B68:D68"/>
    <mergeCell ref="B69:D69"/>
    <mergeCell ref="T70:AA70"/>
    <mergeCell ref="E67:G67"/>
    <mergeCell ref="AC47:AE47"/>
    <mergeCell ref="B52:D52"/>
    <mergeCell ref="E52:G52"/>
    <mergeCell ref="H52:I52"/>
    <mergeCell ref="J52:R52"/>
    <mergeCell ref="T52:AA52"/>
    <mergeCell ref="B37:D37"/>
    <mergeCell ref="E37:G37"/>
    <mergeCell ref="H37:I37"/>
    <mergeCell ref="J37:R37"/>
    <mergeCell ref="T37:AA37"/>
    <mergeCell ref="B40:D40"/>
    <mergeCell ref="E40:G40"/>
    <mergeCell ref="H40:I40"/>
    <mergeCell ref="J40:R40"/>
    <mergeCell ref="T40:AA40"/>
    <mergeCell ref="B49:D49"/>
    <mergeCell ref="E49:G49"/>
    <mergeCell ref="H49:I49"/>
    <mergeCell ref="J49:R49"/>
    <mergeCell ref="E50:G50"/>
    <mergeCell ref="H50:I50"/>
    <mergeCell ref="J50:R50"/>
    <mergeCell ref="T50:AA50"/>
    <mergeCell ref="B19:D19"/>
    <mergeCell ref="B17:D17"/>
    <mergeCell ref="E17:G17"/>
    <mergeCell ref="H17:I17"/>
    <mergeCell ref="J17:R17"/>
    <mergeCell ref="E34:G34"/>
    <mergeCell ref="H34:I34"/>
    <mergeCell ref="J34:R34"/>
    <mergeCell ref="T34:AA34"/>
    <mergeCell ref="B22:D22"/>
    <mergeCell ref="E22:G22"/>
    <mergeCell ref="H22:I22"/>
    <mergeCell ref="J22:R22"/>
    <mergeCell ref="T22:AA22"/>
    <mergeCell ref="B25:D25"/>
    <mergeCell ref="E25:G25"/>
    <mergeCell ref="H25:I25"/>
    <mergeCell ref="E23:G23"/>
    <mergeCell ref="H23:I23"/>
    <mergeCell ref="J23:R23"/>
    <mergeCell ref="B23:D23"/>
    <mergeCell ref="E26:G26"/>
    <mergeCell ref="H26:I26"/>
    <mergeCell ref="J26:R26"/>
    <mergeCell ref="T26:AA26"/>
    <mergeCell ref="T25:AA25"/>
    <mergeCell ref="T28:AA28"/>
    <mergeCell ref="T23:AA23"/>
    <mergeCell ref="B24:D24"/>
    <mergeCell ref="E24:G24"/>
    <mergeCell ref="J25:R25"/>
    <mergeCell ref="B29:D29"/>
    <mergeCell ref="E29:G29"/>
    <mergeCell ref="H29:I29"/>
    <mergeCell ref="J29:R29"/>
    <mergeCell ref="T29:AA29"/>
    <mergeCell ref="B27:D27"/>
    <mergeCell ref="E27:G27"/>
    <mergeCell ref="H27:I27"/>
    <mergeCell ref="J27:S27"/>
    <mergeCell ref="T27:AA27"/>
    <mergeCell ref="B28:D28"/>
    <mergeCell ref="H24:I24"/>
    <mergeCell ref="J24:R24"/>
    <mergeCell ref="T24:AA24"/>
    <mergeCell ref="B26:D26"/>
    <mergeCell ref="B15:D15"/>
    <mergeCell ref="E15:G15"/>
    <mergeCell ref="H15:I15"/>
    <mergeCell ref="J15:S15"/>
    <mergeCell ref="T15:AA15"/>
    <mergeCell ref="B16:D16"/>
    <mergeCell ref="E16:G16"/>
    <mergeCell ref="H16:I16"/>
    <mergeCell ref="J16:R16"/>
    <mergeCell ref="B129:D129"/>
    <mergeCell ref="E129:G129"/>
    <mergeCell ref="H129:I129"/>
    <mergeCell ref="J129:R129"/>
    <mergeCell ref="T129:AA129"/>
    <mergeCell ref="AC129:AE129"/>
    <mergeCell ref="AC126:AE126"/>
    <mergeCell ref="E28:G28"/>
    <mergeCell ref="H28:I28"/>
    <mergeCell ref="J28:R28"/>
    <mergeCell ref="T71:AA71"/>
    <mergeCell ref="B72:D72"/>
    <mergeCell ref="E72:G72"/>
    <mergeCell ref="H72:I72"/>
    <mergeCell ref="J72:R72"/>
    <mergeCell ref="T72:AA72"/>
    <mergeCell ref="B71:D71"/>
    <mergeCell ref="E71:G71"/>
    <mergeCell ref="H71:I71"/>
    <mergeCell ref="J71:R71"/>
    <mergeCell ref="B64:D64"/>
    <mergeCell ref="B67:D67"/>
    <mergeCell ref="B65:D65"/>
    <mergeCell ref="B66:D66"/>
    <mergeCell ref="B131:D131"/>
    <mergeCell ref="E131:G131"/>
    <mergeCell ref="H131:I131"/>
    <mergeCell ref="J131:R131"/>
    <mergeCell ref="T131:AA131"/>
    <mergeCell ref="AC131:AE131"/>
    <mergeCell ref="B130:D130"/>
    <mergeCell ref="E130:G130"/>
    <mergeCell ref="H130:I130"/>
    <mergeCell ref="J130:R130"/>
    <mergeCell ref="T130:AA130"/>
    <mergeCell ref="AC130:AE130"/>
    <mergeCell ref="B108:D108"/>
    <mergeCell ref="E108:G108"/>
    <mergeCell ref="H108:I108"/>
    <mergeCell ref="J108:R108"/>
    <mergeCell ref="B100:D100"/>
    <mergeCell ref="E100:G100"/>
    <mergeCell ref="H100:I100"/>
    <mergeCell ref="J100:R100"/>
    <mergeCell ref="B97:D97"/>
    <mergeCell ref="E97:G97"/>
    <mergeCell ref="H97:I97"/>
    <mergeCell ref="J97:R97"/>
    <mergeCell ref="J78:R78"/>
    <mergeCell ref="T78:AA78"/>
    <mergeCell ref="B124:D124"/>
    <mergeCell ref="E124:G124"/>
    <mergeCell ref="H124:I124"/>
    <mergeCell ref="J124:R124"/>
    <mergeCell ref="T124:AA124"/>
    <mergeCell ref="T119:AA119"/>
    <mergeCell ref="B121:D121"/>
    <mergeCell ref="E121:G121"/>
    <mergeCell ref="H121:I121"/>
    <mergeCell ref="J121:R121"/>
    <mergeCell ref="T121:AA121"/>
    <mergeCell ref="B117:D117"/>
    <mergeCell ref="E117:G117"/>
    <mergeCell ref="H117:I117"/>
    <mergeCell ref="J117:R117"/>
    <mergeCell ref="T117:AA117"/>
    <mergeCell ref="B118:D118"/>
    <mergeCell ref="E118:G118"/>
    <mergeCell ref="H118:I118"/>
    <mergeCell ref="J118:S118"/>
    <mergeCell ref="B93:D93"/>
    <mergeCell ref="B110:D110"/>
    <mergeCell ref="E123:G123"/>
    <mergeCell ref="AC78:AE78"/>
    <mergeCell ref="E77:G77"/>
    <mergeCell ref="H77:I77"/>
    <mergeCell ref="J77:R77"/>
    <mergeCell ref="T77:AA77"/>
    <mergeCell ref="AC77:AE77"/>
    <mergeCell ref="B78:D78"/>
    <mergeCell ref="E78:G78"/>
    <mergeCell ref="H78:I78"/>
    <mergeCell ref="H123:I123"/>
    <mergeCell ref="J123:R123"/>
    <mergeCell ref="T123:AA123"/>
    <mergeCell ref="B122:D122"/>
    <mergeCell ref="E122:G122"/>
    <mergeCell ref="H122:I122"/>
    <mergeCell ref="J122:R122"/>
    <mergeCell ref="T122:AA122"/>
    <mergeCell ref="B119:D119"/>
    <mergeCell ref="E119:G119"/>
    <mergeCell ref="H119:I119"/>
    <mergeCell ref="J119:R119"/>
    <mergeCell ref="T103:AA103"/>
    <mergeCell ref="B77:D77"/>
    <mergeCell ref="B70:D70"/>
    <mergeCell ref="H159:I159"/>
    <mergeCell ref="H155:I155"/>
    <mergeCell ref="H151:I151"/>
    <mergeCell ref="H147:I147"/>
    <mergeCell ref="H145:I145"/>
    <mergeCell ref="H143:I143"/>
    <mergeCell ref="B140:D140"/>
    <mergeCell ref="E140:G140"/>
    <mergeCell ref="H140:I140"/>
    <mergeCell ref="B137:D137"/>
    <mergeCell ref="E137:G137"/>
    <mergeCell ref="H137:I137"/>
    <mergeCell ref="B134:D134"/>
    <mergeCell ref="E134:G134"/>
    <mergeCell ref="H134:I134"/>
    <mergeCell ref="B159:D159"/>
    <mergeCell ref="E159:G159"/>
    <mergeCell ref="B155:D155"/>
    <mergeCell ref="E155:G155"/>
    <mergeCell ref="B151:D151"/>
    <mergeCell ref="E151:G151"/>
    <mergeCell ref="B147:D147"/>
    <mergeCell ref="B123:D123"/>
    <mergeCell ref="J159:R159"/>
    <mergeCell ref="T159:AA159"/>
    <mergeCell ref="B157:D157"/>
    <mergeCell ref="E157:G157"/>
    <mergeCell ref="H157:I157"/>
    <mergeCell ref="J157:R157"/>
    <mergeCell ref="T157:AA157"/>
    <mergeCell ref="B158:D158"/>
    <mergeCell ref="E158:G158"/>
    <mergeCell ref="H158:I158"/>
    <mergeCell ref="J158:R158"/>
    <mergeCell ref="T158:AA158"/>
    <mergeCell ref="J155:R155"/>
    <mergeCell ref="T155:AA155"/>
    <mergeCell ref="B156:D156"/>
    <mergeCell ref="E156:G156"/>
    <mergeCell ref="H156:I156"/>
    <mergeCell ref="J156:R156"/>
    <mergeCell ref="T156:AA156"/>
    <mergeCell ref="B153:D153"/>
    <mergeCell ref="E153:G153"/>
    <mergeCell ref="H153:I153"/>
    <mergeCell ref="J153:R153"/>
    <mergeCell ref="T153:AA153"/>
    <mergeCell ref="B154:D154"/>
    <mergeCell ref="E154:G154"/>
    <mergeCell ref="H154:I154"/>
    <mergeCell ref="J154:R154"/>
    <mergeCell ref="T154:AA154"/>
    <mergeCell ref="J151:R151"/>
    <mergeCell ref="T151:AA151"/>
    <mergeCell ref="B152:D152"/>
    <mergeCell ref="E152:G152"/>
    <mergeCell ref="H152:I152"/>
    <mergeCell ref="J152:R152"/>
    <mergeCell ref="T152:AA152"/>
    <mergeCell ref="B150:D150"/>
    <mergeCell ref="E150:G150"/>
    <mergeCell ref="H150:I150"/>
    <mergeCell ref="J150:R150"/>
    <mergeCell ref="T150:AA150"/>
    <mergeCell ref="AC150:AE150"/>
    <mergeCell ref="B149:D149"/>
    <mergeCell ref="E149:G149"/>
    <mergeCell ref="H149:I149"/>
    <mergeCell ref="J149:R149"/>
    <mergeCell ref="T149:AA149"/>
    <mergeCell ref="AC149:AE149"/>
    <mergeCell ref="B148:D148"/>
    <mergeCell ref="E148:G148"/>
    <mergeCell ref="H148:I148"/>
    <mergeCell ref="J148:R148"/>
    <mergeCell ref="T148:AA148"/>
    <mergeCell ref="AC148:AE148"/>
    <mergeCell ref="J147:R147"/>
    <mergeCell ref="T147:AA147"/>
    <mergeCell ref="AC147:AE147"/>
    <mergeCell ref="B146:D146"/>
    <mergeCell ref="E146:G146"/>
    <mergeCell ref="H146:I146"/>
    <mergeCell ref="J146:R146"/>
    <mergeCell ref="T146:AA146"/>
    <mergeCell ref="AC146:AE146"/>
    <mergeCell ref="E147:G147"/>
    <mergeCell ref="J145:R145"/>
    <mergeCell ref="T145:AA145"/>
    <mergeCell ref="AC145:AE145"/>
    <mergeCell ref="B144:D144"/>
    <mergeCell ref="E144:G144"/>
    <mergeCell ref="H144:I144"/>
    <mergeCell ref="J144:R144"/>
    <mergeCell ref="T144:AA144"/>
    <mergeCell ref="AC144:AE144"/>
    <mergeCell ref="B145:D145"/>
    <mergeCell ref="E145:G145"/>
    <mergeCell ref="J143:R143"/>
    <mergeCell ref="T143:AA143"/>
    <mergeCell ref="AC143:AE143"/>
    <mergeCell ref="H142:I142"/>
    <mergeCell ref="J142:R142"/>
    <mergeCell ref="T142:AA142"/>
    <mergeCell ref="B143:D143"/>
    <mergeCell ref="E143:G143"/>
    <mergeCell ref="B142:D142"/>
    <mergeCell ref="E142:G142"/>
    <mergeCell ref="T140:AA140"/>
    <mergeCell ref="J140:R140"/>
    <mergeCell ref="B141:D141"/>
    <mergeCell ref="E141:G141"/>
    <mergeCell ref="H141:I141"/>
    <mergeCell ref="J141:R141"/>
    <mergeCell ref="T141:AA141"/>
    <mergeCell ref="H138:I138"/>
    <mergeCell ref="J138:R138"/>
    <mergeCell ref="T138:AA138"/>
    <mergeCell ref="B138:D138"/>
    <mergeCell ref="E138:G138"/>
    <mergeCell ref="J137:R137"/>
    <mergeCell ref="T137:AA137"/>
    <mergeCell ref="B136:D136"/>
    <mergeCell ref="E136:G136"/>
    <mergeCell ref="H136:I136"/>
    <mergeCell ref="J136:R136"/>
    <mergeCell ref="T136:AA136"/>
    <mergeCell ref="AC136:AE136"/>
    <mergeCell ref="B135:D135"/>
    <mergeCell ref="E135:G135"/>
    <mergeCell ref="H135:I135"/>
    <mergeCell ref="J135:R135"/>
    <mergeCell ref="T135:AA135"/>
    <mergeCell ref="AC135:AE135"/>
    <mergeCell ref="J134:R134"/>
    <mergeCell ref="T134:AA134"/>
    <mergeCell ref="AC134:AE134"/>
    <mergeCell ref="E133:G133"/>
    <mergeCell ref="H133:I133"/>
    <mergeCell ref="J133:R133"/>
    <mergeCell ref="T133:AA133"/>
    <mergeCell ref="AC133:AE133"/>
    <mergeCell ref="B132:D132"/>
    <mergeCell ref="E132:G132"/>
    <mergeCell ref="H132:I132"/>
    <mergeCell ref="J132:R132"/>
    <mergeCell ref="T132:AA132"/>
    <mergeCell ref="AC132:AE132"/>
    <mergeCell ref="B133:D133"/>
    <mergeCell ref="AC125:AE125"/>
    <mergeCell ref="B128:D128"/>
    <mergeCell ref="E128:G128"/>
    <mergeCell ref="H128:I128"/>
    <mergeCell ref="J128:R128"/>
    <mergeCell ref="T128:AA128"/>
    <mergeCell ref="AC128:AE128"/>
    <mergeCell ref="B127:D127"/>
    <mergeCell ref="E127:G127"/>
    <mergeCell ref="H127:I127"/>
    <mergeCell ref="J127:R127"/>
    <mergeCell ref="T127:AA127"/>
    <mergeCell ref="AC127:AE127"/>
    <mergeCell ref="B126:D126"/>
    <mergeCell ref="E126:G126"/>
    <mergeCell ref="H126:I126"/>
    <mergeCell ref="J126:R126"/>
    <mergeCell ref="T126:AA126"/>
    <mergeCell ref="T125:AA125"/>
    <mergeCell ref="B125:D125"/>
    <mergeCell ref="E125:G125"/>
    <mergeCell ref="H125:I125"/>
    <mergeCell ref="J125:R125"/>
    <mergeCell ref="T118:AA118"/>
    <mergeCell ref="B116:D116"/>
    <mergeCell ref="E116:G116"/>
    <mergeCell ref="H116:I116"/>
    <mergeCell ref="J116:R116"/>
    <mergeCell ref="T116:AA116"/>
    <mergeCell ref="B115:D115"/>
    <mergeCell ref="E115:G115"/>
    <mergeCell ref="H115:I115"/>
    <mergeCell ref="J115:R115"/>
    <mergeCell ref="T115:AA115"/>
    <mergeCell ref="T114:AA114"/>
    <mergeCell ref="B111:D111"/>
    <mergeCell ref="E111:G111"/>
    <mergeCell ref="H111:I111"/>
    <mergeCell ref="J111:R111"/>
    <mergeCell ref="T111:AA111"/>
    <mergeCell ref="B109:D109"/>
    <mergeCell ref="E109:G109"/>
    <mergeCell ref="H109:I109"/>
    <mergeCell ref="J109:R109"/>
    <mergeCell ref="T109:AA109"/>
    <mergeCell ref="H110:I110"/>
    <mergeCell ref="J110:R110"/>
    <mergeCell ref="T110:AA110"/>
    <mergeCell ref="E110:G110"/>
    <mergeCell ref="B114:D114"/>
    <mergeCell ref="E114:G114"/>
    <mergeCell ref="H114:I114"/>
    <mergeCell ref="J114:R114"/>
    <mergeCell ref="B112:D112"/>
    <mergeCell ref="E112:G112"/>
    <mergeCell ref="H112:I112"/>
    <mergeCell ref="J112:R112"/>
    <mergeCell ref="T112:AA112"/>
    <mergeCell ref="T108:AA108"/>
    <mergeCell ref="AC108:AE108"/>
    <mergeCell ref="B107:D107"/>
    <mergeCell ref="E107:G107"/>
    <mergeCell ref="H107:I107"/>
    <mergeCell ref="J107:R107"/>
    <mergeCell ref="T107:AA107"/>
    <mergeCell ref="AC107:AE107"/>
    <mergeCell ref="B104:D104"/>
    <mergeCell ref="E104:G104"/>
    <mergeCell ref="H104:I104"/>
    <mergeCell ref="J104:R104"/>
    <mergeCell ref="T104:AA104"/>
    <mergeCell ref="AC104:AE104"/>
    <mergeCell ref="B106:D106"/>
    <mergeCell ref="E106:G106"/>
    <mergeCell ref="H106:I106"/>
    <mergeCell ref="J106:R106"/>
    <mergeCell ref="T106:AA106"/>
    <mergeCell ref="AC106:AE106"/>
    <mergeCell ref="B105:D105"/>
    <mergeCell ref="E105:G105"/>
    <mergeCell ref="H105:I105"/>
    <mergeCell ref="J105:R105"/>
    <mergeCell ref="T105:AA105"/>
    <mergeCell ref="AC105:AE105"/>
    <mergeCell ref="B102:D102"/>
    <mergeCell ref="E102:G102"/>
    <mergeCell ref="H102:I102"/>
    <mergeCell ref="J102:R102"/>
    <mergeCell ref="T102:AA102"/>
    <mergeCell ref="AC102:AE102"/>
    <mergeCell ref="B101:D101"/>
    <mergeCell ref="E101:G101"/>
    <mergeCell ref="H101:I101"/>
    <mergeCell ref="J101:R101"/>
    <mergeCell ref="T101:AA101"/>
    <mergeCell ref="AC101:AE101"/>
    <mergeCell ref="AC103:AE103"/>
    <mergeCell ref="B103:D103"/>
    <mergeCell ref="E103:G103"/>
    <mergeCell ref="H103:I103"/>
    <mergeCell ref="J103:R103"/>
    <mergeCell ref="T100:AA100"/>
    <mergeCell ref="AC100:AE100"/>
    <mergeCell ref="B99:D99"/>
    <mergeCell ref="E99:G99"/>
    <mergeCell ref="H99:I99"/>
    <mergeCell ref="J99:R99"/>
    <mergeCell ref="T99:AA99"/>
    <mergeCell ref="AC99:AE99"/>
    <mergeCell ref="B98:D98"/>
    <mergeCell ref="E98:G98"/>
    <mergeCell ref="H98:I98"/>
    <mergeCell ref="J98:R98"/>
    <mergeCell ref="T98:AA98"/>
    <mergeCell ref="AC98:AE98"/>
    <mergeCell ref="T97:AA97"/>
    <mergeCell ref="AC97:AE97"/>
    <mergeCell ref="B95:D95"/>
    <mergeCell ref="E95:G95"/>
    <mergeCell ref="H95:I95"/>
    <mergeCell ref="J95:R95"/>
    <mergeCell ref="T95:AA95"/>
    <mergeCell ref="B96:D96"/>
    <mergeCell ref="E96:G96"/>
    <mergeCell ref="H96:I96"/>
    <mergeCell ref="J96:R96"/>
    <mergeCell ref="T96:AA96"/>
    <mergeCell ref="T93:AA93"/>
    <mergeCell ref="B91:D91"/>
    <mergeCell ref="E91:G91"/>
    <mergeCell ref="H91:I91"/>
    <mergeCell ref="J91:R91"/>
    <mergeCell ref="T91:AA91"/>
    <mergeCell ref="B92:D92"/>
    <mergeCell ref="E92:G92"/>
    <mergeCell ref="H92:I92"/>
    <mergeCell ref="J92:R92"/>
    <mergeCell ref="T92:AA92"/>
    <mergeCell ref="E93:G93"/>
    <mergeCell ref="H93:I93"/>
    <mergeCell ref="J93:R93"/>
    <mergeCell ref="H90:I90"/>
    <mergeCell ref="J90:S90"/>
    <mergeCell ref="T90:AA90"/>
    <mergeCell ref="B87:D87"/>
    <mergeCell ref="E87:G87"/>
    <mergeCell ref="H87:I87"/>
    <mergeCell ref="J87:R87"/>
    <mergeCell ref="T87:AA87"/>
    <mergeCell ref="B88:D88"/>
    <mergeCell ref="E88:G88"/>
    <mergeCell ref="H88:I88"/>
    <mergeCell ref="J88:R88"/>
    <mergeCell ref="T88:AA88"/>
    <mergeCell ref="J89:R89"/>
    <mergeCell ref="T89:AA89"/>
    <mergeCell ref="B90:D90"/>
    <mergeCell ref="E90:G90"/>
    <mergeCell ref="B85:D85"/>
    <mergeCell ref="E85:G85"/>
    <mergeCell ref="H85:I85"/>
    <mergeCell ref="J85:R85"/>
    <mergeCell ref="T85:AA85"/>
    <mergeCell ref="B86:D86"/>
    <mergeCell ref="E86:G86"/>
    <mergeCell ref="H86:I86"/>
    <mergeCell ref="J86:R86"/>
    <mergeCell ref="T86:AA86"/>
    <mergeCell ref="B83:D83"/>
    <mergeCell ref="E83:G83"/>
    <mergeCell ref="H83:I83"/>
    <mergeCell ref="J83:R83"/>
    <mergeCell ref="T83:AA83"/>
    <mergeCell ref="B84:D84"/>
    <mergeCell ref="E84:G84"/>
    <mergeCell ref="H84:I84"/>
    <mergeCell ref="J84:R84"/>
    <mergeCell ref="T84:AA84"/>
    <mergeCell ref="B82:D82"/>
    <mergeCell ref="E82:G82"/>
    <mergeCell ref="H82:I82"/>
    <mergeCell ref="J82:R82"/>
    <mergeCell ref="T82:AA82"/>
    <mergeCell ref="AC82:AE82"/>
    <mergeCell ref="B81:D81"/>
    <mergeCell ref="E81:G81"/>
    <mergeCell ref="H81:I81"/>
    <mergeCell ref="J81:R81"/>
    <mergeCell ref="T81:AA81"/>
    <mergeCell ref="AC81:AE81"/>
    <mergeCell ref="B80:D80"/>
    <mergeCell ref="E80:G80"/>
    <mergeCell ref="H80:I80"/>
    <mergeCell ref="J80:R80"/>
    <mergeCell ref="T80:AA80"/>
    <mergeCell ref="AC80:AE80"/>
    <mergeCell ref="B79:D79"/>
    <mergeCell ref="E79:G79"/>
    <mergeCell ref="H79:I79"/>
    <mergeCell ref="J79:R79"/>
    <mergeCell ref="T79:AA79"/>
    <mergeCell ref="AC79:AE79"/>
    <mergeCell ref="E76:G76"/>
    <mergeCell ref="H76:I76"/>
    <mergeCell ref="J76:R76"/>
    <mergeCell ref="T76:AA76"/>
    <mergeCell ref="AC76:AE76"/>
    <mergeCell ref="B75:D75"/>
    <mergeCell ref="E75:G75"/>
    <mergeCell ref="H75:I75"/>
    <mergeCell ref="J75:R75"/>
    <mergeCell ref="T75:AA75"/>
    <mergeCell ref="AC75:AE75"/>
    <mergeCell ref="B76:D76"/>
    <mergeCell ref="AC70:AE70"/>
    <mergeCell ref="E69:G69"/>
    <mergeCell ref="H69:I69"/>
    <mergeCell ref="J69:R69"/>
    <mergeCell ref="T69:AA69"/>
    <mergeCell ref="AC69:AE69"/>
    <mergeCell ref="E68:G68"/>
    <mergeCell ref="H68:I68"/>
    <mergeCell ref="J68:R68"/>
    <mergeCell ref="T68:AA68"/>
    <mergeCell ref="AC68:AE68"/>
    <mergeCell ref="H70:I70"/>
    <mergeCell ref="J70:R70"/>
    <mergeCell ref="E70:G70"/>
    <mergeCell ref="AC67:AE67"/>
    <mergeCell ref="E66:G66"/>
    <mergeCell ref="H66:I66"/>
    <mergeCell ref="J66:R66"/>
    <mergeCell ref="T66:AA66"/>
    <mergeCell ref="AC66:AE66"/>
    <mergeCell ref="E65:G65"/>
    <mergeCell ref="H65:I65"/>
    <mergeCell ref="J65:R65"/>
    <mergeCell ref="T65:AA65"/>
    <mergeCell ref="AC65:AE65"/>
    <mergeCell ref="H67:I67"/>
    <mergeCell ref="J67:R67"/>
    <mergeCell ref="T67:AA67"/>
    <mergeCell ref="AC64:AE64"/>
    <mergeCell ref="E63:G63"/>
    <mergeCell ref="H63:I63"/>
    <mergeCell ref="J63:R63"/>
    <mergeCell ref="T63:AA63"/>
    <mergeCell ref="AC63:AE63"/>
    <mergeCell ref="B62:D62"/>
    <mergeCell ref="E62:G62"/>
    <mergeCell ref="H62:I62"/>
    <mergeCell ref="J62:R62"/>
    <mergeCell ref="T62:AA62"/>
    <mergeCell ref="AC62:AE62"/>
    <mergeCell ref="B63:D63"/>
    <mergeCell ref="E64:G64"/>
    <mergeCell ref="H64:I64"/>
    <mergeCell ref="J64:R64"/>
    <mergeCell ref="T64:AA64"/>
    <mergeCell ref="T58:AA58"/>
    <mergeCell ref="AC60:AE60"/>
    <mergeCell ref="B61:D61"/>
    <mergeCell ref="E61:G61"/>
    <mergeCell ref="H61:I61"/>
    <mergeCell ref="J61:R61"/>
    <mergeCell ref="T61:AA61"/>
    <mergeCell ref="AC61:AE61"/>
    <mergeCell ref="B59:D59"/>
    <mergeCell ref="E59:G59"/>
    <mergeCell ref="H59:I59"/>
    <mergeCell ref="J59:R59"/>
    <mergeCell ref="T59:AA59"/>
    <mergeCell ref="B55:D55"/>
    <mergeCell ref="E55:G55"/>
    <mergeCell ref="H55:I55"/>
    <mergeCell ref="J55:R55"/>
    <mergeCell ref="T55:AA55"/>
    <mergeCell ref="B60:D60"/>
    <mergeCell ref="E60:G60"/>
    <mergeCell ref="H60:I60"/>
    <mergeCell ref="J60:R60"/>
    <mergeCell ref="T60:AA60"/>
    <mergeCell ref="B56:D56"/>
    <mergeCell ref="E56:G56"/>
    <mergeCell ref="H56:I56"/>
    <mergeCell ref="J56:R56"/>
    <mergeCell ref="T56:AA56"/>
    <mergeCell ref="B57:D57"/>
    <mergeCell ref="E57:G57"/>
    <mergeCell ref="H57:I57"/>
    <mergeCell ref="J57:R57"/>
    <mergeCell ref="T57:AA57"/>
    <mergeCell ref="B58:D58"/>
    <mergeCell ref="E58:G58"/>
    <mergeCell ref="H58:I58"/>
    <mergeCell ref="J58:R58"/>
    <mergeCell ref="B54:D54"/>
    <mergeCell ref="E54:G54"/>
    <mergeCell ref="H54:I54"/>
    <mergeCell ref="J54:S54"/>
    <mergeCell ref="T54:AA54"/>
    <mergeCell ref="B30:D30"/>
    <mergeCell ref="E30:G30"/>
    <mergeCell ref="H30:I30"/>
    <mergeCell ref="J30:R30"/>
    <mergeCell ref="T30:AA30"/>
    <mergeCell ref="B36:D36"/>
    <mergeCell ref="E36:G36"/>
    <mergeCell ref="H36:I36"/>
    <mergeCell ref="J36:R36"/>
    <mergeCell ref="T36:AA36"/>
    <mergeCell ref="B34:D34"/>
    <mergeCell ref="J41:R41"/>
    <mergeCell ref="T41:AA41"/>
    <mergeCell ref="B48:D48"/>
    <mergeCell ref="E48:G48"/>
    <mergeCell ref="H48:I48"/>
    <mergeCell ref="J48:R48"/>
    <mergeCell ref="T42:AA42"/>
    <mergeCell ref="B50:D50"/>
    <mergeCell ref="T19:AA19"/>
    <mergeCell ref="B20:D20"/>
    <mergeCell ref="E20:G20"/>
    <mergeCell ref="H20:I20"/>
    <mergeCell ref="J20:R20"/>
    <mergeCell ref="T20:AA20"/>
    <mergeCell ref="T16:AA16"/>
    <mergeCell ref="E11:G11"/>
    <mergeCell ref="H11:I11"/>
    <mergeCell ref="J11:R11"/>
    <mergeCell ref="T11:AA11"/>
    <mergeCell ref="B12:D12"/>
    <mergeCell ref="E12:G12"/>
    <mergeCell ref="H12:I12"/>
    <mergeCell ref="B18:D18"/>
    <mergeCell ref="E18:G18"/>
    <mergeCell ref="H18:I18"/>
    <mergeCell ref="J18:R18"/>
    <mergeCell ref="T18:AA18"/>
    <mergeCell ref="E13:G13"/>
    <mergeCell ref="H13:I13"/>
    <mergeCell ref="J13:R13"/>
    <mergeCell ref="J12:R12"/>
    <mergeCell ref="T12:AA12"/>
    <mergeCell ref="AH2:AR2"/>
    <mergeCell ref="B3:P3"/>
    <mergeCell ref="R3:AA3"/>
    <mergeCell ref="AH3:AR6"/>
    <mergeCell ref="B4:P4"/>
    <mergeCell ref="R4:AA4"/>
    <mergeCell ref="B5:P5"/>
    <mergeCell ref="R5:AA5"/>
    <mergeCell ref="B8:D8"/>
    <mergeCell ref="E8:G8"/>
    <mergeCell ref="H8:I8"/>
    <mergeCell ref="J8:S8"/>
    <mergeCell ref="T8:AA8"/>
    <mergeCell ref="B7:D7"/>
    <mergeCell ref="E7:H7"/>
    <mergeCell ref="J7:M7"/>
    <mergeCell ref="N7:Q7"/>
    <mergeCell ref="S7:V7"/>
    <mergeCell ref="W7:AA7"/>
    <mergeCell ref="B9:D9"/>
    <mergeCell ref="E9:G9"/>
    <mergeCell ref="H9:I9"/>
    <mergeCell ref="J9:R9"/>
    <mergeCell ref="T9:AA9"/>
    <mergeCell ref="T13:AA13"/>
    <mergeCell ref="B14:D14"/>
    <mergeCell ref="E14:G14"/>
    <mergeCell ref="H14:I14"/>
    <mergeCell ref="J14:R14"/>
    <mergeCell ref="T14:AA14"/>
    <mergeCell ref="B10:D10"/>
    <mergeCell ref="E10:G10"/>
    <mergeCell ref="H10:I10"/>
    <mergeCell ref="J10:R10"/>
    <mergeCell ref="T10:AA10"/>
    <mergeCell ref="B11:D11"/>
    <mergeCell ref="B13:D13"/>
    <mergeCell ref="T17:AA17"/>
    <mergeCell ref="B21:D21"/>
    <mergeCell ref="E21:G21"/>
    <mergeCell ref="H21:I21"/>
    <mergeCell ref="J21:R21"/>
    <mergeCell ref="T21:AA21"/>
    <mergeCell ref="B33:D33"/>
    <mergeCell ref="E33:G33"/>
    <mergeCell ref="H33:I33"/>
    <mergeCell ref="J33:R33"/>
    <mergeCell ref="T33:AA33"/>
    <mergeCell ref="B31:D31"/>
    <mergeCell ref="E31:G31"/>
    <mergeCell ref="H31:I31"/>
    <mergeCell ref="J31:R31"/>
    <mergeCell ref="T31:AA31"/>
    <mergeCell ref="B32:D32"/>
    <mergeCell ref="E32:G32"/>
    <mergeCell ref="H32:I32"/>
    <mergeCell ref="J32:R32"/>
    <mergeCell ref="T32:AA32"/>
    <mergeCell ref="E19:G19"/>
    <mergeCell ref="H19:I19"/>
    <mergeCell ref="J19:R19"/>
    <mergeCell ref="B35:D35"/>
    <mergeCell ref="E35:G35"/>
    <mergeCell ref="H35:I35"/>
    <mergeCell ref="J35:R35"/>
    <mergeCell ref="T35:AA35"/>
    <mergeCell ref="T48:AA48"/>
    <mergeCell ref="T49:AA49"/>
    <mergeCell ref="B41:D41"/>
    <mergeCell ref="E41:G41"/>
    <mergeCell ref="H41:I41"/>
    <mergeCell ref="B74:D74"/>
    <mergeCell ref="E74:G74"/>
    <mergeCell ref="H74:I74"/>
    <mergeCell ref="J74:R74"/>
    <mergeCell ref="T74:AA74"/>
    <mergeCell ref="B38:D38"/>
    <mergeCell ref="E38:G38"/>
    <mergeCell ref="H38:I38"/>
    <mergeCell ref="J38:R38"/>
    <mergeCell ref="T38:AA38"/>
    <mergeCell ref="B44:D44"/>
    <mergeCell ref="E44:G44"/>
    <mergeCell ref="H44:I44"/>
    <mergeCell ref="J44:R44"/>
    <mergeCell ref="T44:AA44"/>
    <mergeCell ref="B51:D51"/>
    <mergeCell ref="E51:G51"/>
    <mergeCell ref="H51:I51"/>
    <mergeCell ref="J51:R51"/>
    <mergeCell ref="T51:AA51"/>
    <mergeCell ref="B42:D42"/>
    <mergeCell ref="E42:G42"/>
    <mergeCell ref="H42:I42"/>
    <mergeCell ref="J42:R42"/>
    <mergeCell ref="AC44:AE44"/>
    <mergeCell ref="B46:D46"/>
    <mergeCell ref="E46:G46"/>
    <mergeCell ref="H46:I46"/>
    <mergeCell ref="J46:R46"/>
    <mergeCell ref="T46:AA46"/>
    <mergeCell ref="AC46:AE46"/>
    <mergeCell ref="B43:D43"/>
    <mergeCell ref="E43:G43"/>
    <mergeCell ref="H43:I43"/>
    <mergeCell ref="J43:R43"/>
    <mergeCell ref="T43:AA43"/>
    <mergeCell ref="AC43:AE43"/>
    <mergeCell ref="B45:D45"/>
    <mergeCell ref="E45:G45"/>
    <mergeCell ref="H45:I45"/>
    <mergeCell ref="J45:R45"/>
    <mergeCell ref="T45:AA45"/>
    <mergeCell ref="AC45:AE45"/>
  </mergeCells>
  <conditionalFormatting sqref="S60:AA61 B90:AA91 AG91 B150:AA151 B153:AA155 B157:AA159 E60:I61 B118:AA119 S124:AA126 B124:I124 T140:AA140 B140:I140 B27:AA28 E62:AA62 S63:AA63 E63:I63 S96:AA98 E128:J128 S128:AA128 E127:AA127 E125:I126 B86:AA86 B96:I96 E101:J101 S101:AA101 E99:AA100 B70:AA72 B108:AA109 B136:AA138 S142 E64:AA69 E97:I98 E102:AA107 B93:AA93 B25:AA25 B40:AA40 B60:D69 B75:AA84 B52:AA59 B97:D107 B114:AA116 B141:AA141 B24:R24 T24:AA24 B18:AA20 B30:AA36 B47:AA48 E129:AA135 B125:D135 B113:R113 T113:AA113 B95:AA95">
    <cfRule type="expression" dxfId="2325" priority="2356">
      <formula>OR($J18="Breakfast", $J18="Lunch", $J18="Dinner")</formula>
    </cfRule>
    <cfRule type="expression" dxfId="2324" priority="2357">
      <formula>SEARCH("Meeting",$J18)</formula>
    </cfRule>
    <cfRule type="expression" dxfId="2323" priority="2358">
      <formula>SEARCH(" PM",$J18)</formula>
    </cfRule>
    <cfRule type="expression" dxfId="2322" priority="2359">
      <formula>SEARCH("DB",$J18)</formula>
    </cfRule>
    <cfRule type="expression" dxfId="2321" priority="2360">
      <formula>SEARCH("Driver Arrival",$J18)</formula>
    </cfRule>
    <cfRule type="expression" dxfId="2320" priority="2361">
      <formula>SEARCH("Qualifying",$J18)</formula>
    </cfRule>
    <cfRule type="expression" dxfId="2319" priority="2362">
      <formula>SEARCH("Race",$J18)</formula>
    </cfRule>
    <cfRule type="expression" dxfId="2318" priority="2363">
      <formula>SEARCH("Practice Session",$J18)</formula>
    </cfRule>
    <cfRule type="expression" dxfId="2317" priority="2364">
      <formula>SEARCH("Press",$J18)</formula>
    </cfRule>
    <cfRule type="expression" dxfId="2316" priority="2365">
      <formula>SEARCH("Picture",$J18)</formula>
    </cfRule>
    <cfRule type="expression" dxfId="2315" priority="2366">
      <formula>SEARCH("Media",$J18)</formula>
    </cfRule>
    <cfRule type="expression" dxfId="2314" priority="2367">
      <formula>SEARCH("Interview",$J18)</formula>
    </cfRule>
    <cfRule type="expression" dxfId="2313" priority="2368">
      <formula>SEARCH("Team Principal",$J18)</formula>
    </cfRule>
    <cfRule type="expression" dxfId="2312" priority="2369">
      <formula>SEARCH("Briefing",$J18)</formula>
    </cfRule>
    <cfRule type="expression" dxfId="2311" priority="2370">
      <formula>SEARCH("Sign on",$J18)</formula>
    </cfRule>
  </conditionalFormatting>
  <conditionalFormatting sqref="B9:AA9">
    <cfRule type="expression" dxfId="2310" priority="2341">
      <formula>OR($J9="Breakfast", $J9="Lunch", $J9="Dinner")</formula>
    </cfRule>
    <cfRule type="expression" dxfId="2309" priority="2342">
      <formula>SEARCH("Meeting",$J9)</formula>
    </cfRule>
    <cfRule type="expression" dxfId="2308" priority="2343">
      <formula>SEARCH(" PM",$J9)</formula>
    </cfRule>
    <cfRule type="expression" dxfId="2307" priority="2344">
      <formula>SEARCH("DB",$J9)</formula>
    </cfRule>
    <cfRule type="expression" dxfId="2306" priority="2345">
      <formula>SEARCH("Driver Arrival",$J9)</formula>
    </cfRule>
    <cfRule type="expression" dxfId="2305" priority="2346">
      <formula>SEARCH("Qualifying",$J9)</formula>
    </cfRule>
    <cfRule type="expression" dxfId="2304" priority="2347">
      <formula>SEARCH("Race",$J9)</formula>
    </cfRule>
    <cfRule type="expression" dxfId="2303" priority="2348">
      <formula>SEARCH("Practice Session",$J9)</formula>
    </cfRule>
    <cfRule type="expression" dxfId="2302" priority="2349">
      <formula>SEARCH("Press",$J9)</formula>
    </cfRule>
    <cfRule type="expression" dxfId="2301" priority="2350">
      <formula>SEARCH("Picture",$J9)</formula>
    </cfRule>
    <cfRule type="expression" dxfId="2300" priority="2351">
      <formula>SEARCH("Media",$J9)</formula>
    </cfRule>
    <cfRule type="expression" dxfId="2299" priority="2352">
      <formula>SEARCH("Interview",$J9)</formula>
    </cfRule>
    <cfRule type="expression" dxfId="2298" priority="2353">
      <formula>SEARCH("Team Principal",$J9)</formula>
    </cfRule>
    <cfRule type="expression" dxfId="2297" priority="2354">
      <formula>SEARCH("Briefing",$J9)</formula>
    </cfRule>
    <cfRule type="expression" dxfId="2296" priority="2355">
      <formula>SEARCH("Sign on",$J9)</formula>
    </cfRule>
  </conditionalFormatting>
  <conditionalFormatting sqref="J8:S8">
    <cfRule type="expression" dxfId="2295" priority="2326">
      <formula>OR($J8="Breakfast", $J8="Lunch", $J8="Dinner")</formula>
    </cfRule>
    <cfRule type="expression" dxfId="2294" priority="2327">
      <formula>SEARCH("Meeting",$J8)</formula>
    </cfRule>
    <cfRule type="expression" dxfId="2293" priority="2328">
      <formula>SEARCH(" PM",$J8)</formula>
    </cfRule>
    <cfRule type="expression" dxfId="2292" priority="2329">
      <formula>SEARCH("DB",$J8)</formula>
    </cfRule>
    <cfRule type="expression" dxfId="2291" priority="2330">
      <formula>SEARCH("Driver Arrival",$J8)</formula>
    </cfRule>
    <cfRule type="expression" dxfId="2290" priority="2331">
      <formula>SEARCH("Qualifying",$J8)</formula>
    </cfRule>
    <cfRule type="expression" dxfId="2289" priority="2332">
      <formula>SEARCH("Race",$J8)</formula>
    </cfRule>
    <cfRule type="expression" dxfId="2288" priority="2333">
      <formula>SEARCH("Practice Session",$J8)</formula>
    </cfRule>
    <cfRule type="expression" dxfId="2287" priority="2334">
      <formula>SEARCH("Press",$J8)</formula>
    </cfRule>
    <cfRule type="expression" dxfId="2286" priority="2335">
      <formula>SEARCH("Picture",$J8)</formula>
    </cfRule>
    <cfRule type="expression" dxfId="2285" priority="2336">
      <formula>SEARCH("Media",$J8)</formula>
    </cfRule>
    <cfRule type="expression" dxfId="2284" priority="2337">
      <formula>SEARCH("Interview",$J8)</formula>
    </cfRule>
    <cfRule type="expression" dxfId="2283" priority="2338">
      <formula>SEARCH("Team Principal",$J8)</formula>
    </cfRule>
    <cfRule type="expression" dxfId="2282" priority="2339">
      <formula>SEARCH("Briefing",$J8)</formula>
    </cfRule>
    <cfRule type="expression" dxfId="2281" priority="2340">
      <formula>SEARCH("Sign on",$J8)</formula>
    </cfRule>
  </conditionalFormatting>
  <conditionalFormatting sqref="B8:I8">
    <cfRule type="expression" dxfId="2280" priority="2311">
      <formula>OR($J8="Breakfast", $J8="Lunch", $J8="Dinner")</formula>
    </cfRule>
    <cfRule type="expression" dxfId="2279" priority="2312">
      <formula>SEARCH("Meeting",$J8)</formula>
    </cfRule>
    <cfRule type="expression" dxfId="2278" priority="2313">
      <formula>SEARCH(" PM",$J8)</formula>
    </cfRule>
    <cfRule type="expression" dxfId="2277" priority="2314">
      <formula>SEARCH("DB",$J8)</formula>
    </cfRule>
    <cfRule type="expression" dxfId="2276" priority="2315">
      <formula>SEARCH("Driver Arrival",$J8)</formula>
    </cfRule>
    <cfRule type="expression" dxfId="2275" priority="2316">
      <formula>SEARCH("Qualifying",$J8)</formula>
    </cfRule>
    <cfRule type="expression" dxfId="2274" priority="2317">
      <formula>SEARCH("Race",$J8)</formula>
    </cfRule>
    <cfRule type="expression" dxfId="2273" priority="2318">
      <formula>SEARCH("Practice Session",$J8)</formula>
    </cfRule>
    <cfRule type="expression" dxfId="2272" priority="2319">
      <formula>SEARCH("Press",$J8)</formula>
    </cfRule>
    <cfRule type="expression" dxfId="2271" priority="2320">
      <formula>SEARCH("Picture",$J8)</formula>
    </cfRule>
    <cfRule type="expression" dxfId="2270" priority="2321">
      <formula>SEARCH("Media",$J8)</formula>
    </cfRule>
    <cfRule type="expression" dxfId="2269" priority="2322">
      <formula>SEARCH("Interview",$J8)</formula>
    </cfRule>
    <cfRule type="expression" dxfId="2268" priority="2323">
      <formula>SEARCH("Team Principal",$J8)</formula>
    </cfRule>
    <cfRule type="expression" dxfId="2267" priority="2324">
      <formula>SEARCH("Briefing",$J8)</formula>
    </cfRule>
    <cfRule type="expression" dxfId="2266" priority="2325">
      <formula>SEARCH("Sign on",$J8)</formula>
    </cfRule>
  </conditionalFormatting>
  <conditionalFormatting sqref="T8:AA8">
    <cfRule type="expression" dxfId="2265" priority="2296">
      <formula>OR($J8="Breakfast", $J8="Lunch", $J8="Dinner")</formula>
    </cfRule>
    <cfRule type="expression" dxfId="2264" priority="2297">
      <formula>SEARCH("Meeting",$J8)</formula>
    </cfRule>
    <cfRule type="expression" dxfId="2263" priority="2298">
      <formula>SEARCH(" PM",$J8)</formula>
    </cfRule>
    <cfRule type="expression" dxfId="2262" priority="2299">
      <formula>SEARCH("DB",$J8)</formula>
    </cfRule>
    <cfRule type="expression" dxfId="2261" priority="2300">
      <formula>SEARCH("Driver Arrival",$J8)</formula>
    </cfRule>
    <cfRule type="expression" dxfId="2260" priority="2301">
      <formula>SEARCH("Qualifying",$J8)</formula>
    </cfRule>
    <cfRule type="expression" dxfId="2259" priority="2302">
      <formula>SEARCH("Race",$J8)</formula>
    </cfRule>
    <cfRule type="expression" dxfId="2258" priority="2303">
      <formula>SEARCH("Practice Session",$J8)</formula>
    </cfRule>
    <cfRule type="expression" dxfId="2257" priority="2304">
      <formula>SEARCH("Press",$J8)</formula>
    </cfRule>
    <cfRule type="expression" dxfId="2256" priority="2305">
      <formula>SEARCH("Picture",$J8)</formula>
    </cfRule>
    <cfRule type="expression" dxfId="2255" priority="2306">
      <formula>SEARCH("Media",$J8)</formula>
    </cfRule>
    <cfRule type="expression" dxfId="2254" priority="2307">
      <formula>SEARCH("Interview",$J8)</formula>
    </cfRule>
    <cfRule type="expression" dxfId="2253" priority="2308">
      <formula>SEARCH("Team Principal",$J8)</formula>
    </cfRule>
    <cfRule type="expression" dxfId="2252" priority="2309">
      <formula>SEARCH("Briefing",$J8)</formula>
    </cfRule>
    <cfRule type="expression" dxfId="2251" priority="2310">
      <formula>SEARCH("Sign on",$J8)</formula>
    </cfRule>
  </conditionalFormatting>
  <conditionalFormatting sqref="J60:R61">
    <cfRule type="expression" dxfId="2250" priority="2281">
      <formula>OR($J60="Breakfast", $J60="Lunch", $J60="Dinner")</formula>
    </cfRule>
    <cfRule type="expression" dxfId="2249" priority="2282">
      <formula>SEARCH("Meeting",$J60)</formula>
    </cfRule>
    <cfRule type="expression" dxfId="2248" priority="2283">
      <formula>SEARCH(" PM",$J60)</formula>
    </cfRule>
    <cfRule type="expression" dxfId="2247" priority="2284">
      <formula>SEARCH("DB",$J60)</formula>
    </cfRule>
    <cfRule type="expression" dxfId="2246" priority="2285">
      <formula>SEARCH("Driver Arrival",$J60)</formula>
    </cfRule>
    <cfRule type="expression" dxfId="2245" priority="2286">
      <formula>SEARCH("Qualifying",$J60)</formula>
    </cfRule>
    <cfRule type="expression" dxfId="2244" priority="2287">
      <formula>SEARCH("Race",$J60)</formula>
    </cfRule>
    <cfRule type="expression" dxfId="2243" priority="2288">
      <formula>SEARCH("Practice Session",$J60)</formula>
    </cfRule>
    <cfRule type="expression" dxfId="2242" priority="2289">
      <formula>SEARCH("Press",$J60)</formula>
    </cfRule>
    <cfRule type="expression" dxfId="2241" priority="2290">
      <formula>SEARCH("Picture",$J60)</formula>
    </cfRule>
    <cfRule type="expression" dxfId="2240" priority="2291">
      <formula>SEARCH("Media",$J60)</formula>
    </cfRule>
    <cfRule type="expression" dxfId="2239" priority="2292">
      <formula>SEARCH("Interview",$J60)</formula>
    </cfRule>
    <cfRule type="expression" dxfId="2238" priority="2293">
      <formula>SEARCH("Team Principal",$J60)</formula>
    </cfRule>
    <cfRule type="expression" dxfId="2237" priority="2294">
      <formula>SEARCH("Briefing",$J60)</formula>
    </cfRule>
    <cfRule type="expression" dxfId="2236" priority="2295">
      <formula>SEARCH("Sign on",$J60)</formula>
    </cfRule>
  </conditionalFormatting>
  <conditionalFormatting sqref="J101 J98:R98">
    <cfRule type="expression" dxfId="2235" priority="2266">
      <formula>OR($J98="Breakfast", $J98="Lunch", $J98="Dinner")</formula>
    </cfRule>
    <cfRule type="expression" dxfId="2234" priority="2267">
      <formula>SEARCH("Meeting",$J98)</formula>
    </cfRule>
    <cfRule type="expression" dxfId="2233" priority="2268">
      <formula>SEARCH(" PM",$J98)</formula>
    </cfRule>
    <cfRule type="expression" dxfId="2232" priority="2269">
      <formula>SEARCH("DB",$J98)</formula>
    </cfRule>
    <cfRule type="expression" dxfId="2231" priority="2270">
      <formula>SEARCH("Driver Arrival",$J98)</formula>
    </cfRule>
    <cfRule type="expression" dxfId="2230" priority="2271">
      <formula>SEARCH("Qualifying",$J98)</formula>
    </cfRule>
    <cfRule type="expression" dxfId="2229" priority="2272">
      <formula>SEARCH("Race",$J98)</formula>
    </cfRule>
    <cfRule type="expression" dxfId="2228" priority="2273">
      <formula>SEARCH("Practice Session",$J98)</formula>
    </cfRule>
    <cfRule type="expression" dxfId="2227" priority="2274">
      <formula>SEARCH("Press",$J98)</formula>
    </cfRule>
    <cfRule type="expression" dxfId="2226" priority="2275">
      <formula>SEARCH("Picture",$J98)</formula>
    </cfRule>
    <cfRule type="expression" dxfId="2225" priority="2276">
      <formula>SEARCH("Media",$J98)</formula>
    </cfRule>
    <cfRule type="expression" dxfId="2224" priority="2277">
      <formula>SEARCH("Interview",$J98)</formula>
    </cfRule>
    <cfRule type="expression" dxfId="2223" priority="2278">
      <formula>SEARCH("Team Principal",$J98)</formula>
    </cfRule>
    <cfRule type="expression" dxfId="2222" priority="2279">
      <formula>SEARCH("Briefing",$J98)</formula>
    </cfRule>
    <cfRule type="expression" dxfId="2221" priority="2280">
      <formula>SEARCH("Sign on",$J98)</formula>
    </cfRule>
  </conditionalFormatting>
  <conditionalFormatting sqref="J128 J125:R126">
    <cfRule type="expression" dxfId="2220" priority="2251">
      <formula>OR($J125="Breakfast", $J125="Lunch", $J125="Dinner")</formula>
    </cfRule>
    <cfRule type="expression" dxfId="2219" priority="2252">
      <formula>SEARCH("Meeting",$J125)</formula>
    </cfRule>
    <cfRule type="expression" dxfId="2218" priority="2253">
      <formula>SEARCH(" PM",$J125)</formula>
    </cfRule>
    <cfRule type="expression" dxfId="2217" priority="2254">
      <formula>SEARCH("DB",$J125)</formula>
    </cfRule>
    <cfRule type="expression" dxfId="2216" priority="2255">
      <formula>SEARCH("Driver Arrival",$J125)</formula>
    </cfRule>
    <cfRule type="expression" dxfId="2215" priority="2256">
      <formula>SEARCH("Qualifying",$J125)</formula>
    </cfRule>
    <cfRule type="expression" dxfId="2214" priority="2257">
      <formula>SEARCH("Race",$J125)</formula>
    </cfRule>
    <cfRule type="expression" dxfId="2213" priority="2258">
      <formula>SEARCH("Practice Session",$J125)</formula>
    </cfRule>
    <cfRule type="expression" dxfId="2212" priority="2259">
      <formula>SEARCH("Press",$J125)</formula>
    </cfRule>
    <cfRule type="expression" dxfId="2211" priority="2260">
      <formula>SEARCH("Picture",$J125)</formula>
    </cfRule>
    <cfRule type="expression" dxfId="2210" priority="2261">
      <formula>SEARCH("Media",$J125)</formula>
    </cfRule>
    <cfRule type="expression" dxfId="2209" priority="2262">
      <formula>SEARCH("Interview",$J125)</formula>
    </cfRule>
    <cfRule type="expression" dxfId="2208" priority="2263">
      <formula>SEARCH("Team Principal",$J125)</formula>
    </cfRule>
    <cfRule type="expression" dxfId="2207" priority="2264">
      <formula>SEARCH("Briefing",$J125)</formula>
    </cfRule>
    <cfRule type="expression" dxfId="2206" priority="2265">
      <formula>SEARCH("Sign on",$J125)</formula>
    </cfRule>
  </conditionalFormatting>
  <conditionalFormatting sqref="B87:R87">
    <cfRule type="expression" dxfId="2205" priority="2236">
      <formula>OR($J87="Breakfast", $J87="Lunch", $J87="Dinner")</formula>
    </cfRule>
    <cfRule type="expression" dxfId="2204" priority="2237">
      <formula>SEARCH("Meeting",$J87)</formula>
    </cfRule>
    <cfRule type="expression" dxfId="2203" priority="2238">
      <formula>SEARCH(" PM",$J87)</formula>
    </cfRule>
    <cfRule type="expression" dxfId="2202" priority="2239">
      <formula>SEARCH("DB",$J87)</formula>
    </cfRule>
    <cfRule type="expression" dxfId="2201" priority="2240">
      <formula>SEARCH("Driver Arrival",$J87)</formula>
    </cfRule>
    <cfRule type="expression" dxfId="2200" priority="2241">
      <formula>SEARCH("Qualifying",$J87)</formula>
    </cfRule>
    <cfRule type="expression" dxfId="2199" priority="2242">
      <formula>SEARCH("Race",$J87)</formula>
    </cfRule>
    <cfRule type="expression" dxfId="2198" priority="2243">
      <formula>SEARCH("Practice Session",$J87)</formula>
    </cfRule>
    <cfRule type="expression" dxfId="2197" priority="2244">
      <formula>SEARCH("Press",$J87)</formula>
    </cfRule>
    <cfRule type="expression" dxfId="2196" priority="2245">
      <formula>SEARCH("Picture",$J87)</formula>
    </cfRule>
    <cfRule type="expression" dxfId="2195" priority="2246">
      <formula>SEARCH("Media",$J87)</formula>
    </cfRule>
    <cfRule type="expression" dxfId="2194" priority="2247">
      <formula>SEARCH("Interview",$J87)</formula>
    </cfRule>
    <cfRule type="expression" dxfId="2193" priority="2248">
      <formula>SEARCH("Team Principal",$J87)</formula>
    </cfRule>
    <cfRule type="expression" dxfId="2192" priority="2249">
      <formula>SEARCH("Briefing",$J87)</formula>
    </cfRule>
    <cfRule type="expression" dxfId="2191" priority="2250">
      <formula>SEARCH("Sign on",$J87)</formula>
    </cfRule>
  </conditionalFormatting>
  <conditionalFormatting sqref="S87:AA87">
    <cfRule type="expression" dxfId="2190" priority="2221">
      <formula>OR($J87="Breakfast", $J87="Lunch", $J87="Dinner")</formula>
    </cfRule>
    <cfRule type="expression" dxfId="2189" priority="2222">
      <formula>SEARCH("Meeting",$J87)</formula>
    </cfRule>
    <cfRule type="expression" dxfId="2188" priority="2223">
      <formula>SEARCH(" PM",$J87)</formula>
    </cfRule>
    <cfRule type="expression" dxfId="2187" priority="2224">
      <formula>SEARCH("DB",$J87)</formula>
    </cfRule>
    <cfRule type="expression" dxfId="2186" priority="2225">
      <formula>SEARCH("Driver Arrival",$J87)</formula>
    </cfRule>
    <cfRule type="expression" dxfId="2185" priority="2226">
      <formula>SEARCH("Qualifying",$J87)</formula>
    </cfRule>
    <cfRule type="expression" dxfId="2184" priority="2227">
      <formula>SEARCH("Race",$J87)</formula>
    </cfRule>
    <cfRule type="expression" dxfId="2183" priority="2228">
      <formula>SEARCH("Practice Session",$J87)</formula>
    </cfRule>
    <cfRule type="expression" dxfId="2182" priority="2229">
      <formula>SEARCH("Press",$J87)</formula>
    </cfRule>
    <cfRule type="expression" dxfId="2181" priority="2230">
      <formula>SEARCH("Picture",$J87)</formula>
    </cfRule>
    <cfRule type="expression" dxfId="2180" priority="2231">
      <formula>SEARCH("Media",$J87)</formula>
    </cfRule>
    <cfRule type="expression" dxfId="2179" priority="2232">
      <formula>SEARCH("Interview",$J87)</formula>
    </cfRule>
    <cfRule type="expression" dxfId="2178" priority="2233">
      <formula>SEARCH("Team Principal",$J87)</formula>
    </cfRule>
    <cfRule type="expression" dxfId="2177" priority="2234">
      <formula>SEARCH("Briefing",$J87)</formula>
    </cfRule>
    <cfRule type="expression" dxfId="2176" priority="2235">
      <formula>SEARCH("Sign on",$J87)</formula>
    </cfRule>
  </conditionalFormatting>
  <conditionalFormatting sqref="B89:S89">
    <cfRule type="expression" dxfId="2175" priority="2206">
      <formula>OR($J89="Breakfast", $J89="Lunch", $J89="Dinner")</formula>
    </cfRule>
    <cfRule type="expression" dxfId="2174" priority="2207">
      <formula>SEARCH("Meeting",$J89)</formula>
    </cfRule>
    <cfRule type="expression" dxfId="2173" priority="2208">
      <formula>SEARCH(" PM",$J89)</formula>
    </cfRule>
    <cfRule type="expression" dxfId="2172" priority="2209">
      <formula>SEARCH("DB",$J89)</formula>
    </cfRule>
    <cfRule type="expression" dxfId="2171" priority="2210">
      <formula>SEARCH("Driver Arrival",$J89)</formula>
    </cfRule>
    <cfRule type="expression" dxfId="2170" priority="2211">
      <formula>SEARCH("Qualifying",$J89)</formula>
    </cfRule>
    <cfRule type="expression" dxfId="2169" priority="2212">
      <formula>SEARCH("Race",$J89)</formula>
    </cfRule>
    <cfRule type="expression" dxfId="2168" priority="2213">
      <formula>SEARCH("Practice Session",$J89)</formula>
    </cfRule>
    <cfRule type="expression" dxfId="2167" priority="2214">
      <formula>SEARCH("Press",$J89)</formula>
    </cfRule>
    <cfRule type="expression" dxfId="2166" priority="2215">
      <formula>SEARCH("Picture",$J89)</formula>
    </cfRule>
    <cfRule type="expression" dxfId="2165" priority="2216">
      <formula>SEARCH("Media",$J89)</formula>
    </cfRule>
    <cfRule type="expression" dxfId="2164" priority="2217">
      <formula>SEARCH("Interview",$J89)</formula>
    </cfRule>
    <cfRule type="expression" dxfId="2163" priority="2218">
      <formula>SEARCH("Team Principal",$J89)</formula>
    </cfRule>
    <cfRule type="expression" dxfId="2162" priority="2219">
      <formula>SEARCH("Briefing",$J89)</formula>
    </cfRule>
    <cfRule type="expression" dxfId="2161" priority="2220">
      <formula>SEARCH("Sign on",$J89)</formula>
    </cfRule>
  </conditionalFormatting>
  <conditionalFormatting sqref="T89:AA89">
    <cfRule type="expression" dxfId="2160" priority="2191">
      <formula>OR($J89="Breakfast", $J89="Lunch", $J89="Dinner")</formula>
    </cfRule>
    <cfRule type="expression" dxfId="2159" priority="2192">
      <formula>SEARCH("Meeting",$J89)</formula>
    </cfRule>
    <cfRule type="expression" dxfId="2158" priority="2193">
      <formula>SEARCH(" PM",$J89)</formula>
    </cfRule>
    <cfRule type="expression" dxfId="2157" priority="2194">
      <formula>SEARCH("DB",$J89)</formula>
    </cfRule>
    <cfRule type="expression" dxfId="2156" priority="2195">
      <formula>SEARCH("Driver Arrival",$J89)</formula>
    </cfRule>
    <cfRule type="expression" dxfId="2155" priority="2196">
      <formula>SEARCH("Qualifying",$J89)</formula>
    </cfRule>
    <cfRule type="expression" dxfId="2154" priority="2197">
      <formula>SEARCH("Race",$J89)</formula>
    </cfRule>
    <cfRule type="expression" dxfId="2153" priority="2198">
      <formula>SEARCH("Practice Session",$J89)</formula>
    </cfRule>
    <cfRule type="expression" dxfId="2152" priority="2199">
      <formula>SEARCH("Press",$J89)</formula>
    </cfRule>
    <cfRule type="expression" dxfId="2151" priority="2200">
      <formula>SEARCH("Picture",$J89)</formula>
    </cfRule>
    <cfRule type="expression" dxfId="2150" priority="2201">
      <formula>SEARCH("Media",$J89)</formula>
    </cfRule>
    <cfRule type="expression" dxfId="2149" priority="2202">
      <formula>SEARCH("Interview",$J89)</formula>
    </cfRule>
    <cfRule type="expression" dxfId="2148" priority="2203">
      <formula>SEARCH("Team Principal",$J89)</formula>
    </cfRule>
    <cfRule type="expression" dxfId="2147" priority="2204">
      <formula>SEARCH("Briefing",$J89)</formula>
    </cfRule>
    <cfRule type="expression" dxfId="2146" priority="2205">
      <formula>SEARCH("Sign on",$J89)</formula>
    </cfRule>
  </conditionalFormatting>
  <conditionalFormatting sqref="J96:R96">
    <cfRule type="expression" dxfId="2145" priority="2176">
      <formula>OR($J96="Breakfast", $J96="Lunch", $J96="Dinner")</formula>
    </cfRule>
    <cfRule type="expression" dxfId="2144" priority="2177">
      <formula>SEARCH("Meeting",$J96)</formula>
    </cfRule>
    <cfRule type="expression" dxfId="2143" priority="2178">
      <formula>SEARCH(" PM",$J96)</formula>
    </cfRule>
    <cfRule type="expression" dxfId="2142" priority="2179">
      <formula>SEARCH("DB",$J96)</formula>
    </cfRule>
    <cfRule type="expression" dxfId="2141" priority="2180">
      <formula>SEARCH("Driver Arrival",$J96)</formula>
    </cfRule>
    <cfRule type="expression" dxfId="2140" priority="2181">
      <formula>SEARCH("Qualifying",$J96)</formula>
    </cfRule>
    <cfRule type="expression" dxfId="2139" priority="2182">
      <formula>SEARCH("Race",$J96)</formula>
    </cfRule>
    <cfRule type="expression" dxfId="2138" priority="2183">
      <formula>SEARCH("Practice Session",$J96)</formula>
    </cfRule>
    <cfRule type="expression" dxfId="2137" priority="2184">
      <formula>SEARCH("Press",$J96)</formula>
    </cfRule>
    <cfRule type="expression" dxfId="2136" priority="2185">
      <formula>SEARCH("Picture",$J96)</formula>
    </cfRule>
    <cfRule type="expression" dxfId="2135" priority="2186">
      <formula>SEARCH("Media",$J96)</formula>
    </cfRule>
    <cfRule type="expression" dxfId="2134" priority="2187">
      <formula>SEARCH("Interview",$J96)</formula>
    </cfRule>
    <cfRule type="expression" dxfId="2133" priority="2188">
      <formula>SEARCH("Team Principal",$J96)</formula>
    </cfRule>
    <cfRule type="expression" dxfId="2132" priority="2189">
      <formula>SEARCH("Briefing",$J96)</formula>
    </cfRule>
    <cfRule type="expression" dxfId="2131" priority="2190">
      <formula>SEARCH("Sign on",$J96)</formula>
    </cfRule>
  </conditionalFormatting>
  <conditionalFormatting sqref="J97:R97">
    <cfRule type="expression" dxfId="2130" priority="2161">
      <formula>OR($J97="Breakfast", $J97="Lunch", $J97="Dinner")</formula>
    </cfRule>
    <cfRule type="expression" dxfId="2129" priority="2162">
      <formula>SEARCH("Meeting",$J97)</formula>
    </cfRule>
    <cfRule type="expression" dxfId="2128" priority="2163">
      <formula>SEARCH(" PM",$J97)</formula>
    </cfRule>
    <cfRule type="expression" dxfId="2127" priority="2164">
      <formula>SEARCH("DB",$J97)</formula>
    </cfRule>
    <cfRule type="expression" dxfId="2126" priority="2165">
      <formula>SEARCH("Driver Arrival",$J97)</formula>
    </cfRule>
    <cfRule type="expression" dxfId="2125" priority="2166">
      <formula>SEARCH("Qualifying",$J97)</formula>
    </cfRule>
    <cfRule type="expression" dxfId="2124" priority="2167">
      <formula>SEARCH("Race",$J97)</formula>
    </cfRule>
    <cfRule type="expression" dxfId="2123" priority="2168">
      <formula>SEARCH("Practice Session",$J97)</formula>
    </cfRule>
    <cfRule type="expression" dxfId="2122" priority="2169">
      <formula>SEARCH("Press",$J97)</formula>
    </cfRule>
    <cfRule type="expression" dxfId="2121" priority="2170">
      <formula>SEARCH("Picture",$J97)</formula>
    </cfRule>
    <cfRule type="expression" dxfId="2120" priority="2171">
      <formula>SEARCH("Media",$J97)</formula>
    </cfRule>
    <cfRule type="expression" dxfId="2119" priority="2172">
      <formula>SEARCH("Interview",$J97)</formula>
    </cfRule>
    <cfRule type="expression" dxfId="2118" priority="2173">
      <formula>SEARCH("Team Principal",$J97)</formula>
    </cfRule>
    <cfRule type="expression" dxfId="2117" priority="2174">
      <formula>SEARCH("Briefing",$J97)</formula>
    </cfRule>
    <cfRule type="expression" dxfId="2116" priority="2175">
      <formula>SEARCH("Sign on",$J97)</formula>
    </cfRule>
  </conditionalFormatting>
  <conditionalFormatting sqref="J124:R124">
    <cfRule type="expression" dxfId="2115" priority="2146">
      <formula>OR($J124="Breakfast", $J124="Lunch", $J124="Dinner")</formula>
    </cfRule>
    <cfRule type="expression" dxfId="2114" priority="2147">
      <formula>SEARCH("Meeting",$J124)</formula>
    </cfRule>
    <cfRule type="expression" dxfId="2113" priority="2148">
      <formula>SEARCH(" PM",$J124)</formula>
    </cfRule>
    <cfRule type="expression" dxfId="2112" priority="2149">
      <formula>SEARCH("DB",$J124)</formula>
    </cfRule>
    <cfRule type="expression" dxfId="2111" priority="2150">
      <formula>SEARCH("Driver Arrival",$J124)</formula>
    </cfRule>
    <cfRule type="expression" dxfId="2110" priority="2151">
      <formula>SEARCH("Qualifying",$J124)</formula>
    </cfRule>
    <cfRule type="expression" dxfId="2109" priority="2152">
      <formula>SEARCH("Race",$J124)</formula>
    </cfRule>
    <cfRule type="expression" dxfId="2108" priority="2153">
      <formula>SEARCH("Practice Session",$J124)</formula>
    </cfRule>
    <cfRule type="expression" dxfId="2107" priority="2154">
      <formula>SEARCH("Press",$J124)</formula>
    </cfRule>
    <cfRule type="expression" dxfId="2106" priority="2155">
      <formula>SEARCH("Picture",$J124)</formula>
    </cfRule>
    <cfRule type="expression" dxfId="2105" priority="2156">
      <formula>SEARCH("Media",$J124)</formula>
    </cfRule>
    <cfRule type="expression" dxfId="2104" priority="2157">
      <formula>SEARCH("Interview",$J124)</formula>
    </cfRule>
    <cfRule type="expression" dxfId="2103" priority="2158">
      <formula>SEARCH("Team Principal",$J124)</formula>
    </cfRule>
    <cfRule type="expression" dxfId="2102" priority="2159">
      <formula>SEARCH("Briefing",$J124)</formula>
    </cfRule>
    <cfRule type="expression" dxfId="2101" priority="2160">
      <formula>SEARCH("Sign on",$J124)</formula>
    </cfRule>
  </conditionalFormatting>
  <conditionalFormatting sqref="AG9">
    <cfRule type="expression" dxfId="2100" priority="2116">
      <formula>OR($J9="Breakfast", $J9="Lunch", $J9="Dinner")</formula>
    </cfRule>
    <cfRule type="expression" dxfId="2099" priority="2117">
      <formula>SEARCH("Meeting",$J9)</formula>
    </cfRule>
    <cfRule type="expression" dxfId="2098" priority="2118">
      <formula>SEARCH(" PM",$J9)</formula>
    </cfRule>
    <cfRule type="expression" dxfId="2097" priority="2119">
      <formula>SEARCH("DB",$J9)</formula>
    </cfRule>
    <cfRule type="expression" dxfId="2096" priority="2120">
      <formula>SEARCH("Driver Arrival",$J9)</formula>
    </cfRule>
    <cfRule type="expression" dxfId="2095" priority="2121">
      <formula>SEARCH("Qualifying",$J9)</formula>
    </cfRule>
    <cfRule type="expression" dxfId="2094" priority="2122">
      <formula>SEARCH("Race",$J9)</formula>
    </cfRule>
    <cfRule type="expression" dxfId="2093" priority="2123">
      <formula>SEARCH("Practice Session",$J9)</formula>
    </cfRule>
    <cfRule type="expression" dxfId="2092" priority="2124">
      <formula>SEARCH("Press",$J9)</formula>
    </cfRule>
    <cfRule type="expression" dxfId="2091" priority="2125">
      <formula>SEARCH("Picture",$J9)</formula>
    </cfRule>
    <cfRule type="expression" dxfId="2090" priority="2126">
      <formula>SEARCH("Media",$J9)</formula>
    </cfRule>
    <cfRule type="expression" dxfId="2089" priority="2127">
      <formula>SEARCH("Interview",$J9)</formula>
    </cfRule>
    <cfRule type="expression" dxfId="2088" priority="2128">
      <formula>SEARCH("Team Principal",$J9)</formula>
    </cfRule>
    <cfRule type="expression" dxfId="2087" priority="2129">
      <formula>SEARCH("Briefing",$J9)</formula>
    </cfRule>
    <cfRule type="expression" dxfId="2086" priority="2130">
      <formula>SEARCH("Sign on",$J9)</formula>
    </cfRule>
  </conditionalFormatting>
  <conditionalFormatting sqref="AG28">
    <cfRule type="expression" dxfId="2085" priority="2101">
      <formula>OR($J28="Breakfast", $J28="Lunch", $J28="Dinner")</formula>
    </cfRule>
    <cfRule type="expression" dxfId="2084" priority="2102">
      <formula>SEARCH("Meeting",$J28)</formula>
    </cfRule>
    <cfRule type="expression" dxfId="2083" priority="2103">
      <formula>SEARCH(" PM",$J28)</formula>
    </cfRule>
    <cfRule type="expression" dxfId="2082" priority="2104">
      <formula>SEARCH("DB",$J28)</formula>
    </cfRule>
    <cfRule type="expression" dxfId="2081" priority="2105">
      <formula>SEARCH("Driver Arrival",$J28)</formula>
    </cfRule>
    <cfRule type="expression" dxfId="2080" priority="2106">
      <formula>SEARCH("Qualifying",$J28)</formula>
    </cfRule>
    <cfRule type="expression" dxfId="2079" priority="2107">
      <formula>SEARCH("Race",$J28)</formula>
    </cfRule>
    <cfRule type="expression" dxfId="2078" priority="2108">
      <formula>SEARCH("Practice Session",$J28)</formula>
    </cfRule>
    <cfRule type="expression" dxfId="2077" priority="2109">
      <formula>SEARCH("Press",$J28)</formula>
    </cfRule>
    <cfRule type="expression" dxfId="2076" priority="2110">
      <formula>SEARCH("Picture",$J28)</formula>
    </cfRule>
    <cfRule type="expression" dxfId="2075" priority="2111">
      <formula>SEARCH("Media",$J28)</formula>
    </cfRule>
    <cfRule type="expression" dxfId="2074" priority="2112">
      <formula>SEARCH("Interview",$J28)</formula>
    </cfRule>
    <cfRule type="expression" dxfId="2073" priority="2113">
      <formula>SEARCH("Team Principal",$J28)</formula>
    </cfRule>
    <cfRule type="expression" dxfId="2072" priority="2114">
      <formula>SEARCH("Briefing",$J28)</formula>
    </cfRule>
    <cfRule type="expression" dxfId="2071" priority="2115">
      <formula>SEARCH("Sign on",$J28)</formula>
    </cfRule>
  </conditionalFormatting>
  <conditionalFormatting sqref="AG55">
    <cfRule type="expression" dxfId="2070" priority="2086">
      <formula>OR($J55="Breakfast", $J55="Lunch", $J55="Dinner")</formula>
    </cfRule>
    <cfRule type="expression" dxfId="2069" priority="2087">
      <formula>SEARCH("Meeting",$J55)</formula>
    </cfRule>
    <cfRule type="expression" dxfId="2068" priority="2088">
      <formula>SEARCH(" PM",$J55)</formula>
    </cfRule>
    <cfRule type="expression" dxfId="2067" priority="2089">
      <formula>SEARCH("DB",$J55)</formula>
    </cfRule>
    <cfRule type="expression" dxfId="2066" priority="2090">
      <formula>SEARCH("Driver Arrival",$J55)</formula>
    </cfRule>
    <cfRule type="expression" dxfId="2065" priority="2091">
      <formula>SEARCH("Qualifying",$J55)</formula>
    </cfRule>
    <cfRule type="expression" dxfId="2064" priority="2092">
      <formula>SEARCH("Race",$J55)</formula>
    </cfRule>
    <cfRule type="expression" dxfId="2063" priority="2093">
      <formula>SEARCH("Practice Session",$J55)</formula>
    </cfRule>
    <cfRule type="expression" dxfId="2062" priority="2094">
      <formula>SEARCH("Press",$J55)</formula>
    </cfRule>
    <cfRule type="expression" dxfId="2061" priority="2095">
      <formula>SEARCH("Picture",$J55)</formula>
    </cfRule>
    <cfRule type="expression" dxfId="2060" priority="2096">
      <formula>SEARCH("Media",$J55)</formula>
    </cfRule>
    <cfRule type="expression" dxfId="2059" priority="2097">
      <formula>SEARCH("Interview",$J55)</formula>
    </cfRule>
    <cfRule type="expression" dxfId="2058" priority="2098">
      <formula>SEARCH("Team Principal",$J55)</formula>
    </cfRule>
    <cfRule type="expression" dxfId="2057" priority="2099">
      <formula>SEARCH("Briefing",$J55)</formula>
    </cfRule>
    <cfRule type="expression" dxfId="2056" priority="2100">
      <formula>SEARCH("Sign on",$J55)</formula>
    </cfRule>
  </conditionalFormatting>
  <conditionalFormatting sqref="AG119">
    <cfRule type="expression" dxfId="2055" priority="2071">
      <formula>OR($J119="Breakfast", $J119="Lunch", $J119="Dinner")</formula>
    </cfRule>
    <cfRule type="expression" dxfId="2054" priority="2072">
      <formula>SEARCH("Meeting",$J119)</formula>
    </cfRule>
    <cfRule type="expression" dxfId="2053" priority="2073">
      <formula>SEARCH(" PM",$J119)</formula>
    </cfRule>
    <cfRule type="expression" dxfId="2052" priority="2074">
      <formula>SEARCH("DB",$J119)</formula>
    </cfRule>
    <cfRule type="expression" dxfId="2051" priority="2075">
      <formula>SEARCH("Driver Arrival",$J119)</formula>
    </cfRule>
    <cfRule type="expression" dxfId="2050" priority="2076">
      <formula>SEARCH("Qualifying",$J119)</formula>
    </cfRule>
    <cfRule type="expression" dxfId="2049" priority="2077">
      <formula>SEARCH("Race",$J119)</formula>
    </cfRule>
    <cfRule type="expression" dxfId="2048" priority="2078">
      <formula>SEARCH("Practice Session",$J119)</formula>
    </cfRule>
    <cfRule type="expression" dxfId="2047" priority="2079">
      <formula>SEARCH("Press",$J119)</formula>
    </cfRule>
    <cfRule type="expression" dxfId="2046" priority="2080">
      <formula>SEARCH("Picture",$J119)</formula>
    </cfRule>
    <cfRule type="expression" dxfId="2045" priority="2081">
      <formula>SEARCH("Media",$J119)</formula>
    </cfRule>
    <cfRule type="expression" dxfId="2044" priority="2082">
      <formula>SEARCH("Interview",$J119)</formula>
    </cfRule>
    <cfRule type="expression" dxfId="2043" priority="2083">
      <formula>SEARCH("Team Principal",$J119)</formula>
    </cfRule>
    <cfRule type="expression" dxfId="2042" priority="2084">
      <formula>SEARCH("Briefing",$J119)</formula>
    </cfRule>
    <cfRule type="expression" dxfId="2041" priority="2085">
      <formula>SEARCH("Sign on",$J119)</formula>
    </cfRule>
  </conditionalFormatting>
  <conditionalFormatting sqref="B85:AA85">
    <cfRule type="expression" dxfId="2040" priority="2056">
      <formula>OR($J85="Breakfast", $J85="Lunch", $J85="Dinner")</formula>
    </cfRule>
    <cfRule type="expression" dxfId="2039" priority="2057">
      <formula>SEARCH("Meeting",$J85)</formula>
    </cfRule>
    <cfRule type="expression" dxfId="2038" priority="2058">
      <formula>SEARCH(" PM",$J85)</formula>
    </cfRule>
    <cfRule type="expression" dxfId="2037" priority="2059">
      <formula>SEARCH("DB",$J85)</formula>
    </cfRule>
    <cfRule type="expression" dxfId="2036" priority="2060">
      <formula>SEARCH("Driver Arrival",$J85)</formula>
    </cfRule>
    <cfRule type="expression" dxfId="2035" priority="2061">
      <formula>SEARCH("Qualifying",$J85)</formula>
    </cfRule>
    <cfRule type="expression" dxfId="2034" priority="2062">
      <formula>SEARCH("Race",$J85)</formula>
    </cfRule>
    <cfRule type="expression" dxfId="2033" priority="2063">
      <formula>SEARCH("Practice Session",$J85)</formula>
    </cfRule>
    <cfRule type="expression" dxfId="2032" priority="2064">
      <formula>SEARCH("Press",$J85)</formula>
    </cfRule>
    <cfRule type="expression" dxfId="2031" priority="2065">
      <formula>SEARCH("Picture",$J85)</formula>
    </cfRule>
    <cfRule type="expression" dxfId="2030" priority="2066">
      <formula>SEARCH("Media",$J85)</formula>
    </cfRule>
    <cfRule type="expression" dxfId="2029" priority="2067">
      <formula>SEARCH("Interview",$J85)</formula>
    </cfRule>
    <cfRule type="expression" dxfId="2028" priority="2068">
      <formula>SEARCH("Team Principal",$J85)</formula>
    </cfRule>
    <cfRule type="expression" dxfId="2027" priority="2069">
      <formula>SEARCH("Briefing",$J85)</formula>
    </cfRule>
    <cfRule type="expression" dxfId="2026" priority="2070">
      <formula>SEARCH("Sign on",$J85)</formula>
    </cfRule>
  </conditionalFormatting>
  <conditionalFormatting sqref="B117:S117">
    <cfRule type="expression" dxfId="2025" priority="2041">
      <formula>OR($J117="Breakfast", $J117="Lunch", $J117="Dinner")</formula>
    </cfRule>
    <cfRule type="expression" dxfId="2024" priority="2042">
      <formula>SEARCH("Meeting",$J117)</formula>
    </cfRule>
    <cfRule type="expression" dxfId="2023" priority="2043">
      <formula>SEARCH(" PM",$J117)</formula>
    </cfRule>
    <cfRule type="expression" dxfId="2022" priority="2044">
      <formula>SEARCH("DB",$J117)</formula>
    </cfRule>
    <cfRule type="expression" dxfId="2021" priority="2045">
      <formula>SEARCH("Driver Arrival",$J117)</formula>
    </cfRule>
    <cfRule type="expression" dxfId="2020" priority="2046">
      <formula>SEARCH("Qualifying",$J117)</formula>
    </cfRule>
    <cfRule type="expression" dxfId="2019" priority="2047">
      <formula>SEARCH("Race",$J117)</formula>
    </cfRule>
    <cfRule type="expression" dxfId="2018" priority="2048">
      <formula>SEARCH("Practice Session",$J117)</formula>
    </cfRule>
    <cfRule type="expression" dxfId="2017" priority="2049">
      <formula>SEARCH("Press",$J117)</formula>
    </cfRule>
    <cfRule type="expression" dxfId="2016" priority="2050">
      <formula>SEARCH("Picture",$J117)</formula>
    </cfRule>
    <cfRule type="expression" dxfId="2015" priority="2051">
      <formula>SEARCH("Media",$J117)</formula>
    </cfRule>
    <cfRule type="expression" dxfId="2014" priority="2052">
      <formula>SEARCH("Interview",$J117)</formula>
    </cfRule>
    <cfRule type="expression" dxfId="2013" priority="2053">
      <formula>SEARCH("Team Principal",$J117)</formula>
    </cfRule>
    <cfRule type="expression" dxfId="2012" priority="2054">
      <formula>SEARCH("Briefing",$J117)</formula>
    </cfRule>
    <cfRule type="expression" dxfId="2011" priority="2055">
      <formula>SEARCH("Sign on",$J117)</formula>
    </cfRule>
  </conditionalFormatting>
  <conditionalFormatting sqref="T117:AA117">
    <cfRule type="expression" dxfId="2010" priority="2026">
      <formula>OR($J117="Breakfast", $J117="Lunch", $J117="Dinner")</formula>
    </cfRule>
    <cfRule type="expression" dxfId="2009" priority="2027">
      <formula>SEARCH("Meeting",$J117)</formula>
    </cfRule>
    <cfRule type="expression" dxfId="2008" priority="2028">
      <formula>SEARCH(" PM",$J117)</formula>
    </cfRule>
    <cfRule type="expression" dxfId="2007" priority="2029">
      <formula>SEARCH("DB",$J117)</formula>
    </cfRule>
    <cfRule type="expression" dxfId="2006" priority="2030">
      <formula>SEARCH("Driver Arrival",$J117)</formula>
    </cfRule>
    <cfRule type="expression" dxfId="2005" priority="2031">
      <formula>SEARCH("Qualifying",$J117)</formula>
    </cfRule>
    <cfRule type="expression" dxfId="2004" priority="2032">
      <formula>SEARCH("Race",$J117)</formula>
    </cfRule>
    <cfRule type="expression" dxfId="2003" priority="2033">
      <formula>SEARCH("Practice Session",$J117)</formula>
    </cfRule>
    <cfRule type="expression" dxfId="2002" priority="2034">
      <formula>SEARCH("Press",$J117)</formula>
    </cfRule>
    <cfRule type="expression" dxfId="2001" priority="2035">
      <formula>SEARCH("Picture",$J117)</formula>
    </cfRule>
    <cfRule type="expression" dxfId="2000" priority="2036">
      <formula>SEARCH("Media",$J117)</formula>
    </cfRule>
    <cfRule type="expression" dxfId="1999" priority="2037">
      <formula>SEARCH("Interview",$J117)</formula>
    </cfRule>
    <cfRule type="expression" dxfId="1998" priority="2038">
      <formula>SEARCH("Team Principal",$J117)</formula>
    </cfRule>
    <cfRule type="expression" dxfId="1997" priority="2039">
      <formula>SEARCH("Briefing",$J117)</formula>
    </cfRule>
    <cfRule type="expression" dxfId="1996" priority="2040">
      <formula>SEARCH("Sign on",$J117)</formula>
    </cfRule>
  </conditionalFormatting>
  <conditionalFormatting sqref="B143:AA149">
    <cfRule type="expression" dxfId="1995" priority="2011">
      <formula>OR($J143="Breakfast", $J143="Lunch", $J143="Dinner")</formula>
    </cfRule>
    <cfRule type="expression" dxfId="1994" priority="2012">
      <formula>SEARCH("Meeting",$J143)</formula>
    </cfRule>
    <cfRule type="expression" dxfId="1993" priority="2013">
      <formula>SEARCH(" PM",$J143)</formula>
    </cfRule>
    <cfRule type="expression" dxfId="1992" priority="2014">
      <formula>SEARCH("DB",$J143)</formula>
    </cfRule>
    <cfRule type="expression" dxfId="1991" priority="2015">
      <formula>SEARCH("Driver Arrival",$J143)</formula>
    </cfRule>
    <cfRule type="expression" dxfId="1990" priority="2016">
      <formula>SEARCH("Qualifying",$J143)</formula>
    </cfRule>
    <cfRule type="expression" dxfId="1989" priority="2017">
      <formula>SEARCH("Race",$J143)</formula>
    </cfRule>
    <cfRule type="expression" dxfId="1988" priority="2018">
      <formula>SEARCH("Practice Session",$J143)</formula>
    </cfRule>
    <cfRule type="expression" dxfId="1987" priority="2019">
      <formula>SEARCH("Press",$J143)</formula>
    </cfRule>
    <cfRule type="expression" dxfId="1986" priority="2020">
      <formula>SEARCH("Picture",$J143)</formula>
    </cfRule>
    <cfRule type="expression" dxfId="1985" priority="2021">
      <formula>SEARCH("Media",$J143)</formula>
    </cfRule>
    <cfRule type="expression" dxfId="1984" priority="2022">
      <formula>SEARCH("Interview",$J143)</formula>
    </cfRule>
    <cfRule type="expression" dxfId="1983" priority="2023">
      <formula>SEARCH("Team Principal",$J143)</formula>
    </cfRule>
    <cfRule type="expression" dxfId="1982" priority="2024">
      <formula>SEARCH("Briefing",$J143)</formula>
    </cfRule>
    <cfRule type="expression" dxfId="1981" priority="2025">
      <formula>SEARCH("Sign on",$J143)</formula>
    </cfRule>
  </conditionalFormatting>
  <conditionalFormatting sqref="B156:I156 S156:AA156">
    <cfRule type="expression" dxfId="1980" priority="1996">
      <formula>OR($J156="Breakfast", $J156="Lunch", $J156="Dinner")</formula>
    </cfRule>
    <cfRule type="expression" dxfId="1979" priority="1997">
      <formula>SEARCH("Meeting",$J156)</formula>
    </cfRule>
    <cfRule type="expression" dxfId="1978" priority="1998">
      <formula>SEARCH(" PM",$J156)</formula>
    </cfRule>
    <cfRule type="expression" dxfId="1977" priority="1999">
      <formula>SEARCH("DB",$J156)</formula>
    </cfRule>
    <cfRule type="expression" dxfId="1976" priority="2000">
      <formula>SEARCH("Driver Arrival",$J156)</formula>
    </cfRule>
    <cfRule type="expression" dxfId="1975" priority="2001">
      <formula>SEARCH("Qualifying",$J156)</formula>
    </cfRule>
    <cfRule type="expression" dxfId="1974" priority="2002">
      <formula>SEARCH("Race",$J156)</formula>
    </cfRule>
    <cfRule type="expression" dxfId="1973" priority="2003">
      <formula>SEARCH("Practice Session",$J156)</formula>
    </cfRule>
    <cfRule type="expression" dxfId="1972" priority="2004">
      <formula>SEARCH("Press",$J156)</formula>
    </cfRule>
    <cfRule type="expression" dxfId="1971" priority="2005">
      <formula>SEARCH("Picture",$J156)</formula>
    </cfRule>
    <cfRule type="expression" dxfId="1970" priority="2006">
      <formula>SEARCH("Media",$J156)</formula>
    </cfRule>
    <cfRule type="expression" dxfId="1969" priority="2007">
      <formula>SEARCH("Interview",$J156)</formula>
    </cfRule>
    <cfRule type="expression" dxfId="1968" priority="2008">
      <formula>SEARCH("Team Principal",$J156)</formula>
    </cfRule>
    <cfRule type="expression" dxfId="1967" priority="2009">
      <formula>SEARCH("Briefing",$J156)</formula>
    </cfRule>
    <cfRule type="expression" dxfId="1966" priority="2010">
      <formula>SEARCH("Sign on",$J156)</formula>
    </cfRule>
  </conditionalFormatting>
  <conditionalFormatting sqref="B152:AA152">
    <cfRule type="expression" dxfId="1965" priority="1981">
      <formula>OR($J152="Breakfast", $J152="Lunch", $J152="Dinner")</formula>
    </cfRule>
    <cfRule type="expression" dxfId="1964" priority="1982">
      <formula>SEARCH("Meeting",$J152)</formula>
    </cfRule>
    <cfRule type="expression" dxfId="1963" priority="1983">
      <formula>SEARCH(" PM",$J152)</formula>
    </cfRule>
    <cfRule type="expression" dxfId="1962" priority="1984">
      <formula>SEARCH("DB",$J152)</formula>
    </cfRule>
    <cfRule type="expression" dxfId="1961" priority="1985">
      <formula>SEARCH("Driver Arrival",$J152)</formula>
    </cfRule>
    <cfRule type="expression" dxfId="1960" priority="1986">
      <formula>SEARCH("Qualifying",$J152)</formula>
    </cfRule>
    <cfRule type="expression" dxfId="1959" priority="1987">
      <formula>SEARCH("Race",$J152)</formula>
    </cfRule>
    <cfRule type="expression" dxfId="1958" priority="1988">
      <formula>SEARCH("Practice Session",$J152)</formula>
    </cfRule>
    <cfRule type="expression" dxfId="1957" priority="1989">
      <formula>SEARCH("Press",$J152)</formula>
    </cfRule>
    <cfRule type="expression" dxfId="1956" priority="1990">
      <formula>SEARCH("Picture",$J152)</formula>
    </cfRule>
    <cfRule type="expression" dxfId="1955" priority="1991">
      <formula>SEARCH("Media",$J152)</formula>
    </cfRule>
    <cfRule type="expression" dxfId="1954" priority="1992">
      <formula>SEARCH("Interview",$J152)</formula>
    </cfRule>
    <cfRule type="expression" dxfId="1953" priority="1993">
      <formula>SEARCH("Team Principal",$J152)</formula>
    </cfRule>
    <cfRule type="expression" dxfId="1952" priority="1994">
      <formula>SEARCH("Briefing",$J152)</formula>
    </cfRule>
    <cfRule type="expression" dxfId="1951" priority="1995">
      <formula>SEARCH("Sign on",$J152)</formula>
    </cfRule>
  </conditionalFormatting>
  <conditionalFormatting sqref="J156:R156">
    <cfRule type="expression" dxfId="1950" priority="1966">
      <formula>OR($J156="Breakfast", $J156="Lunch", $J156="Dinner")</formula>
    </cfRule>
    <cfRule type="expression" dxfId="1949" priority="1967">
      <formula>SEARCH("Meeting",$J156)</formula>
    </cfRule>
    <cfRule type="expression" dxfId="1948" priority="1968">
      <formula>SEARCH(" PM",$J156)</formula>
    </cfRule>
    <cfRule type="expression" dxfId="1947" priority="1969">
      <formula>SEARCH("DB",$J156)</formula>
    </cfRule>
    <cfRule type="expression" dxfId="1946" priority="1970">
      <formula>SEARCH("Driver Arrival",$J156)</formula>
    </cfRule>
    <cfRule type="expression" dxfId="1945" priority="1971">
      <formula>SEARCH("Qualifying",$J156)</formula>
    </cfRule>
    <cfRule type="expression" dxfId="1944" priority="1972">
      <formula>SEARCH("Race",$J156)</formula>
    </cfRule>
    <cfRule type="expression" dxfId="1943" priority="1973">
      <formula>SEARCH("Practice Session",$J156)</formula>
    </cfRule>
    <cfRule type="expression" dxfId="1942" priority="1974">
      <formula>SEARCH("Press",$J156)</formula>
    </cfRule>
    <cfRule type="expression" dxfId="1941" priority="1975">
      <formula>SEARCH("Picture",$J156)</formula>
    </cfRule>
    <cfRule type="expression" dxfId="1940" priority="1976">
      <formula>SEARCH("Media",$J156)</formula>
    </cfRule>
    <cfRule type="expression" dxfId="1939" priority="1977">
      <formula>SEARCH("Interview",$J156)</formula>
    </cfRule>
    <cfRule type="expression" dxfId="1938" priority="1978">
      <formula>SEARCH("Team Principal",$J156)</formula>
    </cfRule>
    <cfRule type="expression" dxfId="1937" priority="1979">
      <formula>SEARCH("Briefing",$J156)</formula>
    </cfRule>
    <cfRule type="expression" dxfId="1936" priority="1980">
      <formula>SEARCH("Sign on",$J156)</formula>
    </cfRule>
  </conditionalFormatting>
  <conditionalFormatting sqref="B111:AA111">
    <cfRule type="expression" dxfId="1935" priority="1951">
      <formula>OR($J111="Breakfast", $J111="Lunch", $J111="Dinner")</formula>
    </cfRule>
    <cfRule type="expression" dxfId="1934" priority="1952">
      <formula>SEARCH("Meeting",$J111)</formula>
    </cfRule>
    <cfRule type="expression" dxfId="1933" priority="1953">
      <formula>SEARCH(" PM",$J111)</formula>
    </cfRule>
    <cfRule type="expression" dxfId="1932" priority="1954">
      <formula>SEARCH("DB",$J111)</formula>
    </cfRule>
    <cfRule type="expression" dxfId="1931" priority="1955">
      <formula>SEARCH("Driver Arrival",$J111)</formula>
    </cfRule>
    <cfRule type="expression" dxfId="1930" priority="1956">
      <formula>SEARCH("Qualifying",$J111)</formula>
    </cfRule>
    <cfRule type="expression" dxfId="1929" priority="1957">
      <formula>SEARCH("Race",$J111)</formula>
    </cfRule>
    <cfRule type="expression" dxfId="1928" priority="1958">
      <formula>SEARCH("Practice Session",$J111)</formula>
    </cfRule>
    <cfRule type="expression" dxfId="1927" priority="1959">
      <formula>SEARCH("Press",$J111)</formula>
    </cfRule>
    <cfRule type="expression" dxfId="1926" priority="1960">
      <formula>SEARCH("Picture",$J111)</formula>
    </cfRule>
    <cfRule type="expression" dxfId="1925" priority="1961">
      <formula>SEARCH("Media",$J111)</formula>
    </cfRule>
    <cfRule type="expression" dxfId="1924" priority="1962">
      <formula>SEARCH("Interview",$J111)</formula>
    </cfRule>
    <cfRule type="expression" dxfId="1923" priority="1963">
      <formula>SEARCH("Team Principal",$J111)</formula>
    </cfRule>
    <cfRule type="expression" dxfId="1922" priority="1964">
      <formula>SEARCH("Briefing",$J111)</formula>
    </cfRule>
    <cfRule type="expression" dxfId="1921" priority="1965">
      <formula>SEARCH("Sign on",$J111)</formula>
    </cfRule>
  </conditionalFormatting>
  <conditionalFormatting sqref="B73:R74 T73:AA74">
    <cfRule type="expression" dxfId="1920" priority="1786">
      <formula>OR($J73="Breakfast", $J73="Lunch", $J73="Dinner")</formula>
    </cfRule>
    <cfRule type="expression" dxfId="1919" priority="1787">
      <formula>SEARCH("Meeting",$J73)</formula>
    </cfRule>
    <cfRule type="expression" dxfId="1918" priority="1788">
      <formula>SEARCH(" PM",$J73)</formula>
    </cfRule>
    <cfRule type="expression" dxfId="1917" priority="1789">
      <formula>SEARCH("DB",$J73)</formula>
    </cfRule>
    <cfRule type="expression" dxfId="1916" priority="1790">
      <formula>SEARCH("Driver Arrival",$J73)</formula>
    </cfRule>
    <cfRule type="expression" dxfId="1915" priority="1791">
      <formula>SEARCH("Qualifying",$J73)</formula>
    </cfRule>
    <cfRule type="expression" dxfId="1914" priority="1792">
      <formula>SEARCH("Race",$J73)</formula>
    </cfRule>
    <cfRule type="expression" dxfId="1913" priority="1793">
      <formula>SEARCH("Practice Session",$J73)</formula>
    </cfRule>
    <cfRule type="expression" dxfId="1912" priority="1794">
      <formula>SEARCH("Press",$J73)</formula>
    </cfRule>
    <cfRule type="expression" dxfId="1911" priority="1795">
      <formula>SEARCH("Picture",$J73)</formula>
    </cfRule>
    <cfRule type="expression" dxfId="1910" priority="1796">
      <formula>SEARCH("Media",$J73)</formula>
    </cfRule>
    <cfRule type="expression" dxfId="1909" priority="1797">
      <formula>SEARCH("Interview",$J73)</formula>
    </cfRule>
    <cfRule type="expression" dxfId="1908" priority="1798">
      <formula>SEARCH("Team Principal",$J73)</formula>
    </cfRule>
    <cfRule type="expression" dxfId="1907" priority="1799">
      <formula>SEARCH("Briefing",$J73)</formula>
    </cfRule>
    <cfRule type="expression" dxfId="1906" priority="1800">
      <formula>SEARCH("Sign on",$J73)</formula>
    </cfRule>
  </conditionalFormatting>
  <conditionalFormatting sqref="B123:AA123">
    <cfRule type="expression" dxfId="1905" priority="1756">
      <formula>OR($J123="Breakfast", $J123="Lunch", $J123="Dinner")</formula>
    </cfRule>
    <cfRule type="expression" dxfId="1904" priority="1757">
      <formula>SEARCH("Meeting",$J123)</formula>
    </cfRule>
    <cfRule type="expression" dxfId="1903" priority="1758">
      <formula>SEARCH(" PM",$J123)</formula>
    </cfRule>
    <cfRule type="expression" dxfId="1902" priority="1759">
      <formula>SEARCH("DB",$J123)</formula>
    </cfRule>
    <cfRule type="expression" dxfId="1901" priority="1760">
      <formula>SEARCH("Driver Arrival",$J123)</formula>
    </cfRule>
    <cfRule type="expression" dxfId="1900" priority="1761">
      <formula>SEARCH("Qualifying",$J123)</formula>
    </cfRule>
    <cfRule type="expression" dxfId="1899" priority="1762">
      <formula>SEARCH("Race",$J123)</formula>
    </cfRule>
    <cfRule type="expression" dxfId="1898" priority="1763">
      <formula>SEARCH("Practice Session",$J123)</formula>
    </cfRule>
    <cfRule type="expression" dxfId="1897" priority="1764">
      <formula>SEARCH("Press",$J123)</formula>
    </cfRule>
    <cfRule type="expression" dxfId="1896" priority="1765">
      <formula>SEARCH("Picture",$J123)</formula>
    </cfRule>
    <cfRule type="expression" dxfId="1895" priority="1766">
      <formula>SEARCH("Media",$J123)</formula>
    </cfRule>
    <cfRule type="expression" dxfId="1894" priority="1767">
      <formula>SEARCH("Interview",$J123)</formula>
    </cfRule>
    <cfRule type="expression" dxfId="1893" priority="1768">
      <formula>SEARCH("Team Principal",$J123)</formula>
    </cfRule>
    <cfRule type="expression" dxfId="1892" priority="1769">
      <formula>SEARCH("Briefing",$J123)</formula>
    </cfRule>
    <cfRule type="expression" dxfId="1891" priority="1770">
      <formula>SEARCH("Sign on",$J123)</formula>
    </cfRule>
  </conditionalFormatting>
  <conditionalFormatting sqref="B142:R142">
    <cfRule type="expression" dxfId="1890" priority="1711">
      <formula>OR($J142="Breakfast", $J142="Lunch", $J142="Dinner")</formula>
    </cfRule>
    <cfRule type="expression" dxfId="1889" priority="1712">
      <formula>SEARCH("Meeting",$J142)</formula>
    </cfRule>
    <cfRule type="expression" dxfId="1888" priority="1713">
      <formula>SEARCH(" PM",$J142)</formula>
    </cfRule>
    <cfRule type="expression" dxfId="1887" priority="1714">
      <formula>SEARCH("DB",$J142)</formula>
    </cfRule>
    <cfRule type="expression" dxfId="1886" priority="1715">
      <formula>SEARCH("Driver Arrival",$J142)</formula>
    </cfRule>
    <cfRule type="expression" dxfId="1885" priority="1716">
      <formula>SEARCH("Qualifying",$J142)</formula>
    </cfRule>
    <cfRule type="expression" dxfId="1884" priority="1717">
      <formula>SEARCH("Race",$J142)</formula>
    </cfRule>
    <cfRule type="expression" dxfId="1883" priority="1718">
      <formula>SEARCH("Practice Session",$J142)</formula>
    </cfRule>
    <cfRule type="expression" dxfId="1882" priority="1719">
      <formula>SEARCH("Press",$J142)</formula>
    </cfRule>
    <cfRule type="expression" dxfId="1881" priority="1720">
      <formula>SEARCH("Picture",$J142)</formula>
    </cfRule>
    <cfRule type="expression" dxfId="1880" priority="1721">
      <formula>SEARCH("Media",$J142)</formula>
    </cfRule>
    <cfRule type="expression" dxfId="1879" priority="1722">
      <formula>SEARCH("Interview",$J142)</formula>
    </cfRule>
    <cfRule type="expression" dxfId="1878" priority="1723">
      <formula>SEARCH("Team Principal",$J142)</formula>
    </cfRule>
    <cfRule type="expression" dxfId="1877" priority="1724">
      <formula>SEARCH("Briefing",$J142)</formula>
    </cfRule>
    <cfRule type="expression" dxfId="1876" priority="1725">
      <formula>SEARCH("Sign on",$J142)</formula>
    </cfRule>
  </conditionalFormatting>
  <conditionalFormatting sqref="J63:R63">
    <cfRule type="expression" dxfId="1875" priority="1696">
      <formula>OR($J63="Breakfast", $J63="Lunch", $J63="Dinner")</formula>
    </cfRule>
    <cfRule type="expression" dxfId="1874" priority="1697">
      <formula>SEARCH("Meeting",$J63)</formula>
    </cfRule>
    <cfRule type="expression" dxfId="1873" priority="1698">
      <formula>SEARCH(" PM",$J63)</formula>
    </cfRule>
    <cfRule type="expression" dxfId="1872" priority="1699">
      <formula>SEARCH("DB",$J63)</formula>
    </cfRule>
    <cfRule type="expression" dxfId="1871" priority="1700">
      <formula>SEARCH("Driver Arrival",$J63)</formula>
    </cfRule>
    <cfRule type="expression" dxfId="1870" priority="1701">
      <formula>SEARCH("Qualifying",$J63)</formula>
    </cfRule>
    <cfRule type="expression" dxfId="1869" priority="1702">
      <formula>SEARCH("Race",$J63)</formula>
    </cfRule>
    <cfRule type="expression" dxfId="1868" priority="1703">
      <formula>SEARCH("Practice Session",$J63)</formula>
    </cfRule>
    <cfRule type="expression" dxfId="1867" priority="1704">
      <formula>SEARCH("Press",$J63)</formula>
    </cfRule>
    <cfRule type="expression" dxfId="1866" priority="1705">
      <formula>SEARCH("Picture",$J63)</formula>
    </cfRule>
    <cfRule type="expression" dxfId="1865" priority="1706">
      <formula>SEARCH("Media",$J63)</formula>
    </cfRule>
    <cfRule type="expression" dxfId="1864" priority="1707">
      <formula>SEARCH("Interview",$J63)</formula>
    </cfRule>
    <cfRule type="expression" dxfId="1863" priority="1708">
      <formula>SEARCH("Team Principal",$J63)</formula>
    </cfRule>
    <cfRule type="expression" dxfId="1862" priority="1709">
      <formula>SEARCH("Briefing",$J63)</formula>
    </cfRule>
    <cfRule type="expression" dxfId="1861" priority="1710">
      <formula>SEARCH("Sign on",$J63)</formula>
    </cfRule>
  </conditionalFormatting>
  <conditionalFormatting sqref="B88:AA88">
    <cfRule type="expression" dxfId="1860" priority="1531">
      <formula>OR($J88="Breakfast", $J88="Lunch", $J88="Dinner")</formula>
    </cfRule>
    <cfRule type="expression" dxfId="1859" priority="1532">
      <formula>SEARCH("Meeting",$J88)</formula>
    </cfRule>
    <cfRule type="expression" dxfId="1858" priority="1533">
      <formula>SEARCH(" PM",$J88)</formula>
    </cfRule>
    <cfRule type="expression" dxfId="1857" priority="1534">
      <formula>SEARCH("DB",$J88)</formula>
    </cfRule>
    <cfRule type="expression" dxfId="1856" priority="1535">
      <formula>SEARCH("Driver Arrival",$J88)</formula>
    </cfRule>
    <cfRule type="expression" dxfId="1855" priority="1536">
      <formula>SEARCH("Qualifying",$J88)</formula>
    </cfRule>
    <cfRule type="expression" dxfId="1854" priority="1537">
      <formula>SEARCH("Race",$J88)</formula>
    </cfRule>
    <cfRule type="expression" dxfId="1853" priority="1538">
      <formula>SEARCH("Practice Session",$J88)</formula>
    </cfRule>
    <cfRule type="expression" dxfId="1852" priority="1539">
      <formula>SEARCH("Press",$J88)</formula>
    </cfRule>
    <cfRule type="expression" dxfId="1851" priority="1540">
      <formula>SEARCH("Picture",$J88)</formula>
    </cfRule>
    <cfRule type="expression" dxfId="1850" priority="1541">
      <formula>SEARCH("Media",$J88)</formula>
    </cfRule>
    <cfRule type="expression" dxfId="1849" priority="1542">
      <formula>SEARCH("Interview",$J88)</formula>
    </cfRule>
    <cfRule type="expression" dxfId="1848" priority="1543">
      <formula>SEARCH("Team Principal",$J88)</formula>
    </cfRule>
    <cfRule type="expression" dxfId="1847" priority="1544">
      <formula>SEARCH("Briefing",$J88)</formula>
    </cfRule>
    <cfRule type="expression" dxfId="1846" priority="1545">
      <formula>SEARCH("Sign on",$J88)</formula>
    </cfRule>
  </conditionalFormatting>
  <conditionalFormatting sqref="B92:AA92">
    <cfRule type="expression" dxfId="1845" priority="976">
      <formula>OR($J92="Breakfast", $J92="Lunch", $J92="Dinner")</formula>
    </cfRule>
    <cfRule type="expression" dxfId="1844" priority="977">
      <formula>SEARCH("Meeting",$J92)</formula>
    </cfRule>
    <cfRule type="expression" dxfId="1843" priority="978">
      <formula>SEARCH(" PM",$J92)</formula>
    </cfRule>
    <cfRule type="expression" dxfId="1842" priority="979">
      <formula>SEARCH("DB",$J92)</formula>
    </cfRule>
    <cfRule type="expression" dxfId="1841" priority="980">
      <formula>SEARCH("Driver Arrival",$J92)</formula>
    </cfRule>
    <cfRule type="expression" dxfId="1840" priority="981">
      <formula>SEARCH("Qualifying",$J92)</formula>
    </cfRule>
    <cfRule type="expression" dxfId="1839" priority="982">
      <formula>SEARCH("Race",$J92)</formula>
    </cfRule>
    <cfRule type="expression" dxfId="1838" priority="983">
      <formula>SEARCH("Practice Session",$J92)</formula>
    </cfRule>
    <cfRule type="expression" dxfId="1837" priority="984">
      <formula>SEARCH("Press",$J92)</formula>
    </cfRule>
    <cfRule type="expression" dxfId="1836" priority="985">
      <formula>SEARCH("Picture",$J92)</formula>
    </cfRule>
    <cfRule type="expression" dxfId="1835" priority="986">
      <formula>SEARCH("Media",$J92)</formula>
    </cfRule>
    <cfRule type="expression" dxfId="1834" priority="987">
      <formula>SEARCH("Interview",$J92)</formula>
    </cfRule>
    <cfRule type="expression" dxfId="1833" priority="988">
      <formula>SEARCH("Team Principal",$J92)</formula>
    </cfRule>
    <cfRule type="expression" dxfId="1832" priority="989">
      <formula>SEARCH("Briefing",$J92)</formula>
    </cfRule>
    <cfRule type="expression" dxfId="1831" priority="990">
      <formula>SEARCH("Sign on",$J92)</formula>
    </cfRule>
  </conditionalFormatting>
  <conditionalFormatting sqref="B121:AA121">
    <cfRule type="expression" dxfId="1830" priority="946">
      <formula>OR($J121="Breakfast", $J121="Lunch", $J121="Dinner")</formula>
    </cfRule>
    <cfRule type="expression" dxfId="1829" priority="947">
      <formula>SEARCH("Meeting",$J121)</formula>
    </cfRule>
    <cfRule type="expression" dxfId="1828" priority="948">
      <formula>SEARCH(" PM",$J121)</formula>
    </cfRule>
    <cfRule type="expression" dxfId="1827" priority="949">
      <formula>SEARCH("DB",$J121)</formula>
    </cfRule>
    <cfRule type="expression" dxfId="1826" priority="950">
      <formula>SEARCH("Driver Arrival",$J121)</formula>
    </cfRule>
    <cfRule type="expression" dxfId="1825" priority="951">
      <formula>SEARCH("Qualifying",$J121)</formula>
    </cfRule>
    <cfRule type="expression" dxfId="1824" priority="952">
      <formula>SEARCH("Race",$J121)</formula>
    </cfRule>
    <cfRule type="expression" dxfId="1823" priority="953">
      <formula>SEARCH("Practice Session",$J121)</formula>
    </cfRule>
    <cfRule type="expression" dxfId="1822" priority="954">
      <formula>SEARCH("Press",$J121)</formula>
    </cfRule>
    <cfRule type="expression" dxfId="1821" priority="955">
      <formula>SEARCH("Picture",$J121)</formula>
    </cfRule>
    <cfRule type="expression" dxfId="1820" priority="956">
      <formula>SEARCH("Media",$J121)</formula>
    </cfRule>
    <cfRule type="expression" dxfId="1819" priority="957">
      <formula>SEARCH("Interview",$J121)</formula>
    </cfRule>
    <cfRule type="expression" dxfId="1818" priority="958">
      <formula>SEARCH("Team Principal",$J121)</formula>
    </cfRule>
    <cfRule type="expression" dxfId="1817" priority="959">
      <formula>SEARCH("Briefing",$J121)</formula>
    </cfRule>
    <cfRule type="expression" dxfId="1816" priority="960">
      <formula>SEARCH("Sign on",$J121)</formula>
    </cfRule>
  </conditionalFormatting>
  <conditionalFormatting sqref="B122:AA122">
    <cfRule type="expression" dxfId="1815" priority="931">
      <formula>OR($J122="Breakfast", $J122="Lunch", $J122="Dinner")</formula>
    </cfRule>
    <cfRule type="expression" dxfId="1814" priority="932">
      <formula>SEARCH("Meeting",$J122)</formula>
    </cfRule>
    <cfRule type="expression" dxfId="1813" priority="933">
      <formula>SEARCH(" PM",$J122)</formula>
    </cfRule>
    <cfRule type="expression" dxfId="1812" priority="934">
      <formula>SEARCH("DB",$J122)</formula>
    </cfRule>
    <cfRule type="expression" dxfId="1811" priority="935">
      <formula>SEARCH("Driver Arrival",$J122)</formula>
    </cfRule>
    <cfRule type="expression" dxfId="1810" priority="936">
      <formula>SEARCH("Qualifying",$J122)</formula>
    </cfRule>
    <cfRule type="expression" dxfId="1809" priority="937">
      <formula>SEARCH("Race",$J122)</formula>
    </cfRule>
    <cfRule type="expression" dxfId="1808" priority="938">
      <formula>SEARCH("Practice Session",$J122)</formula>
    </cfRule>
    <cfRule type="expression" dxfId="1807" priority="939">
      <formula>SEARCH("Press",$J122)</formula>
    </cfRule>
    <cfRule type="expression" dxfId="1806" priority="940">
      <formula>SEARCH("Picture",$J122)</formula>
    </cfRule>
    <cfRule type="expression" dxfId="1805" priority="941">
      <formula>SEARCH("Media",$J122)</formula>
    </cfRule>
    <cfRule type="expression" dxfId="1804" priority="942">
      <formula>SEARCH("Interview",$J122)</formula>
    </cfRule>
    <cfRule type="expression" dxfId="1803" priority="943">
      <formula>SEARCH("Team Principal",$J122)</formula>
    </cfRule>
    <cfRule type="expression" dxfId="1802" priority="944">
      <formula>SEARCH("Briefing",$J122)</formula>
    </cfRule>
    <cfRule type="expression" dxfId="1801" priority="945">
      <formula>SEARCH("Sign on",$J122)</formula>
    </cfRule>
  </conditionalFormatting>
  <conditionalFormatting sqref="B16:AA16">
    <cfRule type="expression" dxfId="1800" priority="646">
      <formula>OR($J16="Breakfast", $J16="Lunch", $J16="Dinner")</formula>
    </cfRule>
    <cfRule type="expression" dxfId="1799" priority="647">
      <formula>SEARCH("Meeting",$J16)</formula>
    </cfRule>
    <cfRule type="expression" dxfId="1798" priority="648">
      <formula>SEARCH(" PM",$J16)</formula>
    </cfRule>
    <cfRule type="expression" dxfId="1797" priority="649">
      <formula>SEARCH("DB",$J16)</formula>
    </cfRule>
    <cfRule type="expression" dxfId="1796" priority="650">
      <formula>SEARCH("Driver Arrival",$J16)</formula>
    </cfRule>
    <cfRule type="expression" dxfId="1795" priority="651">
      <formula>SEARCH("Qualifying",$J16)</formula>
    </cfRule>
    <cfRule type="expression" dxfId="1794" priority="652">
      <formula>SEARCH("Race",$J16)</formula>
    </cfRule>
    <cfRule type="expression" dxfId="1793" priority="653">
      <formula>SEARCH("Practice Session",$J16)</formula>
    </cfRule>
    <cfRule type="expression" dxfId="1792" priority="654">
      <formula>SEARCH("Press",$J16)</formula>
    </cfRule>
    <cfRule type="expression" dxfId="1791" priority="655">
      <formula>SEARCH("Picture",$J16)</formula>
    </cfRule>
    <cfRule type="expression" dxfId="1790" priority="656">
      <formula>SEARCH("Media",$J16)</formula>
    </cfRule>
    <cfRule type="expression" dxfId="1789" priority="657">
      <formula>SEARCH("Interview",$J16)</formula>
    </cfRule>
    <cfRule type="expression" dxfId="1788" priority="658">
      <formula>SEARCH("Team Principal",$J16)</formula>
    </cfRule>
    <cfRule type="expression" dxfId="1787" priority="659">
      <formula>SEARCH("Briefing",$J16)</formula>
    </cfRule>
    <cfRule type="expression" dxfId="1786" priority="660">
      <formula>SEARCH("Sign on",$J16)</formula>
    </cfRule>
  </conditionalFormatting>
  <conditionalFormatting sqref="J15:S15">
    <cfRule type="expression" dxfId="1785" priority="631">
      <formula>OR($J15="Breakfast", $J15="Lunch", $J15="Dinner")</formula>
    </cfRule>
    <cfRule type="expression" dxfId="1784" priority="632">
      <formula>SEARCH("Meeting",$J15)</formula>
    </cfRule>
    <cfRule type="expression" dxfId="1783" priority="633">
      <formula>SEARCH(" PM",$J15)</formula>
    </cfRule>
    <cfRule type="expression" dxfId="1782" priority="634">
      <formula>SEARCH("DB",$J15)</formula>
    </cfRule>
    <cfRule type="expression" dxfId="1781" priority="635">
      <formula>SEARCH("Driver Arrival",$J15)</formula>
    </cfRule>
    <cfRule type="expression" dxfId="1780" priority="636">
      <formula>SEARCH("Qualifying",$J15)</formula>
    </cfRule>
    <cfRule type="expression" dxfId="1779" priority="637">
      <formula>SEARCH("Race",$J15)</formula>
    </cfRule>
    <cfRule type="expression" dxfId="1778" priority="638">
      <formula>SEARCH("Practice Session",$J15)</formula>
    </cfRule>
    <cfRule type="expression" dxfId="1777" priority="639">
      <formula>SEARCH("Press",$J15)</formula>
    </cfRule>
    <cfRule type="expression" dxfId="1776" priority="640">
      <formula>SEARCH("Picture",$J15)</formula>
    </cfRule>
    <cfRule type="expression" dxfId="1775" priority="641">
      <formula>SEARCH("Media",$J15)</formula>
    </cfRule>
    <cfRule type="expression" dxfId="1774" priority="642">
      <formula>SEARCH("Interview",$J15)</formula>
    </cfRule>
    <cfRule type="expression" dxfId="1773" priority="643">
      <formula>SEARCH("Team Principal",$J15)</formula>
    </cfRule>
    <cfRule type="expression" dxfId="1772" priority="644">
      <formula>SEARCH("Briefing",$J15)</formula>
    </cfRule>
    <cfRule type="expression" dxfId="1771" priority="645">
      <formula>SEARCH("Sign on",$J15)</formula>
    </cfRule>
  </conditionalFormatting>
  <conditionalFormatting sqref="B15:I15">
    <cfRule type="expression" dxfId="1770" priority="616">
      <formula>OR($J15="Breakfast", $J15="Lunch", $J15="Dinner")</formula>
    </cfRule>
    <cfRule type="expression" dxfId="1769" priority="617">
      <formula>SEARCH("Meeting",$J15)</formula>
    </cfRule>
    <cfRule type="expression" dxfId="1768" priority="618">
      <formula>SEARCH(" PM",$J15)</formula>
    </cfRule>
    <cfRule type="expression" dxfId="1767" priority="619">
      <formula>SEARCH("DB",$J15)</formula>
    </cfRule>
    <cfRule type="expression" dxfId="1766" priority="620">
      <formula>SEARCH("Driver Arrival",$J15)</formula>
    </cfRule>
    <cfRule type="expression" dxfId="1765" priority="621">
      <formula>SEARCH("Qualifying",$J15)</formula>
    </cfRule>
    <cfRule type="expression" dxfId="1764" priority="622">
      <formula>SEARCH("Race",$J15)</formula>
    </cfRule>
    <cfRule type="expression" dxfId="1763" priority="623">
      <formula>SEARCH("Practice Session",$J15)</formula>
    </cfRule>
    <cfRule type="expression" dxfId="1762" priority="624">
      <formula>SEARCH("Press",$J15)</formula>
    </cfRule>
    <cfRule type="expression" dxfId="1761" priority="625">
      <formula>SEARCH("Picture",$J15)</formula>
    </cfRule>
    <cfRule type="expression" dxfId="1760" priority="626">
      <formula>SEARCH("Media",$J15)</formula>
    </cfRule>
    <cfRule type="expression" dxfId="1759" priority="627">
      <formula>SEARCH("Interview",$J15)</formula>
    </cfRule>
    <cfRule type="expression" dxfId="1758" priority="628">
      <formula>SEARCH("Team Principal",$J15)</formula>
    </cfRule>
    <cfRule type="expression" dxfId="1757" priority="629">
      <formula>SEARCH("Briefing",$J15)</formula>
    </cfRule>
    <cfRule type="expression" dxfId="1756" priority="630">
      <formula>SEARCH("Sign on",$J15)</formula>
    </cfRule>
  </conditionalFormatting>
  <conditionalFormatting sqref="T15:AA15">
    <cfRule type="expression" dxfId="1755" priority="601">
      <formula>OR($J15="Breakfast", $J15="Lunch", $J15="Dinner")</formula>
    </cfRule>
    <cfRule type="expression" dxfId="1754" priority="602">
      <formula>SEARCH("Meeting",$J15)</formula>
    </cfRule>
    <cfRule type="expression" dxfId="1753" priority="603">
      <formula>SEARCH(" PM",$J15)</formula>
    </cfRule>
    <cfRule type="expression" dxfId="1752" priority="604">
      <formula>SEARCH("DB",$J15)</formula>
    </cfRule>
    <cfRule type="expression" dxfId="1751" priority="605">
      <formula>SEARCH("Driver Arrival",$J15)</formula>
    </cfRule>
    <cfRule type="expression" dxfId="1750" priority="606">
      <formula>SEARCH("Qualifying",$J15)</formula>
    </cfRule>
    <cfRule type="expression" dxfId="1749" priority="607">
      <formula>SEARCH("Race",$J15)</formula>
    </cfRule>
    <cfRule type="expression" dxfId="1748" priority="608">
      <formula>SEARCH("Practice Session",$J15)</formula>
    </cfRule>
    <cfRule type="expression" dxfId="1747" priority="609">
      <formula>SEARCH("Press",$J15)</formula>
    </cfRule>
    <cfRule type="expression" dxfId="1746" priority="610">
      <formula>SEARCH("Picture",$J15)</formula>
    </cfRule>
    <cfRule type="expression" dxfId="1745" priority="611">
      <formula>SEARCH("Media",$J15)</formula>
    </cfRule>
    <cfRule type="expression" dxfId="1744" priority="612">
      <formula>SEARCH("Interview",$J15)</formula>
    </cfRule>
    <cfRule type="expression" dxfId="1743" priority="613">
      <formula>SEARCH("Team Principal",$J15)</formula>
    </cfRule>
    <cfRule type="expression" dxfId="1742" priority="614">
      <formula>SEARCH("Briefing",$J15)</formula>
    </cfRule>
    <cfRule type="expression" dxfId="1741" priority="615">
      <formula>SEARCH("Sign on",$J15)</formula>
    </cfRule>
  </conditionalFormatting>
  <conditionalFormatting sqref="AG16">
    <cfRule type="expression" dxfId="1740" priority="586">
      <formula>OR($J16="Breakfast", $J16="Lunch", $J16="Dinner")</formula>
    </cfRule>
    <cfRule type="expression" dxfId="1739" priority="587">
      <formula>SEARCH("Meeting",$J16)</formula>
    </cfRule>
    <cfRule type="expression" dxfId="1738" priority="588">
      <formula>SEARCH(" PM",$J16)</formula>
    </cfRule>
    <cfRule type="expression" dxfId="1737" priority="589">
      <formula>SEARCH("DB",$J16)</formula>
    </cfRule>
    <cfRule type="expression" dxfId="1736" priority="590">
      <formula>SEARCH("Driver Arrival",$J16)</formula>
    </cfRule>
    <cfRule type="expression" dxfId="1735" priority="591">
      <formula>SEARCH("Qualifying",$J16)</formula>
    </cfRule>
    <cfRule type="expression" dxfId="1734" priority="592">
      <formula>SEARCH("Race",$J16)</formula>
    </cfRule>
    <cfRule type="expression" dxfId="1733" priority="593">
      <formula>SEARCH("Practice Session",$J16)</formula>
    </cfRule>
    <cfRule type="expression" dxfId="1732" priority="594">
      <formula>SEARCH("Press",$J16)</formula>
    </cfRule>
    <cfRule type="expression" dxfId="1731" priority="595">
      <formula>SEARCH("Picture",$J16)</formula>
    </cfRule>
    <cfRule type="expression" dxfId="1730" priority="596">
      <formula>SEARCH("Media",$J16)</formula>
    </cfRule>
    <cfRule type="expression" dxfId="1729" priority="597">
      <formula>SEARCH("Interview",$J16)</formula>
    </cfRule>
    <cfRule type="expression" dxfId="1728" priority="598">
      <formula>SEARCH("Team Principal",$J16)</formula>
    </cfRule>
    <cfRule type="expression" dxfId="1727" priority="599">
      <formula>SEARCH("Briefing",$J16)</formula>
    </cfRule>
    <cfRule type="expression" dxfId="1726" priority="600">
      <formula>SEARCH("Sign on",$J16)</formula>
    </cfRule>
  </conditionalFormatting>
  <conditionalFormatting sqref="B14:AA14 B10:AA12">
    <cfRule type="expression" dxfId="1725" priority="556">
      <formula>OR($J10="Breakfast", $J10="Lunch", $J10="Dinner")</formula>
    </cfRule>
    <cfRule type="expression" dxfId="1724" priority="557">
      <formula>SEARCH("Meeting",$J10)</formula>
    </cfRule>
    <cfRule type="expression" dxfId="1723" priority="558">
      <formula>SEARCH(" PM",$J10)</formula>
    </cfRule>
    <cfRule type="expression" dxfId="1722" priority="559">
      <formula>SEARCH("DB",$J10)</formula>
    </cfRule>
    <cfRule type="expression" dxfId="1721" priority="560">
      <formula>SEARCH("Driver Arrival",$J10)</formula>
    </cfRule>
    <cfRule type="expression" dxfId="1720" priority="561">
      <formula>SEARCH("Qualifying",$J10)</formula>
    </cfRule>
    <cfRule type="expression" dxfId="1719" priority="562">
      <formula>SEARCH("Race",$J10)</formula>
    </cfRule>
    <cfRule type="expression" dxfId="1718" priority="563">
      <formula>SEARCH("Practice Session",$J10)</formula>
    </cfRule>
    <cfRule type="expression" dxfId="1717" priority="564">
      <formula>SEARCH("Press",$J10)</formula>
    </cfRule>
    <cfRule type="expression" dxfId="1716" priority="565">
      <formula>SEARCH("Picture",$J10)</formula>
    </cfRule>
    <cfRule type="expression" dxfId="1715" priority="566">
      <formula>SEARCH("Media",$J10)</formula>
    </cfRule>
    <cfRule type="expression" dxfId="1714" priority="567">
      <formula>SEARCH("Interview",$J10)</formula>
    </cfRule>
    <cfRule type="expression" dxfId="1713" priority="568">
      <formula>SEARCH("Team Principal",$J10)</formula>
    </cfRule>
    <cfRule type="expression" dxfId="1712" priority="569">
      <formula>SEARCH("Briefing",$J10)</formula>
    </cfRule>
    <cfRule type="expression" dxfId="1711" priority="570">
      <formula>SEARCH("Sign on",$J10)</formula>
    </cfRule>
  </conditionalFormatting>
  <conditionalFormatting sqref="B13:AA13">
    <cfRule type="expression" dxfId="1710" priority="541">
      <formula>OR($J13="Breakfast", $J13="Lunch", $J13="Dinner")</formula>
    </cfRule>
    <cfRule type="expression" dxfId="1709" priority="542">
      <formula>SEARCH("Meeting",$J13)</formula>
    </cfRule>
    <cfRule type="expression" dxfId="1708" priority="543">
      <formula>SEARCH(" PM",$J13)</formula>
    </cfRule>
    <cfRule type="expression" dxfId="1707" priority="544">
      <formula>SEARCH("DB",$J13)</formula>
    </cfRule>
    <cfRule type="expression" dxfId="1706" priority="545">
      <formula>SEARCH("Driver Arrival",$J13)</formula>
    </cfRule>
    <cfRule type="expression" dxfId="1705" priority="546">
      <formula>SEARCH("Qualifying",$J13)</formula>
    </cfRule>
    <cfRule type="expression" dxfId="1704" priority="547">
      <formula>SEARCH("Race",$J13)</formula>
    </cfRule>
    <cfRule type="expression" dxfId="1703" priority="548">
      <formula>SEARCH("Practice Session",$J13)</formula>
    </cfRule>
    <cfRule type="expression" dxfId="1702" priority="549">
      <formula>SEARCH("Press",$J13)</formula>
    </cfRule>
    <cfRule type="expression" dxfId="1701" priority="550">
      <formula>SEARCH("Picture",$J13)</formula>
    </cfRule>
    <cfRule type="expression" dxfId="1700" priority="551">
      <formula>SEARCH("Media",$J13)</formula>
    </cfRule>
    <cfRule type="expression" dxfId="1699" priority="552">
      <formula>SEARCH("Interview",$J13)</formula>
    </cfRule>
    <cfRule type="expression" dxfId="1698" priority="553">
      <formula>SEARCH("Team Principal",$J13)</formula>
    </cfRule>
    <cfRule type="expression" dxfId="1697" priority="554">
      <formula>SEARCH("Briefing",$J13)</formula>
    </cfRule>
    <cfRule type="expression" dxfId="1696" priority="555">
      <formula>SEARCH("Sign on",$J13)</formula>
    </cfRule>
  </conditionalFormatting>
  <conditionalFormatting sqref="E17:AA17 B26:AA26 H22:I22">
    <cfRule type="expression" dxfId="1695" priority="526">
      <formula>OR($J17="Breakfast", $J17="Lunch", $J17="Dinner")</formula>
    </cfRule>
    <cfRule type="expression" dxfId="1694" priority="527">
      <formula>SEARCH("Meeting",$J17)</formula>
    </cfRule>
    <cfRule type="expression" dxfId="1693" priority="528">
      <formula>SEARCH(" PM",$J17)</formula>
    </cfRule>
    <cfRule type="expression" dxfId="1692" priority="529">
      <formula>SEARCH("DB",$J17)</formula>
    </cfRule>
    <cfRule type="expression" dxfId="1691" priority="530">
      <formula>SEARCH("Driver Arrival",$J17)</formula>
    </cfRule>
    <cfRule type="expression" dxfId="1690" priority="531">
      <formula>SEARCH("Qualifying",$J17)</formula>
    </cfRule>
    <cfRule type="expression" dxfId="1689" priority="532">
      <formula>SEARCH("Race",$J17)</formula>
    </cfRule>
    <cfRule type="expression" dxfId="1688" priority="533">
      <formula>SEARCH("Practice Session",$J17)</formula>
    </cfRule>
    <cfRule type="expression" dxfId="1687" priority="534">
      <formula>SEARCH("Press",$J17)</formula>
    </cfRule>
    <cfRule type="expression" dxfId="1686" priority="535">
      <formula>SEARCH("Picture",$J17)</formula>
    </cfRule>
    <cfRule type="expression" dxfId="1685" priority="536">
      <formula>SEARCH("Media",$J17)</formula>
    </cfRule>
    <cfRule type="expression" dxfId="1684" priority="537">
      <formula>SEARCH("Interview",$J17)</formula>
    </cfRule>
    <cfRule type="expression" dxfId="1683" priority="538">
      <formula>SEARCH("Team Principal",$J17)</formula>
    </cfRule>
    <cfRule type="expression" dxfId="1682" priority="539">
      <formula>SEARCH("Briefing",$J17)</formula>
    </cfRule>
    <cfRule type="expression" dxfId="1681" priority="540">
      <formula>SEARCH("Sign on",$J17)</formula>
    </cfRule>
  </conditionalFormatting>
  <conditionalFormatting sqref="B17:D17">
    <cfRule type="expression" dxfId="1680" priority="511">
      <formula>OR($J17="Breakfast", $J17="Lunch", $J17="Dinner")</formula>
    </cfRule>
    <cfRule type="expression" dxfId="1679" priority="512">
      <formula>SEARCH("Meeting",$J17)</formula>
    </cfRule>
    <cfRule type="expression" dxfId="1678" priority="513">
      <formula>SEARCH(" PM",$J17)</formula>
    </cfRule>
    <cfRule type="expression" dxfId="1677" priority="514">
      <formula>SEARCH("DB",$J17)</formula>
    </cfRule>
    <cfRule type="expression" dxfId="1676" priority="515">
      <formula>SEARCH("Driver Arrival",$J17)</formula>
    </cfRule>
    <cfRule type="expression" dxfId="1675" priority="516">
      <formula>SEARCH("Qualifying",$J17)</formula>
    </cfRule>
    <cfRule type="expression" dxfId="1674" priority="517">
      <formula>SEARCH("Race",$J17)</formula>
    </cfRule>
    <cfRule type="expression" dxfId="1673" priority="518">
      <formula>SEARCH("Practice Session",$J17)</formula>
    </cfRule>
    <cfRule type="expression" dxfId="1672" priority="519">
      <formula>SEARCH("Press",$J17)</formula>
    </cfRule>
    <cfRule type="expression" dxfId="1671" priority="520">
      <formula>SEARCH("Picture",$J17)</formula>
    </cfRule>
    <cfRule type="expression" dxfId="1670" priority="521">
      <formula>SEARCH("Media",$J17)</formula>
    </cfRule>
    <cfRule type="expression" dxfId="1669" priority="522">
      <formula>SEARCH("Interview",$J17)</formula>
    </cfRule>
    <cfRule type="expression" dxfId="1668" priority="523">
      <formula>SEARCH("Team Principal",$J17)</formula>
    </cfRule>
    <cfRule type="expression" dxfId="1667" priority="524">
      <formula>SEARCH("Briefing",$J17)</formula>
    </cfRule>
    <cfRule type="expression" dxfId="1666" priority="525">
      <formula>SEARCH("Sign on",$J17)</formula>
    </cfRule>
  </conditionalFormatting>
  <conditionalFormatting sqref="B23:AA23">
    <cfRule type="expression" dxfId="1665" priority="466">
      <formula>OR($J23="Breakfast", $J23="Lunch", $J23="Dinner")</formula>
    </cfRule>
    <cfRule type="expression" dxfId="1664" priority="467">
      <formula>SEARCH("Meeting",$J23)</formula>
    </cfRule>
    <cfRule type="expression" dxfId="1663" priority="468">
      <formula>SEARCH(" PM",$J23)</formula>
    </cfRule>
    <cfRule type="expression" dxfId="1662" priority="469">
      <formula>SEARCH("DB",$J23)</formula>
    </cfRule>
    <cfRule type="expression" dxfId="1661" priority="470">
      <formula>SEARCH("Driver Arrival",$J23)</formula>
    </cfRule>
    <cfRule type="expression" dxfId="1660" priority="471">
      <formula>SEARCH("Qualifying",$J23)</formula>
    </cfRule>
    <cfRule type="expression" dxfId="1659" priority="472">
      <formula>SEARCH("Race",$J23)</formula>
    </cfRule>
    <cfRule type="expression" dxfId="1658" priority="473">
      <formula>SEARCH("Practice Session",$J23)</formula>
    </cfRule>
    <cfRule type="expression" dxfId="1657" priority="474">
      <formula>SEARCH("Press",$J23)</formula>
    </cfRule>
    <cfRule type="expression" dxfId="1656" priority="475">
      <formula>SEARCH("Picture",$J23)</formula>
    </cfRule>
    <cfRule type="expression" dxfId="1655" priority="476">
      <formula>SEARCH("Media",$J23)</formula>
    </cfRule>
    <cfRule type="expression" dxfId="1654" priority="477">
      <formula>SEARCH("Interview",$J23)</formula>
    </cfRule>
    <cfRule type="expression" dxfId="1653" priority="478">
      <formula>SEARCH("Team Principal",$J23)</formula>
    </cfRule>
    <cfRule type="expression" dxfId="1652" priority="479">
      <formula>SEARCH("Briefing",$J23)</formula>
    </cfRule>
    <cfRule type="expression" dxfId="1651" priority="480">
      <formula>SEARCH("Sign on",$J23)</formula>
    </cfRule>
  </conditionalFormatting>
  <conditionalFormatting sqref="B22:G22 J22:AA22">
    <cfRule type="expression" dxfId="1650" priority="436">
      <formula>OR($J22="Breakfast", $J22="Lunch", $J22="Dinner")</formula>
    </cfRule>
    <cfRule type="expression" dxfId="1649" priority="437">
      <formula>SEARCH("Meeting",$J22)</formula>
    </cfRule>
    <cfRule type="expression" dxfId="1648" priority="438">
      <formula>SEARCH(" PM",$J22)</formula>
    </cfRule>
    <cfRule type="expression" dxfId="1647" priority="439">
      <formula>SEARCH("DB",$J22)</formula>
    </cfRule>
    <cfRule type="expression" dxfId="1646" priority="440">
      <formula>SEARCH("Driver Arrival",$J22)</formula>
    </cfRule>
    <cfRule type="expression" dxfId="1645" priority="441">
      <formula>SEARCH("Qualifying",$J22)</formula>
    </cfRule>
    <cfRule type="expression" dxfId="1644" priority="442">
      <formula>SEARCH("Race",$J22)</formula>
    </cfRule>
    <cfRule type="expression" dxfId="1643" priority="443">
      <formula>SEARCH("Practice Session",$J22)</formula>
    </cfRule>
    <cfRule type="expression" dxfId="1642" priority="444">
      <formula>SEARCH("Press",$J22)</formula>
    </cfRule>
    <cfRule type="expression" dxfId="1641" priority="445">
      <formula>SEARCH("Picture",$J22)</formula>
    </cfRule>
    <cfRule type="expression" dxfId="1640" priority="446">
      <formula>SEARCH("Media",$J22)</formula>
    </cfRule>
    <cfRule type="expression" dxfId="1639" priority="447">
      <formula>SEARCH("Interview",$J22)</formula>
    </cfRule>
    <cfRule type="expression" dxfId="1638" priority="448">
      <formula>SEARCH("Team Principal",$J22)</formula>
    </cfRule>
    <cfRule type="expression" dxfId="1637" priority="449">
      <formula>SEARCH("Briefing",$J22)</formula>
    </cfRule>
    <cfRule type="expression" dxfId="1636" priority="450">
      <formula>SEARCH("Sign on",$J22)</formula>
    </cfRule>
  </conditionalFormatting>
  <conditionalFormatting sqref="E29:AA29">
    <cfRule type="expression" dxfId="1635" priority="421">
      <formula>OR($J29="Breakfast", $J29="Lunch", $J29="Dinner")</formula>
    </cfRule>
    <cfRule type="expression" dxfId="1634" priority="422">
      <formula>SEARCH("Meeting",$J29)</formula>
    </cfRule>
    <cfRule type="expression" dxfId="1633" priority="423">
      <formula>SEARCH(" PM",$J29)</formula>
    </cfRule>
    <cfRule type="expression" dxfId="1632" priority="424">
      <formula>SEARCH("DB",$J29)</formula>
    </cfRule>
    <cfRule type="expression" dxfId="1631" priority="425">
      <formula>SEARCH("Driver Arrival",$J29)</formula>
    </cfRule>
    <cfRule type="expression" dxfId="1630" priority="426">
      <formula>SEARCH("Qualifying",$J29)</formula>
    </cfRule>
    <cfRule type="expression" dxfId="1629" priority="427">
      <formula>SEARCH("Race",$J29)</formula>
    </cfRule>
    <cfRule type="expression" dxfId="1628" priority="428">
      <formula>SEARCH("Practice Session",$J29)</formula>
    </cfRule>
    <cfRule type="expression" dxfId="1627" priority="429">
      <formula>SEARCH("Press",$J29)</formula>
    </cfRule>
    <cfRule type="expression" dxfId="1626" priority="430">
      <formula>SEARCH("Picture",$J29)</formula>
    </cfRule>
    <cfRule type="expression" dxfId="1625" priority="431">
      <formula>SEARCH("Media",$J29)</formula>
    </cfRule>
    <cfRule type="expression" dxfId="1624" priority="432">
      <formula>SEARCH("Interview",$J29)</formula>
    </cfRule>
    <cfRule type="expression" dxfId="1623" priority="433">
      <formula>SEARCH("Team Principal",$J29)</formula>
    </cfRule>
    <cfRule type="expression" dxfId="1622" priority="434">
      <formula>SEARCH("Briefing",$J29)</formula>
    </cfRule>
    <cfRule type="expression" dxfId="1621" priority="435">
      <formula>SEARCH("Sign on",$J29)</formula>
    </cfRule>
  </conditionalFormatting>
  <conditionalFormatting sqref="B29:D29">
    <cfRule type="expression" dxfId="1620" priority="406">
      <formula>OR($J29="Breakfast", $J29="Lunch", $J29="Dinner")</formula>
    </cfRule>
    <cfRule type="expression" dxfId="1619" priority="407">
      <formula>SEARCH("Meeting",$J29)</formula>
    </cfRule>
    <cfRule type="expression" dxfId="1618" priority="408">
      <formula>SEARCH(" PM",$J29)</formula>
    </cfRule>
    <cfRule type="expression" dxfId="1617" priority="409">
      <formula>SEARCH("DB",$J29)</formula>
    </cfRule>
    <cfRule type="expression" dxfId="1616" priority="410">
      <formula>SEARCH("Driver Arrival",$J29)</formula>
    </cfRule>
    <cfRule type="expression" dxfId="1615" priority="411">
      <formula>SEARCH("Qualifying",$J29)</formula>
    </cfRule>
    <cfRule type="expression" dxfId="1614" priority="412">
      <formula>SEARCH("Race",$J29)</formula>
    </cfRule>
    <cfRule type="expression" dxfId="1613" priority="413">
      <formula>SEARCH("Practice Session",$J29)</formula>
    </cfRule>
    <cfRule type="expression" dxfId="1612" priority="414">
      <formula>SEARCH("Press",$J29)</formula>
    </cfRule>
    <cfRule type="expression" dxfId="1611" priority="415">
      <formula>SEARCH("Picture",$J29)</formula>
    </cfRule>
    <cfRule type="expression" dxfId="1610" priority="416">
      <formula>SEARCH("Media",$J29)</formula>
    </cfRule>
    <cfRule type="expression" dxfId="1609" priority="417">
      <formula>SEARCH("Interview",$J29)</formula>
    </cfRule>
    <cfRule type="expression" dxfId="1608" priority="418">
      <formula>SEARCH("Team Principal",$J29)</formula>
    </cfRule>
    <cfRule type="expression" dxfId="1607" priority="419">
      <formula>SEARCH("Briefing",$J29)</formula>
    </cfRule>
    <cfRule type="expression" dxfId="1606" priority="420">
      <formula>SEARCH("Sign on",$J29)</formula>
    </cfRule>
  </conditionalFormatting>
  <conditionalFormatting sqref="B37:AA37">
    <cfRule type="expression" dxfId="1605" priority="346">
      <formula>OR($J37="Breakfast", $J37="Lunch", $J37="Dinner")</formula>
    </cfRule>
    <cfRule type="expression" dxfId="1604" priority="347">
      <formula>SEARCH("Meeting",$J37)</formula>
    </cfRule>
    <cfRule type="expression" dxfId="1603" priority="348">
      <formula>SEARCH(" PM",$J37)</formula>
    </cfRule>
    <cfRule type="expression" dxfId="1602" priority="349">
      <formula>SEARCH("DB",$J37)</formula>
    </cfRule>
    <cfRule type="expression" dxfId="1601" priority="350">
      <formula>SEARCH("Driver Arrival",$J37)</formula>
    </cfRule>
    <cfRule type="expression" dxfId="1600" priority="351">
      <formula>SEARCH("Qualifying",$J37)</formula>
    </cfRule>
    <cfRule type="expression" dxfId="1599" priority="352">
      <formula>SEARCH("Race",$J37)</formula>
    </cfRule>
    <cfRule type="expression" dxfId="1598" priority="353">
      <formula>SEARCH("Practice Session",$J37)</formula>
    </cfRule>
    <cfRule type="expression" dxfId="1597" priority="354">
      <formula>SEARCH("Press",$J37)</formula>
    </cfRule>
    <cfRule type="expression" dxfId="1596" priority="355">
      <formula>SEARCH("Picture",$J37)</formula>
    </cfRule>
    <cfRule type="expression" dxfId="1595" priority="356">
      <formula>SEARCH("Media",$J37)</formula>
    </cfRule>
    <cfRule type="expression" dxfId="1594" priority="357">
      <formula>SEARCH("Interview",$J37)</formula>
    </cfRule>
    <cfRule type="expression" dxfId="1593" priority="358">
      <formula>SEARCH("Team Principal",$J37)</formula>
    </cfRule>
    <cfRule type="expression" dxfId="1592" priority="359">
      <formula>SEARCH("Briefing",$J37)</formula>
    </cfRule>
    <cfRule type="expression" dxfId="1591" priority="360">
      <formula>SEARCH("Sign on",$J37)</formula>
    </cfRule>
  </conditionalFormatting>
  <conditionalFormatting sqref="H21:I21">
    <cfRule type="expression" dxfId="1590" priority="316">
      <formula>OR($J21="Breakfast", $J21="Lunch", $J21="Dinner")</formula>
    </cfRule>
    <cfRule type="expression" dxfId="1589" priority="317">
      <formula>SEARCH("Meeting",$J21)</formula>
    </cfRule>
    <cfRule type="expression" dxfId="1588" priority="318">
      <formula>SEARCH(" PM",$J21)</formula>
    </cfRule>
    <cfRule type="expression" dxfId="1587" priority="319">
      <formula>SEARCH("DB",$J21)</formula>
    </cfRule>
    <cfRule type="expression" dxfId="1586" priority="320">
      <formula>SEARCH("Driver Arrival",$J21)</formula>
    </cfRule>
    <cfRule type="expression" dxfId="1585" priority="321">
      <formula>SEARCH("Qualifying",$J21)</formula>
    </cfRule>
    <cfRule type="expression" dxfId="1584" priority="322">
      <formula>SEARCH("Race",$J21)</formula>
    </cfRule>
    <cfRule type="expression" dxfId="1583" priority="323">
      <formula>SEARCH("Practice Session",$J21)</formula>
    </cfRule>
    <cfRule type="expression" dxfId="1582" priority="324">
      <formula>SEARCH("Press",$J21)</formula>
    </cfRule>
    <cfRule type="expression" dxfId="1581" priority="325">
      <formula>SEARCH("Picture",$J21)</formula>
    </cfRule>
    <cfRule type="expression" dxfId="1580" priority="326">
      <formula>SEARCH("Media",$J21)</formula>
    </cfRule>
    <cfRule type="expression" dxfId="1579" priority="327">
      <formula>SEARCH("Interview",$J21)</formula>
    </cfRule>
    <cfRule type="expression" dxfId="1578" priority="328">
      <formula>SEARCH("Team Principal",$J21)</formula>
    </cfRule>
    <cfRule type="expression" dxfId="1577" priority="329">
      <formula>SEARCH("Briefing",$J21)</formula>
    </cfRule>
    <cfRule type="expression" dxfId="1576" priority="330">
      <formula>SEARCH("Sign on",$J21)</formula>
    </cfRule>
  </conditionalFormatting>
  <conditionalFormatting sqref="B21:G21 J21:AA21">
    <cfRule type="expression" dxfId="1575" priority="301">
      <formula>OR($J21="Breakfast", $J21="Lunch", $J21="Dinner")</formula>
    </cfRule>
    <cfRule type="expression" dxfId="1574" priority="302">
      <formula>SEARCH("Meeting",$J21)</formula>
    </cfRule>
    <cfRule type="expression" dxfId="1573" priority="303">
      <formula>SEARCH(" PM",$J21)</formula>
    </cfRule>
    <cfRule type="expression" dxfId="1572" priority="304">
      <formula>SEARCH("DB",$J21)</formula>
    </cfRule>
    <cfRule type="expression" dxfId="1571" priority="305">
      <formula>SEARCH("Driver Arrival",$J21)</formula>
    </cfRule>
    <cfRule type="expression" dxfId="1570" priority="306">
      <formula>SEARCH("Qualifying",$J21)</formula>
    </cfRule>
    <cfRule type="expression" dxfId="1569" priority="307">
      <formula>SEARCH("Race",$J21)</formula>
    </cfRule>
    <cfRule type="expression" dxfId="1568" priority="308">
      <formula>SEARCH("Practice Session",$J21)</formula>
    </cfRule>
    <cfRule type="expression" dxfId="1567" priority="309">
      <formula>SEARCH("Press",$J21)</formula>
    </cfRule>
    <cfRule type="expression" dxfId="1566" priority="310">
      <formula>SEARCH("Picture",$J21)</formula>
    </cfRule>
    <cfRule type="expression" dxfId="1565" priority="311">
      <formula>SEARCH("Media",$J21)</formula>
    </cfRule>
    <cfRule type="expression" dxfId="1564" priority="312">
      <formula>SEARCH("Interview",$J21)</formula>
    </cfRule>
    <cfRule type="expression" dxfId="1563" priority="313">
      <formula>SEARCH("Team Principal",$J21)</formula>
    </cfRule>
    <cfRule type="expression" dxfId="1562" priority="314">
      <formula>SEARCH("Briefing",$J21)</formula>
    </cfRule>
    <cfRule type="expression" dxfId="1561" priority="315">
      <formula>SEARCH("Sign on",$J21)</formula>
    </cfRule>
  </conditionalFormatting>
  <conditionalFormatting sqref="B49:AA49">
    <cfRule type="expression" dxfId="1560" priority="286">
      <formula>OR($J49="Breakfast", $J49="Lunch", $J49="Dinner")</formula>
    </cfRule>
    <cfRule type="expression" dxfId="1559" priority="287">
      <formula>SEARCH("Meeting",$J49)</formula>
    </cfRule>
    <cfRule type="expression" dxfId="1558" priority="288">
      <formula>SEARCH(" PM",$J49)</formula>
    </cfRule>
    <cfRule type="expression" dxfId="1557" priority="289">
      <formula>SEARCH("DB",$J49)</formula>
    </cfRule>
    <cfRule type="expression" dxfId="1556" priority="290">
      <formula>SEARCH("Driver Arrival",$J49)</formula>
    </cfRule>
    <cfRule type="expression" dxfId="1555" priority="291">
      <formula>SEARCH("Qualifying",$J49)</formula>
    </cfRule>
    <cfRule type="expression" dxfId="1554" priority="292">
      <formula>SEARCH("Race",$J49)</formula>
    </cfRule>
    <cfRule type="expression" dxfId="1553" priority="293">
      <formula>SEARCH("Practice Session",$J49)</formula>
    </cfRule>
    <cfRule type="expression" dxfId="1552" priority="294">
      <formula>SEARCH("Press",$J49)</formula>
    </cfRule>
    <cfRule type="expression" dxfId="1551" priority="295">
      <formula>SEARCH("Picture",$J49)</formula>
    </cfRule>
    <cfRule type="expression" dxfId="1550" priority="296">
      <formula>SEARCH("Media",$J49)</formula>
    </cfRule>
    <cfRule type="expression" dxfId="1549" priority="297">
      <formula>SEARCH("Interview",$J49)</formula>
    </cfRule>
    <cfRule type="expression" dxfId="1548" priority="298">
      <formula>SEARCH("Team Principal",$J49)</formula>
    </cfRule>
    <cfRule type="expression" dxfId="1547" priority="299">
      <formula>SEARCH("Briefing",$J49)</formula>
    </cfRule>
    <cfRule type="expression" dxfId="1546" priority="300">
      <formula>SEARCH("Sign on",$J49)</formula>
    </cfRule>
  </conditionalFormatting>
  <conditionalFormatting sqref="B41:AA41">
    <cfRule type="expression" dxfId="1545" priority="271">
      <formula>OR($J41="Breakfast", $J41="Lunch", $J41="Dinner")</formula>
    </cfRule>
    <cfRule type="expression" dxfId="1544" priority="272">
      <formula>SEARCH("Meeting",$J41)</formula>
    </cfRule>
    <cfRule type="expression" dxfId="1543" priority="273">
      <formula>SEARCH(" PM",$J41)</formula>
    </cfRule>
    <cfRule type="expression" dxfId="1542" priority="274">
      <formula>SEARCH("DB",$J41)</formula>
    </cfRule>
    <cfRule type="expression" dxfId="1541" priority="275">
      <formula>SEARCH("Driver Arrival",$J41)</formula>
    </cfRule>
    <cfRule type="expression" dxfId="1540" priority="276">
      <formula>SEARCH("Qualifying",$J41)</formula>
    </cfRule>
    <cfRule type="expression" dxfId="1539" priority="277">
      <formula>SEARCH("Race",$J41)</formula>
    </cfRule>
    <cfRule type="expression" dxfId="1538" priority="278">
      <formula>SEARCH("Practice Session",$J41)</formula>
    </cfRule>
    <cfRule type="expression" dxfId="1537" priority="279">
      <formula>SEARCH("Press",$J41)</formula>
    </cfRule>
    <cfRule type="expression" dxfId="1536" priority="280">
      <formula>SEARCH("Picture",$J41)</formula>
    </cfRule>
    <cfRule type="expression" dxfId="1535" priority="281">
      <formula>SEARCH("Media",$J41)</formula>
    </cfRule>
    <cfRule type="expression" dxfId="1534" priority="282">
      <formula>SEARCH("Interview",$J41)</formula>
    </cfRule>
    <cfRule type="expression" dxfId="1533" priority="283">
      <formula>SEARCH("Team Principal",$J41)</formula>
    </cfRule>
    <cfRule type="expression" dxfId="1532" priority="284">
      <formula>SEARCH("Briefing",$J41)</formula>
    </cfRule>
    <cfRule type="expression" dxfId="1531" priority="285">
      <formula>SEARCH("Sign on",$J41)</formula>
    </cfRule>
  </conditionalFormatting>
  <conditionalFormatting sqref="B110:AA110">
    <cfRule type="expression" dxfId="1530" priority="241">
      <formula>OR($J110="Breakfast", $J110="Lunch", $J110="Dinner")</formula>
    </cfRule>
    <cfRule type="expression" dxfId="1529" priority="242">
      <formula>SEARCH("Meeting",$J110)</formula>
    </cfRule>
    <cfRule type="expression" dxfId="1528" priority="243">
      <formula>SEARCH(" PM",$J110)</formula>
    </cfRule>
    <cfRule type="expression" dxfId="1527" priority="244">
      <formula>SEARCH("DB",$J110)</formula>
    </cfRule>
    <cfRule type="expression" dxfId="1526" priority="245">
      <formula>SEARCH("Driver Arrival",$J110)</formula>
    </cfRule>
    <cfRule type="expression" dxfId="1525" priority="246">
      <formula>SEARCH("Qualifying",$J110)</formula>
    </cfRule>
    <cfRule type="expression" dxfId="1524" priority="247">
      <formula>SEARCH("Race",$J110)</formula>
    </cfRule>
    <cfRule type="expression" dxfId="1523" priority="248">
      <formula>SEARCH("Practice Session",$J110)</formula>
    </cfRule>
    <cfRule type="expression" dxfId="1522" priority="249">
      <formula>SEARCH("Press",$J110)</formula>
    </cfRule>
    <cfRule type="expression" dxfId="1521" priority="250">
      <formula>SEARCH("Picture",$J110)</formula>
    </cfRule>
    <cfRule type="expression" dxfId="1520" priority="251">
      <formula>SEARCH("Media",$J110)</formula>
    </cfRule>
    <cfRule type="expression" dxfId="1519" priority="252">
      <formula>SEARCH("Interview",$J110)</formula>
    </cfRule>
    <cfRule type="expression" dxfId="1518" priority="253">
      <formula>SEARCH("Team Principal",$J110)</formula>
    </cfRule>
    <cfRule type="expression" dxfId="1517" priority="254">
      <formula>SEARCH("Briefing",$J110)</formula>
    </cfRule>
    <cfRule type="expression" dxfId="1516" priority="255">
      <formula>SEARCH("Sign on",$J110)</formula>
    </cfRule>
  </conditionalFormatting>
  <conditionalFormatting sqref="B120:AA120">
    <cfRule type="expression" dxfId="1515" priority="211">
      <formula>OR($J120="Breakfast", $J120="Lunch", $J120="Dinner")</formula>
    </cfRule>
    <cfRule type="expression" dxfId="1514" priority="212">
      <formula>SEARCH("Meeting",$J120)</formula>
    </cfRule>
    <cfRule type="expression" dxfId="1513" priority="213">
      <formula>SEARCH(" PM",$J120)</formula>
    </cfRule>
    <cfRule type="expression" dxfId="1512" priority="214">
      <formula>SEARCH("DB",$J120)</formula>
    </cfRule>
    <cfRule type="expression" dxfId="1511" priority="215">
      <formula>SEARCH("Driver Arrival",$J120)</formula>
    </cfRule>
    <cfRule type="expression" dxfId="1510" priority="216">
      <formula>SEARCH("Qualifying",$J120)</formula>
    </cfRule>
    <cfRule type="expression" dxfId="1509" priority="217">
      <formula>SEARCH("Race",$J120)</formula>
    </cfRule>
    <cfRule type="expression" dxfId="1508" priority="218">
      <formula>SEARCH("Practice Session",$J120)</formula>
    </cfRule>
    <cfRule type="expression" dxfId="1507" priority="219">
      <formula>SEARCH("Press",$J120)</formula>
    </cfRule>
    <cfRule type="expression" dxfId="1506" priority="220">
      <formula>SEARCH("Picture",$J120)</formula>
    </cfRule>
    <cfRule type="expression" dxfId="1505" priority="221">
      <formula>SEARCH("Media",$J120)</formula>
    </cfRule>
    <cfRule type="expression" dxfId="1504" priority="222">
      <formula>SEARCH("Interview",$J120)</formula>
    </cfRule>
    <cfRule type="expression" dxfId="1503" priority="223">
      <formula>SEARCH("Team Principal",$J120)</formula>
    </cfRule>
    <cfRule type="expression" dxfId="1502" priority="224">
      <formula>SEARCH("Briefing",$J120)</formula>
    </cfRule>
    <cfRule type="expression" dxfId="1501" priority="225">
      <formula>SEARCH("Sign on",$J120)</formula>
    </cfRule>
  </conditionalFormatting>
  <conditionalFormatting sqref="B139:AA139">
    <cfRule type="expression" dxfId="1500" priority="196">
      <formula>OR($J139="Breakfast", $J139="Lunch", $J139="Dinner")</formula>
    </cfRule>
    <cfRule type="expression" dxfId="1499" priority="197">
      <formula>SEARCH("Meeting",$J139)</formula>
    </cfRule>
    <cfRule type="expression" dxfId="1498" priority="198">
      <formula>SEARCH(" PM",$J139)</formula>
    </cfRule>
    <cfRule type="expression" dxfId="1497" priority="199">
      <formula>SEARCH("DB",$J139)</formula>
    </cfRule>
    <cfRule type="expression" dxfId="1496" priority="200">
      <formula>SEARCH("Driver Arrival",$J139)</formula>
    </cfRule>
    <cfRule type="expression" dxfId="1495" priority="201">
      <formula>SEARCH("Qualifying",$J139)</formula>
    </cfRule>
    <cfRule type="expression" dxfId="1494" priority="202">
      <formula>SEARCH("Race",$J139)</formula>
    </cfRule>
    <cfRule type="expression" dxfId="1493" priority="203">
      <formula>SEARCH("Practice Session",$J139)</formula>
    </cfRule>
    <cfRule type="expression" dxfId="1492" priority="204">
      <formula>SEARCH("Press",$J139)</formula>
    </cfRule>
    <cfRule type="expression" dxfId="1491" priority="205">
      <formula>SEARCH("Picture",$J139)</formula>
    </cfRule>
    <cfRule type="expression" dxfId="1490" priority="206">
      <formula>SEARCH("Media",$J139)</formula>
    </cfRule>
    <cfRule type="expression" dxfId="1489" priority="207">
      <formula>SEARCH("Interview",$J139)</formula>
    </cfRule>
    <cfRule type="expression" dxfId="1488" priority="208">
      <formula>SEARCH("Team Principal",$J139)</formula>
    </cfRule>
    <cfRule type="expression" dxfId="1487" priority="209">
      <formula>SEARCH("Briefing",$J139)</formula>
    </cfRule>
    <cfRule type="expression" dxfId="1486" priority="210">
      <formula>SEARCH("Sign on",$J139)</formula>
    </cfRule>
  </conditionalFormatting>
  <conditionalFormatting sqref="S73:S74">
    <cfRule type="expression" dxfId="1485" priority="181">
      <formula>OR($J73="Breakfast", $J73="Lunch", $J73="Dinner")</formula>
    </cfRule>
    <cfRule type="expression" dxfId="1484" priority="182">
      <formula>SEARCH("Meeting",$J73)</formula>
    </cfRule>
    <cfRule type="expression" dxfId="1483" priority="183">
      <formula>SEARCH(" PM",$J73)</formula>
    </cfRule>
    <cfRule type="expression" dxfId="1482" priority="184">
      <formula>SEARCH("DB",$J73)</formula>
    </cfRule>
    <cfRule type="expression" dxfId="1481" priority="185">
      <formula>SEARCH("Driver Arrival",$J73)</formula>
    </cfRule>
    <cfRule type="expression" dxfId="1480" priority="186">
      <formula>SEARCH("Qualifying",$J73)</formula>
    </cfRule>
    <cfRule type="expression" dxfId="1479" priority="187">
      <formula>SEARCH("Race",$J73)</formula>
    </cfRule>
    <cfRule type="expression" dxfId="1478" priority="188">
      <formula>SEARCH("Practice Session",$J73)</formula>
    </cfRule>
    <cfRule type="expression" dxfId="1477" priority="189">
      <formula>SEARCH("Press",$J73)</formula>
    </cfRule>
    <cfRule type="expression" dxfId="1476" priority="190">
      <formula>SEARCH("Picture",$J73)</formula>
    </cfRule>
    <cfRule type="expression" dxfId="1475" priority="191">
      <formula>SEARCH("Media",$J73)</formula>
    </cfRule>
    <cfRule type="expression" dxfId="1474" priority="192">
      <formula>SEARCH("Interview",$J73)</formula>
    </cfRule>
    <cfRule type="expression" dxfId="1473" priority="193">
      <formula>SEARCH("Team Principal",$J73)</formula>
    </cfRule>
    <cfRule type="expression" dxfId="1472" priority="194">
      <formula>SEARCH("Briefing",$J73)</formula>
    </cfRule>
    <cfRule type="expression" dxfId="1471" priority="195">
      <formula>SEARCH("Sign on",$J73)</formula>
    </cfRule>
  </conditionalFormatting>
  <conditionalFormatting sqref="B39:AA39">
    <cfRule type="expression" dxfId="1470" priority="166">
      <formula>OR($J39="Breakfast", $J39="Lunch", $J39="Dinner")</formula>
    </cfRule>
    <cfRule type="expression" dxfId="1469" priority="167">
      <formula>SEARCH("Meeting",$J39)</formula>
    </cfRule>
    <cfRule type="expression" dxfId="1468" priority="168">
      <formula>SEARCH(" PM",$J39)</formula>
    </cfRule>
    <cfRule type="expression" dxfId="1467" priority="169">
      <formula>SEARCH("DB",$J39)</formula>
    </cfRule>
    <cfRule type="expression" dxfId="1466" priority="170">
      <formula>SEARCH("Driver Arrival",$J39)</formula>
    </cfRule>
    <cfRule type="expression" dxfId="1465" priority="171">
      <formula>SEARCH("Qualifying",$J39)</formula>
    </cfRule>
    <cfRule type="expression" dxfId="1464" priority="172">
      <formula>SEARCH("Race",$J39)</formula>
    </cfRule>
    <cfRule type="expression" dxfId="1463" priority="173">
      <formula>SEARCH("Practice Session",$J39)</formula>
    </cfRule>
    <cfRule type="expression" dxfId="1462" priority="174">
      <formula>SEARCH("Press",$J39)</formula>
    </cfRule>
    <cfRule type="expression" dxfId="1461" priority="175">
      <formula>SEARCH("Picture",$J39)</formula>
    </cfRule>
    <cfRule type="expression" dxfId="1460" priority="176">
      <formula>SEARCH("Media",$J39)</formula>
    </cfRule>
    <cfRule type="expression" dxfId="1459" priority="177">
      <formula>SEARCH("Interview",$J39)</formula>
    </cfRule>
    <cfRule type="expression" dxfId="1458" priority="178">
      <formula>SEARCH("Team Principal",$J39)</formula>
    </cfRule>
    <cfRule type="expression" dxfId="1457" priority="179">
      <formula>SEARCH("Briefing",$J39)</formula>
    </cfRule>
    <cfRule type="expression" dxfId="1456" priority="180">
      <formula>SEARCH("Sign on",$J39)</formula>
    </cfRule>
  </conditionalFormatting>
  <conditionalFormatting sqref="S23 S112">
    <cfRule type="expression" dxfId="1455" priority="3468">
      <formula>OR($J24="Breakfast", $J24="Lunch", $J24="Dinner")</formula>
    </cfRule>
    <cfRule type="expression" dxfId="1454" priority="3469">
      <formula>SEARCH("Meeting",$J24)</formula>
    </cfRule>
    <cfRule type="expression" dxfId="1453" priority="3470">
      <formula>SEARCH(" PM",$J24)</formula>
    </cfRule>
    <cfRule type="expression" dxfId="1452" priority="3471">
      <formula>SEARCH("DB",$J24)</formula>
    </cfRule>
    <cfRule type="expression" dxfId="1451" priority="3472">
      <formula>SEARCH("Driver Arrival",$J24)</formula>
    </cfRule>
    <cfRule type="expression" dxfId="1450" priority="3473">
      <formula>SEARCH("Qualifying",$J24)</formula>
    </cfRule>
    <cfRule type="expression" dxfId="1449" priority="3474">
      <formula>SEARCH("Race",$J24)</formula>
    </cfRule>
    <cfRule type="expression" dxfId="1448" priority="3475">
      <formula>SEARCH("Practice Session",$J24)</formula>
    </cfRule>
    <cfRule type="expression" dxfId="1447" priority="3476">
      <formula>SEARCH("Press",$J24)</formula>
    </cfRule>
    <cfRule type="expression" dxfId="1446" priority="3477">
      <formula>SEARCH("Picture",$J24)</formula>
    </cfRule>
    <cfRule type="expression" dxfId="1445" priority="3478">
      <formula>SEARCH("Media",$J24)</formula>
    </cfRule>
    <cfRule type="expression" dxfId="1444" priority="3479">
      <formula>SEARCH("Interview",$J24)</formula>
    </cfRule>
    <cfRule type="expression" dxfId="1443" priority="3480">
      <formula>SEARCH("Team Principal",$J24)</formula>
    </cfRule>
    <cfRule type="expression" dxfId="1442" priority="3481">
      <formula>SEARCH("Briefing",$J24)</formula>
    </cfRule>
    <cfRule type="expression" dxfId="1441" priority="3482">
      <formula>SEARCH("Sign on",$J24)</formula>
    </cfRule>
  </conditionalFormatting>
  <conditionalFormatting sqref="B51:R51">
    <cfRule type="expression" dxfId="1440" priority="151">
      <formula>OR($J51="Breakfast", $J51="Lunch", $J51="Dinner")</formula>
    </cfRule>
    <cfRule type="expression" dxfId="1439" priority="152">
      <formula>SEARCH("Meeting",$J51)</formula>
    </cfRule>
    <cfRule type="expression" dxfId="1438" priority="153">
      <formula>SEARCH(" PM",$J51)</formula>
    </cfRule>
    <cfRule type="expression" dxfId="1437" priority="154">
      <formula>SEARCH("DB",$J51)</formula>
    </cfRule>
    <cfRule type="expression" dxfId="1436" priority="155">
      <formula>SEARCH("Driver Arrival",$J51)</formula>
    </cfRule>
    <cfRule type="expression" dxfId="1435" priority="156">
      <formula>SEARCH("Qualifying",$J51)</formula>
    </cfRule>
    <cfRule type="expression" dxfId="1434" priority="157">
      <formula>SEARCH("Race",$J51)</formula>
    </cfRule>
    <cfRule type="expression" dxfId="1433" priority="158">
      <formula>SEARCH("Practice Session",$J51)</formula>
    </cfRule>
    <cfRule type="expression" dxfId="1432" priority="159">
      <formula>SEARCH("Press",$J51)</formula>
    </cfRule>
    <cfRule type="expression" dxfId="1431" priority="160">
      <formula>SEARCH("Picture",$J51)</formula>
    </cfRule>
    <cfRule type="expression" dxfId="1430" priority="161">
      <formula>SEARCH("Media",$J51)</formula>
    </cfRule>
    <cfRule type="expression" dxfId="1429" priority="162">
      <formula>SEARCH("Interview",$J51)</formula>
    </cfRule>
    <cfRule type="expression" dxfId="1428" priority="163">
      <formula>SEARCH("Team Principal",$J51)</formula>
    </cfRule>
    <cfRule type="expression" dxfId="1427" priority="164">
      <formula>SEARCH("Briefing",$J51)</formula>
    </cfRule>
    <cfRule type="expression" dxfId="1426" priority="165">
      <formula>SEARCH("Sign on",$J51)</formula>
    </cfRule>
  </conditionalFormatting>
  <conditionalFormatting sqref="B42:AA42">
    <cfRule type="expression" dxfId="1425" priority="136">
      <formula>OR($J42="Breakfast", $J42="Lunch", $J42="Dinner")</formula>
    </cfRule>
    <cfRule type="expression" dxfId="1424" priority="137">
      <formula>SEARCH("Meeting",$J42)</formula>
    </cfRule>
    <cfRule type="expression" dxfId="1423" priority="138">
      <formula>SEARCH(" PM",$J42)</formula>
    </cfRule>
    <cfRule type="expression" dxfId="1422" priority="139">
      <formula>SEARCH("DB",$J42)</formula>
    </cfRule>
    <cfRule type="expression" dxfId="1421" priority="140">
      <formula>SEARCH("Driver Arrival",$J42)</formula>
    </cfRule>
    <cfRule type="expression" dxfId="1420" priority="141">
      <formula>SEARCH("Qualifying",$J42)</formula>
    </cfRule>
    <cfRule type="expression" dxfId="1419" priority="142">
      <formula>SEARCH("Race",$J42)</formula>
    </cfRule>
    <cfRule type="expression" dxfId="1418" priority="143">
      <formula>SEARCH("Practice Session",$J42)</formula>
    </cfRule>
    <cfRule type="expression" dxfId="1417" priority="144">
      <formula>SEARCH("Press",$J42)</formula>
    </cfRule>
    <cfRule type="expression" dxfId="1416" priority="145">
      <formula>SEARCH("Picture",$J42)</formula>
    </cfRule>
    <cfRule type="expression" dxfId="1415" priority="146">
      <formula>SEARCH("Media",$J42)</formula>
    </cfRule>
    <cfRule type="expression" dxfId="1414" priority="147">
      <formula>SEARCH("Interview",$J42)</formula>
    </cfRule>
    <cfRule type="expression" dxfId="1413" priority="148">
      <formula>SEARCH("Team Principal",$J42)</formula>
    </cfRule>
    <cfRule type="expression" dxfId="1412" priority="149">
      <formula>SEARCH("Briefing",$J42)</formula>
    </cfRule>
    <cfRule type="expression" dxfId="1411" priority="150">
      <formula>SEARCH("Sign on",$J42)</formula>
    </cfRule>
  </conditionalFormatting>
  <conditionalFormatting sqref="B50:AA50">
    <cfRule type="expression" dxfId="1410" priority="121">
      <formula>OR($J50="Breakfast", $J50="Lunch", $J50="Dinner")</formula>
    </cfRule>
    <cfRule type="expression" dxfId="1409" priority="122">
      <formula>SEARCH("Meeting",$J50)</formula>
    </cfRule>
    <cfRule type="expression" dxfId="1408" priority="123">
      <formula>SEARCH(" PM",$J50)</formula>
    </cfRule>
    <cfRule type="expression" dxfId="1407" priority="124">
      <formula>SEARCH("DB",$J50)</formula>
    </cfRule>
    <cfRule type="expression" dxfId="1406" priority="125">
      <formula>SEARCH("Driver Arrival",$J50)</formula>
    </cfRule>
    <cfRule type="expression" dxfId="1405" priority="126">
      <formula>SEARCH("Qualifying",$J50)</formula>
    </cfRule>
    <cfRule type="expression" dxfId="1404" priority="127">
      <formula>SEARCH("Race",$J50)</formula>
    </cfRule>
    <cfRule type="expression" dxfId="1403" priority="128">
      <formula>SEARCH("Practice Session",$J50)</formula>
    </cfRule>
    <cfRule type="expression" dxfId="1402" priority="129">
      <formula>SEARCH("Press",$J50)</formula>
    </cfRule>
    <cfRule type="expression" dxfId="1401" priority="130">
      <formula>SEARCH("Picture",$J50)</formula>
    </cfRule>
    <cfRule type="expression" dxfId="1400" priority="131">
      <formula>SEARCH("Media",$J50)</formula>
    </cfRule>
    <cfRule type="expression" dxfId="1399" priority="132">
      <formula>SEARCH("Interview",$J50)</formula>
    </cfRule>
    <cfRule type="expression" dxfId="1398" priority="133">
      <formula>SEARCH("Team Principal",$J50)</formula>
    </cfRule>
    <cfRule type="expression" dxfId="1397" priority="134">
      <formula>SEARCH("Briefing",$J50)</formula>
    </cfRule>
    <cfRule type="expression" dxfId="1396" priority="135">
      <formula>SEARCH("Sign on",$J50)</formula>
    </cfRule>
  </conditionalFormatting>
  <conditionalFormatting sqref="B38:AA38">
    <cfRule type="expression" dxfId="1395" priority="106">
      <formula>OR($J38="Breakfast", $J38="Lunch", $J38="Dinner")</formula>
    </cfRule>
    <cfRule type="expression" dxfId="1394" priority="107">
      <formula>SEARCH("Meeting",$J38)</formula>
    </cfRule>
    <cfRule type="expression" dxfId="1393" priority="108">
      <formula>SEARCH(" PM",$J38)</formula>
    </cfRule>
    <cfRule type="expression" dxfId="1392" priority="109">
      <formula>SEARCH("DB",$J38)</formula>
    </cfRule>
    <cfRule type="expression" dxfId="1391" priority="110">
      <formula>SEARCH("Driver Arrival",$J38)</formula>
    </cfRule>
    <cfRule type="expression" dxfId="1390" priority="111">
      <formula>SEARCH("Qualifying",$J38)</formula>
    </cfRule>
    <cfRule type="expression" dxfId="1389" priority="112">
      <formula>SEARCH("Race",$J38)</formula>
    </cfRule>
    <cfRule type="expression" dxfId="1388" priority="113">
      <formula>SEARCH("Practice Session",$J38)</formula>
    </cfRule>
    <cfRule type="expression" dxfId="1387" priority="114">
      <formula>SEARCH("Press",$J38)</formula>
    </cfRule>
    <cfRule type="expression" dxfId="1386" priority="115">
      <formula>SEARCH("Picture",$J38)</formula>
    </cfRule>
    <cfRule type="expression" dxfId="1385" priority="116">
      <formula>SEARCH("Media",$J38)</formula>
    </cfRule>
    <cfRule type="expression" dxfId="1384" priority="117">
      <formula>SEARCH("Interview",$J38)</formula>
    </cfRule>
    <cfRule type="expression" dxfId="1383" priority="118">
      <formula>SEARCH("Team Principal",$J38)</formula>
    </cfRule>
    <cfRule type="expression" dxfId="1382" priority="119">
      <formula>SEARCH("Briefing",$J38)</formula>
    </cfRule>
    <cfRule type="expression" dxfId="1381" priority="120">
      <formula>SEARCH("Sign on",$J38)</formula>
    </cfRule>
  </conditionalFormatting>
  <conditionalFormatting sqref="B46:AA46">
    <cfRule type="expression" dxfId="1380" priority="91">
      <formula>OR($J46="Breakfast", $J46="Lunch", $J46="Dinner")</formula>
    </cfRule>
    <cfRule type="expression" dxfId="1379" priority="92">
      <formula>SEARCH("Meeting",$J46)</formula>
    </cfRule>
    <cfRule type="expression" dxfId="1378" priority="93">
      <formula>SEARCH(" PM",$J46)</formula>
    </cfRule>
    <cfRule type="expression" dxfId="1377" priority="94">
      <formula>SEARCH("DB",$J46)</formula>
    </cfRule>
    <cfRule type="expression" dxfId="1376" priority="95">
      <formula>SEARCH("Driver Arrival",$J46)</formula>
    </cfRule>
    <cfRule type="expression" dxfId="1375" priority="96">
      <formula>SEARCH("Qualifying",$J46)</formula>
    </cfRule>
    <cfRule type="expression" dxfId="1374" priority="97">
      <formula>SEARCH("Race",$J46)</formula>
    </cfRule>
    <cfRule type="expression" dxfId="1373" priority="98">
      <formula>SEARCH("Practice Session",$J46)</formula>
    </cfRule>
    <cfRule type="expression" dxfId="1372" priority="99">
      <formula>SEARCH("Press",$J46)</formula>
    </cfRule>
    <cfRule type="expression" dxfId="1371" priority="100">
      <formula>SEARCH("Picture",$J46)</formula>
    </cfRule>
    <cfRule type="expression" dxfId="1370" priority="101">
      <formula>SEARCH("Media",$J46)</formula>
    </cfRule>
    <cfRule type="expression" dxfId="1369" priority="102">
      <formula>SEARCH("Interview",$J46)</formula>
    </cfRule>
    <cfRule type="expression" dxfId="1368" priority="103">
      <formula>SEARCH("Team Principal",$J46)</formula>
    </cfRule>
    <cfRule type="expression" dxfId="1367" priority="104">
      <formula>SEARCH("Briefing",$J46)</formula>
    </cfRule>
    <cfRule type="expression" dxfId="1366" priority="105">
      <formula>SEARCH("Sign on",$J46)</formula>
    </cfRule>
  </conditionalFormatting>
  <conditionalFormatting sqref="S51">
    <cfRule type="expression" dxfId="1365" priority="76">
      <formula>OR($J51="Breakfast", $J51="Lunch", $J51="Dinner")</formula>
    </cfRule>
    <cfRule type="expression" dxfId="1364" priority="77">
      <formula>SEARCH("Meeting",$J51)</formula>
    </cfRule>
    <cfRule type="expression" dxfId="1363" priority="78">
      <formula>SEARCH(" PM",$J51)</formula>
    </cfRule>
    <cfRule type="expression" dxfId="1362" priority="79">
      <formula>SEARCH("DB",$J51)</formula>
    </cfRule>
    <cfRule type="expression" dxfId="1361" priority="80">
      <formula>SEARCH("Driver Arrival",$J51)</formula>
    </cfRule>
    <cfRule type="expression" dxfId="1360" priority="81">
      <formula>SEARCH("Qualifying",$J51)</formula>
    </cfRule>
    <cfRule type="expression" dxfId="1359" priority="82">
      <formula>SEARCH("Race",$J51)</formula>
    </cfRule>
    <cfRule type="expression" dxfId="1358" priority="83">
      <formula>SEARCH("Practice Session",$J51)</formula>
    </cfRule>
    <cfRule type="expression" dxfId="1357" priority="84">
      <formula>SEARCH("Press",$J51)</formula>
    </cfRule>
    <cfRule type="expression" dxfId="1356" priority="85">
      <formula>SEARCH("Picture",$J51)</formula>
    </cfRule>
    <cfRule type="expression" dxfId="1355" priority="86">
      <formula>SEARCH("Media",$J51)</formula>
    </cfRule>
    <cfRule type="expression" dxfId="1354" priority="87">
      <formula>SEARCH("Interview",$J51)</formula>
    </cfRule>
    <cfRule type="expression" dxfId="1353" priority="88">
      <formula>SEARCH("Team Principal",$J51)</formula>
    </cfRule>
    <cfRule type="expression" dxfId="1352" priority="89">
      <formula>SEARCH("Briefing",$J51)</formula>
    </cfRule>
    <cfRule type="expression" dxfId="1351" priority="90">
      <formula>SEARCH("Sign on",$J51)</formula>
    </cfRule>
  </conditionalFormatting>
  <conditionalFormatting sqref="S43:AA45 B43:I45">
    <cfRule type="expression" dxfId="1350" priority="61">
      <formula>OR($J43="Breakfast", $J43="Lunch", $J43="Dinner")</formula>
    </cfRule>
    <cfRule type="expression" dxfId="1349" priority="62">
      <formula>SEARCH("Meeting",$J43)</formula>
    </cfRule>
    <cfRule type="expression" dxfId="1348" priority="63">
      <formula>SEARCH(" PM",$J43)</formula>
    </cfRule>
    <cfRule type="expression" dxfId="1347" priority="64">
      <formula>SEARCH("DB",$J43)</formula>
    </cfRule>
    <cfRule type="expression" dxfId="1346" priority="65">
      <formula>SEARCH("Driver Arrival",$J43)</formula>
    </cfRule>
    <cfRule type="expression" dxfId="1345" priority="66">
      <formula>SEARCH("Qualifying",$J43)</formula>
    </cfRule>
    <cfRule type="expression" dxfId="1344" priority="67">
      <formula>SEARCH("Race",$J43)</formula>
    </cfRule>
    <cfRule type="expression" dxfId="1343" priority="68">
      <formula>SEARCH("Practice Session",$J43)</formula>
    </cfRule>
    <cfRule type="expression" dxfId="1342" priority="69">
      <formula>SEARCH("Press",$J43)</formula>
    </cfRule>
    <cfRule type="expression" dxfId="1341" priority="70">
      <formula>SEARCH("Picture",$J43)</formula>
    </cfRule>
    <cfRule type="expression" dxfId="1340" priority="71">
      <formula>SEARCH("Media",$J43)</formula>
    </cfRule>
    <cfRule type="expression" dxfId="1339" priority="72">
      <formula>SEARCH("Interview",$J43)</formula>
    </cfRule>
    <cfRule type="expression" dxfId="1338" priority="73">
      <formula>SEARCH("Team Principal",$J43)</formula>
    </cfRule>
    <cfRule type="expression" dxfId="1337" priority="74">
      <formula>SEARCH("Briefing",$J43)</formula>
    </cfRule>
    <cfRule type="expression" dxfId="1336" priority="75">
      <formula>SEARCH("Sign on",$J43)</formula>
    </cfRule>
  </conditionalFormatting>
  <conditionalFormatting sqref="J43:R45">
    <cfRule type="expression" dxfId="1335" priority="46">
      <formula>OR($J43="Breakfast", $J43="Lunch", $J43="Dinner")</formula>
    </cfRule>
    <cfRule type="expression" dxfId="1334" priority="47">
      <formula>SEARCH("Meeting",$J43)</formula>
    </cfRule>
    <cfRule type="expression" dxfId="1333" priority="48">
      <formula>SEARCH(" PM",$J43)</formula>
    </cfRule>
    <cfRule type="expression" dxfId="1332" priority="49">
      <formula>SEARCH("DB",$J43)</formula>
    </cfRule>
    <cfRule type="expression" dxfId="1331" priority="50">
      <formula>SEARCH("Driver Arrival",$J43)</formula>
    </cfRule>
    <cfRule type="expression" dxfId="1330" priority="51">
      <formula>SEARCH("Qualifying",$J43)</formula>
    </cfRule>
    <cfRule type="expression" dxfId="1329" priority="52">
      <formula>SEARCH("Race",$J43)</formula>
    </cfRule>
    <cfRule type="expression" dxfId="1328" priority="53">
      <formula>SEARCH("Practice Session",$J43)</formula>
    </cfRule>
    <cfRule type="expression" dxfId="1327" priority="54">
      <formula>SEARCH("Press",$J43)</formula>
    </cfRule>
    <cfRule type="expression" dxfId="1326" priority="55">
      <formula>SEARCH("Picture",$J43)</formula>
    </cfRule>
    <cfRule type="expression" dxfId="1325" priority="56">
      <formula>SEARCH("Media",$J43)</formula>
    </cfRule>
    <cfRule type="expression" dxfId="1324" priority="57">
      <formula>SEARCH("Interview",$J43)</formula>
    </cfRule>
    <cfRule type="expression" dxfId="1323" priority="58">
      <formula>SEARCH("Team Principal",$J43)</formula>
    </cfRule>
    <cfRule type="expression" dxfId="1322" priority="59">
      <formula>SEARCH("Briefing",$J43)</formula>
    </cfRule>
    <cfRule type="expression" dxfId="1321" priority="60">
      <formula>SEARCH("Sign on",$J43)</formula>
    </cfRule>
  </conditionalFormatting>
  <conditionalFormatting sqref="T51:AA51">
    <cfRule type="expression" dxfId="1320" priority="31">
      <formula>OR($J51="Breakfast", $J51="Lunch", $J51="Dinner")</formula>
    </cfRule>
    <cfRule type="expression" dxfId="1319" priority="32">
      <formula>SEARCH("Meeting",$J51)</formula>
    </cfRule>
    <cfRule type="expression" dxfId="1318" priority="33">
      <formula>SEARCH(" PM",$J51)</formula>
    </cfRule>
    <cfRule type="expression" dxfId="1317" priority="34">
      <formula>SEARCH("DB",$J51)</formula>
    </cfRule>
    <cfRule type="expression" dxfId="1316" priority="35">
      <formula>SEARCH("Driver Arrival",$J51)</formula>
    </cfRule>
    <cfRule type="expression" dxfId="1315" priority="36">
      <formula>SEARCH("Qualifying",$J51)</formula>
    </cfRule>
    <cfRule type="expression" dxfId="1314" priority="37">
      <formula>SEARCH("Race",$J51)</formula>
    </cfRule>
    <cfRule type="expression" dxfId="1313" priority="38">
      <formula>SEARCH("Practice Session",$J51)</formula>
    </cfRule>
    <cfRule type="expression" dxfId="1312" priority="39">
      <formula>SEARCH("Press",$J51)</formula>
    </cfRule>
    <cfRule type="expression" dxfId="1311" priority="40">
      <formula>SEARCH("Picture",$J51)</formula>
    </cfRule>
    <cfRule type="expression" dxfId="1310" priority="41">
      <formula>SEARCH("Media",$J51)</formula>
    </cfRule>
    <cfRule type="expression" dxfId="1309" priority="42">
      <formula>SEARCH("Interview",$J51)</formula>
    </cfRule>
    <cfRule type="expression" dxfId="1308" priority="43">
      <formula>SEARCH("Team Principal",$J51)</formula>
    </cfRule>
    <cfRule type="expression" dxfId="1307" priority="44">
      <formula>SEARCH("Briefing",$J51)</formula>
    </cfRule>
    <cfRule type="expression" dxfId="1306" priority="45">
      <formula>SEARCH("Sign on",$J51)</formula>
    </cfRule>
  </conditionalFormatting>
  <conditionalFormatting sqref="B112:AA112">
    <cfRule type="expression" dxfId="1305" priority="16">
      <formula>OR($J112="Breakfast", $J112="Lunch", $J112="Dinner")</formula>
    </cfRule>
    <cfRule type="expression" dxfId="1304" priority="17">
      <formula>SEARCH("Meeting",$J112)</formula>
    </cfRule>
    <cfRule type="expression" dxfId="1303" priority="18">
      <formula>SEARCH(" PM",$J112)</formula>
    </cfRule>
    <cfRule type="expression" dxfId="1302" priority="19">
      <formula>SEARCH("DB",$J112)</formula>
    </cfRule>
    <cfRule type="expression" dxfId="1301" priority="20">
      <formula>SEARCH("Driver Arrival",$J112)</formula>
    </cfRule>
    <cfRule type="expression" dxfId="1300" priority="21">
      <formula>SEARCH("Qualifying",$J112)</formula>
    </cfRule>
    <cfRule type="expression" dxfId="1299" priority="22">
      <formula>SEARCH("Race",$J112)</formula>
    </cfRule>
    <cfRule type="expression" dxfId="1298" priority="23">
      <formula>SEARCH("Practice Session",$J112)</formula>
    </cfRule>
    <cfRule type="expression" dxfId="1297" priority="24">
      <formula>SEARCH("Press",$J112)</formula>
    </cfRule>
    <cfRule type="expression" dxfId="1296" priority="25">
      <formula>SEARCH("Picture",$J112)</formula>
    </cfRule>
    <cfRule type="expression" dxfId="1295" priority="26">
      <formula>SEARCH("Media",$J112)</formula>
    </cfRule>
    <cfRule type="expression" dxfId="1294" priority="27">
      <formula>SEARCH("Interview",$J112)</formula>
    </cfRule>
    <cfRule type="expression" dxfId="1293" priority="28">
      <formula>SEARCH("Team Principal",$J112)</formula>
    </cfRule>
    <cfRule type="expression" dxfId="1292" priority="29">
      <formula>SEARCH("Briefing",$J112)</formula>
    </cfRule>
    <cfRule type="expression" dxfId="1291" priority="30">
      <formula>SEARCH("Sign on",$J112)</formula>
    </cfRule>
  </conditionalFormatting>
  <conditionalFormatting sqref="B94:AA94">
    <cfRule type="expression" dxfId="1290" priority="1">
      <formula>OR($J94="Breakfast", $J94="Lunch", $J94="Dinner")</formula>
    </cfRule>
    <cfRule type="expression" dxfId="1289" priority="2">
      <formula>SEARCH("Meeting",$J94)</formula>
    </cfRule>
    <cfRule type="expression" dxfId="1288" priority="3">
      <formula>SEARCH(" PM",$J94)</formula>
    </cfRule>
    <cfRule type="expression" dxfId="1287" priority="4">
      <formula>SEARCH("DB",$J94)</formula>
    </cfRule>
    <cfRule type="expression" dxfId="1286" priority="5">
      <formula>SEARCH("Driver Arrival",$J94)</formula>
    </cfRule>
    <cfRule type="expression" dxfId="1285" priority="6">
      <formula>SEARCH("Qualifying",$J94)</formula>
    </cfRule>
    <cfRule type="expression" dxfId="1284" priority="7">
      <formula>SEARCH("Race",$J94)</formula>
    </cfRule>
    <cfRule type="expression" dxfId="1283" priority="8">
      <formula>SEARCH("Practice Session",$J94)</formula>
    </cfRule>
    <cfRule type="expression" dxfId="1282" priority="9">
      <formula>SEARCH("Press",$J94)</formula>
    </cfRule>
    <cfRule type="expression" dxfId="1281" priority="10">
      <formula>SEARCH("Picture",$J94)</formula>
    </cfRule>
    <cfRule type="expression" dxfId="1280" priority="11">
      <formula>SEARCH("Media",$J94)</formula>
    </cfRule>
    <cfRule type="expression" dxfId="1279" priority="12">
      <formula>SEARCH("Interview",$J94)</formula>
    </cfRule>
    <cfRule type="expression" dxfId="1278" priority="13">
      <formula>SEARCH("Team Principal",$J94)</formula>
    </cfRule>
    <cfRule type="expression" dxfId="1277" priority="14">
      <formula>SEARCH("Briefing",$J94)</formula>
    </cfRule>
    <cfRule type="expression" dxfId="1276" priority="15">
      <formula>SEARCH("Sign on",$J94)</formula>
    </cfRule>
  </conditionalFormatting>
  <dataValidations count="3">
    <dataValidation type="list" allowBlank="1" showInputMessage="1" showErrorMessage="1" sqref="AG10:AG14 AG17:AG26 AG120:AG142 AG56:AG89 AG29:AG53 AG92:AG117" xr:uid="{752141D0-517D-436F-BDF0-8C6F4F11F16E}">
      <formula1>"x"</formula1>
    </dataValidation>
    <dataValidation type="list" allowBlank="1" showDropDown="1" showInputMessage="1" showErrorMessage="1" sqref="AC57:AD58 AC120:AD121 AC123:AD123 AC48:AC49 AC41 AC93:AD93 AC95:AD95" xr:uid="{8A8DB541-A4D2-41EB-BDE1-766DBA9DAE82}">
      <formula1>$AI$1</formula1>
    </dataValidation>
    <dataValidation type="list" allowBlank="1" showDropDown="1" showInputMessage="1" showErrorMessage="1" sqref="AC50:AC53 AC122:AD122 AC15:AC25 AC10:AD14 AC8:AC9 AD17 AC26:AD26 AC31:AD32 AD27:AD29 AD53 AC33:AC38 AC27:AC30 AC54:AD56 AC40 AC39:AD39 AC42 AC43:AD47 AC96:AD119 AC94:AD94 AC59:AD92 AC124:AD159" xr:uid="{AF87B7A2-036C-4C0B-B43B-750E531E152A}">
      <formula1>$AI$1:$AI$2</formula1>
    </dataValidation>
  </dataValidations>
  <pageMargins left="0.23622047244094491" right="0.23622047244094491" top="0.39370078740157483" bottom="0.39370078740157483" header="0.31496062992125984" footer="0.31496062992125984"/>
  <pageSetup paperSize="9" scale="71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4FE5B-B253-4FBD-A379-5A709BF8BA28}">
  <sheetPr codeName="Sheet17">
    <tabColor theme="0"/>
    <pageSetUpPr fitToPage="1"/>
  </sheetPr>
  <dimension ref="A1:DI347"/>
  <sheetViews>
    <sheetView showGridLines="0" zoomScale="80" zoomScaleNormal="80" workbookViewId="0">
      <pane ySplit="7" topLeftCell="A8" activePane="bottomLeft" state="frozen"/>
      <selection pane="bottomLeft" activeCell="AM100" sqref="AM100"/>
    </sheetView>
  </sheetViews>
  <sheetFormatPr defaultColWidth="4.7109375" defaultRowHeight="16.899999999999999"/>
  <cols>
    <col min="1" max="1" width="0.7109375" style="140" customWidth="1"/>
    <col min="2" max="3" width="3.7109375" style="140" customWidth="1"/>
    <col min="4" max="4" width="1.42578125" style="140" customWidth="1"/>
    <col min="5" max="6" width="3.7109375" style="140" customWidth="1"/>
    <col min="7" max="7" width="1.42578125" style="140" customWidth="1"/>
    <col min="8" max="8" width="3.7109375" style="140" customWidth="1"/>
    <col min="9" max="9" width="4.7109375" style="140" customWidth="1"/>
    <col min="10" max="13" width="3.7109375" style="140" customWidth="1"/>
    <col min="14" max="14" width="5.140625" style="140" customWidth="1"/>
    <col min="15" max="15" width="6.28515625" style="140" customWidth="1"/>
    <col min="16" max="16" width="9.28515625" style="140" customWidth="1"/>
    <col min="17" max="17" width="6.42578125" style="140" customWidth="1"/>
    <col min="18" max="18" width="7.42578125" style="140" customWidth="1"/>
    <col min="19" max="19" width="25.28515625" style="140" customWidth="1"/>
    <col min="20" max="26" width="3.7109375" style="140" customWidth="1"/>
    <col min="27" max="27" width="10.7109375" style="140" customWidth="1"/>
    <col min="28" max="28" width="0.7109375" style="139" customWidth="1"/>
    <col min="29" max="31" width="10.7109375" style="140" customWidth="1"/>
    <col min="32" max="32" width="10.7109375" style="155" customWidth="1"/>
    <col min="33" max="33" width="21.140625" style="141" customWidth="1"/>
    <col min="34" max="34" width="4.7109375" style="143" customWidth="1"/>
    <col min="35" max="36" width="4.7109375" style="140" customWidth="1"/>
    <col min="37" max="37" width="4.7109375" style="140"/>
    <col min="38" max="40" width="4.7109375" style="140" customWidth="1"/>
    <col min="41" max="16384" width="4.7109375" style="140"/>
  </cols>
  <sheetData>
    <row r="1" spans="1:59" ht="6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H1" s="142" t="s">
        <v>202</v>
      </c>
    </row>
    <row r="2" spans="1:59" ht="56.25" customHeight="1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H2" s="324" t="s">
        <v>203</v>
      </c>
      <c r="AI2" s="324"/>
      <c r="AJ2" s="324"/>
      <c r="AK2" s="324"/>
      <c r="AL2" s="324"/>
      <c r="AM2" s="324"/>
      <c r="AN2" s="324"/>
      <c r="AO2" s="324"/>
      <c r="AP2" s="324"/>
      <c r="AQ2" s="324"/>
      <c r="AR2" s="324"/>
    </row>
    <row r="3" spans="1:59" ht="24.75" customHeight="1">
      <c r="A3" s="139"/>
      <c r="B3" s="325" t="s">
        <v>377</v>
      </c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R3" s="326" t="s">
        <v>378</v>
      </c>
      <c r="S3" s="326"/>
      <c r="T3" s="326"/>
      <c r="U3" s="326"/>
      <c r="V3" s="326"/>
      <c r="W3" s="326"/>
      <c r="X3" s="326"/>
      <c r="Y3" s="326"/>
      <c r="Z3" s="326"/>
      <c r="AA3" s="326"/>
      <c r="AH3" s="327" t="s">
        <v>206</v>
      </c>
      <c r="AI3" s="328"/>
      <c r="AJ3" s="328"/>
      <c r="AK3" s="328"/>
      <c r="AL3" s="328"/>
      <c r="AM3" s="328"/>
      <c r="AN3" s="328"/>
      <c r="AO3" s="328"/>
      <c r="AP3" s="328"/>
      <c r="AQ3" s="328"/>
      <c r="AR3" s="328"/>
    </row>
    <row r="4" spans="1:59" ht="24.75" customHeight="1">
      <c r="A4" s="139"/>
      <c r="B4" s="329" t="s">
        <v>379</v>
      </c>
      <c r="C4" s="329"/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R4" s="330" t="s">
        <v>380</v>
      </c>
      <c r="S4" s="330"/>
      <c r="T4" s="330"/>
      <c r="U4" s="330"/>
      <c r="V4" s="330"/>
      <c r="W4" s="330"/>
      <c r="X4" s="330"/>
      <c r="Y4" s="330"/>
      <c r="Z4" s="330"/>
      <c r="AA4" s="330"/>
      <c r="AH4" s="328"/>
      <c r="AI4" s="328"/>
      <c r="AJ4" s="328"/>
      <c r="AK4" s="328"/>
      <c r="AL4" s="328"/>
      <c r="AM4" s="328"/>
      <c r="AN4" s="328"/>
      <c r="AO4" s="328"/>
      <c r="AP4" s="328"/>
      <c r="AQ4" s="328"/>
      <c r="AR4" s="328"/>
    </row>
    <row r="5" spans="1:59" ht="24.75" customHeight="1">
      <c r="A5" s="139"/>
      <c r="B5" s="331" t="s">
        <v>381</v>
      </c>
      <c r="C5" s="331"/>
      <c r="D5" s="331"/>
      <c r="E5" s="331"/>
      <c r="F5" s="331"/>
      <c r="G5" s="331"/>
      <c r="H5" s="331"/>
      <c r="I5" s="331"/>
      <c r="J5" s="331"/>
      <c r="K5" s="331"/>
      <c r="L5" s="331"/>
      <c r="M5" s="331"/>
      <c r="N5" s="331"/>
      <c r="O5" s="331"/>
      <c r="P5" s="331"/>
      <c r="Q5" s="139"/>
      <c r="R5" s="332" t="s">
        <v>210</v>
      </c>
      <c r="S5" s="332"/>
      <c r="T5" s="332"/>
      <c r="U5" s="332"/>
      <c r="V5" s="332"/>
      <c r="W5" s="332"/>
      <c r="X5" s="332"/>
      <c r="Y5" s="332"/>
      <c r="Z5" s="332"/>
      <c r="AA5" s="332"/>
      <c r="AH5" s="328"/>
      <c r="AI5" s="328"/>
      <c r="AJ5" s="328"/>
      <c r="AK5" s="328"/>
      <c r="AL5" s="328"/>
      <c r="AM5" s="328"/>
      <c r="AN5" s="328"/>
      <c r="AO5" s="328"/>
      <c r="AP5" s="328"/>
      <c r="AQ5" s="328"/>
      <c r="AR5" s="328"/>
    </row>
    <row r="6" spans="1:59" ht="24.75" customHeight="1">
      <c r="A6" s="139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H6" s="328"/>
      <c r="AI6" s="328"/>
      <c r="AJ6" s="328"/>
      <c r="AK6" s="328"/>
      <c r="AL6" s="328"/>
      <c r="AM6" s="328"/>
      <c r="AN6" s="328"/>
      <c r="AO6" s="328"/>
      <c r="AP6" s="328"/>
      <c r="AQ6" s="328"/>
      <c r="AR6" s="328"/>
    </row>
    <row r="7" spans="1:59" s="149" customFormat="1">
      <c r="A7" s="145"/>
      <c r="B7" s="321" t="s">
        <v>3</v>
      </c>
      <c r="C7" s="321"/>
      <c r="D7" s="321"/>
      <c r="E7" s="322" t="str">
        <f>'Event Info'!B1</f>
        <v>Race</v>
      </c>
      <c r="F7" s="322"/>
      <c r="G7" s="322"/>
      <c r="H7" s="322"/>
      <c r="I7" s="146"/>
      <c r="J7" s="321" t="s">
        <v>5</v>
      </c>
      <c r="K7" s="321"/>
      <c r="L7" s="321"/>
      <c r="M7" s="321"/>
      <c r="N7" s="322" t="str">
        <f>'Event Info'!B2</f>
        <v>Melbourne</v>
      </c>
      <c r="O7" s="322"/>
      <c r="P7" s="322"/>
      <c r="Q7" s="322"/>
      <c r="R7" s="146"/>
      <c r="S7" s="321" t="s">
        <v>10</v>
      </c>
      <c r="T7" s="321"/>
      <c r="U7" s="321"/>
      <c r="V7" s="321"/>
      <c r="W7" s="323" t="str">
        <f>'Date Calculators'!G2</f>
        <v>6-8/3/2026</v>
      </c>
      <c r="X7" s="322"/>
      <c r="Y7" s="322"/>
      <c r="Z7" s="322"/>
      <c r="AA7" s="322"/>
      <c r="AB7" s="147"/>
      <c r="AF7" s="155"/>
      <c r="AH7" s="150"/>
      <c r="AN7" s="144"/>
    </row>
    <row r="8" spans="1:59" ht="5.25" customHeight="1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39"/>
      <c r="AA8" s="139"/>
      <c r="AC8" s="152"/>
      <c r="AD8" s="152"/>
      <c r="AE8" s="152"/>
      <c r="AM8" s="152"/>
      <c r="AN8" s="144"/>
      <c r="AO8" s="152"/>
      <c r="AP8" s="152"/>
      <c r="AQ8" s="152"/>
      <c r="AR8" s="152"/>
      <c r="AS8" s="152"/>
      <c r="AT8" s="152"/>
      <c r="AU8" s="152"/>
      <c r="AV8" s="152"/>
      <c r="AW8" s="152"/>
      <c r="AX8" s="152"/>
      <c r="AY8" s="152"/>
      <c r="AZ8" s="152"/>
    </row>
    <row r="9" spans="1:59" s="154" customFormat="1" ht="15" customHeight="1">
      <c r="A9" s="153"/>
      <c r="B9" s="1089" t="s">
        <v>212</v>
      </c>
      <c r="C9" s="1089"/>
      <c r="D9" s="1089"/>
      <c r="E9" s="1090"/>
      <c r="F9" s="1090"/>
      <c r="G9" s="1090"/>
      <c r="H9" s="1090" t="str">
        <f>IF(E9="","",IF(E9-B9&lt;0,"24:00"-(B9-E9),E9-B9))</f>
        <v/>
      </c>
      <c r="I9" s="1090"/>
      <c r="J9" s="1090" t="s">
        <v>382</v>
      </c>
      <c r="K9" s="1090"/>
      <c r="L9" s="1090"/>
      <c r="M9" s="1090"/>
      <c r="N9" s="1090"/>
      <c r="O9" s="1090"/>
      <c r="P9" s="1090"/>
      <c r="Q9" s="1090"/>
      <c r="R9" s="1090"/>
      <c r="S9" s="1090"/>
      <c r="T9" s="1091"/>
      <c r="U9" s="1091"/>
      <c r="V9" s="1091"/>
      <c r="W9" s="1091"/>
      <c r="X9" s="1091"/>
      <c r="Y9" s="1091"/>
      <c r="Z9" s="1091"/>
      <c r="AA9" s="1091"/>
      <c r="AB9" s="153"/>
      <c r="AF9" s="155"/>
      <c r="AG9" s="188"/>
      <c r="AH9" s="150"/>
      <c r="AI9" s="149"/>
      <c r="AJ9" s="149"/>
      <c r="AK9" s="149"/>
      <c r="AL9" s="149"/>
      <c r="AN9" s="144"/>
      <c r="AY9" s="140"/>
      <c r="AZ9" s="140"/>
      <c r="BA9" s="140"/>
    </row>
    <row r="10" spans="1:59" s="154" customFormat="1" ht="15" customHeight="1">
      <c r="A10" s="153"/>
      <c r="B10" s="1145" t="s">
        <v>193</v>
      </c>
      <c r="C10" s="1138"/>
      <c r="D10" s="1138"/>
      <c r="E10" s="1138" t="s">
        <v>194</v>
      </c>
      <c r="F10" s="1138"/>
      <c r="G10" s="1138"/>
      <c r="H10" s="1138" t="s">
        <v>214</v>
      </c>
      <c r="I10" s="1139"/>
      <c r="J10" s="1140" t="s">
        <v>215</v>
      </c>
      <c r="K10" s="1141"/>
      <c r="L10" s="1141"/>
      <c r="M10" s="1141"/>
      <c r="N10" s="1141"/>
      <c r="O10" s="1141"/>
      <c r="P10" s="1141"/>
      <c r="Q10" s="1141"/>
      <c r="R10" s="1141"/>
      <c r="S10" s="175" t="s">
        <v>216</v>
      </c>
      <c r="T10" s="1092" t="s">
        <v>217</v>
      </c>
      <c r="U10" s="1093"/>
      <c r="V10" s="1093"/>
      <c r="W10" s="1093"/>
      <c r="X10" s="1093"/>
      <c r="Y10" s="1093"/>
      <c r="Z10" s="1093"/>
      <c r="AA10" s="1094"/>
      <c r="AB10" s="153"/>
      <c r="AF10" s="155"/>
      <c r="AG10" s="189"/>
      <c r="AH10" s="156"/>
      <c r="AN10" s="144"/>
      <c r="AY10" s="140"/>
      <c r="AZ10" s="140"/>
      <c r="BA10" s="140"/>
      <c r="BB10" s="140"/>
      <c r="BC10" s="140"/>
      <c r="BD10" s="140"/>
      <c r="BE10" s="140"/>
      <c r="BF10" s="140"/>
      <c r="BG10" s="140"/>
    </row>
    <row r="11" spans="1:59" ht="15" customHeight="1">
      <c r="A11" s="181"/>
      <c r="B11" s="1099">
        <v>0.33333333333333331</v>
      </c>
      <c r="C11" s="1100"/>
      <c r="D11" s="1100"/>
      <c r="E11" s="1079"/>
      <c r="F11" s="1079"/>
      <c r="G11" s="1101"/>
      <c r="H11" s="1082"/>
      <c r="I11" s="1082"/>
      <c r="J11" s="1083" t="s">
        <v>383</v>
      </c>
      <c r="K11" s="1084"/>
      <c r="L11" s="1084"/>
      <c r="M11" s="1084"/>
      <c r="N11" s="1084"/>
      <c r="O11" s="1084"/>
      <c r="P11" s="1084"/>
      <c r="Q11" s="1084"/>
      <c r="R11" s="1084"/>
      <c r="S11" s="176" t="s">
        <v>384</v>
      </c>
      <c r="T11" s="1085"/>
      <c r="U11" s="1085"/>
      <c r="V11" s="1085"/>
      <c r="W11" s="1085"/>
      <c r="X11" s="1085"/>
      <c r="Y11" s="1085"/>
      <c r="Z11" s="1085"/>
      <c r="AA11" s="1086"/>
      <c r="AB11" s="153"/>
      <c r="AG11" s="184"/>
      <c r="AN11" s="144"/>
    </row>
    <row r="12" spans="1:59" ht="15" customHeight="1">
      <c r="A12" s="181"/>
      <c r="B12" s="1065">
        <v>0.375</v>
      </c>
      <c r="C12" s="1066"/>
      <c r="D12" s="1066"/>
      <c r="E12" s="1066"/>
      <c r="F12" s="1066"/>
      <c r="G12" s="1067"/>
      <c r="H12" s="1068" t="str">
        <f t="shared" ref="H12" si="0">IF(E12="","",IF(E12-B12&lt;0,"24:00"-(B12-E12),E12-B12))</f>
        <v/>
      </c>
      <c r="I12" s="1068"/>
      <c r="J12" s="1069" t="s">
        <v>385</v>
      </c>
      <c r="K12" s="1070"/>
      <c r="L12" s="1070"/>
      <c r="M12" s="1070"/>
      <c r="N12" s="1070"/>
      <c r="O12" s="1070"/>
      <c r="P12" s="1070"/>
      <c r="Q12" s="1070"/>
      <c r="R12" s="1070"/>
      <c r="S12" s="174" t="s">
        <v>297</v>
      </c>
      <c r="T12" s="1095"/>
      <c r="U12" s="1095"/>
      <c r="V12" s="1095"/>
      <c r="W12" s="1095"/>
      <c r="X12" s="1095"/>
      <c r="Y12" s="1095"/>
      <c r="Z12" s="1095"/>
      <c r="AA12" s="1096"/>
      <c r="AB12" s="153"/>
      <c r="AG12" s="184"/>
      <c r="AN12" s="144"/>
    </row>
    <row r="13" spans="1:59" ht="15" customHeight="1">
      <c r="A13" s="181"/>
      <c r="B13" s="1065">
        <v>0.38541666666666669</v>
      </c>
      <c r="C13" s="1066"/>
      <c r="D13" s="1066"/>
      <c r="E13" s="1066"/>
      <c r="F13" s="1066"/>
      <c r="G13" s="1067"/>
      <c r="H13" s="1068" t="str">
        <f t="shared" ref="H13:H16" si="1">IF(E13="","",IF(E13-B13&lt;0,"24:00"-(B13-E13),E13-B13))</f>
        <v/>
      </c>
      <c r="I13" s="1068"/>
      <c r="J13" s="1069" t="s">
        <v>219</v>
      </c>
      <c r="K13" s="1070"/>
      <c r="L13" s="1070"/>
      <c r="M13" s="1070"/>
      <c r="N13" s="1070"/>
      <c r="O13" s="1070"/>
      <c r="P13" s="1070"/>
      <c r="Q13" s="1070"/>
      <c r="R13" s="1070"/>
      <c r="S13" s="174"/>
      <c r="T13" s="1095"/>
      <c r="U13" s="1095"/>
      <c r="V13" s="1095"/>
      <c r="W13" s="1095"/>
      <c r="X13" s="1095"/>
      <c r="Y13" s="1095"/>
      <c r="Z13" s="1095"/>
      <c r="AA13" s="1096"/>
      <c r="AB13" s="153"/>
      <c r="AG13" s="184"/>
      <c r="AN13" s="144"/>
    </row>
    <row r="14" spans="1:59" ht="15" customHeight="1">
      <c r="A14" s="181"/>
      <c r="B14" s="1102">
        <v>0.40625</v>
      </c>
      <c r="C14" s="1103"/>
      <c r="D14" s="1104"/>
      <c r="E14" s="1066"/>
      <c r="F14" s="1066"/>
      <c r="G14" s="1067"/>
      <c r="H14" s="1068" t="str">
        <f t="shared" ref="H14" si="2">IF(E14="","",IF(E14-B14&lt;0,"24:00"-(B14-E14),E14-B14))</f>
        <v/>
      </c>
      <c r="I14" s="1068"/>
      <c r="J14" s="1069" t="s">
        <v>386</v>
      </c>
      <c r="K14" s="1070"/>
      <c r="L14" s="1070"/>
      <c r="M14" s="1070"/>
      <c r="N14" s="1070"/>
      <c r="O14" s="1070"/>
      <c r="P14" s="1070"/>
      <c r="Q14" s="1070"/>
      <c r="R14" s="1070"/>
      <c r="S14" s="174"/>
      <c r="T14" s="1095"/>
      <c r="U14" s="1095"/>
      <c r="V14" s="1095"/>
      <c r="W14" s="1095"/>
      <c r="X14" s="1095"/>
      <c r="Y14" s="1095"/>
      <c r="Z14" s="1095"/>
      <c r="AA14" s="1096"/>
      <c r="AB14" s="153"/>
      <c r="AG14" s="184"/>
      <c r="AN14" s="144"/>
    </row>
    <row r="15" spans="1:59" ht="15" customHeight="1">
      <c r="A15" s="181"/>
      <c r="B15" s="1105"/>
      <c r="C15" s="1106"/>
      <c r="D15" s="1107"/>
      <c r="E15" s="1066"/>
      <c r="F15" s="1066"/>
      <c r="G15" s="1067"/>
      <c r="H15" s="1068" t="str">
        <f t="shared" si="1"/>
        <v/>
      </c>
      <c r="I15" s="1068"/>
      <c r="J15" s="1069" t="s">
        <v>387</v>
      </c>
      <c r="K15" s="1070"/>
      <c r="L15" s="1070"/>
      <c r="M15" s="1070"/>
      <c r="N15" s="1070"/>
      <c r="O15" s="1070"/>
      <c r="P15" s="1070"/>
      <c r="Q15" s="1070"/>
      <c r="R15" s="1070"/>
      <c r="S15" s="174"/>
      <c r="T15" s="1095"/>
      <c r="U15" s="1095"/>
      <c r="V15" s="1095"/>
      <c r="W15" s="1095"/>
      <c r="X15" s="1095"/>
      <c r="Y15" s="1095"/>
      <c r="Z15" s="1095"/>
      <c r="AA15" s="1096"/>
      <c r="AB15" s="153"/>
      <c r="AG15" s="184"/>
      <c r="AN15" s="144"/>
    </row>
    <row r="16" spans="1:59" ht="15" customHeight="1">
      <c r="A16" s="181"/>
      <c r="B16" s="1099">
        <v>0.5</v>
      </c>
      <c r="C16" s="1100"/>
      <c r="D16" s="1100"/>
      <c r="E16" s="1079">
        <v>0.625</v>
      </c>
      <c r="F16" s="1079"/>
      <c r="G16" s="1101"/>
      <c r="H16" s="1082">
        <f t="shared" si="1"/>
        <v>0.125</v>
      </c>
      <c r="I16" s="1082"/>
      <c r="J16" s="1083" t="s">
        <v>221</v>
      </c>
      <c r="K16" s="1084"/>
      <c r="L16" s="1084"/>
      <c r="M16" s="1084"/>
      <c r="N16" s="1084"/>
      <c r="O16" s="1084"/>
      <c r="P16" s="1084"/>
      <c r="Q16" s="1084"/>
      <c r="R16" s="1084"/>
      <c r="S16" s="176"/>
      <c r="T16" s="1085" t="s">
        <v>388</v>
      </c>
      <c r="U16" s="1085"/>
      <c r="V16" s="1085"/>
      <c r="W16" s="1085"/>
      <c r="X16" s="1085"/>
      <c r="Y16" s="1085"/>
      <c r="Z16" s="1085"/>
      <c r="AA16" s="1086"/>
      <c r="AB16" s="153"/>
      <c r="AG16" s="184"/>
      <c r="AN16" s="144"/>
    </row>
    <row r="17" spans="1:59" ht="15" customHeight="1">
      <c r="A17" s="181"/>
      <c r="B17" s="1078" t="s">
        <v>53</v>
      </c>
      <c r="C17" s="1079"/>
      <c r="D17" s="1079"/>
      <c r="E17" s="1080"/>
      <c r="F17" s="1080"/>
      <c r="G17" s="1081"/>
      <c r="H17" s="1082" t="str">
        <f t="shared" ref="H17" si="3">IF(E17="","",IF(E17-B17&lt;0,"24:00"-(B17-E17),E17-B17))</f>
        <v/>
      </c>
      <c r="I17" s="1082"/>
      <c r="J17" s="1083" t="s">
        <v>224</v>
      </c>
      <c r="K17" s="1084"/>
      <c r="L17" s="1084"/>
      <c r="M17" s="1084"/>
      <c r="N17" s="1084"/>
      <c r="O17" s="1084"/>
      <c r="P17" s="1084"/>
      <c r="Q17" s="1084"/>
      <c r="R17" s="1084"/>
      <c r="S17" s="176"/>
      <c r="T17" s="1085"/>
      <c r="U17" s="1085"/>
      <c r="V17" s="1085"/>
      <c r="W17" s="1085"/>
      <c r="X17" s="1085"/>
      <c r="Y17" s="1085"/>
      <c r="Z17" s="1085"/>
      <c r="AA17" s="1086"/>
      <c r="AB17" s="153"/>
      <c r="AG17" s="186"/>
      <c r="AN17" s="144"/>
    </row>
    <row r="18" spans="1:59" s="154" customFormat="1" ht="15" customHeight="1">
      <c r="A18" s="153"/>
      <c r="B18" s="1089" t="s">
        <v>212</v>
      </c>
      <c r="C18" s="1089"/>
      <c r="D18" s="1089"/>
      <c r="E18" s="1090"/>
      <c r="F18" s="1090"/>
      <c r="G18" s="1090"/>
      <c r="H18" s="1090" t="str">
        <f>IF(E18="","",IF(E18-B18&lt;0,"24:00"-(B18-E18),E18-B18))</f>
        <v/>
      </c>
      <c r="I18" s="1090"/>
      <c r="J18" s="1090" t="s">
        <v>389</v>
      </c>
      <c r="K18" s="1090"/>
      <c r="L18" s="1090"/>
      <c r="M18" s="1090"/>
      <c r="N18" s="1090"/>
      <c r="O18" s="1090"/>
      <c r="P18" s="1090"/>
      <c r="Q18" s="1090"/>
      <c r="R18" s="1090"/>
      <c r="S18" s="1090"/>
      <c r="T18" s="1091"/>
      <c r="U18" s="1091"/>
      <c r="V18" s="1091"/>
      <c r="W18" s="1091"/>
      <c r="X18" s="1091"/>
      <c r="Y18" s="1091"/>
      <c r="Z18" s="1091"/>
      <c r="AA18" s="1091"/>
      <c r="AB18" s="153"/>
      <c r="AF18" s="155"/>
      <c r="AG18" s="188"/>
      <c r="AH18" s="150"/>
      <c r="AI18" s="149"/>
      <c r="AJ18" s="149"/>
      <c r="AK18" s="149"/>
      <c r="AL18" s="149"/>
      <c r="AN18" s="144"/>
      <c r="AY18" s="140"/>
      <c r="AZ18" s="140"/>
      <c r="BA18" s="140"/>
    </row>
    <row r="19" spans="1:59" s="154" customFormat="1" ht="15" customHeight="1">
      <c r="A19" s="153"/>
      <c r="B19" s="1145" t="s">
        <v>193</v>
      </c>
      <c r="C19" s="1138"/>
      <c r="D19" s="1138"/>
      <c r="E19" s="1138" t="s">
        <v>194</v>
      </c>
      <c r="F19" s="1138"/>
      <c r="G19" s="1138"/>
      <c r="H19" s="1138" t="s">
        <v>214</v>
      </c>
      <c r="I19" s="1139"/>
      <c r="J19" s="1140" t="s">
        <v>215</v>
      </c>
      <c r="K19" s="1141"/>
      <c r="L19" s="1141"/>
      <c r="M19" s="1141"/>
      <c r="N19" s="1141"/>
      <c r="O19" s="1141"/>
      <c r="P19" s="1141"/>
      <c r="Q19" s="1141"/>
      <c r="R19" s="1141"/>
      <c r="S19" s="175" t="s">
        <v>216</v>
      </c>
      <c r="T19" s="1092" t="s">
        <v>217</v>
      </c>
      <c r="U19" s="1093"/>
      <c r="V19" s="1093"/>
      <c r="W19" s="1093"/>
      <c r="X19" s="1093"/>
      <c r="Y19" s="1093"/>
      <c r="Z19" s="1093"/>
      <c r="AA19" s="1094"/>
      <c r="AB19" s="153"/>
      <c r="AF19" s="155"/>
      <c r="AG19" s="189"/>
      <c r="AH19" s="156"/>
      <c r="AN19" s="144"/>
      <c r="AY19" s="140"/>
      <c r="AZ19" s="140"/>
      <c r="BA19" s="140"/>
      <c r="BB19" s="140"/>
      <c r="BC19" s="140"/>
      <c r="BD19" s="140"/>
      <c r="BE19" s="140"/>
      <c r="BF19" s="140"/>
      <c r="BG19" s="140"/>
    </row>
    <row r="20" spans="1:59" ht="15" customHeight="1">
      <c r="A20" s="181"/>
      <c r="B20" s="1099">
        <v>0.3125</v>
      </c>
      <c r="C20" s="1100"/>
      <c r="D20" s="1100"/>
      <c r="E20" s="1079"/>
      <c r="F20" s="1079"/>
      <c r="G20" s="1101"/>
      <c r="H20" s="1082"/>
      <c r="I20" s="1082"/>
      <c r="J20" s="1083" t="s">
        <v>383</v>
      </c>
      <c r="K20" s="1084"/>
      <c r="L20" s="1084"/>
      <c r="M20" s="1084"/>
      <c r="N20" s="1084"/>
      <c r="O20" s="1084"/>
      <c r="P20" s="1084"/>
      <c r="Q20" s="1084"/>
      <c r="R20" s="1084"/>
      <c r="S20" s="176" t="s">
        <v>384</v>
      </c>
      <c r="T20" s="1085"/>
      <c r="U20" s="1085"/>
      <c r="V20" s="1085"/>
      <c r="W20" s="1085"/>
      <c r="X20" s="1085"/>
      <c r="Y20" s="1085"/>
      <c r="Z20" s="1085"/>
      <c r="AA20" s="1086"/>
      <c r="AB20" s="153"/>
      <c r="AG20" s="184"/>
      <c r="AN20" s="144"/>
    </row>
    <row r="21" spans="1:59" ht="15" customHeight="1">
      <c r="A21" s="181"/>
      <c r="B21" s="1065">
        <v>0.33333333333333331</v>
      </c>
      <c r="C21" s="1066"/>
      <c r="D21" s="1066"/>
      <c r="E21" s="1066"/>
      <c r="F21" s="1066"/>
      <c r="G21" s="1067"/>
      <c r="H21" s="1068" t="str">
        <f t="shared" ref="H21:H30" si="4">IF(E21="","",IF(E21-B21&lt;0,"24:00"-(B21-E21),E21-B21))</f>
        <v/>
      </c>
      <c r="I21" s="1068"/>
      <c r="J21" s="1069" t="s">
        <v>219</v>
      </c>
      <c r="K21" s="1070"/>
      <c r="L21" s="1070"/>
      <c r="M21" s="1070"/>
      <c r="N21" s="1070"/>
      <c r="O21" s="1070"/>
      <c r="P21" s="1070"/>
      <c r="Q21" s="1070"/>
      <c r="R21" s="1070"/>
      <c r="S21" s="174"/>
      <c r="T21" s="1095"/>
      <c r="U21" s="1095"/>
      <c r="V21" s="1095"/>
      <c r="W21" s="1095"/>
      <c r="X21" s="1095"/>
      <c r="Y21" s="1095"/>
      <c r="Z21" s="1095"/>
      <c r="AA21" s="1096"/>
      <c r="AB21" s="153"/>
      <c r="AG21" s="184"/>
      <c r="AN21" s="144"/>
    </row>
    <row r="22" spans="1:59" ht="15" customHeight="1">
      <c r="A22" s="181"/>
      <c r="B22" s="1146">
        <v>0.4375</v>
      </c>
      <c r="C22" s="1147"/>
      <c r="D22" s="1147"/>
      <c r="E22" s="1147"/>
      <c r="F22" s="1147"/>
      <c r="G22" s="1148"/>
      <c r="H22" s="1149" t="str">
        <f t="shared" ref="H22:H23" si="5">IF(E22="","",IF(E22-B22&lt;0,"24:00"-(B22-E22),E22-B22))</f>
        <v/>
      </c>
      <c r="I22" s="1149"/>
      <c r="J22" s="1150" t="s">
        <v>264</v>
      </c>
      <c r="K22" s="1151"/>
      <c r="L22" s="1151"/>
      <c r="M22" s="1151"/>
      <c r="N22" s="1151"/>
      <c r="O22" s="1151"/>
      <c r="P22" s="1151"/>
      <c r="Q22" s="1151"/>
      <c r="R22" s="1151"/>
      <c r="S22" s="177"/>
      <c r="T22" s="1087"/>
      <c r="U22" s="1087"/>
      <c r="V22" s="1087"/>
      <c r="W22" s="1087"/>
      <c r="X22" s="1087"/>
      <c r="Y22" s="1087"/>
      <c r="Z22" s="1087"/>
      <c r="AA22" s="1088"/>
      <c r="AB22" s="153"/>
      <c r="AG22" s="184"/>
      <c r="AN22" s="144"/>
    </row>
    <row r="23" spans="1:59" ht="15" customHeight="1">
      <c r="A23" s="139"/>
      <c r="B23" s="453">
        <v>0.4375</v>
      </c>
      <c r="C23" s="454"/>
      <c r="D23" s="455"/>
      <c r="E23" s="456"/>
      <c r="F23" s="454"/>
      <c r="G23" s="457"/>
      <c r="H23" s="381" t="str">
        <f t="shared" si="5"/>
        <v/>
      </c>
      <c r="I23" s="382"/>
      <c r="J23" s="458" t="s">
        <v>230</v>
      </c>
      <c r="K23" s="459"/>
      <c r="L23" s="459"/>
      <c r="M23" s="459"/>
      <c r="N23" s="459"/>
      <c r="O23" s="459"/>
      <c r="P23" s="459"/>
      <c r="Q23" s="459"/>
      <c r="R23" s="460"/>
      <c r="S23" s="161"/>
      <c r="T23" s="450" t="s">
        <v>209</v>
      </c>
      <c r="U23" s="1175"/>
      <c r="V23" s="1175"/>
      <c r="W23" s="1175"/>
      <c r="X23" s="1175"/>
      <c r="Y23" s="1175"/>
      <c r="Z23" s="1175"/>
      <c r="AA23" s="1176"/>
      <c r="AB23" s="153"/>
      <c r="AC23" s="154"/>
      <c r="AD23" s="195"/>
      <c r="AE23" s="154"/>
      <c r="AG23" s="187"/>
      <c r="AH23" s="141"/>
      <c r="AI23" s="143"/>
    </row>
    <row r="24" spans="1:59" ht="15" customHeight="1">
      <c r="A24" s="181"/>
      <c r="B24" s="1065">
        <v>0.45833333333333331</v>
      </c>
      <c r="C24" s="1066"/>
      <c r="D24" s="1066"/>
      <c r="E24" s="1066"/>
      <c r="F24" s="1066"/>
      <c r="G24" s="1067"/>
      <c r="H24" s="1068"/>
      <c r="I24" s="1068"/>
      <c r="J24" s="1069" t="s">
        <v>390</v>
      </c>
      <c r="K24" s="1070"/>
      <c r="L24" s="1070"/>
      <c r="M24" s="1070"/>
      <c r="N24" s="1070"/>
      <c r="O24" s="1070"/>
      <c r="P24" s="1070"/>
      <c r="Q24" s="1070"/>
      <c r="R24" s="1070"/>
      <c r="S24" s="174"/>
      <c r="T24" s="1097"/>
      <c r="U24" s="1097"/>
      <c r="V24" s="1097"/>
      <c r="W24" s="1097"/>
      <c r="X24" s="1097"/>
      <c r="Y24" s="1097"/>
      <c r="Z24" s="1097"/>
      <c r="AA24" s="1098"/>
      <c r="AB24" s="153"/>
      <c r="AG24" s="184"/>
      <c r="AN24" s="144"/>
    </row>
    <row r="25" spans="1:59" ht="15" customHeight="1">
      <c r="A25" s="181"/>
      <c r="B25" s="1099">
        <v>0.47916666666666669</v>
      </c>
      <c r="C25" s="1100"/>
      <c r="D25" s="1100"/>
      <c r="E25" s="1079">
        <v>0.64583333333333337</v>
      </c>
      <c r="F25" s="1079"/>
      <c r="G25" s="1101"/>
      <c r="H25" s="1082">
        <f t="shared" ref="H25" si="6">IF(E25="","",IF(E25-B25&lt;0,"24:00"-(B25-E25),E25-B25))</f>
        <v>0.16666666666666669</v>
      </c>
      <c r="I25" s="1082"/>
      <c r="J25" s="1083" t="s">
        <v>221</v>
      </c>
      <c r="K25" s="1084"/>
      <c r="L25" s="1084"/>
      <c r="M25" s="1084"/>
      <c r="N25" s="1084"/>
      <c r="O25" s="1084"/>
      <c r="P25" s="1084"/>
      <c r="Q25" s="1084"/>
      <c r="R25" s="1084"/>
      <c r="S25" s="241" t="s">
        <v>391</v>
      </c>
      <c r="T25" s="1085"/>
      <c r="U25" s="1085"/>
      <c r="V25" s="1085"/>
      <c r="W25" s="1085"/>
      <c r="X25" s="1085"/>
      <c r="Y25" s="1085"/>
      <c r="Z25" s="1085"/>
      <c r="AA25" s="1086"/>
      <c r="AB25" s="153"/>
      <c r="AD25" s="140" t="s">
        <v>13</v>
      </c>
      <c r="AG25" s="184"/>
      <c r="AN25" s="144"/>
    </row>
    <row r="26" spans="1:59" ht="15" customHeight="1">
      <c r="A26" s="181"/>
      <c r="B26" s="1065">
        <v>0.5625</v>
      </c>
      <c r="C26" s="1066"/>
      <c r="D26" s="1066"/>
      <c r="E26" s="1066"/>
      <c r="F26" s="1066"/>
      <c r="G26" s="1067"/>
      <c r="H26" s="1068"/>
      <c r="I26" s="1068"/>
      <c r="J26" s="1069" t="s">
        <v>392</v>
      </c>
      <c r="K26" s="1070"/>
      <c r="L26" s="1070"/>
      <c r="M26" s="1070"/>
      <c r="N26" s="1070"/>
      <c r="O26" s="1070"/>
      <c r="P26" s="1070"/>
      <c r="Q26" s="1070"/>
      <c r="R26" s="1070"/>
      <c r="S26" s="174"/>
      <c r="T26" s="1097"/>
      <c r="U26" s="1097"/>
      <c r="V26" s="1097"/>
      <c r="W26" s="1097"/>
      <c r="X26" s="1097"/>
      <c r="Y26" s="1097"/>
      <c r="Z26" s="1097"/>
      <c r="AA26" s="1098"/>
      <c r="AB26" s="153"/>
      <c r="AG26" s="187"/>
      <c r="AN26" s="144"/>
    </row>
    <row r="27" spans="1:59" ht="15" customHeight="1">
      <c r="A27" s="181"/>
      <c r="B27" s="1108">
        <v>0.625</v>
      </c>
      <c r="C27" s="1109"/>
      <c r="D27" s="1109"/>
      <c r="E27" s="1110">
        <v>0.66666666666666663</v>
      </c>
      <c r="F27" s="1110"/>
      <c r="G27" s="1111"/>
      <c r="H27" s="1112">
        <f>E27-B27</f>
        <v>4.166666666666663E-2</v>
      </c>
      <c r="I27" s="1112"/>
      <c r="J27" s="1113" t="s">
        <v>393</v>
      </c>
      <c r="K27" s="1114"/>
      <c r="L27" s="1114"/>
      <c r="M27" s="1114"/>
      <c r="N27" s="1114"/>
      <c r="O27" s="1114"/>
      <c r="P27" s="1114"/>
      <c r="Q27" s="1114"/>
      <c r="R27" s="1114"/>
      <c r="S27" s="239" t="s">
        <v>321</v>
      </c>
      <c r="T27" s="1115" t="s">
        <v>347</v>
      </c>
      <c r="U27" s="1115"/>
      <c r="V27" s="1115"/>
      <c r="W27" s="1115"/>
      <c r="X27" s="1115"/>
      <c r="Y27" s="1115"/>
      <c r="Z27" s="1115"/>
      <c r="AA27" s="1116"/>
      <c r="AB27" s="153"/>
      <c r="AG27" s="184"/>
      <c r="AN27" s="144"/>
    </row>
    <row r="28" spans="1:59" ht="15" customHeight="1">
      <c r="A28" s="181"/>
      <c r="B28" s="1065">
        <v>0.70833333333333337</v>
      </c>
      <c r="C28" s="1066"/>
      <c r="D28" s="1066"/>
      <c r="E28" s="1066"/>
      <c r="F28" s="1066"/>
      <c r="G28" s="1067"/>
      <c r="H28" s="1068" t="str">
        <f t="shared" ref="H28" si="7">IF(E28="","",IF(E28-B28&lt;0,"24:00"-(B28-E28),E28-B28))</f>
        <v/>
      </c>
      <c r="I28" s="1068"/>
      <c r="J28" s="1069" t="s">
        <v>394</v>
      </c>
      <c r="K28" s="1070"/>
      <c r="L28" s="1070"/>
      <c r="M28" s="1070"/>
      <c r="N28" s="1070"/>
      <c r="O28" s="1070"/>
      <c r="P28" s="1070"/>
      <c r="Q28" s="1070"/>
      <c r="R28" s="1070"/>
      <c r="S28" s="174"/>
      <c r="T28" s="1095" t="s">
        <v>395</v>
      </c>
      <c r="U28" s="1095"/>
      <c r="V28" s="1095"/>
      <c r="W28" s="1095"/>
      <c r="X28" s="1095"/>
      <c r="Y28" s="1095"/>
      <c r="Z28" s="1095"/>
      <c r="AA28" s="1096"/>
      <c r="AB28" s="153"/>
      <c r="AG28" s="184"/>
      <c r="AN28" s="144"/>
    </row>
    <row r="29" spans="1:59" ht="15" customHeight="1">
      <c r="A29" s="181"/>
      <c r="B29" s="1065">
        <v>0.78125</v>
      </c>
      <c r="C29" s="1066"/>
      <c r="D29" s="1066"/>
      <c r="E29" s="1066"/>
      <c r="F29" s="1066"/>
      <c r="G29" s="1067"/>
      <c r="H29" s="1068" t="str">
        <f t="shared" si="4"/>
        <v/>
      </c>
      <c r="I29" s="1068"/>
      <c r="J29" s="1069" t="s">
        <v>396</v>
      </c>
      <c r="K29" s="1070"/>
      <c r="L29" s="1070"/>
      <c r="M29" s="1070"/>
      <c r="N29" s="1070"/>
      <c r="O29" s="1070"/>
      <c r="P29" s="1070"/>
      <c r="Q29" s="1070"/>
      <c r="R29" s="1070"/>
      <c r="S29" s="174"/>
      <c r="T29" s="1097"/>
      <c r="U29" s="1097"/>
      <c r="V29" s="1097"/>
      <c r="W29" s="1097"/>
      <c r="X29" s="1097"/>
      <c r="Y29" s="1097"/>
      <c r="Z29" s="1097"/>
      <c r="AA29" s="1098"/>
      <c r="AB29" s="153"/>
      <c r="AG29" s="186"/>
      <c r="AN29" s="144"/>
    </row>
    <row r="30" spans="1:59" ht="15" customHeight="1">
      <c r="A30" s="181"/>
      <c r="B30" s="1078" t="s">
        <v>53</v>
      </c>
      <c r="C30" s="1079"/>
      <c r="D30" s="1079"/>
      <c r="E30" s="1080"/>
      <c r="F30" s="1080"/>
      <c r="G30" s="1081"/>
      <c r="H30" s="1082" t="str">
        <f t="shared" si="4"/>
        <v/>
      </c>
      <c r="I30" s="1082"/>
      <c r="J30" s="1083" t="s">
        <v>224</v>
      </c>
      <c r="K30" s="1084"/>
      <c r="L30" s="1084"/>
      <c r="M30" s="1084"/>
      <c r="N30" s="1084"/>
      <c r="O30" s="1084"/>
      <c r="P30" s="1084"/>
      <c r="Q30" s="1084"/>
      <c r="R30" s="1084"/>
      <c r="S30" s="176"/>
      <c r="T30" s="1085"/>
      <c r="U30" s="1085"/>
      <c r="V30" s="1085"/>
      <c r="W30" s="1085"/>
      <c r="X30" s="1085"/>
      <c r="Y30" s="1085"/>
      <c r="Z30" s="1085"/>
      <c r="AA30" s="1086"/>
      <c r="AB30" s="153"/>
      <c r="AG30" s="186"/>
      <c r="AN30" s="144"/>
    </row>
    <row r="31" spans="1:59" ht="15" customHeight="1">
      <c r="A31" s="139"/>
      <c r="B31" s="1089" t="s">
        <v>212</v>
      </c>
      <c r="C31" s="1089"/>
      <c r="D31" s="1089"/>
      <c r="E31" s="1090"/>
      <c r="F31" s="1090"/>
      <c r="G31" s="1090"/>
      <c r="H31" s="1090"/>
      <c r="I31" s="1090"/>
      <c r="J31" s="1090" t="s">
        <v>397</v>
      </c>
      <c r="K31" s="1090"/>
      <c r="L31" s="1090"/>
      <c r="M31" s="1090"/>
      <c r="N31" s="1090"/>
      <c r="O31" s="1090"/>
      <c r="P31" s="1090"/>
      <c r="Q31" s="1090"/>
      <c r="R31" s="1090"/>
      <c r="S31" s="1090"/>
      <c r="T31" s="1152"/>
      <c r="U31" s="1152"/>
      <c r="V31" s="1152"/>
      <c r="W31" s="1152"/>
      <c r="X31" s="1152"/>
      <c r="Y31" s="1152"/>
      <c r="Z31" s="1152"/>
      <c r="AA31" s="1152"/>
      <c r="AB31" s="153"/>
      <c r="AG31" s="188"/>
      <c r="AN31" s="144"/>
    </row>
    <row r="32" spans="1:59" ht="15" customHeight="1">
      <c r="A32" s="181"/>
      <c r="B32" s="1138" t="s">
        <v>193</v>
      </c>
      <c r="C32" s="1138"/>
      <c r="D32" s="1138"/>
      <c r="E32" s="1138" t="s">
        <v>194</v>
      </c>
      <c r="F32" s="1138"/>
      <c r="G32" s="1138"/>
      <c r="H32" s="1138" t="s">
        <v>214</v>
      </c>
      <c r="I32" s="1139"/>
      <c r="J32" s="1140" t="s">
        <v>215</v>
      </c>
      <c r="K32" s="1141"/>
      <c r="L32" s="1141"/>
      <c r="M32" s="1141"/>
      <c r="N32" s="1141"/>
      <c r="O32" s="1141"/>
      <c r="P32" s="1141"/>
      <c r="Q32" s="1141"/>
      <c r="R32" s="1141"/>
      <c r="S32" s="175" t="s">
        <v>216</v>
      </c>
      <c r="T32" s="1092" t="s">
        <v>217</v>
      </c>
      <c r="U32" s="1093"/>
      <c r="V32" s="1093"/>
      <c r="W32" s="1093"/>
      <c r="X32" s="1093"/>
      <c r="Y32" s="1093"/>
      <c r="Z32" s="1093"/>
      <c r="AA32" s="1094"/>
      <c r="AG32" s="189"/>
      <c r="AN32" s="144"/>
    </row>
    <row r="33" spans="1:109" s="154" customFormat="1" ht="15" customHeight="1">
      <c r="A33" s="180"/>
      <c r="B33" s="1065">
        <v>0.35416666666666669</v>
      </c>
      <c r="C33" s="1066"/>
      <c r="D33" s="1066"/>
      <c r="E33" s="1066"/>
      <c r="F33" s="1066"/>
      <c r="G33" s="1067"/>
      <c r="H33" s="1068"/>
      <c r="I33" s="1068"/>
      <c r="J33" s="1069" t="s">
        <v>218</v>
      </c>
      <c r="K33" s="1070"/>
      <c r="L33" s="1070"/>
      <c r="M33" s="1070"/>
      <c r="N33" s="1070"/>
      <c r="O33" s="1070"/>
      <c r="P33" s="1070"/>
      <c r="Q33" s="1070"/>
      <c r="R33" s="1070"/>
      <c r="S33" s="174"/>
      <c r="T33" s="1142"/>
      <c r="U33" s="1143"/>
      <c r="V33" s="1143"/>
      <c r="W33" s="1143"/>
      <c r="X33" s="1143"/>
      <c r="Y33" s="1143"/>
      <c r="Z33" s="1143"/>
      <c r="AA33" s="1144"/>
      <c r="AB33" s="153"/>
      <c r="AF33" s="155"/>
      <c r="AG33" s="187"/>
      <c r="AH33" s="156"/>
      <c r="AN33" s="144"/>
    </row>
    <row r="34" spans="1:109" s="154" customFormat="1" ht="15" customHeight="1">
      <c r="A34" s="153"/>
      <c r="B34" s="283">
        <v>0.375</v>
      </c>
      <c r="C34" s="284"/>
      <c r="D34" s="285"/>
      <c r="E34" s="286"/>
      <c r="F34" s="284"/>
      <c r="G34" s="287"/>
      <c r="H34" s="288"/>
      <c r="I34" s="289"/>
      <c r="J34" s="290" t="s">
        <v>398</v>
      </c>
      <c r="K34" s="291"/>
      <c r="L34" s="291"/>
      <c r="M34" s="291"/>
      <c r="N34" s="291"/>
      <c r="O34" s="291"/>
      <c r="P34" s="291"/>
      <c r="Q34" s="291"/>
      <c r="R34" s="291"/>
      <c r="S34" s="137"/>
      <c r="T34" s="292"/>
      <c r="U34" s="293"/>
      <c r="V34" s="293"/>
      <c r="W34" s="293"/>
      <c r="X34" s="293"/>
      <c r="Y34" s="293"/>
      <c r="Z34" s="293"/>
      <c r="AA34" s="294"/>
      <c r="AB34" s="153"/>
      <c r="AC34" s="281" t="s">
        <v>262</v>
      </c>
      <c r="AD34" s="282"/>
      <c r="AE34" s="282"/>
      <c r="AF34" s="155">
        <v>7.6388888888888895E-2</v>
      </c>
      <c r="AG34" s="187" t="s">
        <v>202</v>
      </c>
      <c r="AI34" s="156"/>
    </row>
    <row r="35" spans="1:109" s="154" customFormat="1" ht="15" customHeight="1">
      <c r="A35" s="180"/>
      <c r="B35" s="1065">
        <v>0.38194444444444442</v>
      </c>
      <c r="C35" s="1066"/>
      <c r="D35" s="1066"/>
      <c r="E35" s="1066"/>
      <c r="F35" s="1066"/>
      <c r="G35" s="1067"/>
      <c r="H35" s="1068" t="str">
        <f t="shared" ref="H35" si="8">IF(E35="","",IF(E35-B35&lt;0,"24:00"-(B35-E35),E35-B35))</f>
        <v/>
      </c>
      <c r="I35" s="1068"/>
      <c r="J35" s="1069" t="s">
        <v>219</v>
      </c>
      <c r="K35" s="1070"/>
      <c r="L35" s="1070"/>
      <c r="M35" s="1070"/>
      <c r="N35" s="1070"/>
      <c r="O35" s="1070"/>
      <c r="P35" s="1070"/>
      <c r="Q35" s="1070"/>
      <c r="R35" s="1070"/>
      <c r="S35" s="174"/>
      <c r="T35" s="1153"/>
      <c r="U35" s="1154"/>
      <c r="V35" s="1154"/>
      <c r="W35" s="1154"/>
      <c r="X35" s="1154"/>
      <c r="Y35" s="1154"/>
      <c r="Z35" s="1154"/>
      <c r="AA35" s="1155"/>
      <c r="AB35" s="153"/>
      <c r="AF35" s="155"/>
      <c r="AG35" s="186"/>
      <c r="AH35" s="156"/>
      <c r="AN35" s="144"/>
    </row>
    <row r="36" spans="1:109" s="154" customFormat="1" ht="15" customHeight="1">
      <c r="A36" s="153"/>
      <c r="B36" s="283">
        <f>B46-AF36</f>
        <v>0.45138888888888895</v>
      </c>
      <c r="C36" s="284"/>
      <c r="D36" s="285"/>
      <c r="E36" s="286">
        <v>0.45833333333333331</v>
      </c>
      <c r="F36" s="284"/>
      <c r="G36" s="287"/>
      <c r="H36" s="288">
        <f t="shared" ref="H36:H37" si="9">IF(E36="","",IF(E36-B36&lt;0,"24:00"-(B36-E36),E36-B36))</f>
        <v>6.9444444444443643E-3</v>
      </c>
      <c r="I36" s="289"/>
      <c r="J36" s="290" t="s">
        <v>399</v>
      </c>
      <c r="K36" s="291"/>
      <c r="L36" s="291"/>
      <c r="M36" s="291"/>
      <c r="N36" s="291"/>
      <c r="O36" s="291"/>
      <c r="P36" s="291"/>
      <c r="Q36" s="291"/>
      <c r="R36" s="291"/>
      <c r="S36" s="137"/>
      <c r="T36" s="292"/>
      <c r="U36" s="293"/>
      <c r="V36" s="293"/>
      <c r="W36" s="293"/>
      <c r="X36" s="293"/>
      <c r="Y36" s="293"/>
      <c r="Z36" s="293"/>
      <c r="AA36" s="294"/>
      <c r="AB36" s="153"/>
      <c r="AC36" s="281" t="s">
        <v>262</v>
      </c>
      <c r="AD36" s="282"/>
      <c r="AE36" s="282"/>
      <c r="AF36" s="155">
        <v>6.9444444444444434E-2</v>
      </c>
      <c r="AG36" s="187" t="s">
        <v>202</v>
      </c>
      <c r="AI36" s="156"/>
    </row>
    <row r="37" spans="1:109" s="154" customFormat="1" ht="15" customHeight="1">
      <c r="A37" s="180"/>
      <c r="B37" s="1065">
        <v>0.45833333333333331</v>
      </c>
      <c r="C37" s="1066"/>
      <c r="D37" s="1066"/>
      <c r="E37" s="1066"/>
      <c r="F37" s="1066"/>
      <c r="G37" s="1067"/>
      <c r="H37" s="1068" t="str">
        <f t="shared" si="9"/>
        <v/>
      </c>
      <c r="I37" s="1068"/>
      <c r="J37" s="1074" t="s">
        <v>264</v>
      </c>
      <c r="K37" s="1075"/>
      <c r="L37" s="1075"/>
      <c r="M37" s="1075"/>
      <c r="N37" s="1075"/>
      <c r="O37" s="1075"/>
      <c r="P37" s="1075"/>
      <c r="Q37" s="1075"/>
      <c r="R37" s="1075"/>
      <c r="S37" s="174"/>
      <c r="T37" s="1077"/>
      <c r="U37" s="371"/>
      <c r="V37" s="371"/>
      <c r="W37" s="371"/>
      <c r="X37" s="371"/>
      <c r="Y37" s="371"/>
      <c r="Z37" s="371"/>
      <c r="AA37" s="372"/>
      <c r="AB37" s="153"/>
      <c r="AC37" s="282" t="s">
        <v>262</v>
      </c>
      <c r="AD37" s="282"/>
      <c r="AE37" s="282"/>
      <c r="AF37" s="155">
        <v>4.8611111111111112E-2</v>
      </c>
      <c r="AG37" s="187"/>
      <c r="AH37" s="156"/>
      <c r="AN37" s="144"/>
    </row>
    <row r="38" spans="1:109" s="139" customFormat="1" ht="15" customHeight="1">
      <c r="B38" s="283">
        <f>B46-AF38</f>
        <v>0.46180555555555558</v>
      </c>
      <c r="C38" s="284"/>
      <c r="D38" s="285"/>
      <c r="E38" s="286"/>
      <c r="F38" s="284"/>
      <c r="G38" s="287"/>
      <c r="H38" s="288" t="str">
        <f>IF(E38="","",IF(E38-B38&lt;0,"24:00"-(B38-E38),E38-B38))</f>
        <v/>
      </c>
      <c r="I38" s="289"/>
      <c r="J38" s="290" t="s">
        <v>269</v>
      </c>
      <c r="K38" s="291"/>
      <c r="L38" s="291"/>
      <c r="M38" s="291"/>
      <c r="N38" s="291"/>
      <c r="O38" s="291"/>
      <c r="P38" s="291"/>
      <c r="Q38" s="291"/>
      <c r="R38" s="291"/>
      <c r="S38" s="137"/>
      <c r="T38" s="296"/>
      <c r="U38" s="297"/>
      <c r="V38" s="297"/>
      <c r="W38" s="297"/>
      <c r="X38" s="297"/>
      <c r="Y38" s="297"/>
      <c r="Z38" s="297"/>
      <c r="AA38" s="298"/>
      <c r="AB38" s="153"/>
      <c r="AC38" s="281" t="s">
        <v>262</v>
      </c>
      <c r="AD38" s="282"/>
      <c r="AE38" s="282"/>
      <c r="AF38" s="155">
        <v>5.9027777777777783E-2</v>
      </c>
      <c r="AG38" s="184" t="s">
        <v>202</v>
      </c>
      <c r="AH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</row>
    <row r="39" spans="1:109" s="139" customFormat="1" ht="15" customHeight="1">
      <c r="B39" s="283">
        <f>B46-AF39</f>
        <v>0.46527777777777779</v>
      </c>
      <c r="C39" s="284"/>
      <c r="D39" s="285"/>
      <c r="E39" s="286"/>
      <c r="F39" s="284"/>
      <c r="G39" s="287"/>
      <c r="H39" s="364" t="str">
        <f>IF(E39="","",IF(E39-B39&lt;0,"24:00"-(B39-E39),E39-B39))</f>
        <v/>
      </c>
      <c r="I39" s="365"/>
      <c r="J39" s="290" t="s">
        <v>271</v>
      </c>
      <c r="K39" s="291"/>
      <c r="L39" s="291"/>
      <c r="M39" s="291"/>
      <c r="N39" s="291"/>
      <c r="O39" s="291"/>
      <c r="P39" s="291"/>
      <c r="Q39" s="291"/>
      <c r="R39" s="291"/>
      <c r="S39" s="199"/>
      <c r="T39" s="361"/>
      <c r="U39" s="362"/>
      <c r="V39" s="362"/>
      <c r="W39" s="362"/>
      <c r="X39" s="362"/>
      <c r="Y39" s="362"/>
      <c r="Z39" s="362"/>
      <c r="AA39" s="363"/>
      <c r="AB39" s="153"/>
      <c r="AC39" s="281" t="s">
        <v>262</v>
      </c>
      <c r="AD39" s="282"/>
      <c r="AE39" s="282"/>
      <c r="AF39" s="155">
        <v>5.5555555555555552E-2</v>
      </c>
      <c r="AG39" s="184"/>
      <c r="AH39" s="140"/>
      <c r="AI39" s="143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</row>
    <row r="40" spans="1:109" s="154" customFormat="1" ht="15" customHeight="1">
      <c r="A40" s="153"/>
      <c r="B40" s="283">
        <f>B46-AF40</f>
        <v>0.47569444444444448</v>
      </c>
      <c r="C40" s="284"/>
      <c r="D40" s="285"/>
      <c r="E40" s="286"/>
      <c r="F40" s="284"/>
      <c r="G40" s="287"/>
      <c r="H40" s="288" t="str">
        <f t="shared" ref="H40" si="10">IF(E40="","",IF(E40-B40&lt;0,"24:00"-(B40-E40),E40-B40))</f>
        <v/>
      </c>
      <c r="I40" s="289"/>
      <c r="J40" s="290" t="s">
        <v>284</v>
      </c>
      <c r="K40" s="291"/>
      <c r="L40" s="291"/>
      <c r="M40" s="291"/>
      <c r="N40" s="291"/>
      <c r="O40" s="291"/>
      <c r="P40" s="291"/>
      <c r="Q40" s="291"/>
      <c r="R40" s="291"/>
      <c r="S40" s="138" t="s">
        <v>266</v>
      </c>
      <c r="T40" s="370"/>
      <c r="U40" s="371"/>
      <c r="V40" s="371"/>
      <c r="W40" s="371"/>
      <c r="X40" s="371"/>
      <c r="Y40" s="371"/>
      <c r="Z40" s="371"/>
      <c r="AA40" s="372"/>
      <c r="AB40" s="153"/>
      <c r="AC40" s="281" t="s">
        <v>262</v>
      </c>
      <c r="AD40" s="282"/>
      <c r="AE40" s="282"/>
      <c r="AF40" s="155">
        <v>4.5138888888888888E-2</v>
      </c>
      <c r="AG40" s="184" t="s">
        <v>202</v>
      </c>
      <c r="AI40" s="156"/>
      <c r="AM40" s="154" t="s">
        <v>13</v>
      </c>
      <c r="AO40" s="154" t="s">
        <v>13</v>
      </c>
      <c r="AP40" s="154" t="s">
        <v>13</v>
      </c>
    </row>
    <row r="41" spans="1:109" s="154" customFormat="1" ht="15" customHeight="1">
      <c r="A41" s="180"/>
      <c r="B41" s="1118">
        <v>0.47916666666666669</v>
      </c>
      <c r="C41" s="1119"/>
      <c r="D41" s="1119"/>
      <c r="E41" s="1119"/>
      <c r="F41" s="1119"/>
      <c r="G41" s="1120"/>
      <c r="H41" s="1121" t="str">
        <f>IF(E41="","",IF(E41-B41&lt;0,"24:00"-(B41-E41),E41-B41))</f>
        <v/>
      </c>
      <c r="I41" s="1121"/>
      <c r="J41" s="1122" t="s">
        <v>400</v>
      </c>
      <c r="K41" s="1123"/>
      <c r="L41" s="1123"/>
      <c r="M41" s="1123"/>
      <c r="N41" s="1123"/>
      <c r="O41" s="1123"/>
      <c r="P41" s="1123"/>
      <c r="Q41" s="1123"/>
      <c r="R41" s="1123"/>
      <c r="S41" s="178"/>
      <c r="T41" s="1124"/>
      <c r="U41" s="1125"/>
      <c r="V41" s="1125"/>
      <c r="W41" s="1125"/>
      <c r="X41" s="1125"/>
      <c r="Y41" s="1125"/>
      <c r="Z41" s="1125"/>
      <c r="AA41" s="1126"/>
      <c r="AB41" s="153"/>
      <c r="AC41" s="282" t="s">
        <v>262</v>
      </c>
      <c r="AD41" s="282"/>
      <c r="AE41" s="282"/>
      <c r="AF41" s="155">
        <v>5.5555555555555552E-2</v>
      </c>
      <c r="AG41" s="187"/>
      <c r="AH41" s="156"/>
      <c r="AN41" s="144"/>
    </row>
    <row r="42" spans="1:109" s="154" customFormat="1" ht="15" customHeight="1">
      <c r="A42" s="180"/>
      <c r="B42" s="1065">
        <v>0.47916666666666669</v>
      </c>
      <c r="C42" s="1066"/>
      <c r="D42" s="1066"/>
      <c r="E42" s="1066">
        <v>0.64583333333333337</v>
      </c>
      <c r="F42" s="1066"/>
      <c r="G42" s="1067"/>
      <c r="H42" s="1068">
        <f>IF(E42="","",IF(E42-B42&lt;0,"24:00"-(B42-E42),E42-B42))</f>
        <v>0.16666666666666669</v>
      </c>
      <c r="I42" s="1068"/>
      <c r="J42" s="1069" t="s">
        <v>221</v>
      </c>
      <c r="K42" s="1070"/>
      <c r="L42" s="1070"/>
      <c r="M42" s="1070"/>
      <c r="N42" s="1070"/>
      <c r="O42" s="1070"/>
      <c r="P42" s="1070"/>
      <c r="Q42" s="1070"/>
      <c r="R42" s="1070"/>
      <c r="S42" s="174" t="s">
        <v>226</v>
      </c>
      <c r="T42" s="1071"/>
      <c r="U42" s="1072"/>
      <c r="V42" s="1072"/>
      <c r="W42" s="1072"/>
      <c r="X42" s="1072"/>
      <c r="Y42" s="1072"/>
      <c r="Z42" s="1072"/>
      <c r="AA42" s="1073"/>
      <c r="AB42" s="153"/>
      <c r="AF42" s="155"/>
      <c r="AG42" s="187"/>
      <c r="AH42" s="156"/>
      <c r="AN42" s="144"/>
    </row>
    <row r="43" spans="1:109" s="154" customFormat="1" ht="15" customHeight="1">
      <c r="A43" s="153"/>
      <c r="B43" s="283">
        <f>B46-AF44</f>
        <v>0.5</v>
      </c>
      <c r="C43" s="284"/>
      <c r="D43" s="285"/>
      <c r="E43" s="286"/>
      <c r="F43" s="284"/>
      <c r="G43" s="287"/>
      <c r="H43" s="288"/>
      <c r="I43" s="289"/>
      <c r="J43" s="290" t="s">
        <v>273</v>
      </c>
      <c r="K43" s="291"/>
      <c r="L43" s="291"/>
      <c r="M43" s="291"/>
      <c r="N43" s="291"/>
      <c r="O43" s="291"/>
      <c r="P43" s="291"/>
      <c r="Q43" s="291"/>
      <c r="R43" s="291"/>
      <c r="S43" s="137"/>
      <c r="T43" s="296"/>
      <c r="U43" s="297"/>
      <c r="V43" s="297"/>
      <c r="W43" s="297"/>
      <c r="X43" s="297"/>
      <c r="Y43" s="297"/>
      <c r="Z43" s="297"/>
      <c r="AA43" s="298"/>
      <c r="AB43" s="153"/>
      <c r="AC43" s="281" t="s">
        <v>262</v>
      </c>
      <c r="AD43" s="282"/>
      <c r="AE43" s="282"/>
      <c r="AF43" s="155">
        <v>2.4305555555555556E-2</v>
      </c>
      <c r="AG43" s="186" t="s">
        <v>202</v>
      </c>
      <c r="AI43" s="156"/>
      <c r="AP43" s="154" t="s">
        <v>13</v>
      </c>
    </row>
    <row r="44" spans="1:109" s="154" customFormat="1" ht="15" customHeight="1">
      <c r="A44" s="153"/>
      <c r="B44" s="283">
        <f>B46-AF44</f>
        <v>0.5</v>
      </c>
      <c r="C44" s="284"/>
      <c r="D44" s="285"/>
      <c r="E44" s="286"/>
      <c r="F44" s="284"/>
      <c r="G44" s="287"/>
      <c r="H44" s="288" t="str">
        <f t="shared" ref="H44:H46" si="11">IF(E44="","",IF(E44-B44&lt;0,"24:00"-(B44-E44),E44-B44))</f>
        <v/>
      </c>
      <c r="I44" s="289"/>
      <c r="J44" s="290" t="s">
        <v>285</v>
      </c>
      <c r="K44" s="291"/>
      <c r="L44" s="291"/>
      <c r="M44" s="291"/>
      <c r="N44" s="291"/>
      <c r="O44" s="291"/>
      <c r="P44" s="291"/>
      <c r="Q44" s="291"/>
      <c r="R44" s="291"/>
      <c r="S44" s="137"/>
      <c r="T44" s="296"/>
      <c r="U44" s="297"/>
      <c r="V44" s="297"/>
      <c r="W44" s="297"/>
      <c r="X44" s="297"/>
      <c r="Y44" s="297"/>
      <c r="Z44" s="297"/>
      <c r="AA44" s="298"/>
      <c r="AB44" s="139"/>
      <c r="AC44" s="281" t="s">
        <v>262</v>
      </c>
      <c r="AD44" s="282"/>
      <c r="AE44" s="282"/>
      <c r="AF44" s="155">
        <v>2.0833333333333332E-2</v>
      </c>
      <c r="AG44" s="187" t="s">
        <v>202</v>
      </c>
      <c r="AI44" s="156"/>
    </row>
    <row r="45" spans="1:109" s="154" customFormat="1" ht="15" customHeight="1">
      <c r="A45" s="153"/>
      <c r="B45" s="344">
        <f>B46-AF45</f>
        <v>0.51041666666666674</v>
      </c>
      <c r="C45" s="345"/>
      <c r="D45" s="346"/>
      <c r="E45" s="347"/>
      <c r="F45" s="345"/>
      <c r="G45" s="348"/>
      <c r="H45" s="349" t="str">
        <f t="shared" si="11"/>
        <v/>
      </c>
      <c r="I45" s="350"/>
      <c r="J45" s="356" t="s">
        <v>276</v>
      </c>
      <c r="K45" s="357"/>
      <c r="L45" s="357"/>
      <c r="M45" s="357"/>
      <c r="N45" s="357"/>
      <c r="O45" s="357"/>
      <c r="P45" s="357"/>
      <c r="Q45" s="357"/>
      <c r="R45" s="357"/>
      <c r="S45" s="198" t="s">
        <v>13</v>
      </c>
      <c r="T45" s="358"/>
      <c r="U45" s="359"/>
      <c r="V45" s="359"/>
      <c r="W45" s="359"/>
      <c r="X45" s="359"/>
      <c r="Y45" s="359"/>
      <c r="Z45" s="359"/>
      <c r="AA45" s="360"/>
      <c r="AB45" s="139"/>
      <c r="AC45" s="281" t="s">
        <v>262</v>
      </c>
      <c r="AD45" s="282"/>
      <c r="AE45" s="282"/>
      <c r="AF45" s="155">
        <v>1.0416666666666666E-2</v>
      </c>
      <c r="AG45" s="187" t="s">
        <v>202</v>
      </c>
      <c r="AI45" s="156"/>
    </row>
    <row r="46" spans="1:109" s="154" customFormat="1" ht="15" customHeight="1">
      <c r="A46" s="180"/>
      <c r="B46" s="1127">
        <v>0.52083333333333337</v>
      </c>
      <c r="C46" s="1128"/>
      <c r="D46" s="1128"/>
      <c r="E46" s="1128">
        <v>0.625</v>
      </c>
      <c r="F46" s="1128"/>
      <c r="G46" s="1129"/>
      <c r="H46" s="1117">
        <f t="shared" si="11"/>
        <v>0.10416666666666663</v>
      </c>
      <c r="I46" s="1117"/>
      <c r="J46" s="1130" t="s">
        <v>401</v>
      </c>
      <c r="K46" s="1131"/>
      <c r="L46" s="1131"/>
      <c r="M46" s="1131"/>
      <c r="N46" s="1131"/>
      <c r="O46" s="1131"/>
      <c r="P46" s="1131"/>
      <c r="Q46" s="1131"/>
      <c r="R46" s="1131"/>
      <c r="S46" s="179"/>
      <c r="T46" s="1132"/>
      <c r="U46" s="1133"/>
      <c r="V46" s="1133"/>
      <c r="W46" s="1133"/>
      <c r="X46" s="1133"/>
      <c r="Y46" s="1133"/>
      <c r="Z46" s="1133"/>
      <c r="AA46" s="1134"/>
      <c r="AB46" s="153"/>
      <c r="AF46" s="155"/>
      <c r="AG46" s="184"/>
      <c r="AH46" s="156"/>
      <c r="AN46" s="144"/>
    </row>
    <row r="47" spans="1:109" s="154" customFormat="1" ht="15" customHeight="1">
      <c r="A47" s="180"/>
      <c r="B47" s="1065">
        <v>0.62847222222222221</v>
      </c>
      <c r="C47" s="1066"/>
      <c r="D47" s="1066"/>
      <c r="E47" s="1066"/>
      <c r="F47" s="1066"/>
      <c r="G47" s="1067"/>
      <c r="H47" s="1117"/>
      <c r="I47" s="1117"/>
      <c r="J47" s="1069" t="s">
        <v>402</v>
      </c>
      <c r="K47" s="1070"/>
      <c r="L47" s="1070"/>
      <c r="M47" s="1070"/>
      <c r="N47" s="1070"/>
      <c r="O47" s="1070"/>
      <c r="P47" s="1070"/>
      <c r="Q47" s="1070"/>
      <c r="R47" s="1070"/>
      <c r="S47" s="174"/>
      <c r="T47" s="1135"/>
      <c r="U47" s="1136"/>
      <c r="V47" s="1136"/>
      <c r="W47" s="1136"/>
      <c r="X47" s="1136"/>
      <c r="Y47" s="1136"/>
      <c r="Z47" s="1136"/>
      <c r="AA47" s="1137"/>
      <c r="AB47" s="153"/>
      <c r="AF47" s="155"/>
      <c r="AG47" s="187"/>
      <c r="AH47" s="156"/>
      <c r="AN47" s="144"/>
    </row>
    <row r="48" spans="1:109" s="154" customFormat="1" ht="15" customHeight="1">
      <c r="A48" s="153"/>
      <c r="B48" s="283">
        <f>B56-AF48</f>
        <v>0.70138888888888895</v>
      </c>
      <c r="C48" s="284"/>
      <c r="D48" s="285"/>
      <c r="E48" s="286">
        <v>0.70486111111111116</v>
      </c>
      <c r="F48" s="284"/>
      <c r="G48" s="287"/>
      <c r="H48" s="288">
        <f t="shared" ref="H48" si="12">IF(E48="","",IF(E48-B48&lt;0,"24:00"-(B48-E48),E48-B48))</f>
        <v>3.4722222222222099E-3</v>
      </c>
      <c r="I48" s="289"/>
      <c r="J48" s="290" t="s">
        <v>403</v>
      </c>
      <c r="K48" s="291"/>
      <c r="L48" s="291"/>
      <c r="M48" s="291"/>
      <c r="N48" s="291"/>
      <c r="O48" s="291"/>
      <c r="P48" s="291"/>
      <c r="Q48" s="291"/>
      <c r="R48" s="291"/>
      <c r="S48" s="137"/>
      <c r="T48" s="292"/>
      <c r="U48" s="293"/>
      <c r="V48" s="293"/>
      <c r="W48" s="293"/>
      <c r="X48" s="293"/>
      <c r="Y48" s="293"/>
      <c r="Z48" s="293"/>
      <c r="AA48" s="294"/>
      <c r="AB48" s="153"/>
      <c r="AC48" s="281" t="s">
        <v>262</v>
      </c>
      <c r="AD48" s="282"/>
      <c r="AE48" s="282"/>
      <c r="AF48" s="155">
        <v>6.9444444444444434E-2</v>
      </c>
      <c r="AG48" s="187" t="s">
        <v>202</v>
      </c>
      <c r="AI48" s="156"/>
    </row>
    <row r="49" spans="1:109" s="139" customFormat="1" ht="15" customHeight="1">
      <c r="B49" s="283">
        <f>B56-AF49</f>
        <v>0.71180555555555558</v>
      </c>
      <c r="C49" s="284"/>
      <c r="D49" s="285"/>
      <c r="E49" s="286"/>
      <c r="F49" s="284"/>
      <c r="G49" s="287"/>
      <c r="H49" s="288" t="str">
        <f>IF(E49="","",IF(E49-B49&lt;0,"24:00"-(B49-E49),E49-B49))</f>
        <v/>
      </c>
      <c r="I49" s="289"/>
      <c r="J49" s="290" t="s">
        <v>269</v>
      </c>
      <c r="K49" s="291"/>
      <c r="L49" s="291"/>
      <c r="M49" s="291"/>
      <c r="N49" s="291"/>
      <c r="O49" s="291"/>
      <c r="P49" s="291"/>
      <c r="Q49" s="291"/>
      <c r="R49" s="291"/>
      <c r="S49" s="137"/>
      <c r="T49" s="296"/>
      <c r="U49" s="297"/>
      <c r="V49" s="297"/>
      <c r="W49" s="297"/>
      <c r="X49" s="297"/>
      <c r="Y49" s="297"/>
      <c r="Z49" s="297"/>
      <c r="AA49" s="298"/>
      <c r="AB49" s="153"/>
      <c r="AC49" s="281" t="s">
        <v>262</v>
      </c>
      <c r="AD49" s="282"/>
      <c r="AE49" s="282"/>
      <c r="AF49" s="155">
        <v>5.9027777777777783E-2</v>
      </c>
      <c r="AG49" s="184" t="s">
        <v>202</v>
      </c>
      <c r="AH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K49" s="140"/>
      <c r="CL49" s="140"/>
      <c r="CM49" s="140"/>
      <c r="CN49" s="140"/>
      <c r="CO49" s="140"/>
      <c r="CP49" s="140"/>
      <c r="CQ49" s="140"/>
      <c r="CR49" s="140"/>
      <c r="CS49" s="140"/>
      <c r="CT49" s="140"/>
      <c r="CU49" s="140"/>
      <c r="CV49" s="140"/>
      <c r="CW49" s="140"/>
      <c r="CX49" s="140"/>
      <c r="CY49" s="140"/>
      <c r="CZ49" s="140"/>
      <c r="DA49" s="140"/>
      <c r="DB49" s="140"/>
      <c r="DC49" s="140"/>
      <c r="DD49" s="140"/>
      <c r="DE49" s="140"/>
    </row>
    <row r="50" spans="1:109" s="139" customFormat="1" ht="15" customHeight="1">
      <c r="B50" s="283">
        <f>B56-AF50</f>
        <v>0.71527777777777779</v>
      </c>
      <c r="C50" s="284"/>
      <c r="D50" s="285"/>
      <c r="E50" s="286"/>
      <c r="F50" s="284"/>
      <c r="G50" s="287"/>
      <c r="H50" s="364" t="str">
        <f>IF(E50="","",IF(E50-B50&lt;0,"24:00"-(B50-E50),E50-B50))</f>
        <v/>
      </c>
      <c r="I50" s="365"/>
      <c r="J50" s="290" t="s">
        <v>271</v>
      </c>
      <c r="K50" s="291"/>
      <c r="L50" s="291"/>
      <c r="M50" s="291"/>
      <c r="N50" s="291"/>
      <c r="O50" s="291"/>
      <c r="P50" s="291"/>
      <c r="Q50" s="291"/>
      <c r="R50" s="291"/>
      <c r="S50" s="199"/>
      <c r="T50" s="361"/>
      <c r="U50" s="362"/>
      <c r="V50" s="362"/>
      <c r="W50" s="362"/>
      <c r="X50" s="362"/>
      <c r="Y50" s="362"/>
      <c r="Z50" s="362"/>
      <c r="AA50" s="363"/>
      <c r="AB50" s="153"/>
      <c r="AC50" s="281" t="s">
        <v>262</v>
      </c>
      <c r="AD50" s="282"/>
      <c r="AE50" s="282"/>
      <c r="AF50" s="155">
        <v>5.5555555555555552E-2</v>
      </c>
      <c r="AG50" s="184"/>
      <c r="AH50" s="140"/>
      <c r="AI50" s="143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K50" s="140"/>
      <c r="CL50" s="140"/>
      <c r="CM50" s="140"/>
      <c r="CN50" s="140"/>
      <c r="CO50" s="140"/>
      <c r="CP50" s="140"/>
      <c r="CQ50" s="140"/>
      <c r="CR50" s="140"/>
      <c r="CS50" s="140"/>
      <c r="CT50" s="140"/>
      <c r="CU50" s="140"/>
      <c r="CV50" s="140"/>
      <c r="CW50" s="140"/>
      <c r="CX50" s="140"/>
      <c r="CY50" s="140"/>
      <c r="CZ50" s="140"/>
      <c r="DA50" s="140"/>
      <c r="DB50" s="140"/>
      <c r="DC50" s="140"/>
      <c r="DD50" s="140"/>
      <c r="DE50" s="140"/>
    </row>
    <row r="51" spans="1:109" s="154" customFormat="1" ht="15" customHeight="1">
      <c r="A51" s="153"/>
      <c r="B51" s="283">
        <f>B56-AF51</f>
        <v>0.72569444444444453</v>
      </c>
      <c r="C51" s="284"/>
      <c r="D51" s="285"/>
      <c r="E51" s="286"/>
      <c r="F51" s="284"/>
      <c r="G51" s="287"/>
      <c r="H51" s="288" t="str">
        <f t="shared" ref="H51" si="13">IF(E51="","",IF(E51-B51&lt;0,"24:00"-(B51-E51),E51-B51))</f>
        <v/>
      </c>
      <c r="I51" s="289"/>
      <c r="J51" s="290" t="s">
        <v>284</v>
      </c>
      <c r="K51" s="291"/>
      <c r="L51" s="291"/>
      <c r="M51" s="291"/>
      <c r="N51" s="291"/>
      <c r="O51" s="291"/>
      <c r="P51" s="291"/>
      <c r="Q51" s="291"/>
      <c r="R51" s="291"/>
      <c r="S51" s="138" t="s">
        <v>266</v>
      </c>
      <c r="T51" s="370"/>
      <c r="U51" s="371"/>
      <c r="V51" s="371"/>
      <c r="W51" s="371"/>
      <c r="X51" s="371"/>
      <c r="Y51" s="371"/>
      <c r="Z51" s="371"/>
      <c r="AA51" s="372"/>
      <c r="AB51" s="153"/>
      <c r="AC51" s="281" t="s">
        <v>262</v>
      </c>
      <c r="AD51" s="282"/>
      <c r="AE51" s="282"/>
      <c r="AF51" s="155">
        <v>4.5138888888888888E-2</v>
      </c>
      <c r="AG51" s="184" t="s">
        <v>202</v>
      </c>
      <c r="AI51" s="156"/>
      <c r="AM51" s="154" t="s">
        <v>13</v>
      </c>
      <c r="AO51" s="154" t="s">
        <v>13</v>
      </c>
      <c r="AP51" s="154" t="s">
        <v>13</v>
      </c>
    </row>
    <row r="52" spans="1:109" s="154" customFormat="1" ht="15" customHeight="1">
      <c r="A52" s="180"/>
      <c r="B52" s="1065">
        <v>0.72916666666666663</v>
      </c>
      <c r="C52" s="1066"/>
      <c r="D52" s="1066"/>
      <c r="E52" s="1066"/>
      <c r="F52" s="1066"/>
      <c r="G52" s="1067"/>
      <c r="H52" s="1068" t="str">
        <f t="shared" ref="H52" si="14">IF(E52="","",IF(E52-B52&lt;0,"24:00"-(B52-E52),E52-B52))</f>
        <v/>
      </c>
      <c r="I52" s="1068"/>
      <c r="J52" s="1069" t="s">
        <v>224</v>
      </c>
      <c r="K52" s="1070"/>
      <c r="L52" s="1070"/>
      <c r="M52" s="1070"/>
      <c r="N52" s="1070"/>
      <c r="O52" s="1070"/>
      <c r="P52" s="1070"/>
      <c r="Q52" s="1070"/>
      <c r="R52" s="1070"/>
      <c r="S52" s="174"/>
      <c r="T52" s="1076" t="s">
        <v>388</v>
      </c>
      <c r="U52" s="434"/>
      <c r="V52" s="434"/>
      <c r="W52" s="434"/>
      <c r="X52" s="434"/>
      <c r="Y52" s="434"/>
      <c r="Z52" s="434"/>
      <c r="AA52" s="435"/>
      <c r="AB52" s="153"/>
      <c r="AC52" s="282"/>
      <c r="AD52" s="282"/>
      <c r="AE52" s="282"/>
      <c r="AF52" s="155"/>
      <c r="AG52" s="187"/>
      <c r="AH52" s="156"/>
      <c r="AN52" s="144"/>
    </row>
    <row r="53" spans="1:109" s="154" customFormat="1" ht="15" customHeight="1">
      <c r="A53" s="153"/>
      <c r="B53" s="283">
        <f>B56-AF54</f>
        <v>0.75</v>
      </c>
      <c r="C53" s="284"/>
      <c r="D53" s="285"/>
      <c r="E53" s="286"/>
      <c r="F53" s="284"/>
      <c r="G53" s="287"/>
      <c r="H53" s="288"/>
      <c r="I53" s="289"/>
      <c r="J53" s="290" t="s">
        <v>273</v>
      </c>
      <c r="K53" s="291"/>
      <c r="L53" s="291"/>
      <c r="M53" s="291"/>
      <c r="N53" s="291"/>
      <c r="O53" s="291"/>
      <c r="P53" s="291"/>
      <c r="Q53" s="291"/>
      <c r="R53" s="291"/>
      <c r="S53" s="137"/>
      <c r="T53" s="296"/>
      <c r="U53" s="297"/>
      <c r="V53" s="297"/>
      <c r="W53" s="297"/>
      <c r="X53" s="297"/>
      <c r="Y53" s="297"/>
      <c r="Z53" s="297"/>
      <c r="AA53" s="298"/>
      <c r="AB53" s="153"/>
      <c r="AC53" s="281" t="s">
        <v>262</v>
      </c>
      <c r="AD53" s="282"/>
      <c r="AE53" s="282"/>
      <c r="AF53" s="155">
        <v>2.4305555555555556E-2</v>
      </c>
      <c r="AG53" s="186" t="s">
        <v>202</v>
      </c>
      <c r="AI53" s="156"/>
      <c r="AP53" s="154" t="s">
        <v>13</v>
      </c>
    </row>
    <row r="54" spans="1:109" s="154" customFormat="1" ht="15" customHeight="1">
      <c r="A54" s="153"/>
      <c r="B54" s="283">
        <f>B56-AF54</f>
        <v>0.75</v>
      </c>
      <c r="C54" s="284"/>
      <c r="D54" s="285"/>
      <c r="E54" s="286"/>
      <c r="F54" s="284"/>
      <c r="G54" s="287"/>
      <c r="H54" s="288" t="str">
        <f t="shared" ref="H54:H56" si="15">IF(E54="","",IF(E54-B54&lt;0,"24:00"-(B54-E54),E54-B54))</f>
        <v/>
      </c>
      <c r="I54" s="289"/>
      <c r="J54" s="290" t="s">
        <v>285</v>
      </c>
      <c r="K54" s="291"/>
      <c r="L54" s="291"/>
      <c r="M54" s="291"/>
      <c r="N54" s="291"/>
      <c r="O54" s="291"/>
      <c r="P54" s="291"/>
      <c r="Q54" s="291"/>
      <c r="R54" s="291"/>
      <c r="S54" s="137"/>
      <c r="T54" s="296"/>
      <c r="U54" s="297"/>
      <c r="V54" s="297"/>
      <c r="W54" s="297"/>
      <c r="X54" s="297"/>
      <c r="Y54" s="297"/>
      <c r="Z54" s="297"/>
      <c r="AA54" s="298"/>
      <c r="AB54" s="139"/>
      <c r="AC54" s="281" t="s">
        <v>262</v>
      </c>
      <c r="AD54" s="282"/>
      <c r="AE54" s="282"/>
      <c r="AF54" s="155">
        <v>2.0833333333333332E-2</v>
      </c>
      <c r="AG54" s="187" t="s">
        <v>202</v>
      </c>
      <c r="AI54" s="156"/>
    </row>
    <row r="55" spans="1:109" s="154" customFormat="1" ht="15" customHeight="1">
      <c r="A55" s="153"/>
      <c r="B55" s="344">
        <f>B56-AF55</f>
        <v>0.76041666666666674</v>
      </c>
      <c r="C55" s="345"/>
      <c r="D55" s="346"/>
      <c r="E55" s="347"/>
      <c r="F55" s="345"/>
      <c r="G55" s="348"/>
      <c r="H55" s="349" t="str">
        <f t="shared" si="15"/>
        <v/>
      </c>
      <c r="I55" s="350"/>
      <c r="J55" s="356" t="s">
        <v>276</v>
      </c>
      <c r="K55" s="357"/>
      <c r="L55" s="357"/>
      <c r="M55" s="357"/>
      <c r="N55" s="357"/>
      <c r="O55" s="357"/>
      <c r="P55" s="357"/>
      <c r="Q55" s="357"/>
      <c r="R55" s="357"/>
      <c r="S55" s="198" t="s">
        <v>13</v>
      </c>
      <c r="T55" s="358"/>
      <c r="U55" s="359"/>
      <c r="V55" s="359"/>
      <c r="W55" s="359"/>
      <c r="X55" s="359"/>
      <c r="Y55" s="359"/>
      <c r="Z55" s="359"/>
      <c r="AA55" s="360"/>
      <c r="AB55" s="139"/>
      <c r="AC55" s="281" t="s">
        <v>262</v>
      </c>
      <c r="AD55" s="282"/>
      <c r="AE55" s="282"/>
      <c r="AF55" s="155">
        <v>1.0416666666666666E-2</v>
      </c>
      <c r="AG55" s="187" t="s">
        <v>202</v>
      </c>
      <c r="AI55" s="156"/>
    </row>
    <row r="56" spans="1:109" s="154" customFormat="1" ht="15" customHeight="1">
      <c r="A56" s="180"/>
      <c r="B56" s="1127">
        <v>0.77083333333333337</v>
      </c>
      <c r="C56" s="1128"/>
      <c r="D56" s="1128"/>
      <c r="E56" s="1128">
        <v>0.875</v>
      </c>
      <c r="F56" s="1128"/>
      <c r="G56" s="1129"/>
      <c r="H56" s="1117">
        <f t="shared" si="15"/>
        <v>0.10416666666666663</v>
      </c>
      <c r="I56" s="1117"/>
      <c r="J56" s="1130" t="s">
        <v>404</v>
      </c>
      <c r="K56" s="1131"/>
      <c r="L56" s="1131"/>
      <c r="M56" s="1131"/>
      <c r="N56" s="1131"/>
      <c r="O56" s="1131"/>
      <c r="P56" s="1131"/>
      <c r="Q56" s="1131"/>
      <c r="R56" s="1131"/>
      <c r="S56" s="179"/>
      <c r="T56" s="1132"/>
      <c r="U56" s="1133"/>
      <c r="V56" s="1133"/>
      <c r="W56" s="1133"/>
      <c r="X56" s="1133"/>
      <c r="Y56" s="1133"/>
      <c r="Z56" s="1133"/>
      <c r="AA56" s="1134"/>
      <c r="AB56" s="153"/>
      <c r="AF56" s="155"/>
      <c r="AG56" s="184"/>
      <c r="AH56" s="156"/>
      <c r="AN56" s="144"/>
    </row>
    <row r="57" spans="1:109" s="154" customFormat="1" ht="15" customHeight="1">
      <c r="A57" s="180"/>
      <c r="B57" s="1065">
        <v>0.87847222222222221</v>
      </c>
      <c r="C57" s="1066"/>
      <c r="D57" s="1066"/>
      <c r="E57" s="1066"/>
      <c r="F57" s="1066"/>
      <c r="G57" s="1067"/>
      <c r="H57" s="1117"/>
      <c r="I57" s="1117"/>
      <c r="J57" s="1069" t="s">
        <v>402</v>
      </c>
      <c r="K57" s="1070"/>
      <c r="L57" s="1070"/>
      <c r="M57" s="1070"/>
      <c r="N57" s="1070"/>
      <c r="O57" s="1070"/>
      <c r="P57" s="1070"/>
      <c r="Q57" s="1070"/>
      <c r="R57" s="1070"/>
      <c r="S57" s="174"/>
      <c r="T57" s="1135"/>
      <c r="U57" s="1136"/>
      <c r="V57" s="1136"/>
      <c r="W57" s="1136"/>
      <c r="X57" s="1136"/>
      <c r="Y57" s="1136"/>
      <c r="Z57" s="1136"/>
      <c r="AA57" s="1137"/>
      <c r="AB57" s="153"/>
      <c r="AF57" s="155"/>
      <c r="AG57" s="187"/>
      <c r="AH57" s="156"/>
      <c r="AN57" s="144"/>
    </row>
    <row r="58" spans="1:109" s="154" customFormat="1" ht="15" customHeight="1">
      <c r="A58" s="180"/>
      <c r="B58" s="1118">
        <v>0.95833333333333337</v>
      </c>
      <c r="C58" s="1119"/>
      <c r="D58" s="1119"/>
      <c r="E58" s="1066"/>
      <c r="F58" s="1066"/>
      <c r="G58" s="1067"/>
      <c r="H58" s="1068" t="str">
        <f t="shared" ref="H58" si="16">IF(E58="","",IF(E58-B58&lt;0,"24:00"-(B58-E58),E58-B58))</f>
        <v/>
      </c>
      <c r="I58" s="1068"/>
      <c r="J58" s="1122" t="s">
        <v>405</v>
      </c>
      <c r="K58" s="1123"/>
      <c r="L58" s="1123"/>
      <c r="M58" s="1123"/>
      <c r="N58" s="1123"/>
      <c r="O58" s="1123"/>
      <c r="P58" s="1123"/>
      <c r="Q58" s="1123"/>
      <c r="R58" s="1123"/>
      <c r="S58" s="178"/>
      <c r="T58" s="1162"/>
      <c r="U58" s="1163"/>
      <c r="V58" s="1163"/>
      <c r="W58" s="1163"/>
      <c r="X58" s="1163"/>
      <c r="Y58" s="1163"/>
      <c r="Z58" s="1163"/>
      <c r="AA58" s="1164"/>
      <c r="AB58" s="153"/>
      <c r="AC58" s="282" t="s">
        <v>262</v>
      </c>
      <c r="AD58" s="282"/>
      <c r="AE58" s="282"/>
      <c r="AF58" s="155">
        <v>6.9444444444444441E-3</v>
      </c>
      <c r="AG58" s="186"/>
      <c r="AH58" s="156"/>
      <c r="AN58" s="144"/>
    </row>
    <row r="59" spans="1:109" s="154" customFormat="1" ht="15" customHeight="1">
      <c r="A59" s="180"/>
      <c r="B59" s="1165" t="s">
        <v>212</v>
      </c>
      <c r="C59" s="1089"/>
      <c r="D59" s="1089"/>
      <c r="E59" s="1090"/>
      <c r="F59" s="1090"/>
      <c r="G59" s="1090"/>
      <c r="H59" s="1090"/>
      <c r="I59" s="1090"/>
      <c r="J59" s="1090" t="s">
        <v>406</v>
      </c>
      <c r="K59" s="1090"/>
      <c r="L59" s="1090"/>
      <c r="M59" s="1090"/>
      <c r="N59" s="1090"/>
      <c r="O59" s="1090"/>
      <c r="P59" s="1090"/>
      <c r="Q59" s="1090"/>
      <c r="R59" s="1090"/>
      <c r="S59" s="1090"/>
      <c r="T59" s="1159"/>
      <c r="U59" s="1160"/>
      <c r="V59" s="1160"/>
      <c r="W59" s="1160"/>
      <c r="X59" s="1160"/>
      <c r="Y59" s="1160"/>
      <c r="Z59" s="1160"/>
      <c r="AA59" s="1161"/>
      <c r="AB59" s="153"/>
      <c r="AF59" s="155"/>
      <c r="AG59" s="188"/>
      <c r="AH59" s="156"/>
      <c r="AN59" s="144"/>
    </row>
    <row r="60" spans="1:109" s="154" customFormat="1" ht="15" customHeight="1">
      <c r="A60" s="153"/>
      <c r="B60" s="1145" t="s">
        <v>193</v>
      </c>
      <c r="C60" s="1138"/>
      <c r="D60" s="1138"/>
      <c r="E60" s="1138" t="s">
        <v>194</v>
      </c>
      <c r="F60" s="1138"/>
      <c r="G60" s="1138"/>
      <c r="H60" s="1138" t="s">
        <v>214</v>
      </c>
      <c r="I60" s="1139"/>
      <c r="J60" s="1140" t="s">
        <v>215</v>
      </c>
      <c r="K60" s="1141"/>
      <c r="L60" s="1141"/>
      <c r="M60" s="1141"/>
      <c r="N60" s="1141"/>
      <c r="O60" s="1141"/>
      <c r="P60" s="1141"/>
      <c r="Q60" s="1141"/>
      <c r="R60" s="1141"/>
      <c r="S60" s="175" t="s">
        <v>216</v>
      </c>
      <c r="T60" s="1156" t="s">
        <v>217</v>
      </c>
      <c r="U60" s="1157"/>
      <c r="V60" s="1157"/>
      <c r="W60" s="1157"/>
      <c r="X60" s="1157"/>
      <c r="Y60" s="1157"/>
      <c r="Z60" s="1157"/>
      <c r="AA60" s="1158"/>
      <c r="AB60" s="153"/>
      <c r="AF60" s="155"/>
      <c r="AG60" s="189"/>
      <c r="AH60" s="156"/>
      <c r="AN60" s="144"/>
    </row>
    <row r="61" spans="1:109" s="154" customFormat="1" ht="15" customHeight="1">
      <c r="A61" s="153"/>
      <c r="B61" s="283">
        <f>B71-AF61</f>
        <v>0.45138888888888895</v>
      </c>
      <c r="C61" s="284"/>
      <c r="D61" s="285"/>
      <c r="E61" s="286">
        <v>0.45833333333333331</v>
      </c>
      <c r="F61" s="284"/>
      <c r="G61" s="287"/>
      <c r="H61" s="288">
        <f t="shared" ref="H61:H70" si="17">IF(E61="","",IF(E61-B61&lt;0,"24:00"-(B61-E61),E61-B61))</f>
        <v>6.9444444444443643E-3</v>
      </c>
      <c r="I61" s="289"/>
      <c r="J61" s="290" t="s">
        <v>399</v>
      </c>
      <c r="K61" s="291"/>
      <c r="L61" s="291"/>
      <c r="M61" s="291"/>
      <c r="N61" s="291"/>
      <c r="O61" s="291"/>
      <c r="P61" s="291"/>
      <c r="Q61" s="291"/>
      <c r="R61" s="295"/>
      <c r="S61" s="137"/>
      <c r="T61" s="292"/>
      <c r="U61" s="293"/>
      <c r="V61" s="293"/>
      <c r="W61" s="293"/>
      <c r="X61" s="293"/>
      <c r="Y61" s="293"/>
      <c r="Z61" s="293"/>
      <c r="AA61" s="294"/>
      <c r="AB61" s="153"/>
      <c r="AC61" s="281" t="s">
        <v>262</v>
      </c>
      <c r="AD61" s="282"/>
      <c r="AE61" s="282"/>
      <c r="AF61" s="155">
        <v>6.9444444444444434E-2</v>
      </c>
      <c r="AG61" s="187" t="s">
        <v>202</v>
      </c>
      <c r="AI61" s="156"/>
    </row>
    <row r="62" spans="1:109" s="154" customFormat="1" ht="15" customHeight="1">
      <c r="A62" s="180"/>
      <c r="B62" s="1065">
        <v>0.45833333333333331</v>
      </c>
      <c r="C62" s="1066"/>
      <c r="D62" s="1066"/>
      <c r="E62" s="1066"/>
      <c r="F62" s="1066"/>
      <c r="G62" s="1067"/>
      <c r="H62" s="1068" t="str">
        <f t="shared" si="17"/>
        <v/>
      </c>
      <c r="I62" s="1068"/>
      <c r="J62" s="1074" t="s">
        <v>264</v>
      </c>
      <c r="K62" s="1075"/>
      <c r="L62" s="1075"/>
      <c r="M62" s="1075"/>
      <c r="N62" s="1075"/>
      <c r="O62" s="1075"/>
      <c r="P62" s="1075"/>
      <c r="Q62" s="1075"/>
      <c r="R62" s="1075"/>
      <c r="S62" s="174"/>
      <c r="T62" s="1077"/>
      <c r="U62" s="371"/>
      <c r="V62" s="371"/>
      <c r="W62" s="371"/>
      <c r="X62" s="371"/>
      <c r="Y62" s="371"/>
      <c r="Z62" s="371"/>
      <c r="AA62" s="372"/>
      <c r="AB62" s="153"/>
      <c r="AC62" s="282" t="s">
        <v>262</v>
      </c>
      <c r="AD62" s="282"/>
      <c r="AE62" s="282"/>
      <c r="AF62" s="155">
        <v>4.8611111111111112E-2</v>
      </c>
      <c r="AG62" s="187"/>
      <c r="AH62" s="156"/>
      <c r="AN62" s="144"/>
    </row>
    <row r="63" spans="1:109" s="139" customFormat="1" ht="15" customHeight="1">
      <c r="B63" s="283">
        <f>B71-AF63</f>
        <v>0.46180555555555558</v>
      </c>
      <c r="C63" s="284"/>
      <c r="D63" s="285"/>
      <c r="E63" s="286"/>
      <c r="F63" s="284"/>
      <c r="G63" s="287"/>
      <c r="H63" s="288" t="str">
        <f>IF(E63="","",IF(E63-B63&lt;0,"24:00"-(B63-E63),E63-B63))</f>
        <v/>
      </c>
      <c r="I63" s="289"/>
      <c r="J63" s="290" t="s">
        <v>269</v>
      </c>
      <c r="K63" s="291"/>
      <c r="L63" s="291"/>
      <c r="M63" s="291"/>
      <c r="N63" s="291"/>
      <c r="O63" s="291"/>
      <c r="P63" s="291"/>
      <c r="Q63" s="291"/>
      <c r="R63" s="291"/>
      <c r="S63" s="137"/>
      <c r="T63" s="296"/>
      <c r="U63" s="297"/>
      <c r="V63" s="297"/>
      <c r="W63" s="297"/>
      <c r="X63" s="297"/>
      <c r="Y63" s="297"/>
      <c r="Z63" s="297"/>
      <c r="AA63" s="298"/>
      <c r="AB63" s="153"/>
      <c r="AC63" s="281" t="s">
        <v>262</v>
      </c>
      <c r="AD63" s="282"/>
      <c r="AE63" s="282"/>
      <c r="AF63" s="155">
        <v>5.9027777777777783E-2</v>
      </c>
      <c r="AG63" s="184" t="s">
        <v>202</v>
      </c>
      <c r="AH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140"/>
      <c r="BP63" s="140"/>
      <c r="BQ63" s="140"/>
      <c r="BR63" s="140"/>
      <c r="BS63" s="140"/>
      <c r="BT63" s="140"/>
      <c r="BU63" s="140"/>
      <c r="BV63" s="140"/>
      <c r="BW63" s="140"/>
      <c r="BX63" s="140"/>
      <c r="BY63" s="140"/>
      <c r="BZ63" s="140"/>
      <c r="CA63" s="140"/>
      <c r="CB63" s="140"/>
      <c r="CC63" s="140"/>
      <c r="CD63" s="140"/>
      <c r="CE63" s="140"/>
      <c r="CF63" s="140"/>
      <c r="CG63" s="140"/>
      <c r="CH63" s="140"/>
      <c r="CI63" s="140"/>
      <c r="CJ63" s="140"/>
      <c r="CK63" s="140"/>
      <c r="CL63" s="140"/>
      <c r="CM63" s="140"/>
      <c r="CN63" s="140"/>
      <c r="CO63" s="140"/>
      <c r="CP63" s="140"/>
      <c r="CQ63" s="140"/>
      <c r="CR63" s="140"/>
      <c r="CS63" s="140"/>
      <c r="CT63" s="140"/>
      <c r="CU63" s="140"/>
      <c r="CV63" s="140"/>
      <c r="CW63" s="140"/>
      <c r="CX63" s="140"/>
      <c r="CY63" s="140"/>
      <c r="CZ63" s="140"/>
      <c r="DA63" s="140"/>
      <c r="DB63" s="140"/>
      <c r="DC63" s="140"/>
      <c r="DD63" s="140"/>
      <c r="DE63" s="140"/>
    </row>
    <row r="64" spans="1:109" s="139" customFormat="1" ht="15" customHeight="1">
      <c r="B64" s="283">
        <f>B71-AF64</f>
        <v>0.46527777777777779</v>
      </c>
      <c r="C64" s="284"/>
      <c r="D64" s="285"/>
      <c r="E64" s="286"/>
      <c r="F64" s="284"/>
      <c r="G64" s="287"/>
      <c r="H64" s="364" t="str">
        <f>IF(E64="","",IF(E64-B64&lt;0,"24:00"-(B64-E64),E64-B64))</f>
        <v/>
      </c>
      <c r="I64" s="365"/>
      <c r="J64" s="290" t="s">
        <v>271</v>
      </c>
      <c r="K64" s="291"/>
      <c r="L64" s="291"/>
      <c r="M64" s="291"/>
      <c r="N64" s="291"/>
      <c r="O64" s="291"/>
      <c r="P64" s="291"/>
      <c r="Q64" s="291"/>
      <c r="R64" s="291"/>
      <c r="S64" s="199"/>
      <c r="T64" s="361"/>
      <c r="U64" s="362"/>
      <c r="V64" s="362"/>
      <c r="W64" s="362"/>
      <c r="X64" s="362"/>
      <c r="Y64" s="362"/>
      <c r="Z64" s="362"/>
      <c r="AA64" s="363"/>
      <c r="AB64" s="153"/>
      <c r="AC64" s="281" t="s">
        <v>262</v>
      </c>
      <c r="AD64" s="282"/>
      <c r="AE64" s="282"/>
      <c r="AF64" s="155">
        <v>5.5555555555555552E-2</v>
      </c>
      <c r="AG64" s="184"/>
      <c r="AH64" s="140"/>
      <c r="AI64" s="143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140"/>
      <c r="BP64" s="140"/>
      <c r="BQ64" s="140"/>
      <c r="BR64" s="140"/>
      <c r="BS64" s="140"/>
      <c r="BT64" s="140"/>
      <c r="BU64" s="140"/>
      <c r="BV64" s="140"/>
      <c r="BW64" s="140"/>
      <c r="BX64" s="140"/>
      <c r="BY64" s="140"/>
      <c r="BZ64" s="140"/>
      <c r="CA64" s="140"/>
      <c r="CB64" s="140"/>
      <c r="CC64" s="140"/>
      <c r="CD64" s="140"/>
      <c r="CE64" s="140"/>
      <c r="CF64" s="140"/>
      <c r="CG64" s="140"/>
      <c r="CH64" s="140"/>
      <c r="CI64" s="140"/>
      <c r="CJ64" s="140"/>
      <c r="CK64" s="140"/>
      <c r="CL64" s="140"/>
      <c r="CM64" s="140"/>
      <c r="CN64" s="140"/>
      <c r="CO64" s="140"/>
      <c r="CP64" s="140"/>
      <c r="CQ64" s="140"/>
      <c r="CR64" s="140"/>
      <c r="CS64" s="140"/>
      <c r="CT64" s="140"/>
      <c r="CU64" s="140"/>
      <c r="CV64" s="140"/>
      <c r="CW64" s="140"/>
      <c r="CX64" s="140"/>
      <c r="CY64" s="140"/>
      <c r="CZ64" s="140"/>
      <c r="DA64" s="140"/>
      <c r="DB64" s="140"/>
      <c r="DC64" s="140"/>
      <c r="DD64" s="140"/>
      <c r="DE64" s="140"/>
    </row>
    <row r="65" spans="1:109" s="154" customFormat="1" ht="15" customHeight="1">
      <c r="A65" s="153"/>
      <c r="B65" s="283">
        <f>B71-AF65</f>
        <v>0.47569444444444448</v>
      </c>
      <c r="C65" s="284"/>
      <c r="D65" s="285"/>
      <c r="E65" s="286"/>
      <c r="F65" s="284"/>
      <c r="G65" s="287"/>
      <c r="H65" s="288" t="str">
        <f t="shared" si="17"/>
        <v/>
      </c>
      <c r="I65" s="289"/>
      <c r="J65" s="290" t="s">
        <v>284</v>
      </c>
      <c r="K65" s="291"/>
      <c r="L65" s="291"/>
      <c r="M65" s="291"/>
      <c r="N65" s="291"/>
      <c r="O65" s="291"/>
      <c r="P65" s="291"/>
      <c r="Q65" s="291"/>
      <c r="R65" s="291"/>
      <c r="S65" s="138" t="s">
        <v>266</v>
      </c>
      <c r="T65" s="370"/>
      <c r="U65" s="371"/>
      <c r="V65" s="371"/>
      <c r="W65" s="371"/>
      <c r="X65" s="371"/>
      <c r="Y65" s="371"/>
      <c r="Z65" s="371"/>
      <c r="AA65" s="372"/>
      <c r="AB65" s="153"/>
      <c r="AC65" s="281" t="s">
        <v>262</v>
      </c>
      <c r="AD65" s="282"/>
      <c r="AE65" s="282"/>
      <c r="AF65" s="155">
        <v>4.5138888888888888E-2</v>
      </c>
      <c r="AG65" s="184" t="s">
        <v>202</v>
      </c>
      <c r="AI65" s="156"/>
      <c r="AM65" s="154" t="s">
        <v>13</v>
      </c>
      <c r="AO65" s="154" t="s">
        <v>13</v>
      </c>
      <c r="AP65" s="154" t="s">
        <v>13</v>
      </c>
    </row>
    <row r="66" spans="1:109" s="154" customFormat="1" ht="15" customHeight="1">
      <c r="A66" s="180"/>
      <c r="B66" s="1118">
        <v>0.47916666666666669</v>
      </c>
      <c r="C66" s="1119"/>
      <c r="D66" s="1119"/>
      <c r="E66" s="1119"/>
      <c r="F66" s="1119"/>
      <c r="G66" s="1120"/>
      <c r="H66" s="1121" t="str">
        <f>IF(E66="","",IF(E66-B66&lt;0,"24:00"-(B66-E66),E66-B66))</f>
        <v/>
      </c>
      <c r="I66" s="1121"/>
      <c r="J66" s="1122" t="s">
        <v>400</v>
      </c>
      <c r="K66" s="1123"/>
      <c r="L66" s="1123"/>
      <c r="M66" s="1123"/>
      <c r="N66" s="1123"/>
      <c r="O66" s="1123"/>
      <c r="P66" s="1123"/>
      <c r="Q66" s="1123"/>
      <c r="R66" s="1123"/>
      <c r="S66" s="178"/>
      <c r="T66" s="1124"/>
      <c r="U66" s="1125"/>
      <c r="V66" s="1125"/>
      <c r="W66" s="1125"/>
      <c r="X66" s="1125"/>
      <c r="Y66" s="1125"/>
      <c r="Z66" s="1125"/>
      <c r="AA66" s="1126"/>
      <c r="AB66" s="153"/>
      <c r="AC66" s="282" t="s">
        <v>262</v>
      </c>
      <c r="AD66" s="282"/>
      <c r="AE66" s="282"/>
      <c r="AF66" s="155">
        <v>5.5555555555555552E-2</v>
      </c>
      <c r="AG66" s="187"/>
      <c r="AH66" s="156"/>
      <c r="AN66" s="144"/>
    </row>
    <row r="67" spans="1:109" s="154" customFormat="1" ht="15" customHeight="1">
      <c r="A67" s="180"/>
      <c r="B67" s="1065">
        <v>0.47916666666666669</v>
      </c>
      <c r="C67" s="1066"/>
      <c r="D67" s="1066"/>
      <c r="E67" s="1066">
        <v>0.64583333333333337</v>
      </c>
      <c r="F67" s="1066"/>
      <c r="G67" s="1067"/>
      <c r="H67" s="1068">
        <f>IF(E67="","",IF(E67-B67&lt;0,"24:00"-(B67-E67),E67-B67))</f>
        <v>0.16666666666666669</v>
      </c>
      <c r="I67" s="1068"/>
      <c r="J67" s="1069" t="s">
        <v>221</v>
      </c>
      <c r="K67" s="1070"/>
      <c r="L67" s="1070"/>
      <c r="M67" s="1070"/>
      <c r="N67" s="1070"/>
      <c r="O67" s="1070"/>
      <c r="P67" s="1070"/>
      <c r="Q67" s="1070"/>
      <c r="R67" s="1070"/>
      <c r="S67" s="174" t="s">
        <v>226</v>
      </c>
      <c r="T67" s="1071"/>
      <c r="U67" s="1072"/>
      <c r="V67" s="1072"/>
      <c r="W67" s="1072"/>
      <c r="X67" s="1072"/>
      <c r="Y67" s="1072"/>
      <c r="Z67" s="1072"/>
      <c r="AA67" s="1073"/>
      <c r="AB67" s="153"/>
      <c r="AF67" s="155"/>
      <c r="AG67" s="187"/>
      <c r="AH67" s="156"/>
      <c r="AN67" s="144"/>
    </row>
    <row r="68" spans="1:109" s="154" customFormat="1" ht="15" customHeight="1">
      <c r="A68" s="153"/>
      <c r="B68" s="283">
        <f>B71-AF69</f>
        <v>0.5</v>
      </c>
      <c r="C68" s="284"/>
      <c r="D68" s="285"/>
      <c r="E68" s="286"/>
      <c r="F68" s="284"/>
      <c r="G68" s="287"/>
      <c r="H68" s="288"/>
      <c r="I68" s="289"/>
      <c r="J68" s="290" t="s">
        <v>273</v>
      </c>
      <c r="K68" s="291"/>
      <c r="L68" s="291"/>
      <c r="M68" s="291"/>
      <c r="N68" s="291"/>
      <c r="O68" s="291"/>
      <c r="P68" s="291"/>
      <c r="Q68" s="291"/>
      <c r="R68" s="291"/>
      <c r="S68" s="137"/>
      <c r="T68" s="296"/>
      <c r="U68" s="297"/>
      <c r="V68" s="297"/>
      <c r="W68" s="297"/>
      <c r="X68" s="297"/>
      <c r="Y68" s="297"/>
      <c r="Z68" s="297"/>
      <c r="AA68" s="298"/>
      <c r="AB68" s="153"/>
      <c r="AC68" s="281" t="s">
        <v>262</v>
      </c>
      <c r="AD68" s="282"/>
      <c r="AE68" s="282"/>
      <c r="AF68" s="155">
        <v>2.4305555555555556E-2</v>
      </c>
      <c r="AG68" s="186" t="s">
        <v>202</v>
      </c>
      <c r="AI68" s="156"/>
      <c r="AP68" s="154" t="s">
        <v>13</v>
      </c>
    </row>
    <row r="69" spans="1:109" s="154" customFormat="1" ht="15" customHeight="1">
      <c r="A69" s="153"/>
      <c r="B69" s="283">
        <f>B71-AF69</f>
        <v>0.5</v>
      </c>
      <c r="C69" s="284"/>
      <c r="D69" s="285"/>
      <c r="E69" s="286"/>
      <c r="F69" s="284"/>
      <c r="G69" s="287"/>
      <c r="H69" s="288" t="str">
        <f t="shared" si="17"/>
        <v/>
      </c>
      <c r="I69" s="289"/>
      <c r="J69" s="290" t="s">
        <v>285</v>
      </c>
      <c r="K69" s="291"/>
      <c r="L69" s="291"/>
      <c r="M69" s="291"/>
      <c r="N69" s="291"/>
      <c r="O69" s="291"/>
      <c r="P69" s="291"/>
      <c r="Q69" s="291"/>
      <c r="R69" s="291"/>
      <c r="S69" s="137"/>
      <c r="T69" s="296"/>
      <c r="U69" s="297"/>
      <c r="V69" s="297"/>
      <c r="W69" s="297"/>
      <c r="X69" s="297"/>
      <c r="Y69" s="297"/>
      <c r="Z69" s="297"/>
      <c r="AA69" s="298"/>
      <c r="AB69" s="139"/>
      <c r="AC69" s="281" t="s">
        <v>262</v>
      </c>
      <c r="AD69" s="282"/>
      <c r="AE69" s="282"/>
      <c r="AF69" s="155">
        <v>2.0833333333333332E-2</v>
      </c>
      <c r="AG69" s="187" t="s">
        <v>202</v>
      </c>
      <c r="AI69" s="156"/>
    </row>
    <row r="70" spans="1:109" s="154" customFormat="1" ht="15" customHeight="1">
      <c r="A70" s="153"/>
      <c r="B70" s="344">
        <f>B71-AF70</f>
        <v>0.51041666666666674</v>
      </c>
      <c r="C70" s="345"/>
      <c r="D70" s="346"/>
      <c r="E70" s="347"/>
      <c r="F70" s="345"/>
      <c r="G70" s="348"/>
      <c r="H70" s="349" t="str">
        <f t="shared" si="17"/>
        <v/>
      </c>
      <c r="I70" s="350"/>
      <c r="J70" s="356" t="s">
        <v>276</v>
      </c>
      <c r="K70" s="357"/>
      <c r="L70" s="357"/>
      <c r="M70" s="357"/>
      <c r="N70" s="357"/>
      <c r="O70" s="357"/>
      <c r="P70" s="357"/>
      <c r="Q70" s="357"/>
      <c r="R70" s="357"/>
      <c r="S70" s="198" t="s">
        <v>13</v>
      </c>
      <c r="T70" s="358"/>
      <c r="U70" s="359"/>
      <c r="V70" s="359"/>
      <c r="W70" s="359"/>
      <c r="X70" s="359"/>
      <c r="Y70" s="359"/>
      <c r="Z70" s="359"/>
      <c r="AA70" s="360"/>
      <c r="AB70" s="139"/>
      <c r="AC70" s="281" t="s">
        <v>262</v>
      </c>
      <c r="AD70" s="282"/>
      <c r="AE70" s="282"/>
      <c r="AF70" s="155">
        <v>1.0416666666666666E-2</v>
      </c>
      <c r="AG70" s="187" t="s">
        <v>202</v>
      </c>
      <c r="AI70" s="156"/>
    </row>
    <row r="71" spans="1:109" s="154" customFormat="1" ht="15" customHeight="1">
      <c r="A71" s="180"/>
      <c r="B71" s="1127">
        <v>0.52083333333333337</v>
      </c>
      <c r="C71" s="1128"/>
      <c r="D71" s="1128"/>
      <c r="E71" s="1128">
        <v>0.625</v>
      </c>
      <c r="F71" s="1128"/>
      <c r="G71" s="1129"/>
      <c r="H71" s="1117">
        <f t="shared" ref="H71:H83" si="18">IF(E71="","",IF(E71-B71&lt;0,"24:00"-(B71-E71),E71-B71))</f>
        <v>0.10416666666666663</v>
      </c>
      <c r="I71" s="1117"/>
      <c r="J71" s="1130" t="s">
        <v>407</v>
      </c>
      <c r="K71" s="1131"/>
      <c r="L71" s="1131"/>
      <c r="M71" s="1131"/>
      <c r="N71" s="1131"/>
      <c r="O71" s="1131"/>
      <c r="P71" s="1131"/>
      <c r="Q71" s="1131"/>
      <c r="R71" s="1131"/>
      <c r="S71" s="179"/>
      <c r="T71" s="1132"/>
      <c r="U71" s="1133"/>
      <c r="V71" s="1133"/>
      <c r="W71" s="1133"/>
      <c r="X71" s="1133"/>
      <c r="Y71" s="1133"/>
      <c r="Z71" s="1133"/>
      <c r="AA71" s="1134"/>
      <c r="AB71" s="153"/>
      <c r="AF71" s="155"/>
      <c r="AG71" s="184"/>
      <c r="AH71" s="156"/>
      <c r="AN71" s="144"/>
    </row>
    <row r="72" spans="1:109" s="154" customFormat="1" ht="15" customHeight="1">
      <c r="A72" s="180"/>
      <c r="B72" s="1065">
        <v>0.62847222222222221</v>
      </c>
      <c r="C72" s="1066"/>
      <c r="D72" s="1066"/>
      <c r="E72" s="1066"/>
      <c r="F72" s="1066"/>
      <c r="G72" s="1067"/>
      <c r="H72" s="1117"/>
      <c r="I72" s="1117"/>
      <c r="J72" s="1069" t="s">
        <v>402</v>
      </c>
      <c r="K72" s="1070"/>
      <c r="L72" s="1070"/>
      <c r="M72" s="1070"/>
      <c r="N72" s="1070"/>
      <c r="O72" s="1070"/>
      <c r="P72" s="1070"/>
      <c r="Q72" s="1070"/>
      <c r="R72" s="1070"/>
      <c r="S72" s="174"/>
      <c r="T72" s="1135"/>
      <c r="U72" s="1136"/>
      <c r="V72" s="1136"/>
      <c r="W72" s="1136"/>
      <c r="X72" s="1136"/>
      <c r="Y72" s="1136"/>
      <c r="Z72" s="1136"/>
      <c r="AA72" s="1137"/>
      <c r="AB72" s="153"/>
      <c r="AF72" s="155"/>
      <c r="AG72" s="187"/>
      <c r="AH72" s="156"/>
      <c r="AN72" s="144"/>
    </row>
    <row r="73" spans="1:109" s="154" customFormat="1" ht="15" customHeight="1">
      <c r="A73" s="153"/>
      <c r="B73" s="283">
        <f>B81-AF73</f>
        <v>0.70138888888888895</v>
      </c>
      <c r="C73" s="284"/>
      <c r="D73" s="285"/>
      <c r="E73" s="286">
        <v>0.70486111111111116</v>
      </c>
      <c r="F73" s="284"/>
      <c r="G73" s="287"/>
      <c r="H73" s="288">
        <f t="shared" ref="H73" si="19">IF(E73="","",IF(E73-B73&lt;0,"24:00"-(B73-E73),E73-B73))</f>
        <v>3.4722222222222099E-3</v>
      </c>
      <c r="I73" s="289"/>
      <c r="J73" s="290" t="s">
        <v>403</v>
      </c>
      <c r="K73" s="291"/>
      <c r="L73" s="291"/>
      <c r="M73" s="291"/>
      <c r="N73" s="291"/>
      <c r="O73" s="291"/>
      <c r="P73" s="291"/>
      <c r="Q73" s="291"/>
      <c r="R73" s="291"/>
      <c r="S73" s="137"/>
      <c r="T73" s="292"/>
      <c r="U73" s="293"/>
      <c r="V73" s="293"/>
      <c r="W73" s="293"/>
      <c r="X73" s="293"/>
      <c r="Y73" s="293"/>
      <c r="Z73" s="293"/>
      <c r="AA73" s="294"/>
      <c r="AB73" s="153"/>
      <c r="AC73" s="281" t="s">
        <v>262</v>
      </c>
      <c r="AD73" s="282"/>
      <c r="AE73" s="282"/>
      <c r="AF73" s="155">
        <v>6.9444444444444434E-2</v>
      </c>
      <c r="AG73" s="187" t="s">
        <v>202</v>
      </c>
      <c r="AI73" s="156"/>
    </row>
    <row r="74" spans="1:109" s="139" customFormat="1" ht="15" customHeight="1">
      <c r="B74" s="283">
        <f>B81-AF74</f>
        <v>0.71180555555555558</v>
      </c>
      <c r="C74" s="284"/>
      <c r="D74" s="285"/>
      <c r="E74" s="286"/>
      <c r="F74" s="284"/>
      <c r="G74" s="287"/>
      <c r="H74" s="288" t="str">
        <f>IF(E74="","",IF(E74-B74&lt;0,"24:00"-(B74-E74),E74-B74))</f>
        <v/>
      </c>
      <c r="I74" s="289"/>
      <c r="J74" s="290" t="s">
        <v>269</v>
      </c>
      <c r="K74" s="291"/>
      <c r="L74" s="291"/>
      <c r="M74" s="291"/>
      <c r="N74" s="291"/>
      <c r="O74" s="291"/>
      <c r="P74" s="291"/>
      <c r="Q74" s="291"/>
      <c r="R74" s="291"/>
      <c r="S74" s="137"/>
      <c r="T74" s="296"/>
      <c r="U74" s="297"/>
      <c r="V74" s="297"/>
      <c r="W74" s="297"/>
      <c r="X74" s="297"/>
      <c r="Y74" s="297"/>
      <c r="Z74" s="297"/>
      <c r="AA74" s="298"/>
      <c r="AB74" s="153"/>
      <c r="AC74" s="281" t="s">
        <v>262</v>
      </c>
      <c r="AD74" s="282"/>
      <c r="AE74" s="282"/>
      <c r="AF74" s="155">
        <v>5.9027777777777783E-2</v>
      </c>
      <c r="AG74" s="184" t="s">
        <v>202</v>
      </c>
      <c r="AH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140"/>
      <c r="BP74" s="140"/>
      <c r="BQ74" s="140"/>
      <c r="BR74" s="140"/>
      <c r="BS74" s="140"/>
      <c r="BT74" s="140"/>
      <c r="BU74" s="140"/>
      <c r="BV74" s="140"/>
      <c r="BW74" s="140"/>
      <c r="BX74" s="140"/>
      <c r="BY74" s="140"/>
      <c r="BZ74" s="140"/>
      <c r="CA74" s="140"/>
      <c r="CB74" s="140"/>
      <c r="CC74" s="140"/>
      <c r="CD74" s="140"/>
      <c r="CE74" s="140"/>
      <c r="CF74" s="140"/>
      <c r="CG74" s="140"/>
      <c r="CH74" s="140"/>
      <c r="CI74" s="140"/>
      <c r="CJ74" s="140"/>
      <c r="CK74" s="140"/>
      <c r="CL74" s="140"/>
      <c r="CM74" s="140"/>
      <c r="CN74" s="140"/>
      <c r="CO74" s="140"/>
      <c r="CP74" s="140"/>
      <c r="CQ74" s="140"/>
      <c r="CR74" s="140"/>
      <c r="CS74" s="140"/>
      <c r="CT74" s="140"/>
      <c r="CU74" s="140"/>
      <c r="CV74" s="140"/>
      <c r="CW74" s="140"/>
      <c r="CX74" s="140"/>
      <c r="CY74" s="140"/>
      <c r="CZ74" s="140"/>
      <c r="DA74" s="140"/>
      <c r="DB74" s="140"/>
      <c r="DC74" s="140"/>
      <c r="DD74" s="140"/>
      <c r="DE74" s="140"/>
    </row>
    <row r="75" spans="1:109" s="139" customFormat="1" ht="15" customHeight="1">
      <c r="B75" s="283">
        <f>B81-AF75</f>
        <v>0.71527777777777779</v>
      </c>
      <c r="C75" s="284"/>
      <c r="D75" s="285"/>
      <c r="E75" s="286"/>
      <c r="F75" s="284"/>
      <c r="G75" s="287"/>
      <c r="H75" s="364" t="str">
        <f>IF(E75="","",IF(E75-B75&lt;0,"24:00"-(B75-E75),E75-B75))</f>
        <v/>
      </c>
      <c r="I75" s="365"/>
      <c r="J75" s="290" t="s">
        <v>271</v>
      </c>
      <c r="K75" s="291"/>
      <c r="L75" s="291"/>
      <c r="M75" s="291"/>
      <c r="N75" s="291"/>
      <c r="O75" s="291"/>
      <c r="P75" s="291"/>
      <c r="Q75" s="291"/>
      <c r="R75" s="291"/>
      <c r="S75" s="199"/>
      <c r="T75" s="361"/>
      <c r="U75" s="362"/>
      <c r="V75" s="362"/>
      <c r="W75" s="362"/>
      <c r="X75" s="362"/>
      <c r="Y75" s="362"/>
      <c r="Z75" s="362"/>
      <c r="AA75" s="363"/>
      <c r="AB75" s="153"/>
      <c r="AC75" s="281" t="s">
        <v>262</v>
      </c>
      <c r="AD75" s="282"/>
      <c r="AE75" s="282"/>
      <c r="AF75" s="155">
        <v>5.5555555555555552E-2</v>
      </c>
      <c r="AG75" s="184"/>
      <c r="AH75" s="140"/>
      <c r="AI75" s="143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140"/>
      <c r="BP75" s="140"/>
      <c r="BQ75" s="140"/>
      <c r="BR75" s="140"/>
      <c r="BS75" s="140"/>
      <c r="BT75" s="140"/>
      <c r="BU75" s="140"/>
      <c r="BV75" s="140"/>
      <c r="BW75" s="140"/>
      <c r="BX75" s="140"/>
      <c r="BY75" s="140"/>
      <c r="BZ75" s="140"/>
      <c r="CA75" s="140"/>
      <c r="CB75" s="140"/>
      <c r="CC75" s="140"/>
      <c r="CD75" s="140"/>
      <c r="CE75" s="140"/>
      <c r="CF75" s="140"/>
      <c r="CG75" s="140"/>
      <c r="CH75" s="140"/>
      <c r="CI75" s="140"/>
      <c r="CJ75" s="140"/>
      <c r="CK75" s="140"/>
      <c r="CL75" s="140"/>
      <c r="CM75" s="140"/>
      <c r="CN75" s="140"/>
      <c r="CO75" s="140"/>
      <c r="CP75" s="140"/>
      <c r="CQ75" s="140"/>
      <c r="CR75" s="140"/>
      <c r="CS75" s="140"/>
      <c r="CT75" s="140"/>
      <c r="CU75" s="140"/>
      <c r="CV75" s="140"/>
      <c r="CW75" s="140"/>
      <c r="CX75" s="140"/>
      <c r="CY75" s="140"/>
      <c r="CZ75" s="140"/>
      <c r="DA75" s="140"/>
      <c r="DB75" s="140"/>
      <c r="DC75" s="140"/>
      <c r="DD75" s="140"/>
      <c r="DE75" s="140"/>
    </row>
    <row r="76" spans="1:109" s="154" customFormat="1" ht="15" customHeight="1">
      <c r="A76" s="153"/>
      <c r="B76" s="283">
        <f>B81-AF76</f>
        <v>0.72569444444444453</v>
      </c>
      <c r="C76" s="284"/>
      <c r="D76" s="285"/>
      <c r="E76" s="286"/>
      <c r="F76" s="284"/>
      <c r="G76" s="287"/>
      <c r="H76" s="288" t="str">
        <f t="shared" ref="H76" si="20">IF(E76="","",IF(E76-B76&lt;0,"24:00"-(B76-E76),E76-B76))</f>
        <v/>
      </c>
      <c r="I76" s="289"/>
      <c r="J76" s="290" t="s">
        <v>284</v>
      </c>
      <c r="K76" s="291"/>
      <c r="L76" s="291"/>
      <c r="M76" s="291"/>
      <c r="N76" s="291"/>
      <c r="O76" s="291"/>
      <c r="P76" s="291"/>
      <c r="Q76" s="291"/>
      <c r="R76" s="291"/>
      <c r="S76" s="138" t="s">
        <v>266</v>
      </c>
      <c r="T76" s="370"/>
      <c r="U76" s="371"/>
      <c r="V76" s="371"/>
      <c r="W76" s="371"/>
      <c r="X76" s="371"/>
      <c r="Y76" s="371"/>
      <c r="Z76" s="371"/>
      <c r="AA76" s="372"/>
      <c r="AB76" s="153"/>
      <c r="AC76" s="281" t="s">
        <v>262</v>
      </c>
      <c r="AD76" s="282"/>
      <c r="AE76" s="282"/>
      <c r="AF76" s="155">
        <v>4.5138888888888888E-2</v>
      </c>
      <c r="AG76" s="184" t="s">
        <v>202</v>
      </c>
      <c r="AI76" s="156"/>
      <c r="AM76" s="154" t="s">
        <v>13</v>
      </c>
      <c r="AO76" s="154" t="s">
        <v>13</v>
      </c>
      <c r="AP76" s="154" t="s">
        <v>13</v>
      </c>
    </row>
    <row r="77" spans="1:109" s="154" customFormat="1" ht="15" customHeight="1">
      <c r="A77" s="180"/>
      <c r="B77" s="1065" t="s">
        <v>53</v>
      </c>
      <c r="C77" s="1066"/>
      <c r="D77" s="1066"/>
      <c r="E77" s="1066"/>
      <c r="F77" s="1066"/>
      <c r="G77" s="1067"/>
      <c r="H77" s="1068" t="str">
        <f t="shared" ref="H77" si="21">IF(E77="","",IF(E77-B77&lt;0,"24:00"-(B77-E77),E77-B77))</f>
        <v/>
      </c>
      <c r="I77" s="1068"/>
      <c r="J77" s="1069" t="s">
        <v>224</v>
      </c>
      <c r="K77" s="1070"/>
      <c r="L77" s="1070"/>
      <c r="M77" s="1070"/>
      <c r="N77" s="1070"/>
      <c r="O77" s="1070"/>
      <c r="P77" s="1070"/>
      <c r="Q77" s="1070"/>
      <c r="R77" s="1070"/>
      <c r="S77" s="174"/>
      <c r="T77" s="1076"/>
      <c r="U77" s="434"/>
      <c r="V77" s="434"/>
      <c r="W77" s="434"/>
      <c r="X77" s="434"/>
      <c r="Y77" s="434"/>
      <c r="Z77" s="434"/>
      <c r="AA77" s="435"/>
      <c r="AB77" s="153"/>
      <c r="AC77" s="282"/>
      <c r="AD77" s="282"/>
      <c r="AE77" s="282"/>
      <c r="AF77" s="155"/>
      <c r="AG77" s="187"/>
      <c r="AH77" s="156"/>
      <c r="AN77" s="144"/>
    </row>
    <row r="78" spans="1:109" s="154" customFormat="1" ht="15" customHeight="1">
      <c r="A78" s="153"/>
      <c r="B78" s="283">
        <f>B81-AF79</f>
        <v>0.75</v>
      </c>
      <c r="C78" s="284"/>
      <c r="D78" s="285"/>
      <c r="E78" s="286"/>
      <c r="F78" s="284"/>
      <c r="G78" s="287"/>
      <c r="H78" s="288"/>
      <c r="I78" s="289"/>
      <c r="J78" s="290" t="s">
        <v>273</v>
      </c>
      <c r="K78" s="291"/>
      <c r="L78" s="291"/>
      <c r="M78" s="291"/>
      <c r="N78" s="291"/>
      <c r="O78" s="291"/>
      <c r="P78" s="291"/>
      <c r="Q78" s="291"/>
      <c r="R78" s="291"/>
      <c r="S78" s="137"/>
      <c r="T78" s="296"/>
      <c r="U78" s="297"/>
      <c r="V78" s="297"/>
      <c r="W78" s="297"/>
      <c r="X78" s="297"/>
      <c r="Y78" s="297"/>
      <c r="Z78" s="297"/>
      <c r="AA78" s="298"/>
      <c r="AB78" s="153"/>
      <c r="AC78" s="281" t="s">
        <v>262</v>
      </c>
      <c r="AD78" s="282"/>
      <c r="AE78" s="282"/>
      <c r="AF78" s="155">
        <v>2.4305555555555556E-2</v>
      </c>
      <c r="AG78" s="186" t="s">
        <v>202</v>
      </c>
      <c r="AI78" s="156"/>
      <c r="AP78" s="154" t="s">
        <v>13</v>
      </c>
    </row>
    <row r="79" spans="1:109" s="154" customFormat="1" ht="15" customHeight="1">
      <c r="A79" s="153"/>
      <c r="B79" s="283">
        <f>B81-AF79</f>
        <v>0.75</v>
      </c>
      <c r="C79" s="284"/>
      <c r="D79" s="285"/>
      <c r="E79" s="286"/>
      <c r="F79" s="284"/>
      <c r="G79" s="287"/>
      <c r="H79" s="288" t="str">
        <f t="shared" ref="H79:H81" si="22">IF(E79="","",IF(E79-B79&lt;0,"24:00"-(B79-E79),E79-B79))</f>
        <v/>
      </c>
      <c r="I79" s="289"/>
      <c r="J79" s="290" t="s">
        <v>285</v>
      </c>
      <c r="K79" s="291"/>
      <c r="L79" s="291"/>
      <c r="M79" s="291"/>
      <c r="N79" s="291"/>
      <c r="O79" s="291"/>
      <c r="P79" s="291"/>
      <c r="Q79" s="291"/>
      <c r="R79" s="291"/>
      <c r="S79" s="137"/>
      <c r="T79" s="296"/>
      <c r="U79" s="297"/>
      <c r="V79" s="297"/>
      <c r="W79" s="297"/>
      <c r="X79" s="297"/>
      <c r="Y79" s="297"/>
      <c r="Z79" s="297"/>
      <c r="AA79" s="298"/>
      <c r="AB79" s="139"/>
      <c r="AC79" s="281" t="s">
        <v>262</v>
      </c>
      <c r="AD79" s="282"/>
      <c r="AE79" s="282"/>
      <c r="AF79" s="155">
        <v>2.0833333333333332E-2</v>
      </c>
      <c r="AG79" s="187" t="s">
        <v>202</v>
      </c>
      <c r="AI79" s="156"/>
    </row>
    <row r="80" spans="1:109" s="154" customFormat="1" ht="15" customHeight="1">
      <c r="A80" s="153"/>
      <c r="B80" s="344">
        <f>B81-AF80</f>
        <v>0.76041666666666674</v>
      </c>
      <c r="C80" s="345"/>
      <c r="D80" s="346"/>
      <c r="E80" s="347"/>
      <c r="F80" s="345"/>
      <c r="G80" s="348"/>
      <c r="H80" s="349" t="str">
        <f t="shared" si="22"/>
        <v/>
      </c>
      <c r="I80" s="350"/>
      <c r="J80" s="356" t="s">
        <v>276</v>
      </c>
      <c r="K80" s="357"/>
      <c r="L80" s="357"/>
      <c r="M80" s="357"/>
      <c r="N80" s="357"/>
      <c r="O80" s="357"/>
      <c r="P80" s="357"/>
      <c r="Q80" s="357"/>
      <c r="R80" s="357"/>
      <c r="S80" s="198" t="s">
        <v>13</v>
      </c>
      <c r="T80" s="358"/>
      <c r="U80" s="359"/>
      <c r="V80" s="359"/>
      <c r="W80" s="359"/>
      <c r="X80" s="359"/>
      <c r="Y80" s="359"/>
      <c r="Z80" s="359"/>
      <c r="AA80" s="360"/>
      <c r="AB80" s="139"/>
      <c r="AC80" s="281" t="s">
        <v>262</v>
      </c>
      <c r="AD80" s="282"/>
      <c r="AE80" s="282"/>
      <c r="AF80" s="155">
        <v>1.0416666666666666E-2</v>
      </c>
      <c r="AG80" s="187" t="s">
        <v>202</v>
      </c>
      <c r="AI80" s="156"/>
    </row>
    <row r="81" spans="1:109" s="154" customFormat="1" ht="15" customHeight="1">
      <c r="A81" s="180"/>
      <c r="B81" s="1127">
        <v>0.77083333333333337</v>
      </c>
      <c r="C81" s="1128"/>
      <c r="D81" s="1128"/>
      <c r="E81" s="1128">
        <v>0.875</v>
      </c>
      <c r="F81" s="1128"/>
      <c r="G81" s="1129"/>
      <c r="H81" s="1117">
        <f t="shared" si="22"/>
        <v>0.10416666666666663</v>
      </c>
      <c r="I81" s="1117"/>
      <c r="J81" s="1130" t="s">
        <v>408</v>
      </c>
      <c r="K81" s="1131"/>
      <c r="L81" s="1131"/>
      <c r="M81" s="1131"/>
      <c r="N81" s="1131"/>
      <c r="O81" s="1131"/>
      <c r="P81" s="1131"/>
      <c r="Q81" s="1131"/>
      <c r="R81" s="1131"/>
      <c r="S81" s="179"/>
      <c r="T81" s="1132"/>
      <c r="U81" s="1133"/>
      <c r="V81" s="1133"/>
      <c r="W81" s="1133"/>
      <c r="X81" s="1133"/>
      <c r="Y81" s="1133"/>
      <c r="Z81" s="1133"/>
      <c r="AA81" s="1134"/>
      <c r="AB81" s="153"/>
      <c r="AF81" s="155"/>
      <c r="AG81" s="184"/>
      <c r="AH81" s="156"/>
      <c r="AN81" s="144"/>
    </row>
    <row r="82" spans="1:109" s="154" customFormat="1" ht="15" customHeight="1">
      <c r="A82" s="180"/>
      <c r="B82" s="1065">
        <v>0.87847222222222221</v>
      </c>
      <c r="C82" s="1066"/>
      <c r="D82" s="1066"/>
      <c r="E82" s="1066"/>
      <c r="F82" s="1066"/>
      <c r="G82" s="1067"/>
      <c r="H82" s="1117"/>
      <c r="I82" s="1117"/>
      <c r="J82" s="1069" t="s">
        <v>409</v>
      </c>
      <c r="K82" s="1070"/>
      <c r="L82" s="1070"/>
      <c r="M82" s="1070"/>
      <c r="N82" s="1070"/>
      <c r="O82" s="1070"/>
      <c r="P82" s="1070"/>
      <c r="Q82" s="1070"/>
      <c r="R82" s="1070"/>
      <c r="S82" s="174"/>
      <c r="T82" s="1135"/>
      <c r="U82" s="1136"/>
      <c r="V82" s="1136"/>
      <c r="W82" s="1136"/>
      <c r="X82" s="1136"/>
      <c r="Y82" s="1136"/>
      <c r="Z82" s="1136"/>
      <c r="AA82" s="1137"/>
      <c r="AB82" s="153"/>
      <c r="AF82" s="155"/>
      <c r="AG82" s="187"/>
      <c r="AH82" s="156"/>
      <c r="AN82" s="144"/>
    </row>
    <row r="83" spans="1:109" s="154" customFormat="1" ht="15" customHeight="1">
      <c r="A83" s="180"/>
      <c r="B83" s="1118">
        <v>0.95833333333333337</v>
      </c>
      <c r="C83" s="1119"/>
      <c r="D83" s="1119"/>
      <c r="E83" s="1066"/>
      <c r="F83" s="1066"/>
      <c r="G83" s="1067"/>
      <c r="H83" s="1068" t="str">
        <f t="shared" si="18"/>
        <v/>
      </c>
      <c r="I83" s="1068"/>
      <c r="J83" s="1122" t="s">
        <v>405</v>
      </c>
      <c r="K83" s="1123"/>
      <c r="L83" s="1123"/>
      <c r="M83" s="1123"/>
      <c r="N83" s="1123"/>
      <c r="O83" s="1123"/>
      <c r="P83" s="1123"/>
      <c r="Q83" s="1123"/>
      <c r="R83" s="1123"/>
      <c r="S83" s="178"/>
      <c r="T83" s="1162"/>
      <c r="U83" s="1163"/>
      <c r="V83" s="1163"/>
      <c r="W83" s="1163"/>
      <c r="X83" s="1163"/>
      <c r="Y83" s="1163"/>
      <c r="Z83" s="1163"/>
      <c r="AA83" s="1164"/>
      <c r="AB83" s="153"/>
      <c r="AC83" s="282" t="s">
        <v>262</v>
      </c>
      <c r="AD83" s="282"/>
      <c r="AE83" s="282"/>
      <c r="AF83" s="155">
        <v>6.9444444444444441E-3</v>
      </c>
      <c r="AG83" s="186"/>
      <c r="AH83" s="156"/>
      <c r="AN83" s="144"/>
    </row>
    <row r="84" spans="1:109" s="154" customFormat="1" ht="15" customHeight="1">
      <c r="A84" s="180"/>
      <c r="B84" s="1165" t="s">
        <v>212</v>
      </c>
      <c r="C84" s="1089"/>
      <c r="D84" s="1089"/>
      <c r="E84" s="1090"/>
      <c r="F84" s="1090"/>
      <c r="G84" s="1090"/>
      <c r="H84" s="1090"/>
      <c r="I84" s="1090"/>
      <c r="J84" s="1090" t="s">
        <v>410</v>
      </c>
      <c r="K84" s="1090"/>
      <c r="L84" s="1090"/>
      <c r="M84" s="1090"/>
      <c r="N84" s="1090"/>
      <c r="O84" s="1090"/>
      <c r="P84" s="1090"/>
      <c r="Q84" s="1090"/>
      <c r="R84" s="1090"/>
      <c r="S84" s="1090"/>
      <c r="T84" s="1159"/>
      <c r="U84" s="1160"/>
      <c r="V84" s="1160"/>
      <c r="W84" s="1160"/>
      <c r="X84" s="1160"/>
      <c r="Y84" s="1160"/>
      <c r="Z84" s="1160"/>
      <c r="AA84" s="1161"/>
      <c r="AB84" s="153"/>
      <c r="AC84" s="282"/>
      <c r="AD84" s="282"/>
      <c r="AE84" s="282"/>
      <c r="AF84" s="155"/>
      <c r="AG84" s="188"/>
      <c r="AJ84" s="140"/>
      <c r="AK84" s="157"/>
      <c r="AL84" s="140"/>
      <c r="AM84" s="144"/>
    </row>
    <row r="85" spans="1:109" s="154" customFormat="1" ht="15" customHeight="1">
      <c r="A85" s="180"/>
      <c r="B85" s="1138" t="s">
        <v>193</v>
      </c>
      <c r="C85" s="1138"/>
      <c r="D85" s="1138"/>
      <c r="E85" s="1138" t="s">
        <v>194</v>
      </c>
      <c r="F85" s="1138"/>
      <c r="G85" s="1138"/>
      <c r="H85" s="1138" t="s">
        <v>214</v>
      </c>
      <c r="I85" s="1139"/>
      <c r="J85" s="1140" t="s">
        <v>215</v>
      </c>
      <c r="K85" s="1141"/>
      <c r="L85" s="1141"/>
      <c r="M85" s="1141"/>
      <c r="N85" s="1141"/>
      <c r="O85" s="1141"/>
      <c r="P85" s="1141"/>
      <c r="Q85" s="1141"/>
      <c r="R85" s="1141"/>
      <c r="S85" s="175" t="s">
        <v>216</v>
      </c>
      <c r="T85" s="1156" t="s">
        <v>217</v>
      </c>
      <c r="U85" s="1157"/>
      <c r="V85" s="1157"/>
      <c r="W85" s="1157"/>
      <c r="X85" s="1157"/>
      <c r="Y85" s="1157"/>
      <c r="Z85" s="1157"/>
      <c r="AA85" s="1158"/>
      <c r="AB85" s="153"/>
      <c r="AD85" s="158"/>
      <c r="AF85" s="155"/>
      <c r="AG85" s="189"/>
      <c r="AH85" s="156"/>
      <c r="AN85" s="144"/>
    </row>
    <row r="86" spans="1:109" s="154" customFormat="1" ht="15" customHeight="1">
      <c r="A86" s="153"/>
      <c r="B86" s="283">
        <f>B96-AF86</f>
        <v>0.45138888888888895</v>
      </c>
      <c r="C86" s="284"/>
      <c r="D86" s="285"/>
      <c r="E86" s="286">
        <v>0.45833333333333331</v>
      </c>
      <c r="F86" s="284"/>
      <c r="G86" s="287"/>
      <c r="H86" s="288">
        <f t="shared" ref="H86:H87" si="23">IF(E86="","",IF(E86-B86&lt;0,"24:00"-(B86-E86),E86-B86))</f>
        <v>6.9444444444443643E-3</v>
      </c>
      <c r="I86" s="289"/>
      <c r="J86" s="290" t="s">
        <v>399</v>
      </c>
      <c r="K86" s="291"/>
      <c r="L86" s="291"/>
      <c r="M86" s="291"/>
      <c r="N86" s="291"/>
      <c r="O86" s="291"/>
      <c r="P86" s="291"/>
      <c r="Q86" s="291"/>
      <c r="R86" s="291"/>
      <c r="S86" s="137"/>
      <c r="T86" s="292"/>
      <c r="U86" s="293"/>
      <c r="V86" s="293"/>
      <c r="W86" s="293"/>
      <c r="X86" s="293"/>
      <c r="Y86" s="293"/>
      <c r="Z86" s="293"/>
      <c r="AA86" s="294"/>
      <c r="AB86" s="153"/>
      <c r="AC86" s="281" t="s">
        <v>262</v>
      </c>
      <c r="AD86" s="282"/>
      <c r="AE86" s="282"/>
      <c r="AF86" s="155">
        <v>6.9444444444444434E-2</v>
      </c>
      <c r="AG86" s="187" t="s">
        <v>202</v>
      </c>
      <c r="AI86" s="156"/>
    </row>
    <row r="87" spans="1:109" s="154" customFormat="1" ht="15" customHeight="1">
      <c r="A87" s="240">
        <v>0.45833333333333331</v>
      </c>
      <c r="B87" s="1065">
        <v>0.45833333333333331</v>
      </c>
      <c r="C87" s="1066"/>
      <c r="D87" s="1066"/>
      <c r="E87" s="1066"/>
      <c r="F87" s="1066"/>
      <c r="G87" s="1067"/>
      <c r="H87" s="1068" t="str">
        <f t="shared" si="23"/>
        <v/>
      </c>
      <c r="I87" s="1068"/>
      <c r="J87" s="1074" t="s">
        <v>264</v>
      </c>
      <c r="K87" s="1075"/>
      <c r="L87" s="1075"/>
      <c r="M87" s="1075"/>
      <c r="N87" s="1075"/>
      <c r="O87" s="1075"/>
      <c r="P87" s="1075"/>
      <c r="Q87" s="1075"/>
      <c r="R87" s="1075"/>
      <c r="S87" s="174"/>
      <c r="T87" s="1077"/>
      <c r="U87" s="371"/>
      <c r="V87" s="371"/>
      <c r="W87" s="371"/>
      <c r="X87" s="371"/>
      <c r="Y87" s="371"/>
      <c r="Z87" s="371"/>
      <c r="AA87" s="372"/>
      <c r="AB87" s="153"/>
      <c r="AC87" s="282" t="s">
        <v>262</v>
      </c>
      <c r="AD87" s="282"/>
      <c r="AE87" s="282"/>
      <c r="AF87" s="155">
        <v>4.8611111111111112E-2</v>
      </c>
      <c r="AG87" s="187"/>
      <c r="AH87" s="156"/>
      <c r="AN87" s="144"/>
    </row>
    <row r="88" spans="1:109" s="139" customFormat="1" ht="15" customHeight="1">
      <c r="B88" s="283">
        <f>B96-AF88</f>
        <v>0.46180555555555558</v>
      </c>
      <c r="C88" s="284"/>
      <c r="D88" s="285"/>
      <c r="E88" s="286"/>
      <c r="F88" s="284"/>
      <c r="G88" s="287"/>
      <c r="H88" s="288" t="str">
        <f>IF(E88="","",IF(E88-B88&lt;0,"24:00"-(B88-E88),E88-B88))</f>
        <v/>
      </c>
      <c r="I88" s="289"/>
      <c r="J88" s="290" t="s">
        <v>269</v>
      </c>
      <c r="K88" s="291"/>
      <c r="L88" s="291"/>
      <c r="M88" s="291"/>
      <c r="N88" s="291"/>
      <c r="O88" s="291"/>
      <c r="P88" s="291"/>
      <c r="Q88" s="291"/>
      <c r="R88" s="291"/>
      <c r="S88" s="137"/>
      <c r="T88" s="296"/>
      <c r="U88" s="297"/>
      <c r="V88" s="297"/>
      <c r="W88" s="297"/>
      <c r="X88" s="297"/>
      <c r="Y88" s="297"/>
      <c r="Z88" s="297"/>
      <c r="AA88" s="298"/>
      <c r="AB88" s="153"/>
      <c r="AC88" s="281" t="s">
        <v>262</v>
      </c>
      <c r="AD88" s="282"/>
      <c r="AE88" s="282"/>
      <c r="AF88" s="155">
        <v>5.9027777777777783E-2</v>
      </c>
      <c r="AG88" s="184" t="s">
        <v>202</v>
      </c>
      <c r="AH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140"/>
      <c r="BP88" s="140"/>
      <c r="BQ88" s="140"/>
      <c r="BR88" s="140"/>
      <c r="BS88" s="140"/>
      <c r="BT88" s="140"/>
      <c r="BU88" s="140"/>
      <c r="BV88" s="140"/>
      <c r="BW88" s="140"/>
      <c r="BX88" s="140"/>
      <c r="BY88" s="140"/>
      <c r="BZ88" s="140"/>
      <c r="CA88" s="140"/>
      <c r="CB88" s="140"/>
      <c r="CC88" s="140"/>
      <c r="CD88" s="140"/>
      <c r="CE88" s="140"/>
      <c r="CF88" s="140"/>
      <c r="CG88" s="140"/>
      <c r="CH88" s="140"/>
      <c r="CI88" s="140"/>
      <c r="CJ88" s="140"/>
      <c r="CK88" s="140"/>
      <c r="CL88" s="140"/>
      <c r="CM88" s="140"/>
      <c r="CN88" s="140"/>
      <c r="CO88" s="140"/>
      <c r="CP88" s="140"/>
      <c r="CQ88" s="140"/>
      <c r="CR88" s="140"/>
      <c r="CS88" s="140"/>
      <c r="CT88" s="140"/>
      <c r="CU88" s="140"/>
      <c r="CV88" s="140"/>
      <c r="CW88" s="140"/>
      <c r="CX88" s="140"/>
      <c r="CY88" s="140"/>
      <c r="CZ88" s="140"/>
      <c r="DA88" s="140"/>
      <c r="DB88" s="140"/>
      <c r="DC88" s="140"/>
      <c r="DD88" s="140"/>
      <c r="DE88" s="140"/>
    </row>
    <row r="89" spans="1:109" s="139" customFormat="1" ht="15" customHeight="1">
      <c r="B89" s="283">
        <f>B96-AF89</f>
        <v>0.46527777777777779</v>
      </c>
      <c r="C89" s="284"/>
      <c r="D89" s="285"/>
      <c r="E89" s="286"/>
      <c r="F89" s="284"/>
      <c r="G89" s="287"/>
      <c r="H89" s="364" t="str">
        <f>IF(E89="","",IF(E89-B89&lt;0,"24:00"-(B89-E89),E89-B89))</f>
        <v/>
      </c>
      <c r="I89" s="365"/>
      <c r="J89" s="290" t="s">
        <v>271</v>
      </c>
      <c r="K89" s="291"/>
      <c r="L89" s="291"/>
      <c r="M89" s="291"/>
      <c r="N89" s="291"/>
      <c r="O89" s="291"/>
      <c r="P89" s="291"/>
      <c r="Q89" s="291"/>
      <c r="R89" s="291"/>
      <c r="S89" s="199"/>
      <c r="T89" s="361"/>
      <c r="U89" s="362"/>
      <c r="V89" s="362"/>
      <c r="W89" s="362"/>
      <c r="X89" s="362"/>
      <c r="Y89" s="362"/>
      <c r="Z89" s="362"/>
      <c r="AA89" s="363"/>
      <c r="AB89" s="153"/>
      <c r="AC89" s="281" t="s">
        <v>262</v>
      </c>
      <c r="AD89" s="282"/>
      <c r="AE89" s="282"/>
      <c r="AF89" s="155">
        <v>5.5555555555555552E-2</v>
      </c>
      <c r="AG89" s="184"/>
      <c r="AH89" s="140"/>
      <c r="AI89" s="143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140"/>
      <c r="BP89" s="140"/>
      <c r="BQ89" s="140"/>
      <c r="BR89" s="140"/>
      <c r="BS89" s="140"/>
      <c r="BT89" s="140"/>
      <c r="BU89" s="140"/>
      <c r="BV89" s="140"/>
      <c r="BW89" s="140"/>
      <c r="BX89" s="140"/>
      <c r="BY89" s="140"/>
      <c r="BZ89" s="140"/>
      <c r="CA89" s="140"/>
      <c r="CB89" s="140"/>
      <c r="CC89" s="140"/>
      <c r="CD89" s="140"/>
      <c r="CE89" s="140"/>
      <c r="CF89" s="140"/>
      <c r="CG89" s="140"/>
      <c r="CH89" s="140"/>
      <c r="CI89" s="140"/>
      <c r="CJ89" s="140"/>
      <c r="CK89" s="140"/>
      <c r="CL89" s="140"/>
      <c r="CM89" s="140"/>
      <c r="CN89" s="140"/>
      <c r="CO89" s="140"/>
      <c r="CP89" s="140"/>
      <c r="CQ89" s="140"/>
      <c r="CR89" s="140"/>
      <c r="CS89" s="140"/>
      <c r="CT89" s="140"/>
      <c r="CU89" s="140"/>
      <c r="CV89" s="140"/>
      <c r="CW89" s="140"/>
      <c r="CX89" s="140"/>
      <c r="CY89" s="140"/>
      <c r="CZ89" s="140"/>
      <c r="DA89" s="140"/>
      <c r="DB89" s="140"/>
      <c r="DC89" s="140"/>
      <c r="DD89" s="140"/>
      <c r="DE89" s="140"/>
    </row>
    <row r="90" spans="1:109" s="154" customFormat="1" ht="15" customHeight="1">
      <c r="A90" s="153"/>
      <c r="B90" s="283">
        <f>B96-AF90</f>
        <v>0.47569444444444448</v>
      </c>
      <c r="C90" s="284"/>
      <c r="D90" s="285"/>
      <c r="E90" s="286"/>
      <c r="F90" s="284"/>
      <c r="G90" s="287"/>
      <c r="H90" s="288" t="str">
        <f t="shared" ref="H90" si="24">IF(E90="","",IF(E90-B90&lt;0,"24:00"-(B90-E90),E90-B90))</f>
        <v/>
      </c>
      <c r="I90" s="289"/>
      <c r="J90" s="290" t="s">
        <v>284</v>
      </c>
      <c r="K90" s="291"/>
      <c r="L90" s="291"/>
      <c r="M90" s="291"/>
      <c r="N90" s="291"/>
      <c r="O90" s="291"/>
      <c r="P90" s="291"/>
      <c r="Q90" s="291"/>
      <c r="R90" s="291"/>
      <c r="S90" s="138"/>
      <c r="T90" s="370"/>
      <c r="U90" s="371"/>
      <c r="V90" s="371"/>
      <c r="W90" s="371"/>
      <c r="X90" s="371"/>
      <c r="Y90" s="371"/>
      <c r="Z90" s="371"/>
      <c r="AA90" s="372"/>
      <c r="AB90" s="153"/>
      <c r="AC90" s="281" t="s">
        <v>262</v>
      </c>
      <c r="AD90" s="282"/>
      <c r="AE90" s="282"/>
      <c r="AF90" s="155">
        <v>4.5138888888888888E-2</v>
      </c>
      <c r="AG90" s="184" t="s">
        <v>202</v>
      </c>
      <c r="AI90" s="156"/>
      <c r="AM90" s="154" t="s">
        <v>13</v>
      </c>
      <c r="AO90" s="154" t="s">
        <v>13</v>
      </c>
      <c r="AP90" s="154" t="s">
        <v>13</v>
      </c>
    </row>
    <row r="91" spans="1:109" s="154" customFormat="1" ht="15" customHeight="1">
      <c r="A91" s="180"/>
      <c r="B91" s="1118">
        <v>0.47916666666666669</v>
      </c>
      <c r="C91" s="1119"/>
      <c r="D91" s="1119"/>
      <c r="E91" s="1119"/>
      <c r="F91" s="1119"/>
      <c r="G91" s="1120"/>
      <c r="H91" s="1121" t="str">
        <f>IF(E91="","",IF(E91-B91&lt;0,"24:00"-(B91-E91),E91-B91))</f>
        <v/>
      </c>
      <c r="I91" s="1121"/>
      <c r="J91" s="1122" t="s">
        <v>400</v>
      </c>
      <c r="K91" s="1123"/>
      <c r="L91" s="1123"/>
      <c r="M91" s="1123"/>
      <c r="N91" s="1123"/>
      <c r="O91" s="1123"/>
      <c r="P91" s="1123"/>
      <c r="Q91" s="1123"/>
      <c r="R91" s="1123"/>
      <c r="S91" s="178"/>
      <c r="T91" s="1124"/>
      <c r="U91" s="1125"/>
      <c r="V91" s="1125"/>
      <c r="W91" s="1125"/>
      <c r="X91" s="1125"/>
      <c r="Y91" s="1125"/>
      <c r="Z91" s="1125"/>
      <c r="AA91" s="1126"/>
      <c r="AB91" s="153"/>
      <c r="AC91" s="282" t="s">
        <v>262</v>
      </c>
      <c r="AD91" s="282"/>
      <c r="AE91" s="282"/>
      <c r="AF91" s="155">
        <v>5.5555555555555552E-2</v>
      </c>
      <c r="AG91" s="187"/>
      <c r="AH91" s="156"/>
      <c r="AN91" s="144"/>
    </row>
    <row r="92" spans="1:109" s="154" customFormat="1" ht="15" customHeight="1">
      <c r="A92" s="180"/>
      <c r="B92" s="1065">
        <v>0.47916666666666669</v>
      </c>
      <c r="C92" s="1066"/>
      <c r="D92" s="1066"/>
      <c r="E92" s="1066"/>
      <c r="F92" s="1066"/>
      <c r="G92" s="1067"/>
      <c r="H92" s="1068"/>
      <c r="I92" s="1068"/>
      <c r="J92" s="1069" t="s">
        <v>221</v>
      </c>
      <c r="K92" s="1070"/>
      <c r="L92" s="1070"/>
      <c r="M92" s="1070"/>
      <c r="N92" s="1070"/>
      <c r="O92" s="1070"/>
      <c r="P92" s="1070"/>
      <c r="Q92" s="1070"/>
      <c r="R92" s="1070"/>
      <c r="S92" s="174" t="s">
        <v>260</v>
      </c>
      <c r="T92" s="1071"/>
      <c r="U92" s="1072"/>
      <c r="V92" s="1072"/>
      <c r="W92" s="1072"/>
      <c r="X92" s="1072"/>
      <c r="Y92" s="1072"/>
      <c r="Z92" s="1072"/>
      <c r="AA92" s="1073"/>
      <c r="AB92" s="153"/>
      <c r="AF92" s="155"/>
      <c r="AG92" s="187"/>
      <c r="AH92" s="156"/>
      <c r="AN92" s="144"/>
    </row>
    <row r="93" spans="1:109" s="154" customFormat="1" ht="15" customHeight="1">
      <c r="A93" s="153"/>
      <c r="B93" s="283">
        <f>B96-AF94</f>
        <v>0.5</v>
      </c>
      <c r="C93" s="284"/>
      <c r="D93" s="285"/>
      <c r="E93" s="286"/>
      <c r="F93" s="284"/>
      <c r="G93" s="287"/>
      <c r="H93" s="288"/>
      <c r="I93" s="289"/>
      <c r="J93" s="290" t="s">
        <v>273</v>
      </c>
      <c r="K93" s="291"/>
      <c r="L93" s="291"/>
      <c r="M93" s="291"/>
      <c r="N93" s="291"/>
      <c r="O93" s="291"/>
      <c r="P93" s="291"/>
      <c r="Q93" s="291"/>
      <c r="R93" s="291"/>
      <c r="S93" s="137"/>
      <c r="T93" s="296"/>
      <c r="U93" s="297"/>
      <c r="V93" s="297"/>
      <c r="W93" s="297"/>
      <c r="X93" s="297"/>
      <c r="Y93" s="297"/>
      <c r="Z93" s="297"/>
      <c r="AA93" s="298"/>
      <c r="AB93" s="153"/>
      <c r="AC93" s="281" t="s">
        <v>262</v>
      </c>
      <c r="AD93" s="282"/>
      <c r="AE93" s="282"/>
      <c r="AF93" s="155">
        <v>2.4305555555555556E-2</v>
      </c>
      <c r="AG93" s="186" t="s">
        <v>202</v>
      </c>
      <c r="AI93" s="156"/>
      <c r="AP93" s="154" t="s">
        <v>13</v>
      </c>
    </row>
    <row r="94" spans="1:109" s="154" customFormat="1" ht="15" customHeight="1">
      <c r="A94" s="153"/>
      <c r="B94" s="283">
        <f>B96-AF94</f>
        <v>0.5</v>
      </c>
      <c r="C94" s="284"/>
      <c r="D94" s="285"/>
      <c r="E94" s="286"/>
      <c r="F94" s="284"/>
      <c r="G94" s="287"/>
      <c r="H94" s="288" t="str">
        <f t="shared" ref="H94:H96" si="25">IF(E94="","",IF(E94-B94&lt;0,"24:00"-(B94-E94),E94-B94))</f>
        <v/>
      </c>
      <c r="I94" s="289"/>
      <c r="J94" s="290" t="s">
        <v>285</v>
      </c>
      <c r="K94" s="291"/>
      <c r="L94" s="291"/>
      <c r="M94" s="291"/>
      <c r="N94" s="291"/>
      <c r="O94" s="291"/>
      <c r="P94" s="291"/>
      <c r="Q94" s="291"/>
      <c r="R94" s="291"/>
      <c r="S94" s="137"/>
      <c r="T94" s="296"/>
      <c r="U94" s="297"/>
      <c r="V94" s="297"/>
      <c r="W94" s="297"/>
      <c r="X94" s="297"/>
      <c r="Y94" s="297"/>
      <c r="Z94" s="297"/>
      <c r="AA94" s="298"/>
      <c r="AB94" s="139"/>
      <c r="AC94" s="281" t="s">
        <v>262</v>
      </c>
      <c r="AD94" s="282"/>
      <c r="AE94" s="282"/>
      <c r="AF94" s="155">
        <v>2.0833333333333332E-2</v>
      </c>
      <c r="AG94" s="187" t="s">
        <v>202</v>
      </c>
      <c r="AI94" s="156"/>
    </row>
    <row r="95" spans="1:109" s="154" customFormat="1" ht="15" customHeight="1">
      <c r="A95" s="153"/>
      <c r="B95" s="344">
        <f>B96-AF95</f>
        <v>0.51041666666666674</v>
      </c>
      <c r="C95" s="345"/>
      <c r="D95" s="346"/>
      <c r="E95" s="347"/>
      <c r="F95" s="345"/>
      <c r="G95" s="348"/>
      <c r="H95" s="349" t="str">
        <f t="shared" si="25"/>
        <v/>
      </c>
      <c r="I95" s="350"/>
      <c r="J95" s="356" t="s">
        <v>276</v>
      </c>
      <c r="K95" s="357"/>
      <c r="L95" s="357"/>
      <c r="M95" s="357"/>
      <c r="N95" s="357"/>
      <c r="O95" s="357"/>
      <c r="P95" s="357"/>
      <c r="Q95" s="357"/>
      <c r="R95" s="357"/>
      <c r="S95" s="198" t="s">
        <v>13</v>
      </c>
      <c r="T95" s="358"/>
      <c r="U95" s="359"/>
      <c r="V95" s="359"/>
      <c r="W95" s="359"/>
      <c r="X95" s="359"/>
      <c r="Y95" s="359"/>
      <c r="Z95" s="359"/>
      <c r="AA95" s="360"/>
      <c r="AB95" s="139"/>
      <c r="AC95" s="281" t="s">
        <v>262</v>
      </c>
      <c r="AD95" s="282"/>
      <c r="AE95" s="282"/>
      <c r="AF95" s="155">
        <v>1.0416666666666666E-2</v>
      </c>
      <c r="AG95" s="187" t="s">
        <v>202</v>
      </c>
      <c r="AI95" s="156"/>
    </row>
    <row r="96" spans="1:109" s="154" customFormat="1" ht="15" customHeight="1">
      <c r="A96" s="180"/>
      <c r="B96" s="1127">
        <v>0.52083333333333337</v>
      </c>
      <c r="C96" s="1128"/>
      <c r="D96" s="1128"/>
      <c r="E96" s="1128">
        <v>0.625</v>
      </c>
      <c r="F96" s="1128"/>
      <c r="G96" s="1129"/>
      <c r="H96" s="1117">
        <f t="shared" si="25"/>
        <v>0.10416666666666663</v>
      </c>
      <c r="I96" s="1117"/>
      <c r="J96" s="1130" t="s">
        <v>411</v>
      </c>
      <c r="K96" s="1131"/>
      <c r="L96" s="1131"/>
      <c r="M96" s="1131"/>
      <c r="N96" s="1131"/>
      <c r="O96" s="1131"/>
      <c r="P96" s="1131"/>
      <c r="Q96" s="1131"/>
      <c r="R96" s="1131"/>
      <c r="S96" s="179"/>
      <c r="T96" s="1132"/>
      <c r="U96" s="1133"/>
      <c r="V96" s="1133"/>
      <c r="W96" s="1133"/>
      <c r="X96" s="1133"/>
      <c r="Y96" s="1133"/>
      <c r="Z96" s="1133"/>
      <c r="AA96" s="1134"/>
      <c r="AB96" s="153"/>
      <c r="AF96" s="155"/>
      <c r="AG96" s="184"/>
      <c r="AH96" s="156"/>
      <c r="AN96" s="144"/>
    </row>
    <row r="97" spans="1:109" s="154" customFormat="1" ht="15" customHeight="1">
      <c r="A97" s="180"/>
      <c r="B97" s="1065">
        <v>0.62847222222222221</v>
      </c>
      <c r="C97" s="1066"/>
      <c r="D97" s="1066"/>
      <c r="E97" s="1066"/>
      <c r="F97" s="1066"/>
      <c r="G97" s="1067"/>
      <c r="H97" s="1117"/>
      <c r="I97" s="1117"/>
      <c r="J97" s="1069" t="s">
        <v>402</v>
      </c>
      <c r="K97" s="1070"/>
      <c r="L97" s="1070"/>
      <c r="M97" s="1070"/>
      <c r="N97" s="1070"/>
      <c r="O97" s="1070"/>
      <c r="P97" s="1070"/>
      <c r="Q97" s="1070"/>
      <c r="R97" s="1070"/>
      <c r="S97" s="174"/>
      <c r="T97" s="1135"/>
      <c r="U97" s="1136"/>
      <c r="V97" s="1136"/>
      <c r="W97" s="1136"/>
      <c r="X97" s="1136"/>
      <c r="Y97" s="1136"/>
      <c r="Z97" s="1136"/>
      <c r="AA97" s="1137"/>
      <c r="AB97" s="153"/>
      <c r="AF97" s="155"/>
      <c r="AG97" s="187"/>
      <c r="AH97" s="156"/>
      <c r="AN97" s="144"/>
    </row>
    <row r="98" spans="1:109" s="154" customFormat="1" ht="15" customHeight="1">
      <c r="A98" s="153"/>
      <c r="B98" s="283">
        <f>B106-AF98</f>
        <v>0.70138888888888895</v>
      </c>
      <c r="C98" s="284"/>
      <c r="D98" s="285"/>
      <c r="E98" s="286">
        <v>0.70486111111111116</v>
      </c>
      <c r="F98" s="284"/>
      <c r="G98" s="287"/>
      <c r="H98" s="288">
        <f t="shared" ref="H98" si="26">IF(E98="","",IF(E98-B98&lt;0,"24:00"-(B98-E98),E98-B98))</f>
        <v>3.4722222222222099E-3</v>
      </c>
      <c r="I98" s="289"/>
      <c r="J98" s="290" t="s">
        <v>403</v>
      </c>
      <c r="K98" s="291"/>
      <c r="L98" s="291"/>
      <c r="M98" s="291"/>
      <c r="N98" s="291"/>
      <c r="O98" s="291"/>
      <c r="P98" s="291"/>
      <c r="Q98" s="291"/>
      <c r="R98" s="291"/>
      <c r="S98" s="137"/>
      <c r="T98" s="292"/>
      <c r="U98" s="293"/>
      <c r="V98" s="293"/>
      <c r="W98" s="293"/>
      <c r="X98" s="293"/>
      <c r="Y98" s="293"/>
      <c r="Z98" s="293"/>
      <c r="AA98" s="294"/>
      <c r="AB98" s="153"/>
      <c r="AC98" s="281" t="s">
        <v>262</v>
      </c>
      <c r="AD98" s="282"/>
      <c r="AE98" s="282"/>
      <c r="AF98" s="155">
        <v>6.9444444444444434E-2</v>
      </c>
      <c r="AG98" s="187" t="s">
        <v>202</v>
      </c>
      <c r="AI98" s="156"/>
    </row>
    <row r="99" spans="1:109" s="139" customFormat="1" ht="15" customHeight="1">
      <c r="B99" s="283">
        <f>B106-AF99</f>
        <v>0.71180555555555558</v>
      </c>
      <c r="C99" s="284"/>
      <c r="D99" s="285"/>
      <c r="E99" s="286"/>
      <c r="F99" s="284"/>
      <c r="G99" s="287"/>
      <c r="H99" s="288" t="str">
        <f>IF(E99="","",IF(E99-B99&lt;0,"24:00"-(B99-E99),E99-B99))</f>
        <v/>
      </c>
      <c r="I99" s="289"/>
      <c r="J99" s="290" t="s">
        <v>269</v>
      </c>
      <c r="K99" s="291"/>
      <c r="L99" s="291"/>
      <c r="M99" s="291"/>
      <c r="N99" s="291"/>
      <c r="O99" s="291"/>
      <c r="P99" s="291"/>
      <c r="Q99" s="291"/>
      <c r="R99" s="291"/>
      <c r="S99" s="137"/>
      <c r="T99" s="296"/>
      <c r="U99" s="297"/>
      <c r="V99" s="297"/>
      <c r="W99" s="297"/>
      <c r="X99" s="297"/>
      <c r="Y99" s="297"/>
      <c r="Z99" s="297"/>
      <c r="AA99" s="298"/>
      <c r="AB99" s="153"/>
      <c r="AC99" s="281" t="s">
        <v>262</v>
      </c>
      <c r="AD99" s="282"/>
      <c r="AE99" s="282"/>
      <c r="AF99" s="155">
        <v>5.9027777777777783E-2</v>
      </c>
      <c r="AG99" s="184" t="s">
        <v>202</v>
      </c>
      <c r="AH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140"/>
      <c r="BP99" s="140"/>
      <c r="BQ99" s="140"/>
      <c r="BR99" s="140"/>
      <c r="BS99" s="140"/>
      <c r="BT99" s="140"/>
      <c r="BU99" s="140"/>
      <c r="BV99" s="140"/>
      <c r="BW99" s="140"/>
      <c r="BX99" s="140"/>
      <c r="BY99" s="140"/>
      <c r="BZ99" s="140"/>
      <c r="CA99" s="140"/>
      <c r="CB99" s="140"/>
      <c r="CC99" s="140"/>
      <c r="CD99" s="140"/>
      <c r="CE99" s="140"/>
      <c r="CF99" s="140"/>
      <c r="CG99" s="140"/>
      <c r="CH99" s="140"/>
      <c r="CI99" s="140"/>
      <c r="CJ99" s="140"/>
      <c r="CK99" s="140"/>
      <c r="CL99" s="140"/>
      <c r="CM99" s="140"/>
      <c r="CN99" s="140"/>
      <c r="CO99" s="140"/>
      <c r="CP99" s="140"/>
      <c r="CQ99" s="140"/>
      <c r="CR99" s="140"/>
      <c r="CS99" s="140"/>
      <c r="CT99" s="140"/>
      <c r="CU99" s="140"/>
      <c r="CV99" s="140"/>
      <c r="CW99" s="140"/>
      <c r="CX99" s="140"/>
      <c r="CY99" s="140"/>
      <c r="CZ99" s="140"/>
      <c r="DA99" s="140"/>
      <c r="DB99" s="140"/>
      <c r="DC99" s="140"/>
      <c r="DD99" s="140"/>
      <c r="DE99" s="140"/>
    </row>
    <row r="100" spans="1:109" s="139" customFormat="1" ht="15" customHeight="1">
      <c r="B100" s="283">
        <f>B106-AF100</f>
        <v>0.71527777777777779</v>
      </c>
      <c r="C100" s="284"/>
      <c r="D100" s="285"/>
      <c r="E100" s="286"/>
      <c r="F100" s="284"/>
      <c r="G100" s="287"/>
      <c r="H100" s="364" t="str">
        <f>IF(E100="","",IF(E100-B100&lt;0,"24:00"-(B100-E100),E100-B100))</f>
        <v/>
      </c>
      <c r="I100" s="365"/>
      <c r="J100" s="290" t="s">
        <v>271</v>
      </c>
      <c r="K100" s="291"/>
      <c r="L100" s="291"/>
      <c r="M100" s="291"/>
      <c r="N100" s="291"/>
      <c r="O100" s="291"/>
      <c r="P100" s="291"/>
      <c r="Q100" s="291"/>
      <c r="R100" s="291"/>
      <c r="S100" s="199"/>
      <c r="T100" s="361"/>
      <c r="U100" s="362"/>
      <c r="V100" s="362"/>
      <c r="W100" s="362"/>
      <c r="X100" s="362"/>
      <c r="Y100" s="362"/>
      <c r="Z100" s="362"/>
      <c r="AA100" s="363"/>
      <c r="AB100" s="153"/>
      <c r="AC100" s="281" t="s">
        <v>262</v>
      </c>
      <c r="AD100" s="282"/>
      <c r="AE100" s="282"/>
      <c r="AF100" s="155">
        <v>5.5555555555555552E-2</v>
      </c>
      <c r="AG100" s="184"/>
      <c r="AH100" s="140"/>
      <c r="AI100" s="143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140"/>
      <c r="BP100" s="140"/>
      <c r="BQ100" s="140"/>
      <c r="BR100" s="140"/>
      <c r="BS100" s="140"/>
      <c r="BT100" s="140"/>
      <c r="BU100" s="140"/>
      <c r="BV100" s="140"/>
      <c r="BW100" s="140"/>
      <c r="BX100" s="140"/>
      <c r="BY100" s="140"/>
      <c r="BZ100" s="140"/>
      <c r="CA100" s="140"/>
      <c r="CB100" s="140"/>
      <c r="CC100" s="140"/>
      <c r="CD100" s="140"/>
      <c r="CE100" s="140"/>
      <c r="CF100" s="140"/>
      <c r="CG100" s="140"/>
      <c r="CH100" s="140"/>
      <c r="CI100" s="140"/>
      <c r="CJ100" s="140"/>
      <c r="CK100" s="140"/>
      <c r="CL100" s="140"/>
      <c r="CM100" s="140"/>
      <c r="CN100" s="140"/>
      <c r="CO100" s="140"/>
      <c r="CP100" s="140"/>
      <c r="CQ100" s="140"/>
      <c r="CR100" s="140"/>
      <c r="CS100" s="140"/>
      <c r="CT100" s="140"/>
      <c r="CU100" s="140"/>
      <c r="CV100" s="140"/>
      <c r="CW100" s="140"/>
      <c r="CX100" s="140"/>
      <c r="CY100" s="140"/>
      <c r="CZ100" s="140"/>
      <c r="DA100" s="140"/>
      <c r="DB100" s="140"/>
      <c r="DC100" s="140"/>
      <c r="DD100" s="140"/>
      <c r="DE100" s="140"/>
    </row>
    <row r="101" spans="1:109" s="154" customFormat="1" ht="15" customHeight="1">
      <c r="A101" s="153"/>
      <c r="B101" s="283">
        <f>B106-AF101</f>
        <v>0.72569444444444453</v>
      </c>
      <c r="C101" s="284"/>
      <c r="D101" s="285"/>
      <c r="E101" s="286"/>
      <c r="F101" s="284"/>
      <c r="G101" s="287"/>
      <c r="H101" s="288" t="str">
        <f t="shared" ref="H101" si="27">IF(E101="","",IF(E101-B101&lt;0,"24:00"-(B101-E101),E101-B101))</f>
        <v/>
      </c>
      <c r="I101" s="289"/>
      <c r="J101" s="290" t="s">
        <v>284</v>
      </c>
      <c r="K101" s="291"/>
      <c r="L101" s="291"/>
      <c r="M101" s="291"/>
      <c r="N101" s="291"/>
      <c r="O101" s="291"/>
      <c r="P101" s="291"/>
      <c r="Q101" s="291"/>
      <c r="R101" s="291"/>
      <c r="S101" s="138"/>
      <c r="T101" s="370"/>
      <c r="U101" s="371"/>
      <c r="V101" s="371"/>
      <c r="W101" s="371"/>
      <c r="X101" s="371"/>
      <c r="Y101" s="371"/>
      <c r="Z101" s="371"/>
      <c r="AA101" s="372"/>
      <c r="AB101" s="153"/>
      <c r="AC101" s="281" t="s">
        <v>262</v>
      </c>
      <c r="AD101" s="282"/>
      <c r="AE101" s="282"/>
      <c r="AF101" s="155">
        <v>4.5138888888888888E-2</v>
      </c>
      <c r="AG101" s="184" t="s">
        <v>202</v>
      </c>
      <c r="AI101" s="156"/>
      <c r="AM101" s="154" t="s">
        <v>13</v>
      </c>
      <c r="AO101" s="154" t="s">
        <v>13</v>
      </c>
      <c r="AP101" s="154" t="s">
        <v>13</v>
      </c>
    </row>
    <row r="102" spans="1:109" s="154" customFormat="1" ht="15" customHeight="1">
      <c r="A102" s="180"/>
      <c r="B102" s="1065">
        <v>0.72916666666666663</v>
      </c>
      <c r="C102" s="1066"/>
      <c r="D102" s="1066"/>
      <c r="E102" s="1066"/>
      <c r="F102" s="1066"/>
      <c r="G102" s="1067"/>
      <c r="H102" s="1068" t="str">
        <f t="shared" ref="H102" si="28">IF(E102="","",IF(E102-B102&lt;0,"24:00"-(B102-E102),E102-B102))</f>
        <v/>
      </c>
      <c r="I102" s="1068"/>
      <c r="J102" s="1069" t="s">
        <v>224</v>
      </c>
      <c r="K102" s="1070"/>
      <c r="L102" s="1070"/>
      <c r="M102" s="1070"/>
      <c r="N102" s="1070"/>
      <c r="O102" s="1070"/>
      <c r="P102" s="1070"/>
      <c r="Q102" s="1070"/>
      <c r="R102" s="1070"/>
      <c r="S102" s="174"/>
      <c r="T102" s="1076" t="s">
        <v>388</v>
      </c>
      <c r="U102" s="434"/>
      <c r="V102" s="434"/>
      <c r="W102" s="434"/>
      <c r="X102" s="434"/>
      <c r="Y102" s="434"/>
      <c r="Z102" s="434"/>
      <c r="AA102" s="435"/>
      <c r="AB102" s="153"/>
      <c r="AC102" s="282"/>
      <c r="AD102" s="282"/>
      <c r="AE102" s="282"/>
      <c r="AF102" s="155"/>
      <c r="AG102" s="187"/>
      <c r="AH102" s="156"/>
      <c r="AN102" s="144"/>
    </row>
    <row r="103" spans="1:109" s="154" customFormat="1" ht="15" customHeight="1">
      <c r="A103" s="153"/>
      <c r="B103" s="283">
        <f>B106-AF104</f>
        <v>0.75</v>
      </c>
      <c r="C103" s="284"/>
      <c r="D103" s="285"/>
      <c r="E103" s="286"/>
      <c r="F103" s="284"/>
      <c r="G103" s="287"/>
      <c r="H103" s="288"/>
      <c r="I103" s="289"/>
      <c r="J103" s="290" t="s">
        <v>273</v>
      </c>
      <c r="K103" s="291"/>
      <c r="L103" s="291"/>
      <c r="M103" s="291"/>
      <c r="N103" s="291"/>
      <c r="O103" s="291"/>
      <c r="P103" s="291"/>
      <c r="Q103" s="291"/>
      <c r="R103" s="291"/>
      <c r="S103" s="137"/>
      <c r="T103" s="296"/>
      <c r="U103" s="297"/>
      <c r="V103" s="297"/>
      <c r="W103" s="297"/>
      <c r="X103" s="297"/>
      <c r="Y103" s="297"/>
      <c r="Z103" s="297"/>
      <c r="AA103" s="298"/>
      <c r="AB103" s="153"/>
      <c r="AC103" s="281" t="s">
        <v>262</v>
      </c>
      <c r="AD103" s="282"/>
      <c r="AE103" s="282"/>
      <c r="AF103" s="155">
        <v>2.4305555555555556E-2</v>
      </c>
      <c r="AG103" s="186" t="s">
        <v>202</v>
      </c>
      <c r="AI103" s="156"/>
      <c r="AP103" s="154" t="s">
        <v>13</v>
      </c>
    </row>
    <row r="104" spans="1:109" s="154" customFormat="1" ht="15" customHeight="1">
      <c r="A104" s="153"/>
      <c r="B104" s="283">
        <f>B106-AF104</f>
        <v>0.75</v>
      </c>
      <c r="C104" s="284"/>
      <c r="D104" s="285"/>
      <c r="E104" s="286"/>
      <c r="F104" s="284"/>
      <c r="G104" s="287"/>
      <c r="H104" s="288" t="str">
        <f t="shared" ref="H104:H106" si="29">IF(E104="","",IF(E104-B104&lt;0,"24:00"-(B104-E104),E104-B104))</f>
        <v/>
      </c>
      <c r="I104" s="289"/>
      <c r="J104" s="290" t="s">
        <v>285</v>
      </c>
      <c r="K104" s="291"/>
      <c r="L104" s="291"/>
      <c r="M104" s="291"/>
      <c r="N104" s="291"/>
      <c r="O104" s="291"/>
      <c r="P104" s="291"/>
      <c r="Q104" s="291"/>
      <c r="R104" s="291"/>
      <c r="S104" s="137"/>
      <c r="T104" s="296"/>
      <c r="U104" s="297"/>
      <c r="V104" s="297"/>
      <c r="W104" s="297"/>
      <c r="X104" s="297"/>
      <c r="Y104" s="297"/>
      <c r="Z104" s="297"/>
      <c r="AA104" s="298"/>
      <c r="AB104" s="139"/>
      <c r="AC104" s="281" t="s">
        <v>262</v>
      </c>
      <c r="AD104" s="282"/>
      <c r="AE104" s="282"/>
      <c r="AF104" s="155">
        <v>2.0833333333333332E-2</v>
      </c>
      <c r="AG104" s="187" t="s">
        <v>202</v>
      </c>
      <c r="AI104" s="156"/>
    </row>
    <row r="105" spans="1:109" s="154" customFormat="1" ht="15" customHeight="1">
      <c r="A105" s="153"/>
      <c r="B105" s="344">
        <f>B106-AF105</f>
        <v>0.76041666666666674</v>
      </c>
      <c r="C105" s="345"/>
      <c r="D105" s="346"/>
      <c r="E105" s="347"/>
      <c r="F105" s="345"/>
      <c r="G105" s="348"/>
      <c r="H105" s="349" t="str">
        <f t="shared" si="29"/>
        <v/>
      </c>
      <c r="I105" s="350"/>
      <c r="J105" s="356" t="s">
        <v>276</v>
      </c>
      <c r="K105" s="357"/>
      <c r="L105" s="357"/>
      <c r="M105" s="357"/>
      <c r="N105" s="357"/>
      <c r="O105" s="357"/>
      <c r="P105" s="357"/>
      <c r="Q105" s="357"/>
      <c r="R105" s="357"/>
      <c r="S105" s="198" t="s">
        <v>13</v>
      </c>
      <c r="T105" s="358"/>
      <c r="U105" s="359"/>
      <c r="V105" s="359"/>
      <c r="W105" s="359"/>
      <c r="X105" s="359"/>
      <c r="Y105" s="359"/>
      <c r="Z105" s="359"/>
      <c r="AA105" s="360"/>
      <c r="AB105" s="139"/>
      <c r="AC105" s="281" t="s">
        <v>262</v>
      </c>
      <c r="AD105" s="282"/>
      <c r="AE105" s="282"/>
      <c r="AF105" s="155">
        <v>1.0416666666666666E-2</v>
      </c>
      <c r="AG105" s="187" t="s">
        <v>202</v>
      </c>
      <c r="AI105" s="156"/>
    </row>
    <row r="106" spans="1:109" s="154" customFormat="1" ht="15" customHeight="1">
      <c r="A106" s="180"/>
      <c r="B106" s="1127">
        <v>0.77083333333333337</v>
      </c>
      <c r="C106" s="1128"/>
      <c r="D106" s="1128"/>
      <c r="E106" s="1128">
        <v>0.875</v>
      </c>
      <c r="F106" s="1128"/>
      <c r="G106" s="1129"/>
      <c r="H106" s="1117">
        <f t="shared" si="29"/>
        <v>0.10416666666666663</v>
      </c>
      <c r="I106" s="1117"/>
      <c r="J106" s="1130" t="s">
        <v>412</v>
      </c>
      <c r="K106" s="1131"/>
      <c r="L106" s="1131"/>
      <c r="M106" s="1131"/>
      <c r="N106" s="1131"/>
      <c r="O106" s="1131"/>
      <c r="P106" s="1131"/>
      <c r="Q106" s="1131"/>
      <c r="R106" s="1131"/>
      <c r="S106" s="179"/>
      <c r="T106" s="1132"/>
      <c r="U106" s="1133"/>
      <c r="V106" s="1133"/>
      <c r="W106" s="1133"/>
      <c r="X106" s="1133"/>
      <c r="Y106" s="1133"/>
      <c r="Z106" s="1133"/>
      <c r="AA106" s="1134"/>
      <c r="AB106" s="153"/>
      <c r="AF106" s="155"/>
      <c r="AG106" s="184"/>
      <c r="AH106" s="156"/>
      <c r="AN106" s="144"/>
    </row>
    <row r="107" spans="1:109" s="154" customFormat="1" ht="15" customHeight="1">
      <c r="A107" s="180"/>
      <c r="B107" s="1065">
        <v>0.87847222222222221</v>
      </c>
      <c r="C107" s="1066"/>
      <c r="D107" s="1066"/>
      <c r="E107" s="1066"/>
      <c r="F107" s="1066"/>
      <c r="G107" s="1067"/>
      <c r="H107" s="1117"/>
      <c r="I107" s="1117"/>
      <c r="J107" s="1069" t="s">
        <v>402</v>
      </c>
      <c r="K107" s="1070"/>
      <c r="L107" s="1070"/>
      <c r="M107" s="1070"/>
      <c r="N107" s="1070"/>
      <c r="O107" s="1070"/>
      <c r="P107" s="1070"/>
      <c r="Q107" s="1070"/>
      <c r="R107" s="1070"/>
      <c r="S107" s="174"/>
      <c r="T107" s="1135"/>
      <c r="U107" s="1136"/>
      <c r="V107" s="1136"/>
      <c r="W107" s="1136"/>
      <c r="X107" s="1136"/>
      <c r="Y107" s="1136"/>
      <c r="Z107" s="1136"/>
      <c r="AA107" s="1137"/>
      <c r="AB107" s="153"/>
      <c r="AF107" s="155"/>
      <c r="AG107" s="187"/>
      <c r="AH107" s="156"/>
      <c r="AN107" s="144"/>
    </row>
    <row r="108" spans="1:109" s="154" customFormat="1" ht="15" customHeight="1">
      <c r="A108" s="180"/>
      <c r="B108" s="1118" t="s">
        <v>313</v>
      </c>
      <c r="C108" s="1119"/>
      <c r="D108" s="1119"/>
      <c r="E108" s="1066"/>
      <c r="F108" s="1066"/>
      <c r="G108" s="1067"/>
      <c r="H108" s="1068" t="str">
        <f t="shared" ref="H108" si="30">IF(E108="","",IF(E108-B108&lt;0,"24:00"-(B108-E108),E108-B108))</f>
        <v/>
      </c>
      <c r="I108" s="1068"/>
      <c r="J108" s="1122" t="s">
        <v>405</v>
      </c>
      <c r="K108" s="1123"/>
      <c r="L108" s="1123"/>
      <c r="M108" s="1123"/>
      <c r="N108" s="1123"/>
      <c r="O108" s="1123"/>
      <c r="P108" s="1123"/>
      <c r="Q108" s="1123"/>
      <c r="R108" s="1123"/>
      <c r="S108" s="178"/>
      <c r="T108" s="1162"/>
      <c r="U108" s="1163"/>
      <c r="V108" s="1163"/>
      <c r="W108" s="1163"/>
      <c r="X108" s="1163"/>
      <c r="Y108" s="1163"/>
      <c r="Z108" s="1163"/>
      <c r="AA108" s="1164"/>
      <c r="AB108" s="153"/>
      <c r="AC108" s="282" t="s">
        <v>262</v>
      </c>
      <c r="AD108" s="282"/>
      <c r="AE108" s="282"/>
      <c r="AF108" s="155">
        <v>6.9444444444444441E-3</v>
      </c>
      <c r="AG108" s="186"/>
      <c r="AH108" s="156"/>
      <c r="AN108" s="144"/>
    </row>
    <row r="109" spans="1:109" s="154" customFormat="1" ht="15" customHeight="1">
      <c r="A109" s="180"/>
      <c r="B109" s="338"/>
      <c r="C109" s="338"/>
      <c r="D109" s="338"/>
      <c r="E109" s="300"/>
      <c r="F109" s="300"/>
      <c r="G109" s="300"/>
      <c r="H109" s="300"/>
      <c r="I109" s="300"/>
      <c r="J109" s="1090" t="s">
        <v>413</v>
      </c>
      <c r="K109" s="1090"/>
      <c r="L109" s="1090"/>
      <c r="M109" s="1090"/>
      <c r="N109" s="1090"/>
      <c r="O109" s="1090"/>
      <c r="P109" s="1090"/>
      <c r="Q109" s="1090"/>
      <c r="R109" s="1090"/>
      <c r="S109" s="1090"/>
      <c r="T109" s="1159"/>
      <c r="U109" s="1160"/>
      <c r="V109" s="1160"/>
      <c r="W109" s="1160"/>
      <c r="X109" s="1160"/>
      <c r="Y109" s="1160"/>
      <c r="Z109" s="1160"/>
      <c r="AA109" s="1161"/>
      <c r="AB109" s="153"/>
      <c r="AF109" s="155"/>
      <c r="AG109" s="188"/>
      <c r="AH109" s="156"/>
      <c r="AN109" s="144"/>
    </row>
    <row r="110" spans="1:109" s="154" customFormat="1" ht="15" customHeight="1">
      <c r="A110" s="180"/>
      <c r="B110" s="1138" t="s">
        <v>193</v>
      </c>
      <c r="C110" s="1138"/>
      <c r="D110" s="1138"/>
      <c r="E110" s="1138" t="s">
        <v>194</v>
      </c>
      <c r="F110" s="1138"/>
      <c r="G110" s="1138"/>
      <c r="H110" s="1138" t="s">
        <v>214</v>
      </c>
      <c r="I110" s="1139"/>
      <c r="J110" s="1140" t="s">
        <v>215</v>
      </c>
      <c r="K110" s="1141"/>
      <c r="L110" s="1141"/>
      <c r="M110" s="1141"/>
      <c r="N110" s="1141"/>
      <c r="O110" s="1141"/>
      <c r="P110" s="1141"/>
      <c r="Q110" s="1141"/>
      <c r="R110" s="1141"/>
      <c r="S110" s="175" t="s">
        <v>216</v>
      </c>
      <c r="T110" s="1156" t="s">
        <v>217</v>
      </c>
      <c r="U110" s="1157"/>
      <c r="V110" s="1157"/>
      <c r="W110" s="1157"/>
      <c r="X110" s="1157"/>
      <c r="Y110" s="1157"/>
      <c r="Z110" s="1157"/>
      <c r="AA110" s="1158"/>
      <c r="AB110" s="153"/>
      <c r="AF110" s="155"/>
      <c r="AG110" s="189"/>
      <c r="AH110" s="156"/>
      <c r="AN110" s="144"/>
    </row>
    <row r="111" spans="1:109" s="154" customFormat="1" ht="15" customHeight="1">
      <c r="A111" s="180"/>
      <c r="B111" s="1065"/>
      <c r="C111" s="1066"/>
      <c r="D111" s="1066"/>
      <c r="E111" s="1066"/>
      <c r="F111" s="1066"/>
      <c r="G111" s="1067"/>
      <c r="H111" s="1068" t="str">
        <f t="shared" ref="H111:H122" si="31">IF(E111="","",IF(E111-B111&lt;0,"24:00"-(B111-E111),E111-B111))</f>
        <v/>
      </c>
      <c r="I111" s="1068"/>
      <c r="J111" s="1069"/>
      <c r="K111" s="1070"/>
      <c r="L111" s="1070"/>
      <c r="M111" s="1070"/>
      <c r="N111" s="1070"/>
      <c r="O111" s="1070"/>
      <c r="P111" s="1070"/>
      <c r="Q111" s="1070"/>
      <c r="R111" s="1070"/>
      <c r="S111" s="174"/>
      <c r="T111" s="1153"/>
      <c r="U111" s="1154"/>
      <c r="V111" s="1154"/>
      <c r="W111" s="1154"/>
      <c r="X111" s="1154"/>
      <c r="Y111" s="1154"/>
      <c r="Z111" s="1154"/>
      <c r="AA111" s="1155"/>
      <c r="AB111" s="139"/>
      <c r="AF111" s="155"/>
      <c r="AG111" s="184"/>
      <c r="AH111" s="156"/>
      <c r="AN111" s="144"/>
    </row>
    <row r="112" spans="1:109" s="154" customFormat="1" ht="15" customHeight="1">
      <c r="A112" s="180"/>
      <c r="B112" s="1065"/>
      <c r="C112" s="1066"/>
      <c r="D112" s="1066"/>
      <c r="E112" s="1066"/>
      <c r="F112" s="1066"/>
      <c r="G112" s="1067"/>
      <c r="H112" s="1068" t="str">
        <f t="shared" si="31"/>
        <v/>
      </c>
      <c r="I112" s="1068"/>
      <c r="J112" s="1069"/>
      <c r="K112" s="1070"/>
      <c r="L112" s="1070"/>
      <c r="M112" s="1070"/>
      <c r="N112" s="1070"/>
      <c r="O112" s="1070"/>
      <c r="P112" s="1070"/>
      <c r="Q112" s="1070"/>
      <c r="R112" s="1070"/>
      <c r="S112" s="174"/>
      <c r="T112" s="1153"/>
      <c r="U112" s="1154"/>
      <c r="V112" s="1154"/>
      <c r="W112" s="1154"/>
      <c r="X112" s="1154"/>
      <c r="Y112" s="1154"/>
      <c r="Z112" s="1154"/>
      <c r="AA112" s="1155"/>
      <c r="AB112" s="139"/>
      <c r="AF112" s="155"/>
      <c r="AG112" s="184"/>
      <c r="AH112" s="156"/>
      <c r="AN112" s="144"/>
    </row>
    <row r="113" spans="1:113" s="154" customFormat="1" ht="15" customHeight="1">
      <c r="A113" s="180"/>
      <c r="B113" s="1065"/>
      <c r="C113" s="1066"/>
      <c r="D113" s="1066"/>
      <c r="E113" s="1066"/>
      <c r="F113" s="1066"/>
      <c r="G113" s="1067"/>
      <c r="H113" s="1068" t="str">
        <f t="shared" si="31"/>
        <v/>
      </c>
      <c r="I113" s="1068"/>
      <c r="J113" s="1069"/>
      <c r="K113" s="1070"/>
      <c r="L113" s="1070"/>
      <c r="M113" s="1070"/>
      <c r="N113" s="1070"/>
      <c r="O113" s="1070"/>
      <c r="P113" s="1070"/>
      <c r="Q113" s="1070"/>
      <c r="R113" s="1070"/>
      <c r="S113" s="174"/>
      <c r="T113" s="1153"/>
      <c r="U113" s="1154"/>
      <c r="V113" s="1154"/>
      <c r="W113" s="1154"/>
      <c r="X113" s="1154"/>
      <c r="Y113" s="1154"/>
      <c r="Z113" s="1154"/>
      <c r="AA113" s="1155"/>
      <c r="AB113" s="139"/>
      <c r="AF113" s="155"/>
      <c r="AG113" s="184"/>
      <c r="AH113" s="156"/>
      <c r="AN113" s="144"/>
    </row>
    <row r="114" spans="1:113" s="154" customFormat="1" ht="15" customHeight="1">
      <c r="A114" s="180"/>
      <c r="B114" s="1065"/>
      <c r="C114" s="1066"/>
      <c r="D114" s="1066"/>
      <c r="E114" s="1066"/>
      <c r="F114" s="1066"/>
      <c r="G114" s="1067"/>
      <c r="H114" s="1068" t="str">
        <f t="shared" si="31"/>
        <v/>
      </c>
      <c r="I114" s="1068"/>
      <c r="J114" s="1069"/>
      <c r="K114" s="1070"/>
      <c r="L114" s="1070"/>
      <c r="M114" s="1070"/>
      <c r="N114" s="1070"/>
      <c r="O114" s="1070"/>
      <c r="P114" s="1070"/>
      <c r="Q114" s="1070"/>
      <c r="R114" s="1070"/>
      <c r="S114" s="174"/>
      <c r="T114" s="1153"/>
      <c r="U114" s="1154"/>
      <c r="V114" s="1154"/>
      <c r="W114" s="1154"/>
      <c r="X114" s="1154"/>
      <c r="Y114" s="1154"/>
      <c r="Z114" s="1154"/>
      <c r="AA114" s="1155"/>
      <c r="AB114" s="139"/>
      <c r="AC114" s="282" t="s">
        <v>262</v>
      </c>
      <c r="AD114" s="282"/>
      <c r="AE114" s="282"/>
      <c r="AF114" s="155">
        <v>8.3333333333333329E-2</v>
      </c>
      <c r="AG114" s="186"/>
      <c r="AH114" s="156"/>
      <c r="AN114" s="144"/>
    </row>
    <row r="115" spans="1:113" s="154" customFormat="1" ht="15" customHeight="1">
      <c r="A115" s="180"/>
      <c r="B115" s="1065"/>
      <c r="C115" s="1066"/>
      <c r="D115" s="1066"/>
      <c r="E115" s="1066"/>
      <c r="F115" s="1066"/>
      <c r="G115" s="1067"/>
      <c r="H115" s="1068" t="str">
        <f t="shared" si="31"/>
        <v/>
      </c>
      <c r="I115" s="1068"/>
      <c r="J115" s="1069"/>
      <c r="K115" s="1070"/>
      <c r="L115" s="1070"/>
      <c r="M115" s="1070"/>
      <c r="N115" s="1070"/>
      <c r="O115" s="1070"/>
      <c r="P115" s="1070"/>
      <c r="Q115" s="1070"/>
      <c r="R115" s="1070"/>
      <c r="S115" s="174"/>
      <c r="T115" s="1153"/>
      <c r="U115" s="1154"/>
      <c r="V115" s="1154"/>
      <c r="W115" s="1154"/>
      <c r="X115" s="1154"/>
      <c r="Y115" s="1154"/>
      <c r="Z115" s="1154"/>
      <c r="AA115" s="1155"/>
      <c r="AB115" s="139"/>
      <c r="AC115" s="282" t="s">
        <v>262</v>
      </c>
      <c r="AD115" s="282"/>
      <c r="AE115" s="282"/>
      <c r="AF115" s="155">
        <v>6.5972222222222224E-2</v>
      </c>
      <c r="AG115" s="187"/>
      <c r="AH115" s="156"/>
      <c r="AN115" s="144"/>
    </row>
    <row r="116" spans="1:113" s="154" customFormat="1" ht="15" customHeight="1">
      <c r="A116" s="180"/>
      <c r="B116" s="1065"/>
      <c r="C116" s="1066"/>
      <c r="D116" s="1066"/>
      <c r="E116" s="1066"/>
      <c r="F116" s="1066"/>
      <c r="G116" s="1067"/>
      <c r="H116" s="1068" t="str">
        <f t="shared" si="31"/>
        <v/>
      </c>
      <c r="I116" s="1068"/>
      <c r="J116" s="1069"/>
      <c r="K116" s="1070"/>
      <c r="L116" s="1070"/>
      <c r="M116" s="1070"/>
      <c r="N116" s="1070"/>
      <c r="O116" s="1070"/>
      <c r="P116" s="1070"/>
      <c r="Q116" s="1070"/>
      <c r="R116" s="1070"/>
      <c r="S116" s="174"/>
      <c r="T116" s="1153"/>
      <c r="U116" s="1154"/>
      <c r="V116" s="1154"/>
      <c r="W116" s="1154"/>
      <c r="X116" s="1154"/>
      <c r="Y116" s="1154"/>
      <c r="Z116" s="1154"/>
      <c r="AA116" s="1155"/>
      <c r="AB116" s="139"/>
      <c r="AC116" s="282" t="s">
        <v>262</v>
      </c>
      <c r="AD116" s="282"/>
      <c r="AE116" s="282"/>
      <c r="AF116" s="155">
        <v>5.5555555555555552E-2</v>
      </c>
      <c r="AG116" s="187"/>
      <c r="AH116" s="156"/>
      <c r="AN116" s="144"/>
    </row>
    <row r="117" spans="1:113" s="154" customFormat="1" ht="15" customHeight="1">
      <c r="A117" s="180"/>
      <c r="B117" s="1065"/>
      <c r="C117" s="1066"/>
      <c r="D117" s="1066"/>
      <c r="E117" s="1066"/>
      <c r="F117" s="1066"/>
      <c r="G117" s="1067"/>
      <c r="H117" s="1068" t="str">
        <f t="shared" si="31"/>
        <v/>
      </c>
      <c r="I117" s="1068"/>
      <c r="J117" s="1069"/>
      <c r="K117" s="1070"/>
      <c r="L117" s="1070"/>
      <c r="M117" s="1070"/>
      <c r="N117" s="1070"/>
      <c r="O117" s="1070"/>
      <c r="P117" s="1070"/>
      <c r="Q117" s="1070"/>
      <c r="R117" s="1070"/>
      <c r="S117" s="174"/>
      <c r="T117" s="1153"/>
      <c r="U117" s="1154"/>
      <c r="V117" s="1154"/>
      <c r="W117" s="1154"/>
      <c r="X117" s="1154"/>
      <c r="Y117" s="1154"/>
      <c r="Z117" s="1154"/>
      <c r="AA117" s="1155"/>
      <c r="AB117" s="139"/>
      <c r="AC117" s="282" t="s">
        <v>262</v>
      </c>
      <c r="AD117" s="282"/>
      <c r="AE117" s="282"/>
      <c r="AF117" s="155">
        <v>4.8611111111111112E-2</v>
      </c>
      <c r="AG117" s="187"/>
      <c r="AH117" s="156"/>
      <c r="AN117" s="144"/>
    </row>
    <row r="118" spans="1:113" s="154" customFormat="1" ht="15" customHeight="1">
      <c r="A118" s="180"/>
      <c r="B118" s="1065"/>
      <c r="C118" s="1066"/>
      <c r="D118" s="1066"/>
      <c r="E118" s="1066"/>
      <c r="F118" s="1066"/>
      <c r="G118" s="1067"/>
      <c r="H118" s="1068" t="str">
        <f t="shared" si="31"/>
        <v/>
      </c>
      <c r="I118" s="1068"/>
      <c r="J118" s="1069"/>
      <c r="K118" s="1070"/>
      <c r="L118" s="1070"/>
      <c r="M118" s="1070"/>
      <c r="N118" s="1070"/>
      <c r="O118" s="1070"/>
      <c r="P118" s="1070"/>
      <c r="Q118" s="1070"/>
      <c r="R118" s="1070"/>
      <c r="S118" s="174"/>
      <c r="T118" s="1153"/>
      <c r="U118" s="1154"/>
      <c r="V118" s="1154"/>
      <c r="W118" s="1154"/>
      <c r="X118" s="1154"/>
      <c r="Y118" s="1154"/>
      <c r="Z118" s="1154"/>
      <c r="AA118" s="1155"/>
      <c r="AB118" s="139"/>
      <c r="AC118" s="282" t="s">
        <v>262</v>
      </c>
      <c r="AD118" s="282"/>
      <c r="AE118" s="282"/>
      <c r="AF118" s="155">
        <v>4.1666666666666664E-2</v>
      </c>
      <c r="AG118" s="187"/>
      <c r="AH118" s="156"/>
      <c r="AN118" s="144"/>
    </row>
    <row r="119" spans="1:113" s="154" customFormat="1" ht="15" customHeight="1">
      <c r="A119" s="180"/>
      <c r="B119" s="1065"/>
      <c r="C119" s="1066"/>
      <c r="D119" s="1066"/>
      <c r="E119" s="1066"/>
      <c r="F119" s="1066"/>
      <c r="G119" s="1067"/>
      <c r="H119" s="1068" t="str">
        <f t="shared" si="31"/>
        <v/>
      </c>
      <c r="I119" s="1068"/>
      <c r="J119" s="1069"/>
      <c r="K119" s="1070"/>
      <c r="L119" s="1070"/>
      <c r="M119" s="1070"/>
      <c r="N119" s="1070"/>
      <c r="O119" s="1070"/>
      <c r="P119" s="1070"/>
      <c r="Q119" s="1070"/>
      <c r="R119" s="1070"/>
      <c r="S119" s="174"/>
      <c r="T119" s="1153"/>
      <c r="U119" s="1154"/>
      <c r="V119" s="1154"/>
      <c r="W119" s="1154"/>
      <c r="X119" s="1154"/>
      <c r="Y119" s="1154"/>
      <c r="Z119" s="1154"/>
      <c r="AA119" s="1155"/>
      <c r="AB119" s="139"/>
      <c r="AF119" s="155"/>
      <c r="AG119" s="184"/>
      <c r="AH119" s="156"/>
      <c r="AN119" s="144"/>
    </row>
    <row r="120" spans="1:113" s="154" customFormat="1" ht="15" customHeight="1">
      <c r="A120" s="180"/>
      <c r="B120" s="1065"/>
      <c r="C120" s="1066"/>
      <c r="D120" s="1066"/>
      <c r="E120" s="1066"/>
      <c r="F120" s="1066"/>
      <c r="G120" s="1067"/>
      <c r="H120" s="1068" t="str">
        <f t="shared" si="31"/>
        <v/>
      </c>
      <c r="I120" s="1068"/>
      <c r="J120" s="1069"/>
      <c r="K120" s="1070"/>
      <c r="L120" s="1070"/>
      <c r="M120" s="1070"/>
      <c r="N120" s="1070"/>
      <c r="O120" s="1070"/>
      <c r="P120" s="1070"/>
      <c r="Q120" s="1070"/>
      <c r="R120" s="1070"/>
      <c r="S120" s="174"/>
      <c r="T120" s="1153"/>
      <c r="U120" s="1154"/>
      <c r="V120" s="1154"/>
      <c r="W120" s="1154"/>
      <c r="X120" s="1154"/>
      <c r="Y120" s="1154"/>
      <c r="Z120" s="1154"/>
      <c r="AA120" s="1155"/>
      <c r="AB120" s="139"/>
      <c r="AC120" s="282" t="s">
        <v>262</v>
      </c>
      <c r="AD120" s="282"/>
      <c r="AE120" s="282"/>
      <c r="AF120" s="155">
        <v>3.8194444444444441E-2</v>
      </c>
      <c r="AG120" s="184"/>
      <c r="AH120" s="156"/>
      <c r="AN120" s="144"/>
    </row>
    <row r="121" spans="1:113" s="154" customFormat="1" ht="15" customHeight="1">
      <c r="A121" s="180"/>
      <c r="B121" s="1065"/>
      <c r="C121" s="1066"/>
      <c r="D121" s="1066"/>
      <c r="E121" s="1066"/>
      <c r="F121" s="1066"/>
      <c r="G121" s="1067"/>
      <c r="H121" s="1068" t="str">
        <f t="shared" si="31"/>
        <v/>
      </c>
      <c r="I121" s="1068"/>
      <c r="J121" s="1069"/>
      <c r="K121" s="1070"/>
      <c r="L121" s="1070"/>
      <c r="M121" s="1070"/>
      <c r="N121" s="1070"/>
      <c r="O121" s="1070"/>
      <c r="P121" s="1070"/>
      <c r="Q121" s="1070"/>
      <c r="R121" s="1070"/>
      <c r="S121" s="174"/>
      <c r="T121" s="1153"/>
      <c r="U121" s="1154"/>
      <c r="V121" s="1154"/>
      <c r="W121" s="1154"/>
      <c r="X121" s="1154"/>
      <c r="Y121" s="1154"/>
      <c r="Z121" s="1154"/>
      <c r="AA121" s="1155"/>
      <c r="AB121" s="139"/>
      <c r="AC121" s="282" t="s">
        <v>262</v>
      </c>
      <c r="AD121" s="282"/>
      <c r="AE121" s="282"/>
      <c r="AF121" s="155">
        <v>2.7777777777777776E-2</v>
      </c>
      <c r="AG121" s="184"/>
      <c r="AH121" s="156"/>
      <c r="AN121" s="144"/>
    </row>
    <row r="122" spans="1:113" s="154" customFormat="1" ht="15" customHeight="1">
      <c r="A122" s="180"/>
      <c r="B122" s="1065"/>
      <c r="C122" s="1066"/>
      <c r="D122" s="1066"/>
      <c r="E122" s="1066"/>
      <c r="F122" s="1066"/>
      <c r="G122" s="1067"/>
      <c r="H122" s="1068" t="str">
        <f t="shared" si="31"/>
        <v/>
      </c>
      <c r="I122" s="1068"/>
      <c r="J122" s="1069"/>
      <c r="K122" s="1070"/>
      <c r="L122" s="1070"/>
      <c r="M122" s="1070"/>
      <c r="N122" s="1070"/>
      <c r="O122" s="1070"/>
      <c r="P122" s="1070"/>
      <c r="Q122" s="1070"/>
      <c r="R122" s="1070"/>
      <c r="S122" s="174"/>
      <c r="T122" s="1153"/>
      <c r="U122" s="1154"/>
      <c r="V122" s="1154"/>
      <c r="W122" s="1154"/>
      <c r="X122" s="1154"/>
      <c r="Y122" s="1154"/>
      <c r="Z122" s="1154"/>
      <c r="AA122" s="1155"/>
      <c r="AB122" s="139"/>
      <c r="AC122" s="282" t="s">
        <v>262</v>
      </c>
      <c r="AD122" s="282"/>
      <c r="AE122" s="282"/>
      <c r="AF122" s="155">
        <v>6.9444444444444441E-3</v>
      </c>
      <c r="AG122" s="184"/>
      <c r="AH122" s="156"/>
      <c r="AN122" s="144"/>
    </row>
    <row r="123" spans="1:113" s="154" customFormat="1" ht="15" customHeight="1">
      <c r="A123" s="180"/>
      <c r="B123" s="1065"/>
      <c r="C123" s="1066"/>
      <c r="D123" s="1066"/>
      <c r="E123" s="1066"/>
      <c r="F123" s="1066"/>
      <c r="G123" s="1067"/>
      <c r="H123" s="1068" t="str">
        <f t="shared" ref="H123:H125" si="32">IF(E123="","",IF(E123-B123&lt;0,"24:00"-(B123-E123),E123-B123))</f>
        <v/>
      </c>
      <c r="I123" s="1068"/>
      <c r="J123" s="1069"/>
      <c r="K123" s="1070"/>
      <c r="L123" s="1070"/>
      <c r="M123" s="1070"/>
      <c r="N123" s="1070"/>
      <c r="O123" s="1070"/>
      <c r="P123" s="1070"/>
      <c r="Q123" s="1070"/>
      <c r="R123" s="1070"/>
      <c r="S123" s="174"/>
      <c r="T123" s="1153"/>
      <c r="U123" s="1154"/>
      <c r="V123" s="1154"/>
      <c r="W123" s="1154"/>
      <c r="X123" s="1154"/>
      <c r="Y123" s="1154"/>
      <c r="Z123" s="1154"/>
      <c r="AA123" s="1155"/>
      <c r="AB123" s="139"/>
      <c r="AC123" s="282"/>
      <c r="AD123" s="282"/>
      <c r="AE123" s="282"/>
      <c r="AF123" s="155"/>
      <c r="AG123" s="184"/>
      <c r="AH123" s="156"/>
      <c r="AN123" s="144"/>
    </row>
    <row r="124" spans="1:113" s="154" customFormat="1" ht="15" customHeight="1">
      <c r="A124" s="180"/>
      <c r="B124" s="1065"/>
      <c r="C124" s="1066"/>
      <c r="D124" s="1066"/>
      <c r="E124" s="1066"/>
      <c r="F124" s="1066"/>
      <c r="G124" s="1067"/>
      <c r="H124" s="1068" t="str">
        <f t="shared" si="32"/>
        <v/>
      </c>
      <c r="I124" s="1068"/>
      <c r="J124" s="1069"/>
      <c r="K124" s="1070"/>
      <c r="L124" s="1070"/>
      <c r="M124" s="1070"/>
      <c r="N124" s="1070"/>
      <c r="O124" s="1070"/>
      <c r="P124" s="1070"/>
      <c r="Q124" s="1070"/>
      <c r="R124" s="1070"/>
      <c r="S124" s="174"/>
      <c r="T124" s="1153"/>
      <c r="U124" s="1154"/>
      <c r="V124" s="1154"/>
      <c r="W124" s="1154"/>
      <c r="X124" s="1154"/>
      <c r="Y124" s="1154"/>
      <c r="Z124" s="1154"/>
      <c r="AA124" s="1155"/>
      <c r="AB124" s="153"/>
      <c r="AC124" s="282"/>
      <c r="AD124" s="282"/>
      <c r="AE124" s="282"/>
      <c r="AF124" s="155"/>
      <c r="AG124" s="184"/>
      <c r="AH124" s="156"/>
      <c r="AN124" s="144"/>
    </row>
    <row r="125" spans="1:113" s="154" customFormat="1" ht="15" customHeight="1">
      <c r="A125" s="180"/>
      <c r="B125" s="1174"/>
      <c r="C125" s="1166"/>
      <c r="D125" s="1166"/>
      <c r="E125" s="1166"/>
      <c r="F125" s="1166"/>
      <c r="G125" s="1167"/>
      <c r="H125" s="1168" t="str">
        <f t="shared" si="32"/>
        <v/>
      </c>
      <c r="I125" s="1168"/>
      <c r="J125" s="1169"/>
      <c r="K125" s="1170"/>
      <c r="L125" s="1170"/>
      <c r="M125" s="1170"/>
      <c r="N125" s="1170"/>
      <c r="O125" s="1170"/>
      <c r="P125" s="1170"/>
      <c r="Q125" s="1170"/>
      <c r="R125" s="1170"/>
      <c r="S125" s="182"/>
      <c r="T125" s="1171"/>
      <c r="U125" s="1172"/>
      <c r="V125" s="1172"/>
      <c r="W125" s="1172"/>
      <c r="X125" s="1172"/>
      <c r="Y125" s="1172"/>
      <c r="Z125" s="1172"/>
      <c r="AA125" s="1173"/>
      <c r="AB125" s="139"/>
      <c r="AC125" s="282"/>
      <c r="AD125" s="282"/>
      <c r="AE125" s="282"/>
      <c r="AF125" s="155"/>
      <c r="AG125" s="185"/>
      <c r="AH125" s="156"/>
      <c r="AN125" s="144"/>
    </row>
    <row r="126" spans="1:113" s="154" customFormat="1" ht="15" customHeight="1">
      <c r="A126" s="153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3"/>
      <c r="U126" s="143"/>
      <c r="V126" s="143"/>
      <c r="W126" s="143"/>
      <c r="X126" s="143"/>
      <c r="Y126" s="143"/>
      <c r="Z126" s="143"/>
      <c r="AA126" s="143"/>
      <c r="AB126" s="153"/>
      <c r="AC126" s="282"/>
      <c r="AD126" s="282"/>
      <c r="AE126" s="282"/>
      <c r="AF126" s="155"/>
      <c r="AH126" s="156"/>
      <c r="AN126" s="144"/>
    </row>
    <row r="127" spans="1:113" s="154" customFormat="1" ht="15" customHeight="1">
      <c r="A127" s="153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3"/>
      <c r="U127" s="143"/>
      <c r="V127" s="143"/>
      <c r="W127" s="143"/>
      <c r="X127" s="143"/>
      <c r="Y127" s="143"/>
      <c r="Z127" s="143"/>
      <c r="AA127" s="143"/>
      <c r="AB127" s="153"/>
      <c r="AC127" s="282"/>
      <c r="AD127" s="282"/>
      <c r="AE127" s="282"/>
      <c r="AF127" s="155"/>
      <c r="AH127" s="156"/>
      <c r="AN127" s="144"/>
    </row>
    <row r="128" spans="1:113" s="139" customFormat="1" ht="15" customHeight="1"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3"/>
      <c r="U128" s="143"/>
      <c r="V128" s="143"/>
      <c r="W128" s="143"/>
      <c r="X128" s="143"/>
      <c r="Y128" s="143"/>
      <c r="Z128" s="143"/>
      <c r="AA128" s="143"/>
      <c r="AC128" s="282"/>
      <c r="AD128" s="282"/>
      <c r="AE128" s="282"/>
      <c r="AF128" s="155"/>
      <c r="AH128" s="143"/>
      <c r="AI128" s="140"/>
      <c r="AJ128" s="140"/>
      <c r="AK128" s="140"/>
      <c r="AL128" s="140"/>
      <c r="AM128" s="140"/>
      <c r="AN128" s="144"/>
      <c r="AO128" s="140"/>
      <c r="AP128" s="140"/>
      <c r="AQ128" s="140"/>
      <c r="AR128" s="140"/>
      <c r="AS128" s="140"/>
      <c r="AT128" s="140"/>
      <c r="AU128" s="140"/>
      <c r="AV128" s="140"/>
      <c r="AW128" s="140"/>
      <c r="AX128" s="140"/>
      <c r="AY128" s="140"/>
      <c r="AZ128" s="140"/>
      <c r="BA128" s="140"/>
      <c r="BB128" s="140"/>
      <c r="BC128" s="140"/>
      <c r="BD128" s="140"/>
      <c r="BE128" s="140"/>
      <c r="BF128" s="140"/>
      <c r="BG128" s="140"/>
      <c r="BH128" s="140"/>
      <c r="BI128" s="140"/>
      <c r="BJ128" s="140"/>
      <c r="BK128" s="140"/>
      <c r="BL128" s="140"/>
      <c r="BM128" s="140"/>
      <c r="BN128" s="140"/>
      <c r="BO128" s="140"/>
      <c r="BP128" s="140"/>
      <c r="BQ128" s="140"/>
      <c r="BR128" s="140"/>
      <c r="BS128" s="140"/>
      <c r="BT128" s="140"/>
      <c r="BU128" s="140"/>
      <c r="BV128" s="140"/>
      <c r="BW128" s="140"/>
      <c r="BX128" s="140"/>
      <c r="BY128" s="140"/>
      <c r="BZ128" s="140"/>
      <c r="CA128" s="140"/>
      <c r="CB128" s="140"/>
      <c r="CC128" s="140"/>
      <c r="CD128" s="140"/>
      <c r="CE128" s="140"/>
      <c r="CF128" s="140"/>
      <c r="CG128" s="140"/>
      <c r="CH128" s="140"/>
      <c r="CI128" s="140"/>
      <c r="CJ128" s="140"/>
      <c r="CK128" s="140"/>
      <c r="CL128" s="140"/>
      <c r="CM128" s="140"/>
      <c r="CN128" s="140"/>
      <c r="CO128" s="140"/>
      <c r="CP128" s="140"/>
      <c r="CQ128" s="140"/>
      <c r="CR128" s="140"/>
      <c r="CS128" s="140"/>
      <c r="CT128" s="140"/>
      <c r="CU128" s="140"/>
      <c r="CV128" s="140"/>
      <c r="CW128" s="140"/>
      <c r="CX128" s="140"/>
      <c r="CY128" s="140"/>
      <c r="CZ128" s="140"/>
      <c r="DA128" s="140"/>
      <c r="DB128" s="140"/>
      <c r="DC128" s="140"/>
      <c r="DD128" s="140"/>
      <c r="DE128" s="140"/>
      <c r="DF128" s="140"/>
      <c r="DG128" s="140"/>
      <c r="DH128" s="140"/>
      <c r="DI128" s="140"/>
    </row>
    <row r="129" spans="1:40" ht="15" customHeight="1">
      <c r="A129" s="139"/>
      <c r="T129" s="143"/>
      <c r="U129" s="143"/>
      <c r="V129" s="143"/>
      <c r="W129" s="143"/>
      <c r="X129" s="143"/>
      <c r="Y129" s="143"/>
      <c r="Z129" s="143"/>
      <c r="AA129" s="143"/>
      <c r="AC129" s="282"/>
      <c r="AD129" s="282"/>
      <c r="AE129" s="282"/>
      <c r="AN129" s="144"/>
    </row>
    <row r="130" spans="1:40" s="154" customFormat="1" ht="15" customHeight="1">
      <c r="A130" s="153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3"/>
      <c r="U130" s="143"/>
      <c r="V130" s="143"/>
      <c r="W130" s="143"/>
      <c r="X130" s="143"/>
      <c r="Y130" s="143"/>
      <c r="Z130" s="143"/>
      <c r="AA130" s="143"/>
      <c r="AB130" s="153"/>
      <c r="AC130" s="282"/>
      <c r="AD130" s="282"/>
      <c r="AE130" s="282"/>
      <c r="AF130" s="155"/>
      <c r="AH130" s="156"/>
      <c r="AN130" s="144"/>
    </row>
    <row r="131" spans="1:40" s="154" customFormat="1" ht="15" customHeight="1">
      <c r="A131" s="153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3"/>
      <c r="U131" s="143"/>
      <c r="V131" s="143"/>
      <c r="W131" s="143"/>
      <c r="X131" s="143"/>
      <c r="Y131" s="143"/>
      <c r="Z131" s="143"/>
      <c r="AA131" s="143"/>
      <c r="AB131" s="153"/>
      <c r="AF131" s="155"/>
      <c r="AH131" s="156"/>
      <c r="AN131" s="144"/>
    </row>
    <row r="132" spans="1:40" ht="15" customHeight="1">
      <c r="A132" s="139"/>
      <c r="T132" s="143"/>
      <c r="U132" s="143"/>
      <c r="V132" s="143"/>
      <c r="W132" s="143"/>
      <c r="X132" s="143"/>
      <c r="Y132" s="143"/>
      <c r="Z132" s="143"/>
      <c r="AA132" s="143"/>
      <c r="AN132" s="144"/>
    </row>
    <row r="133" spans="1:40" ht="15" customHeight="1">
      <c r="A133" s="139"/>
      <c r="T133" s="143"/>
      <c r="U133" s="143"/>
      <c r="V133" s="143"/>
      <c r="W133" s="143"/>
      <c r="X133" s="143"/>
      <c r="Y133" s="143"/>
      <c r="Z133" s="143"/>
      <c r="AA133" s="143"/>
      <c r="AN133" s="144"/>
    </row>
    <row r="134" spans="1:40" ht="15" customHeight="1">
      <c r="A134" s="139"/>
      <c r="T134" s="143"/>
      <c r="U134" s="143"/>
      <c r="V134" s="143"/>
      <c r="W134" s="143"/>
      <c r="X134" s="143"/>
      <c r="Y134" s="143"/>
      <c r="Z134" s="143"/>
      <c r="AA134" s="143"/>
      <c r="AN134" s="144"/>
    </row>
    <row r="135" spans="1:40" ht="15" customHeight="1">
      <c r="A135" s="139"/>
      <c r="T135" s="143"/>
      <c r="U135" s="143"/>
      <c r="V135" s="143"/>
      <c r="W135" s="143"/>
      <c r="X135" s="143"/>
      <c r="Y135" s="143"/>
      <c r="Z135" s="143"/>
      <c r="AA135" s="143"/>
      <c r="AN135" s="144"/>
    </row>
    <row r="136" spans="1:40" s="154" customFormat="1" ht="15" customHeight="1">
      <c r="A136" s="153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3"/>
      <c r="U136" s="143"/>
      <c r="V136" s="143"/>
      <c r="W136" s="143"/>
      <c r="X136" s="143"/>
      <c r="Y136" s="143"/>
      <c r="Z136" s="143"/>
      <c r="AA136" s="143"/>
      <c r="AB136" s="153"/>
      <c r="AF136" s="155"/>
      <c r="AH136" s="156"/>
      <c r="AN136" s="144"/>
    </row>
    <row r="137" spans="1:40" s="154" customFormat="1" ht="15" customHeight="1">
      <c r="A137" s="153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3"/>
      <c r="U137" s="143"/>
      <c r="V137" s="143"/>
      <c r="W137" s="143"/>
      <c r="X137" s="143"/>
      <c r="Y137" s="143"/>
      <c r="Z137" s="143"/>
      <c r="AA137" s="143"/>
      <c r="AB137" s="153"/>
      <c r="AF137" s="155"/>
      <c r="AH137" s="156"/>
      <c r="AN137" s="144"/>
    </row>
    <row r="138" spans="1:40" s="154" customFormat="1" ht="15" customHeight="1">
      <c r="A138" s="153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3"/>
      <c r="U138" s="143"/>
      <c r="V138" s="143"/>
      <c r="W138" s="143"/>
      <c r="X138" s="143"/>
      <c r="Y138" s="143"/>
      <c r="Z138" s="143"/>
      <c r="AA138" s="143"/>
      <c r="AB138" s="153"/>
      <c r="AF138" s="155"/>
      <c r="AH138" s="156"/>
      <c r="AN138" s="144"/>
    </row>
    <row r="139" spans="1:40" ht="15" customHeight="1">
      <c r="A139" s="139"/>
      <c r="T139" s="143"/>
      <c r="U139" s="143"/>
      <c r="V139" s="143"/>
      <c r="W139" s="143"/>
      <c r="X139" s="143"/>
      <c r="Y139" s="143"/>
      <c r="Z139" s="143"/>
      <c r="AA139" s="143"/>
      <c r="AB139" s="153"/>
      <c r="AN139" s="144"/>
    </row>
    <row r="140" spans="1:40" ht="15" customHeight="1">
      <c r="A140" s="139"/>
      <c r="T140" s="143"/>
      <c r="U140" s="143"/>
      <c r="V140" s="143"/>
      <c r="W140" s="143"/>
      <c r="X140" s="143"/>
      <c r="Y140" s="143"/>
      <c r="Z140" s="143"/>
      <c r="AA140" s="143"/>
      <c r="AB140" s="153"/>
      <c r="AN140" s="144"/>
    </row>
    <row r="141" spans="1:40" s="154" customFormat="1" ht="15" customHeight="1">
      <c r="A141" s="153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3"/>
      <c r="U141" s="143"/>
      <c r="V141" s="143"/>
      <c r="W141" s="143"/>
      <c r="X141" s="143"/>
      <c r="Y141" s="143"/>
      <c r="Z141" s="143"/>
      <c r="AA141" s="143"/>
      <c r="AB141" s="153"/>
      <c r="AF141" s="155"/>
      <c r="AH141" s="156"/>
      <c r="AN141" s="144"/>
    </row>
    <row r="142" spans="1:40" s="154" customFormat="1" ht="15" customHeight="1">
      <c r="A142" s="153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3"/>
      <c r="U142" s="143"/>
      <c r="V142" s="143"/>
      <c r="W142" s="143"/>
      <c r="X142" s="143"/>
      <c r="Y142" s="143"/>
      <c r="Z142" s="143"/>
      <c r="AA142" s="143"/>
      <c r="AB142" s="153"/>
      <c r="AF142" s="155"/>
      <c r="AH142" s="156"/>
      <c r="AN142" s="144"/>
    </row>
    <row r="143" spans="1:40" s="154" customFormat="1" ht="15" customHeight="1">
      <c r="A143" s="153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3"/>
      <c r="U143" s="143"/>
      <c r="V143" s="143"/>
      <c r="W143" s="143"/>
      <c r="X143" s="143"/>
      <c r="Y143" s="143"/>
      <c r="Z143" s="143"/>
      <c r="AA143" s="143"/>
      <c r="AB143" s="153"/>
      <c r="AF143" s="155"/>
      <c r="AH143" s="156"/>
      <c r="AN143" s="144"/>
    </row>
    <row r="144" spans="1:40" s="154" customFormat="1" ht="15" customHeight="1">
      <c r="A144" s="153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3"/>
      <c r="U144" s="143"/>
      <c r="V144" s="143"/>
      <c r="W144" s="143"/>
      <c r="X144" s="143"/>
      <c r="Y144" s="143"/>
      <c r="Z144" s="143"/>
      <c r="AA144" s="143"/>
      <c r="AB144" s="139"/>
      <c r="AF144" s="155"/>
      <c r="AH144" s="156"/>
      <c r="AN144" s="144"/>
    </row>
    <row r="145" spans="1:40" s="154" customFormat="1" ht="15" customHeight="1">
      <c r="A145" s="153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3"/>
      <c r="U145" s="143"/>
      <c r="V145" s="143"/>
      <c r="W145" s="143"/>
      <c r="X145" s="143"/>
      <c r="Y145" s="143"/>
      <c r="Z145" s="143"/>
      <c r="AA145" s="143"/>
      <c r="AB145" s="139"/>
      <c r="AF145" s="155"/>
      <c r="AH145" s="156"/>
      <c r="AN145" s="144"/>
    </row>
    <row r="146" spans="1:40" s="154" customFormat="1" ht="15" customHeight="1">
      <c r="A146" s="153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3"/>
      <c r="U146" s="143"/>
      <c r="V146" s="143"/>
      <c r="W146" s="143"/>
      <c r="X146" s="143"/>
      <c r="Y146" s="143"/>
      <c r="Z146" s="143"/>
      <c r="AA146" s="143"/>
      <c r="AB146" s="153"/>
      <c r="AF146" s="155"/>
      <c r="AH146" s="156"/>
      <c r="AN146" s="144"/>
    </row>
    <row r="147" spans="1:40" s="154" customFormat="1" ht="15" customHeight="1">
      <c r="A147" s="153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3"/>
      <c r="U147" s="143"/>
      <c r="V147" s="143"/>
      <c r="W147" s="143"/>
      <c r="X147" s="143"/>
      <c r="Y147" s="143"/>
      <c r="Z147" s="143"/>
      <c r="AA147" s="143"/>
      <c r="AB147" s="139"/>
      <c r="AF147" s="155"/>
      <c r="AH147" s="156"/>
      <c r="AN147" s="144"/>
    </row>
    <row r="148" spans="1:40" s="154" customFormat="1" ht="15" customHeight="1">
      <c r="A148" s="153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3"/>
      <c r="U148" s="143"/>
      <c r="V148" s="143"/>
      <c r="W148" s="143"/>
      <c r="X148" s="143"/>
      <c r="Y148" s="143"/>
      <c r="Z148" s="143"/>
      <c r="AA148" s="143"/>
      <c r="AB148" s="139"/>
      <c r="AF148" s="155"/>
      <c r="AH148" s="156"/>
      <c r="AN148" s="144"/>
    </row>
    <row r="149" spans="1:40" s="154" customFormat="1" ht="15" customHeight="1">
      <c r="A149" s="153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3"/>
      <c r="U149" s="143"/>
      <c r="V149" s="143"/>
      <c r="W149" s="143"/>
      <c r="X149" s="143"/>
      <c r="Y149" s="143"/>
      <c r="Z149" s="143"/>
      <c r="AA149" s="143"/>
      <c r="AB149" s="153"/>
      <c r="AF149" s="155"/>
      <c r="AH149" s="156"/>
      <c r="AN149" s="144"/>
    </row>
    <row r="150" spans="1:40" s="154" customFormat="1" ht="15" customHeight="1">
      <c r="A150" s="153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3"/>
      <c r="U150" s="143"/>
      <c r="V150" s="143"/>
      <c r="W150" s="143"/>
      <c r="X150" s="143"/>
      <c r="Y150" s="143"/>
      <c r="Z150" s="143"/>
      <c r="AA150" s="143"/>
      <c r="AB150" s="153"/>
      <c r="AF150" s="155"/>
      <c r="AH150" s="156"/>
      <c r="AN150" s="144"/>
    </row>
    <row r="151" spans="1:40" s="154" customFormat="1" ht="15" customHeight="1">
      <c r="A151" s="153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3"/>
      <c r="U151" s="143"/>
      <c r="V151" s="143"/>
      <c r="W151" s="143"/>
      <c r="X151" s="143"/>
      <c r="Y151" s="143"/>
      <c r="Z151" s="143"/>
      <c r="AA151" s="143"/>
      <c r="AB151" s="139"/>
      <c r="AC151" s="282"/>
      <c r="AD151" s="282"/>
      <c r="AE151" s="282"/>
      <c r="AF151" s="155"/>
      <c r="AH151" s="156"/>
      <c r="AN151" s="144"/>
    </row>
    <row r="152" spans="1:40" s="154" customFormat="1" ht="15" customHeight="1">
      <c r="A152" s="153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3"/>
      <c r="U152" s="143"/>
      <c r="V152" s="143"/>
      <c r="W152" s="143"/>
      <c r="X152" s="143"/>
      <c r="Y152" s="143"/>
      <c r="Z152" s="143"/>
      <c r="AA152" s="143"/>
      <c r="AB152" s="153"/>
      <c r="AC152" s="282"/>
      <c r="AD152" s="282"/>
      <c r="AE152" s="282"/>
      <c r="AF152" s="155"/>
      <c r="AH152" s="156"/>
      <c r="AN152" s="144"/>
    </row>
    <row r="153" spans="1:40" s="154" customFormat="1" ht="15" customHeight="1">
      <c r="A153" s="153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3"/>
      <c r="U153" s="143"/>
      <c r="V153" s="143"/>
      <c r="W153" s="143"/>
      <c r="X153" s="143"/>
      <c r="Y153" s="143"/>
      <c r="Z153" s="143"/>
      <c r="AA153" s="143"/>
      <c r="AB153" s="153"/>
      <c r="AC153" s="282"/>
      <c r="AD153" s="282"/>
      <c r="AE153" s="282"/>
      <c r="AF153" s="155"/>
      <c r="AH153" s="156"/>
      <c r="AN153" s="144"/>
    </row>
    <row r="154" spans="1:40" s="154" customFormat="1" ht="15" customHeight="1">
      <c r="A154" s="153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3"/>
      <c r="U154" s="143"/>
      <c r="V154" s="143"/>
      <c r="W154" s="143"/>
      <c r="X154" s="143"/>
      <c r="Y154" s="143"/>
      <c r="Z154" s="143"/>
      <c r="AA154" s="143"/>
      <c r="AB154" s="153"/>
      <c r="AF154" s="155"/>
      <c r="AH154" s="156"/>
      <c r="AN154" s="144"/>
    </row>
    <row r="155" spans="1:40" s="154" customFormat="1" ht="15" customHeight="1">
      <c r="A155" s="153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3"/>
      <c r="U155" s="143"/>
      <c r="V155" s="143"/>
      <c r="W155" s="143"/>
      <c r="X155" s="143"/>
      <c r="Y155" s="143"/>
      <c r="Z155" s="143"/>
      <c r="AA155" s="143"/>
      <c r="AB155" s="139"/>
      <c r="AC155" s="282"/>
      <c r="AD155" s="282"/>
      <c r="AE155" s="282"/>
      <c r="AF155" s="155"/>
      <c r="AH155" s="156"/>
      <c r="AN155" s="144"/>
    </row>
    <row r="156" spans="1:40" s="154" customFormat="1" ht="15" customHeight="1">
      <c r="A156" s="153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3"/>
      <c r="U156" s="143"/>
      <c r="V156" s="143"/>
      <c r="W156" s="143"/>
      <c r="X156" s="143"/>
      <c r="Y156" s="143"/>
      <c r="Z156" s="143"/>
      <c r="AA156" s="143"/>
      <c r="AB156" s="153"/>
      <c r="AC156" s="282"/>
      <c r="AD156" s="282"/>
      <c r="AE156" s="282"/>
      <c r="AF156" s="155"/>
      <c r="AH156" s="156"/>
      <c r="AN156" s="144"/>
    </row>
    <row r="157" spans="1:40" s="154" customFormat="1" ht="15" customHeight="1">
      <c r="A157" s="153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3"/>
      <c r="U157" s="143"/>
      <c r="V157" s="143"/>
      <c r="W157" s="143"/>
      <c r="X157" s="143"/>
      <c r="Y157" s="143"/>
      <c r="Z157" s="143"/>
      <c r="AA157" s="143"/>
      <c r="AB157" s="153"/>
      <c r="AC157" s="282"/>
      <c r="AD157" s="282"/>
      <c r="AE157" s="282"/>
      <c r="AF157" s="155"/>
      <c r="AH157" s="156"/>
      <c r="AN157" s="144"/>
    </row>
    <row r="158" spans="1:40" s="154" customFormat="1" ht="15" customHeight="1">
      <c r="A158" s="153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3"/>
      <c r="U158" s="143"/>
      <c r="V158" s="143"/>
      <c r="W158" s="143"/>
      <c r="X158" s="143"/>
      <c r="Y158" s="143"/>
      <c r="Z158" s="143"/>
      <c r="AA158" s="143"/>
      <c r="AB158" s="153"/>
      <c r="AC158" s="282"/>
      <c r="AD158" s="282"/>
      <c r="AE158" s="282"/>
      <c r="AF158" s="155"/>
      <c r="AH158" s="156"/>
      <c r="AN158" s="144"/>
    </row>
    <row r="159" spans="1:40" s="154" customFormat="1" ht="15" customHeight="1">
      <c r="A159" s="153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3"/>
      <c r="U159" s="143"/>
      <c r="V159" s="143"/>
      <c r="W159" s="143"/>
      <c r="X159" s="143"/>
      <c r="Y159" s="143"/>
      <c r="Z159" s="143"/>
      <c r="AA159" s="143"/>
      <c r="AB159" s="139"/>
      <c r="AC159" s="282"/>
      <c r="AD159" s="282"/>
      <c r="AE159" s="282"/>
      <c r="AF159" s="155"/>
      <c r="AH159" s="156"/>
      <c r="AN159" s="144"/>
    </row>
    <row r="160" spans="1:40" s="154" customFormat="1" ht="15" customHeight="1">
      <c r="A160" s="153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3"/>
      <c r="U160" s="143"/>
      <c r="V160" s="143"/>
      <c r="W160" s="143"/>
      <c r="X160" s="143"/>
      <c r="Y160" s="143"/>
      <c r="Z160" s="143"/>
      <c r="AA160" s="143"/>
      <c r="AB160" s="153"/>
      <c r="AC160" s="282"/>
      <c r="AD160" s="282"/>
      <c r="AE160" s="282"/>
      <c r="AF160" s="155"/>
      <c r="AH160" s="156"/>
      <c r="AN160" s="144"/>
    </row>
    <row r="161" spans="1:113" s="154" customFormat="1" ht="15" customHeight="1">
      <c r="A161" s="153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3"/>
      <c r="U161" s="143"/>
      <c r="V161" s="143"/>
      <c r="W161" s="143"/>
      <c r="X161" s="143"/>
      <c r="Y161" s="143"/>
      <c r="Z161" s="143"/>
      <c r="AA161" s="143"/>
      <c r="AB161" s="153"/>
      <c r="AC161" s="282"/>
      <c r="AD161" s="282"/>
      <c r="AE161" s="282"/>
      <c r="AF161" s="155"/>
      <c r="AH161" s="156"/>
      <c r="AN161" s="144"/>
    </row>
    <row r="162" spans="1:113" s="139" customFormat="1" ht="15" customHeight="1"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3"/>
      <c r="U162" s="143"/>
      <c r="V162" s="143"/>
      <c r="W162" s="143"/>
      <c r="X162" s="143"/>
      <c r="Y162" s="143"/>
      <c r="Z162" s="143"/>
      <c r="AA162" s="143"/>
      <c r="AC162" s="282"/>
      <c r="AD162" s="282"/>
      <c r="AE162" s="282"/>
      <c r="AF162" s="155"/>
      <c r="AH162" s="143"/>
      <c r="AI162" s="140"/>
      <c r="AJ162" s="140"/>
      <c r="AK162" s="140"/>
      <c r="AL162" s="140"/>
      <c r="AM162" s="140"/>
      <c r="AN162" s="144"/>
      <c r="AO162" s="140"/>
      <c r="AP162" s="140"/>
      <c r="AQ162" s="140"/>
      <c r="AR162" s="140"/>
      <c r="AS162" s="140"/>
      <c r="AT162" s="140"/>
      <c r="AU162" s="140"/>
      <c r="AV162" s="140"/>
      <c r="AW162" s="140"/>
      <c r="AX162" s="140"/>
      <c r="AY162" s="140"/>
      <c r="AZ162" s="140"/>
      <c r="BA162" s="140"/>
      <c r="BB162" s="140"/>
      <c r="BC162" s="140"/>
      <c r="BD162" s="140"/>
      <c r="BE162" s="140"/>
      <c r="BF162" s="140"/>
      <c r="BG162" s="140"/>
      <c r="BH162" s="140"/>
      <c r="BI162" s="140"/>
      <c r="BJ162" s="140"/>
      <c r="BK162" s="140"/>
      <c r="BL162" s="140"/>
      <c r="BM162" s="140"/>
      <c r="BN162" s="140"/>
      <c r="BO162" s="140"/>
      <c r="BP162" s="140"/>
      <c r="BQ162" s="140"/>
      <c r="BR162" s="140"/>
      <c r="BS162" s="140"/>
      <c r="BT162" s="140"/>
      <c r="BU162" s="140"/>
      <c r="BV162" s="140"/>
      <c r="BW162" s="140"/>
      <c r="BX162" s="140"/>
      <c r="BY162" s="140"/>
      <c r="BZ162" s="140"/>
      <c r="CA162" s="140"/>
      <c r="CB162" s="140"/>
      <c r="CC162" s="140"/>
      <c r="CD162" s="140"/>
      <c r="CE162" s="140"/>
      <c r="CF162" s="140"/>
      <c r="CG162" s="140"/>
      <c r="CH162" s="140"/>
      <c r="CI162" s="140"/>
      <c r="CJ162" s="140"/>
      <c r="CK162" s="140"/>
      <c r="CL162" s="140"/>
      <c r="CM162" s="140"/>
      <c r="CN162" s="140"/>
      <c r="CO162" s="140"/>
      <c r="CP162" s="140"/>
      <c r="CQ162" s="140"/>
      <c r="CR162" s="140"/>
      <c r="CS162" s="140"/>
      <c r="CT162" s="140"/>
      <c r="CU162" s="140"/>
      <c r="CV162" s="140"/>
      <c r="CW162" s="140"/>
      <c r="CX162" s="140"/>
      <c r="CY162" s="140"/>
      <c r="CZ162" s="140"/>
      <c r="DA162" s="140"/>
      <c r="DB162" s="140"/>
      <c r="DC162" s="140"/>
      <c r="DD162" s="140"/>
      <c r="DE162" s="140"/>
      <c r="DF162" s="140"/>
      <c r="DG162" s="140"/>
      <c r="DH162" s="140"/>
      <c r="DI162" s="140"/>
    </row>
    <row r="163" spans="1:113" ht="15" customHeight="1">
      <c r="A163" s="139"/>
      <c r="T163" s="143"/>
      <c r="U163" s="143"/>
      <c r="V163" s="143"/>
      <c r="W163" s="143"/>
      <c r="X163" s="143"/>
      <c r="Y163" s="143"/>
      <c r="Z163" s="143"/>
      <c r="AA163" s="143"/>
      <c r="AB163" s="153"/>
      <c r="AC163" s="282"/>
      <c r="AD163" s="282"/>
      <c r="AE163" s="282"/>
      <c r="AN163" s="144"/>
    </row>
    <row r="164" spans="1:113" ht="15" customHeight="1">
      <c r="A164" s="139"/>
      <c r="T164" s="143"/>
      <c r="U164" s="143"/>
      <c r="V164" s="143"/>
      <c r="W164" s="143"/>
      <c r="X164" s="143"/>
      <c r="Y164" s="143"/>
      <c r="Z164" s="143"/>
      <c r="AA164" s="143"/>
      <c r="AN164" s="144"/>
    </row>
    <row r="165" spans="1:113" ht="15" customHeight="1">
      <c r="A165" s="139"/>
      <c r="T165" s="143"/>
      <c r="U165" s="143"/>
      <c r="V165" s="143"/>
      <c r="W165" s="143"/>
      <c r="X165" s="143"/>
      <c r="Y165" s="143"/>
      <c r="Z165" s="143"/>
      <c r="AA165" s="143"/>
      <c r="AN165" s="144"/>
    </row>
    <row r="166" spans="1:113" ht="15" customHeight="1">
      <c r="A166" s="139"/>
      <c r="T166" s="143"/>
      <c r="U166" s="143"/>
      <c r="V166" s="143"/>
      <c r="W166" s="143"/>
      <c r="X166" s="143"/>
      <c r="Y166" s="143"/>
      <c r="Z166" s="143"/>
      <c r="AA166" s="143"/>
      <c r="AN166" s="144"/>
    </row>
    <row r="167" spans="1:113" ht="15" customHeight="1">
      <c r="A167" s="139"/>
      <c r="T167" s="143"/>
      <c r="U167" s="143"/>
      <c r="V167" s="143"/>
      <c r="W167" s="143"/>
      <c r="X167" s="143"/>
      <c r="Y167" s="143"/>
      <c r="Z167" s="143"/>
      <c r="AA167" s="143"/>
      <c r="AN167" s="144"/>
    </row>
    <row r="168" spans="1:113" ht="15" customHeight="1">
      <c r="A168" s="139"/>
      <c r="T168" s="143"/>
      <c r="U168" s="143"/>
      <c r="V168" s="143"/>
      <c r="W168" s="143"/>
      <c r="X168" s="143"/>
      <c r="Y168" s="143"/>
      <c r="Z168" s="143"/>
      <c r="AA168" s="143"/>
      <c r="AN168" s="144"/>
    </row>
    <row r="169" spans="1:113" ht="15" customHeight="1">
      <c r="A169" s="139"/>
      <c r="T169" s="143"/>
      <c r="U169" s="143"/>
      <c r="V169" s="143"/>
      <c r="W169" s="143"/>
      <c r="X169" s="143"/>
      <c r="Y169" s="143"/>
      <c r="Z169" s="143"/>
      <c r="AA169" s="143"/>
      <c r="AN169" s="144"/>
    </row>
    <row r="170" spans="1:113" ht="15" customHeight="1">
      <c r="A170" s="139"/>
      <c r="T170" s="143"/>
      <c r="U170" s="143"/>
      <c r="V170" s="143"/>
      <c r="W170" s="143"/>
      <c r="X170" s="143"/>
      <c r="Y170" s="143"/>
      <c r="Z170" s="143"/>
      <c r="AA170" s="143"/>
      <c r="AN170" s="144"/>
    </row>
    <row r="171" spans="1:113" s="154" customFormat="1" ht="15" customHeight="1">
      <c r="A171" s="153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3"/>
      <c r="U171" s="143"/>
      <c r="V171" s="143"/>
      <c r="W171" s="143"/>
      <c r="X171" s="143"/>
      <c r="Y171" s="143"/>
      <c r="Z171" s="143"/>
      <c r="AA171" s="143"/>
      <c r="AB171" s="153"/>
      <c r="AF171" s="155"/>
      <c r="AH171" s="156"/>
      <c r="AN171" s="144"/>
    </row>
    <row r="172" spans="1:113" ht="15" customHeight="1">
      <c r="A172" s="139"/>
      <c r="T172" s="143"/>
      <c r="U172" s="143"/>
      <c r="V172" s="143"/>
      <c r="W172" s="143"/>
      <c r="X172" s="143"/>
      <c r="Y172" s="143"/>
      <c r="Z172" s="143"/>
      <c r="AA172" s="143"/>
      <c r="AB172" s="153"/>
      <c r="AN172" s="144"/>
    </row>
    <row r="173" spans="1:113" ht="15" customHeight="1">
      <c r="A173" s="139"/>
      <c r="T173" s="143"/>
      <c r="U173" s="143"/>
      <c r="V173" s="143"/>
      <c r="W173" s="143"/>
      <c r="X173" s="143"/>
      <c r="Y173" s="143"/>
      <c r="Z173" s="143"/>
      <c r="AA173" s="143"/>
      <c r="AB173" s="153"/>
      <c r="AN173" s="144"/>
    </row>
    <row r="174" spans="1:113" ht="15" customHeight="1">
      <c r="A174" s="139"/>
      <c r="T174" s="143"/>
      <c r="U174" s="143"/>
      <c r="V174" s="143"/>
      <c r="W174" s="143"/>
      <c r="X174" s="143"/>
      <c r="Y174" s="143"/>
      <c r="Z174" s="143"/>
      <c r="AA174" s="143"/>
      <c r="AN174" s="144"/>
    </row>
    <row r="175" spans="1:113" ht="15" customHeight="1">
      <c r="A175" s="139"/>
      <c r="T175" s="143"/>
      <c r="U175" s="143"/>
      <c r="V175" s="143"/>
      <c r="W175" s="143"/>
      <c r="X175" s="143"/>
      <c r="Y175" s="143"/>
      <c r="Z175" s="143"/>
      <c r="AA175" s="143"/>
      <c r="AN175" s="144"/>
    </row>
    <row r="176" spans="1:113" ht="15" customHeight="1">
      <c r="A176" s="139"/>
      <c r="T176" s="143"/>
      <c r="U176" s="143"/>
      <c r="V176" s="143"/>
      <c r="W176" s="143"/>
      <c r="X176" s="143"/>
      <c r="Y176" s="143"/>
      <c r="Z176" s="143"/>
      <c r="AA176" s="143"/>
      <c r="AN176" s="144"/>
    </row>
    <row r="177" spans="1:40" ht="15" customHeight="1">
      <c r="A177" s="139"/>
      <c r="T177" s="143"/>
      <c r="U177" s="143"/>
      <c r="V177" s="143"/>
      <c r="W177" s="143"/>
      <c r="X177" s="143"/>
      <c r="Y177" s="143"/>
      <c r="Z177" s="143"/>
      <c r="AA177" s="143"/>
      <c r="AN177" s="144"/>
    </row>
    <row r="178" spans="1:40" ht="15" customHeight="1">
      <c r="A178" s="139"/>
      <c r="T178" s="143"/>
      <c r="U178" s="143"/>
      <c r="V178" s="143"/>
      <c r="W178" s="143"/>
      <c r="X178" s="143"/>
      <c r="Y178" s="143"/>
      <c r="Z178" s="143"/>
      <c r="AA178" s="143"/>
      <c r="AN178" s="144"/>
    </row>
    <row r="179" spans="1:40" ht="15" customHeight="1">
      <c r="A179" s="139"/>
      <c r="T179" s="143"/>
      <c r="U179" s="143"/>
      <c r="V179" s="143"/>
      <c r="W179" s="143"/>
      <c r="X179" s="143"/>
      <c r="Y179" s="143"/>
      <c r="Z179" s="143"/>
      <c r="AA179" s="143"/>
      <c r="AN179" s="144"/>
    </row>
    <row r="180" spans="1:40" ht="15" customHeight="1">
      <c r="A180" s="139"/>
      <c r="T180" s="143"/>
      <c r="U180" s="143"/>
      <c r="V180" s="143"/>
      <c r="W180" s="143"/>
      <c r="X180" s="143"/>
      <c r="Y180" s="143"/>
      <c r="Z180" s="143"/>
      <c r="AA180" s="143"/>
      <c r="AN180" s="144"/>
    </row>
    <row r="181" spans="1:40" ht="15" customHeight="1">
      <c r="A181" s="139"/>
      <c r="T181" s="143"/>
      <c r="U181" s="143"/>
      <c r="V181" s="143"/>
      <c r="W181" s="143"/>
      <c r="X181" s="143"/>
      <c r="Y181" s="143"/>
      <c r="Z181" s="143"/>
      <c r="AA181" s="143"/>
      <c r="AN181" s="144"/>
    </row>
    <row r="182" spans="1:40" ht="15" customHeight="1">
      <c r="A182" s="139"/>
      <c r="T182" s="143"/>
      <c r="U182" s="143"/>
      <c r="V182" s="143"/>
      <c r="W182" s="143"/>
      <c r="X182" s="143"/>
      <c r="Y182" s="143"/>
      <c r="Z182" s="143"/>
      <c r="AA182" s="143"/>
      <c r="AN182" s="144"/>
    </row>
    <row r="183" spans="1:40" ht="15" customHeight="1">
      <c r="A183" s="139"/>
      <c r="T183" s="143"/>
      <c r="U183" s="143"/>
      <c r="V183" s="143"/>
      <c r="W183" s="143"/>
      <c r="X183" s="143"/>
      <c r="Y183" s="143"/>
      <c r="Z183" s="143"/>
      <c r="AA183" s="143"/>
      <c r="AN183" s="144"/>
    </row>
    <row r="184" spans="1:40" ht="15" customHeight="1">
      <c r="A184" s="139"/>
      <c r="T184" s="143"/>
      <c r="U184" s="143"/>
      <c r="V184" s="143"/>
      <c r="W184" s="143"/>
      <c r="X184" s="143"/>
      <c r="Y184" s="143"/>
      <c r="Z184" s="143"/>
      <c r="AA184" s="143"/>
      <c r="AN184" s="144"/>
    </row>
    <row r="185" spans="1:40" ht="15" customHeight="1">
      <c r="A185" s="139"/>
      <c r="T185" s="143"/>
      <c r="U185" s="143"/>
      <c r="V185" s="143"/>
      <c r="W185" s="143"/>
      <c r="X185" s="143"/>
      <c r="Y185" s="143"/>
      <c r="Z185" s="143"/>
      <c r="AA185" s="143"/>
      <c r="AN185" s="144"/>
    </row>
    <row r="186" spans="1:40" ht="15" customHeight="1">
      <c r="A186" s="139"/>
      <c r="T186" s="143"/>
      <c r="U186" s="143"/>
      <c r="V186" s="143"/>
      <c r="W186" s="143"/>
      <c r="X186" s="143"/>
      <c r="Y186" s="143"/>
      <c r="Z186" s="143"/>
      <c r="AA186" s="143"/>
      <c r="AN186" s="144"/>
    </row>
    <row r="187" spans="1:40" ht="15" customHeight="1">
      <c r="A187" s="139"/>
      <c r="T187" s="143"/>
      <c r="U187" s="143"/>
      <c r="V187" s="143"/>
      <c r="W187" s="143"/>
      <c r="X187" s="143"/>
      <c r="Y187" s="143"/>
      <c r="Z187" s="143"/>
      <c r="AA187" s="143"/>
      <c r="AN187" s="144"/>
    </row>
    <row r="188" spans="1:40" ht="15" customHeight="1">
      <c r="A188" s="139"/>
      <c r="T188" s="143"/>
      <c r="U188" s="143"/>
      <c r="V188" s="143"/>
      <c r="W188" s="143"/>
      <c r="X188" s="143"/>
      <c r="Y188" s="143"/>
      <c r="Z188" s="143"/>
      <c r="AA188" s="143"/>
      <c r="AN188" s="144"/>
    </row>
    <row r="189" spans="1:40" ht="15" customHeight="1">
      <c r="A189" s="139"/>
      <c r="T189" s="143"/>
      <c r="U189" s="143"/>
      <c r="V189" s="143"/>
      <c r="W189" s="143"/>
      <c r="X189" s="143"/>
      <c r="Y189" s="143"/>
      <c r="Z189" s="143"/>
      <c r="AA189" s="143"/>
      <c r="AN189" s="144"/>
    </row>
    <row r="190" spans="1:40" ht="15" customHeight="1">
      <c r="A190" s="139"/>
      <c r="T190" s="143"/>
      <c r="U190" s="143"/>
      <c r="V190" s="143"/>
      <c r="W190" s="143"/>
      <c r="X190" s="143"/>
      <c r="Y190" s="143"/>
      <c r="Z190" s="143"/>
      <c r="AA190" s="143"/>
      <c r="AN190" s="144"/>
    </row>
    <row r="191" spans="1:40" ht="15" customHeight="1">
      <c r="A191" s="139"/>
      <c r="T191" s="143"/>
      <c r="U191" s="143"/>
      <c r="V191" s="143"/>
      <c r="W191" s="143"/>
      <c r="X191" s="143"/>
      <c r="Y191" s="143"/>
      <c r="Z191" s="143"/>
      <c r="AA191" s="143"/>
      <c r="AN191" s="144"/>
    </row>
    <row r="192" spans="1:40" ht="15" customHeight="1">
      <c r="A192" s="139"/>
      <c r="T192" s="143"/>
      <c r="U192" s="143"/>
      <c r="V192" s="143"/>
      <c r="W192" s="143"/>
      <c r="X192" s="143"/>
      <c r="Y192" s="143"/>
      <c r="Z192" s="143"/>
      <c r="AA192" s="143"/>
      <c r="AN192" s="144"/>
    </row>
    <row r="193" spans="1:40" ht="15" customHeight="1">
      <c r="A193" s="139"/>
      <c r="T193" s="143"/>
      <c r="U193" s="143"/>
      <c r="V193" s="143"/>
      <c r="W193" s="143"/>
      <c r="X193" s="143"/>
      <c r="Y193" s="143"/>
      <c r="Z193" s="143"/>
      <c r="AA193" s="143"/>
      <c r="AN193" s="144"/>
    </row>
    <row r="194" spans="1:40" ht="15" customHeight="1">
      <c r="A194" s="139"/>
      <c r="T194" s="143"/>
      <c r="U194" s="143"/>
      <c r="V194" s="143"/>
      <c r="W194" s="143"/>
      <c r="X194" s="143"/>
      <c r="Y194" s="143"/>
      <c r="Z194" s="143"/>
      <c r="AA194" s="143"/>
      <c r="AN194" s="144"/>
    </row>
    <row r="195" spans="1:40" ht="15" customHeight="1">
      <c r="A195" s="139"/>
      <c r="T195" s="143"/>
      <c r="U195" s="143"/>
      <c r="V195" s="143"/>
      <c r="W195" s="143"/>
      <c r="X195" s="143"/>
      <c r="Y195" s="143"/>
      <c r="Z195" s="143"/>
      <c r="AA195" s="143"/>
      <c r="AN195" s="144"/>
    </row>
    <row r="196" spans="1:40" ht="15" customHeight="1">
      <c r="A196" s="139"/>
      <c r="T196" s="143"/>
      <c r="U196" s="143"/>
      <c r="V196" s="143"/>
      <c r="W196" s="143"/>
      <c r="X196" s="143"/>
      <c r="Y196" s="143"/>
      <c r="Z196" s="143"/>
      <c r="AA196" s="143"/>
      <c r="AN196" s="144"/>
    </row>
    <row r="197" spans="1:40" ht="15" customHeight="1">
      <c r="A197" s="139"/>
      <c r="T197" s="143"/>
      <c r="U197" s="143"/>
      <c r="V197" s="143"/>
      <c r="W197" s="143"/>
      <c r="X197" s="143"/>
      <c r="Y197" s="143"/>
      <c r="Z197" s="143"/>
      <c r="AA197" s="143"/>
      <c r="AN197" s="144"/>
    </row>
    <row r="198" spans="1:40" ht="15" customHeight="1">
      <c r="A198" s="139"/>
      <c r="T198" s="143"/>
      <c r="U198" s="143"/>
      <c r="V198" s="143"/>
      <c r="W198" s="143"/>
      <c r="X198" s="143"/>
      <c r="Y198" s="143"/>
      <c r="Z198" s="143"/>
      <c r="AA198" s="143"/>
      <c r="AN198" s="144"/>
    </row>
    <row r="199" spans="1:40" ht="15" customHeight="1">
      <c r="A199" s="139"/>
      <c r="T199" s="143"/>
      <c r="U199" s="143"/>
      <c r="V199" s="143"/>
      <c r="W199" s="143"/>
      <c r="X199" s="143"/>
      <c r="Y199" s="143"/>
      <c r="Z199" s="143"/>
      <c r="AA199" s="143"/>
      <c r="AN199" s="144"/>
    </row>
    <row r="200" spans="1:40" ht="15" customHeight="1">
      <c r="A200" s="139"/>
      <c r="T200" s="143"/>
      <c r="U200" s="143"/>
      <c r="V200" s="143"/>
      <c r="W200" s="143"/>
      <c r="X200" s="143"/>
      <c r="Y200" s="143"/>
      <c r="Z200" s="143"/>
      <c r="AA200" s="143"/>
      <c r="AN200" s="144"/>
    </row>
    <row r="201" spans="1:40" ht="15" customHeight="1">
      <c r="A201" s="139"/>
      <c r="T201" s="143"/>
      <c r="U201" s="143"/>
      <c r="V201" s="143"/>
      <c r="W201" s="143"/>
      <c r="X201" s="143"/>
      <c r="Y201" s="143"/>
      <c r="Z201" s="143"/>
      <c r="AA201" s="143"/>
      <c r="AN201" s="144"/>
    </row>
    <row r="202" spans="1:40" ht="15" customHeight="1">
      <c r="A202" s="139"/>
      <c r="T202" s="143"/>
      <c r="U202" s="143"/>
      <c r="V202" s="143"/>
      <c r="W202" s="143"/>
      <c r="X202" s="143"/>
      <c r="Y202" s="143"/>
      <c r="Z202" s="143"/>
      <c r="AA202" s="143"/>
      <c r="AN202" s="144"/>
    </row>
    <row r="203" spans="1:40" ht="15" customHeight="1">
      <c r="A203" s="139"/>
      <c r="T203" s="143"/>
      <c r="U203" s="143"/>
      <c r="V203" s="143"/>
      <c r="W203" s="143"/>
      <c r="X203" s="143"/>
      <c r="Y203" s="143"/>
      <c r="Z203" s="143"/>
      <c r="AA203" s="143"/>
      <c r="AN203" s="144"/>
    </row>
    <row r="204" spans="1:40" ht="15" customHeight="1">
      <c r="A204" s="139"/>
      <c r="T204" s="143"/>
      <c r="U204" s="143"/>
      <c r="V204" s="143"/>
      <c r="W204" s="143"/>
      <c r="X204" s="143"/>
      <c r="Y204" s="143"/>
      <c r="Z204" s="143"/>
      <c r="AA204" s="143"/>
      <c r="AN204" s="144"/>
    </row>
    <row r="205" spans="1:40" ht="15" customHeight="1">
      <c r="A205" s="139"/>
      <c r="T205" s="143"/>
      <c r="U205" s="143"/>
      <c r="V205" s="143"/>
      <c r="W205" s="143"/>
      <c r="X205" s="143"/>
      <c r="Y205" s="143"/>
      <c r="Z205" s="143"/>
      <c r="AA205" s="143"/>
      <c r="AN205" s="144"/>
    </row>
    <row r="206" spans="1:40" ht="15" customHeight="1">
      <c r="A206" s="139"/>
      <c r="T206" s="143"/>
      <c r="U206" s="143"/>
      <c r="V206" s="143"/>
      <c r="W206" s="143"/>
      <c r="X206" s="143"/>
      <c r="Y206" s="143"/>
      <c r="Z206" s="143"/>
      <c r="AA206" s="143"/>
      <c r="AN206" s="144"/>
    </row>
    <row r="207" spans="1:40" ht="15" customHeight="1">
      <c r="A207" s="139"/>
      <c r="T207" s="143"/>
      <c r="U207" s="143"/>
      <c r="V207" s="143"/>
      <c r="W207" s="143"/>
      <c r="X207" s="143"/>
      <c r="Y207" s="143"/>
      <c r="Z207" s="143"/>
      <c r="AA207" s="143"/>
      <c r="AN207" s="144"/>
    </row>
    <row r="208" spans="1:40" ht="15" customHeight="1">
      <c r="A208" s="139"/>
      <c r="T208" s="143"/>
      <c r="U208" s="143"/>
      <c r="V208" s="143"/>
      <c r="W208" s="143"/>
      <c r="X208" s="143"/>
      <c r="Y208" s="143"/>
      <c r="Z208" s="143"/>
      <c r="AA208" s="143"/>
      <c r="AN208" s="144"/>
    </row>
    <row r="209" spans="1:40" ht="15" customHeight="1">
      <c r="A209" s="139"/>
      <c r="T209" s="143"/>
      <c r="U209" s="143"/>
      <c r="V209" s="143"/>
      <c r="W209" s="143"/>
      <c r="X209" s="143"/>
      <c r="Y209" s="143"/>
      <c r="Z209" s="143"/>
      <c r="AA209" s="143"/>
      <c r="AN209" s="144"/>
    </row>
    <row r="210" spans="1:40" ht="15" customHeight="1">
      <c r="A210" s="139"/>
      <c r="T210" s="143"/>
      <c r="U210" s="143"/>
      <c r="V210" s="143"/>
      <c r="W210" s="143"/>
      <c r="X210" s="143"/>
      <c r="Y210" s="143"/>
      <c r="Z210" s="143"/>
      <c r="AA210" s="143"/>
      <c r="AN210" s="144"/>
    </row>
    <row r="211" spans="1:40" ht="15" customHeight="1">
      <c r="A211" s="139"/>
      <c r="T211" s="143"/>
      <c r="U211" s="143"/>
      <c r="V211" s="143"/>
      <c r="W211" s="143"/>
      <c r="X211" s="143"/>
      <c r="Y211" s="143"/>
      <c r="Z211" s="143"/>
      <c r="AA211" s="143"/>
      <c r="AN211" s="144"/>
    </row>
    <row r="212" spans="1:40" ht="15" customHeight="1">
      <c r="A212" s="139"/>
      <c r="T212" s="143"/>
      <c r="U212" s="143"/>
      <c r="V212" s="143"/>
      <c r="W212" s="143"/>
      <c r="X212" s="143"/>
      <c r="Y212" s="143"/>
      <c r="Z212" s="143"/>
      <c r="AA212" s="143"/>
      <c r="AN212" s="144"/>
    </row>
    <row r="213" spans="1:40" ht="15" customHeight="1">
      <c r="A213" s="139"/>
      <c r="T213" s="143"/>
      <c r="U213" s="143"/>
      <c r="V213" s="143"/>
      <c r="W213" s="143"/>
      <c r="X213" s="143"/>
      <c r="Y213" s="143"/>
      <c r="Z213" s="143"/>
      <c r="AA213" s="143"/>
      <c r="AN213" s="144"/>
    </row>
    <row r="214" spans="1:40" ht="15" customHeight="1">
      <c r="A214" s="139"/>
      <c r="T214" s="143"/>
      <c r="U214" s="143"/>
      <c r="V214" s="143"/>
      <c r="W214" s="143"/>
      <c r="X214" s="143"/>
      <c r="Y214" s="143"/>
      <c r="Z214" s="143"/>
      <c r="AA214" s="143"/>
      <c r="AN214" s="144"/>
    </row>
    <row r="215" spans="1:40" ht="15" customHeight="1">
      <c r="A215" s="139"/>
      <c r="T215" s="143"/>
      <c r="U215" s="143"/>
      <c r="V215" s="143"/>
      <c r="W215" s="143"/>
      <c r="X215" s="143"/>
      <c r="Y215" s="143"/>
      <c r="Z215" s="143"/>
      <c r="AA215" s="143"/>
      <c r="AN215" s="144"/>
    </row>
    <row r="216" spans="1:40" ht="15" customHeight="1">
      <c r="A216" s="139"/>
      <c r="T216" s="143"/>
      <c r="U216" s="143"/>
      <c r="V216" s="143"/>
      <c r="W216" s="143"/>
      <c r="X216" s="143"/>
      <c r="Y216" s="143"/>
      <c r="Z216" s="143"/>
      <c r="AA216" s="143"/>
      <c r="AN216" s="144"/>
    </row>
    <row r="217" spans="1:40" ht="15" customHeight="1">
      <c r="A217" s="139"/>
      <c r="T217" s="143"/>
      <c r="U217" s="143"/>
      <c r="V217" s="143"/>
      <c r="W217" s="143"/>
      <c r="X217" s="143"/>
      <c r="Y217" s="143"/>
      <c r="Z217" s="143"/>
      <c r="AA217" s="143"/>
      <c r="AN217" s="144"/>
    </row>
    <row r="218" spans="1:40" ht="15" customHeight="1">
      <c r="A218" s="139"/>
      <c r="T218" s="143"/>
      <c r="U218" s="143"/>
      <c r="V218" s="143"/>
      <c r="W218" s="143"/>
      <c r="X218" s="143"/>
      <c r="Y218" s="143"/>
      <c r="Z218" s="143"/>
      <c r="AA218" s="143"/>
      <c r="AN218" s="144"/>
    </row>
    <row r="219" spans="1:40" ht="15" customHeight="1">
      <c r="A219" s="139"/>
      <c r="T219" s="143"/>
      <c r="U219" s="143"/>
      <c r="V219" s="143"/>
      <c r="W219" s="143"/>
      <c r="X219" s="143"/>
      <c r="Y219" s="143"/>
      <c r="Z219" s="143"/>
      <c r="AA219" s="143"/>
      <c r="AN219" s="144"/>
    </row>
    <row r="220" spans="1:40" ht="15" customHeight="1">
      <c r="A220" s="139"/>
      <c r="T220" s="143"/>
      <c r="U220" s="143"/>
      <c r="V220" s="143"/>
      <c r="W220" s="143"/>
      <c r="X220" s="143"/>
      <c r="Y220" s="143"/>
      <c r="Z220" s="143"/>
      <c r="AA220" s="143"/>
      <c r="AN220" s="144"/>
    </row>
    <row r="221" spans="1:40" ht="15" customHeight="1">
      <c r="A221" s="139"/>
      <c r="T221" s="143"/>
      <c r="U221" s="143"/>
      <c r="V221" s="143"/>
      <c r="W221" s="143"/>
      <c r="X221" s="143"/>
      <c r="Y221" s="143"/>
      <c r="Z221" s="143"/>
      <c r="AA221" s="143"/>
      <c r="AN221" s="144"/>
    </row>
    <row r="222" spans="1:40" ht="15" customHeight="1">
      <c r="A222" s="139"/>
      <c r="T222" s="143"/>
      <c r="U222" s="143"/>
      <c r="V222" s="143"/>
      <c r="W222" s="143"/>
      <c r="X222" s="143"/>
      <c r="Y222" s="143"/>
      <c r="Z222" s="143"/>
      <c r="AA222" s="143"/>
      <c r="AN222" s="144"/>
    </row>
    <row r="223" spans="1:40" ht="15" customHeight="1">
      <c r="A223" s="139"/>
      <c r="T223" s="143"/>
      <c r="U223" s="143"/>
      <c r="V223" s="143"/>
      <c r="W223" s="143"/>
      <c r="X223" s="143"/>
      <c r="Y223" s="143"/>
      <c r="Z223" s="143"/>
      <c r="AA223" s="143"/>
      <c r="AN223" s="144"/>
    </row>
    <row r="224" spans="1:40" ht="15" customHeight="1">
      <c r="A224" s="139"/>
      <c r="T224" s="143"/>
      <c r="U224" s="143"/>
      <c r="V224" s="143"/>
      <c r="W224" s="143"/>
      <c r="X224" s="143"/>
      <c r="Y224" s="143"/>
      <c r="Z224" s="143"/>
      <c r="AA224" s="143"/>
      <c r="AN224" s="144"/>
    </row>
    <row r="225" spans="1:40" ht="15" customHeight="1">
      <c r="A225" s="139"/>
      <c r="T225" s="143"/>
      <c r="U225" s="143"/>
      <c r="V225" s="143"/>
      <c r="W225" s="143"/>
      <c r="X225" s="143"/>
      <c r="Y225" s="143"/>
      <c r="Z225" s="143"/>
      <c r="AA225" s="143"/>
      <c r="AN225" s="144"/>
    </row>
    <row r="226" spans="1:40" ht="15" customHeight="1">
      <c r="A226" s="139"/>
      <c r="T226" s="143"/>
      <c r="U226" s="143"/>
      <c r="V226" s="143"/>
      <c r="W226" s="143"/>
      <c r="X226" s="143"/>
      <c r="Y226" s="143"/>
      <c r="Z226" s="143"/>
      <c r="AA226" s="143"/>
      <c r="AN226" s="144"/>
    </row>
    <row r="227" spans="1:40" ht="15" customHeight="1">
      <c r="A227" s="139"/>
      <c r="T227" s="143"/>
      <c r="U227" s="143"/>
      <c r="V227" s="143"/>
      <c r="W227" s="143"/>
      <c r="X227" s="143"/>
      <c r="Y227" s="143"/>
      <c r="Z227" s="143"/>
      <c r="AA227" s="143"/>
      <c r="AN227" s="144"/>
    </row>
    <row r="228" spans="1:40" ht="15" customHeight="1">
      <c r="A228" s="139"/>
      <c r="T228" s="143"/>
      <c r="U228" s="143"/>
      <c r="V228" s="143"/>
      <c r="W228" s="143"/>
      <c r="X228" s="143"/>
      <c r="Y228" s="143"/>
      <c r="Z228" s="143"/>
      <c r="AA228" s="143"/>
      <c r="AN228" s="144"/>
    </row>
    <row r="229" spans="1:40" ht="15" customHeight="1">
      <c r="A229" s="139"/>
      <c r="T229" s="143"/>
      <c r="U229" s="143"/>
      <c r="V229" s="143"/>
      <c r="W229" s="143"/>
      <c r="X229" s="143"/>
      <c r="Y229" s="143"/>
      <c r="Z229" s="143"/>
      <c r="AA229" s="143"/>
      <c r="AN229" s="144"/>
    </row>
    <row r="230" spans="1:40" ht="15" customHeight="1">
      <c r="A230" s="139"/>
      <c r="T230" s="143"/>
      <c r="U230" s="143"/>
      <c r="V230" s="143"/>
      <c r="W230" s="143"/>
      <c r="X230" s="143"/>
      <c r="Y230" s="143"/>
      <c r="Z230" s="143"/>
      <c r="AA230" s="143"/>
      <c r="AN230" s="144"/>
    </row>
    <row r="231" spans="1:40" ht="15" customHeight="1">
      <c r="A231" s="139"/>
      <c r="T231" s="143"/>
      <c r="U231" s="143"/>
      <c r="V231" s="143"/>
      <c r="W231" s="143"/>
      <c r="X231" s="143"/>
      <c r="Y231" s="143"/>
      <c r="Z231" s="143"/>
      <c r="AA231" s="143"/>
      <c r="AN231" s="144"/>
    </row>
    <row r="232" spans="1:40" ht="15" customHeight="1">
      <c r="A232" s="139"/>
      <c r="T232" s="143"/>
      <c r="U232" s="143"/>
      <c r="V232" s="143"/>
      <c r="W232" s="143"/>
      <c r="X232" s="143"/>
      <c r="Y232" s="143"/>
      <c r="Z232" s="143"/>
      <c r="AA232" s="143"/>
      <c r="AN232" s="144"/>
    </row>
    <row r="233" spans="1:40" ht="15" customHeight="1">
      <c r="A233" s="139"/>
      <c r="T233" s="143"/>
      <c r="U233" s="143"/>
      <c r="V233" s="143"/>
      <c r="W233" s="143"/>
      <c r="X233" s="143"/>
      <c r="Y233" s="143"/>
      <c r="Z233" s="143"/>
      <c r="AA233" s="143"/>
      <c r="AN233" s="144"/>
    </row>
    <row r="234" spans="1:40" ht="15" customHeight="1">
      <c r="A234" s="139"/>
      <c r="T234" s="143"/>
      <c r="U234" s="143"/>
      <c r="V234" s="143"/>
      <c r="W234" s="143"/>
      <c r="X234" s="143"/>
      <c r="Y234" s="143"/>
      <c r="Z234" s="143"/>
      <c r="AA234" s="143"/>
      <c r="AN234" s="144"/>
    </row>
    <row r="235" spans="1:40" ht="15" customHeight="1">
      <c r="A235" s="139"/>
      <c r="T235" s="143"/>
      <c r="U235" s="143"/>
      <c r="V235" s="143"/>
      <c r="W235" s="143"/>
      <c r="X235" s="143"/>
      <c r="Y235" s="143"/>
      <c r="Z235" s="143"/>
      <c r="AA235" s="143"/>
      <c r="AN235" s="144"/>
    </row>
    <row r="236" spans="1:40" ht="15" customHeight="1">
      <c r="A236" s="139"/>
      <c r="T236" s="143"/>
      <c r="U236" s="143"/>
      <c r="V236" s="143"/>
      <c r="W236" s="143"/>
      <c r="X236" s="143"/>
      <c r="Y236" s="143"/>
      <c r="Z236" s="143"/>
      <c r="AA236" s="143"/>
      <c r="AN236" s="144"/>
    </row>
    <row r="237" spans="1:40" ht="15" customHeight="1">
      <c r="A237" s="139"/>
      <c r="T237" s="143"/>
      <c r="U237" s="143"/>
      <c r="V237" s="143"/>
      <c r="W237" s="143"/>
      <c r="X237" s="143"/>
      <c r="Y237" s="143"/>
      <c r="Z237" s="143"/>
      <c r="AA237" s="143"/>
      <c r="AN237" s="144"/>
    </row>
    <row r="238" spans="1:40" ht="15" customHeight="1">
      <c r="A238" s="139"/>
      <c r="T238" s="143"/>
      <c r="U238" s="143"/>
      <c r="V238" s="143"/>
      <c r="W238" s="143"/>
      <c r="X238" s="143"/>
      <c r="Y238" s="143"/>
      <c r="Z238" s="143"/>
      <c r="AA238" s="143"/>
      <c r="AN238" s="144"/>
    </row>
    <row r="239" spans="1:40" ht="15" customHeight="1">
      <c r="A239" s="139"/>
      <c r="T239" s="143"/>
      <c r="U239" s="143"/>
      <c r="V239" s="143"/>
      <c r="W239" s="143"/>
      <c r="X239" s="143"/>
      <c r="Y239" s="143"/>
      <c r="Z239" s="143"/>
      <c r="AA239" s="143"/>
      <c r="AN239" s="144"/>
    </row>
    <row r="240" spans="1:40" ht="15" customHeight="1">
      <c r="A240" s="139"/>
      <c r="T240" s="143"/>
      <c r="U240" s="143"/>
      <c r="V240" s="143"/>
      <c r="W240" s="143"/>
      <c r="X240" s="143"/>
      <c r="Y240" s="143"/>
      <c r="Z240" s="143"/>
      <c r="AA240" s="143"/>
      <c r="AN240" s="144"/>
    </row>
    <row r="241" spans="1:113" ht="15" customHeight="1">
      <c r="A241" s="139"/>
      <c r="T241" s="143"/>
      <c r="U241" s="143"/>
      <c r="V241" s="143"/>
      <c r="W241" s="143"/>
      <c r="X241" s="143"/>
      <c r="Y241" s="143"/>
      <c r="Z241" s="143"/>
      <c r="AA241" s="143"/>
      <c r="AB241" s="153"/>
      <c r="AN241" s="144"/>
    </row>
    <row r="242" spans="1:113" s="154" customFormat="1" ht="15" customHeight="1">
      <c r="A242" s="153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3"/>
      <c r="U242" s="143"/>
      <c r="V242" s="143"/>
      <c r="W242" s="143"/>
      <c r="X242" s="143"/>
      <c r="Y242" s="143"/>
      <c r="Z242" s="143"/>
      <c r="AA242" s="143"/>
      <c r="AB242" s="139"/>
      <c r="AF242" s="155"/>
      <c r="AH242" s="156"/>
      <c r="AN242" s="144"/>
    </row>
    <row r="243" spans="1:113">
      <c r="A243" s="139"/>
      <c r="T243" s="143"/>
      <c r="U243" s="143"/>
      <c r="V243" s="143"/>
      <c r="W243" s="143"/>
      <c r="X243" s="143"/>
      <c r="Y243" s="143"/>
      <c r="Z243" s="143"/>
      <c r="AA243" s="143"/>
      <c r="AB243" s="153"/>
      <c r="AN243" s="144"/>
    </row>
    <row r="244" spans="1:113" s="154" customFormat="1" ht="15" customHeight="1">
      <c r="A244" s="153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3"/>
      <c r="U244" s="143"/>
      <c r="V244" s="143"/>
      <c r="W244" s="143"/>
      <c r="X244" s="143"/>
      <c r="Y244" s="143"/>
      <c r="Z244" s="143"/>
      <c r="AA244" s="143"/>
      <c r="AB244" s="153"/>
      <c r="AF244" s="155"/>
      <c r="AH244" s="156"/>
      <c r="AN244" s="144"/>
    </row>
    <row r="245" spans="1:113" s="154" customFormat="1" ht="15" customHeight="1">
      <c r="A245" s="153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3"/>
      <c r="U245" s="143"/>
      <c r="V245" s="143"/>
      <c r="W245" s="143"/>
      <c r="X245" s="143"/>
      <c r="Y245" s="143"/>
      <c r="Z245" s="143"/>
      <c r="AA245" s="143"/>
      <c r="AB245" s="153"/>
      <c r="AF245" s="155"/>
      <c r="AH245" s="156"/>
      <c r="AN245" s="144"/>
    </row>
    <row r="246" spans="1:113" s="154" customFormat="1" ht="15" customHeight="1">
      <c r="A246" s="153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3"/>
      <c r="U246" s="143"/>
      <c r="V246" s="143"/>
      <c r="W246" s="143"/>
      <c r="X246" s="143"/>
      <c r="Y246" s="143"/>
      <c r="Z246" s="143"/>
      <c r="AA246" s="143"/>
      <c r="AB246" s="153"/>
      <c r="AF246" s="155"/>
      <c r="AH246" s="156"/>
      <c r="AN246" s="144"/>
    </row>
    <row r="247" spans="1:113" s="154" customFormat="1" ht="15" customHeight="1">
      <c r="A247" s="153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3"/>
      <c r="U247" s="143"/>
      <c r="V247" s="143"/>
      <c r="W247" s="143"/>
      <c r="X247" s="143"/>
      <c r="Y247" s="143"/>
      <c r="Z247" s="143"/>
      <c r="AA247" s="143"/>
      <c r="AB247" s="153"/>
      <c r="AF247" s="155"/>
      <c r="AH247" s="156"/>
      <c r="AN247" s="144"/>
    </row>
    <row r="248" spans="1:113" s="154" customFormat="1" ht="15" customHeight="1">
      <c r="A248" s="153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3"/>
      <c r="U248" s="143"/>
      <c r="V248" s="143"/>
      <c r="W248" s="143"/>
      <c r="X248" s="143"/>
      <c r="Y248" s="143"/>
      <c r="Z248" s="143"/>
      <c r="AA248" s="143"/>
      <c r="AB248" s="153"/>
      <c r="AF248" s="155"/>
      <c r="AH248" s="156"/>
      <c r="AN248" s="144"/>
    </row>
    <row r="249" spans="1:113" s="154" customFormat="1" ht="15" customHeight="1">
      <c r="A249" s="153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3"/>
      <c r="U249" s="143"/>
      <c r="V249" s="143"/>
      <c r="W249" s="143"/>
      <c r="X249" s="143"/>
      <c r="Y249" s="143"/>
      <c r="Z249" s="143"/>
      <c r="AA249" s="143"/>
      <c r="AB249" s="139"/>
      <c r="AF249" s="155"/>
      <c r="AH249" s="156"/>
    </row>
    <row r="250" spans="1:113">
      <c r="T250" s="143"/>
      <c r="U250" s="143"/>
      <c r="V250" s="143"/>
      <c r="W250" s="143"/>
      <c r="X250" s="143"/>
      <c r="Y250" s="143"/>
      <c r="Z250" s="143"/>
      <c r="AA250" s="143"/>
    </row>
    <row r="251" spans="1:113" s="139" customForma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3"/>
      <c r="U251" s="143"/>
      <c r="V251" s="143"/>
      <c r="W251" s="143"/>
      <c r="X251" s="143"/>
      <c r="Y251" s="143"/>
      <c r="Z251" s="143"/>
      <c r="AA251" s="143"/>
      <c r="AC251" s="140"/>
      <c r="AD251" s="140"/>
      <c r="AE251" s="140"/>
      <c r="AF251" s="155"/>
      <c r="AG251" s="141"/>
      <c r="AH251" s="143"/>
      <c r="AI251" s="140"/>
      <c r="AJ251" s="140"/>
      <c r="AK251" s="140"/>
      <c r="AL251" s="140"/>
      <c r="AM251" s="140"/>
      <c r="AN251" s="140"/>
      <c r="AO251" s="140"/>
      <c r="AP251" s="140"/>
      <c r="AQ251" s="140"/>
      <c r="AR251" s="140"/>
      <c r="AS251" s="140"/>
      <c r="AT251" s="140"/>
      <c r="AU251" s="140"/>
      <c r="AV251" s="140"/>
      <c r="AW251" s="140"/>
      <c r="AX251" s="140"/>
      <c r="AY251" s="140"/>
      <c r="AZ251" s="140"/>
      <c r="BA251" s="140"/>
      <c r="BB251" s="140"/>
      <c r="BC251" s="140"/>
      <c r="BD251" s="140"/>
      <c r="BE251" s="140"/>
      <c r="BF251" s="140"/>
      <c r="BG251" s="140"/>
      <c r="BH251" s="140"/>
      <c r="BI251" s="140"/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</row>
    <row r="252" spans="1:113" s="139" customForma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3"/>
      <c r="U252" s="143"/>
      <c r="V252" s="143"/>
      <c r="W252" s="143"/>
      <c r="X252" s="143"/>
      <c r="Y252" s="143"/>
      <c r="Z252" s="143"/>
      <c r="AA252" s="143"/>
      <c r="AC252" s="140"/>
      <c r="AD252" s="140"/>
      <c r="AE252" s="140"/>
      <c r="AF252" s="155"/>
      <c r="AG252" s="141"/>
      <c r="AH252" s="143"/>
      <c r="AI252" s="140"/>
      <c r="AJ252" s="140"/>
      <c r="AK252" s="140"/>
      <c r="AL252" s="140"/>
      <c r="AM252" s="140"/>
      <c r="AN252" s="140"/>
      <c r="AO252" s="140"/>
      <c r="AP252" s="140"/>
      <c r="AQ252" s="140"/>
      <c r="AR252" s="140"/>
      <c r="AS252" s="140"/>
      <c r="AT252" s="140"/>
      <c r="AU252" s="140"/>
      <c r="AV252" s="140"/>
      <c r="AW252" s="140"/>
      <c r="AX252" s="140"/>
      <c r="AY252" s="140"/>
      <c r="AZ252" s="140"/>
      <c r="BA252" s="140"/>
      <c r="BB252" s="140"/>
      <c r="BC252" s="140"/>
      <c r="BD252" s="140"/>
      <c r="BE252" s="140"/>
      <c r="BF252" s="140"/>
      <c r="BG252" s="140"/>
      <c r="BH252" s="140"/>
      <c r="BI252" s="140"/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</row>
    <row r="253" spans="1:113" s="139" customForma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3"/>
      <c r="U253" s="143"/>
      <c r="V253" s="143"/>
      <c r="W253" s="143"/>
      <c r="X253" s="143"/>
      <c r="Y253" s="143"/>
      <c r="Z253" s="143"/>
      <c r="AA253" s="143"/>
      <c r="AC253" s="140"/>
      <c r="AD253" s="140"/>
      <c r="AE253" s="140"/>
      <c r="AF253" s="155"/>
      <c r="AG253" s="141"/>
      <c r="AH253" s="143"/>
      <c r="AI253" s="140"/>
      <c r="AJ253" s="140"/>
      <c r="AK253" s="140"/>
      <c r="AL253" s="140"/>
      <c r="AM253" s="140"/>
      <c r="AN253" s="140"/>
      <c r="AO253" s="140"/>
      <c r="AP253" s="140"/>
      <c r="AQ253" s="140"/>
      <c r="AR253" s="140"/>
      <c r="AS253" s="140"/>
      <c r="AT253" s="140"/>
      <c r="AU253" s="140"/>
      <c r="AV253" s="140"/>
      <c r="AW253" s="140"/>
      <c r="AX253" s="140"/>
      <c r="AY253" s="140"/>
      <c r="AZ253" s="140"/>
      <c r="BA253" s="140"/>
      <c r="BB253" s="140"/>
      <c r="BC253" s="140"/>
      <c r="BD253" s="140"/>
      <c r="BE253" s="140"/>
      <c r="BF253" s="140"/>
      <c r="BG253" s="140"/>
      <c r="BH253" s="140"/>
      <c r="BI253" s="140"/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</row>
    <row r="254" spans="1:113" s="139" customForma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3"/>
      <c r="U254" s="143"/>
      <c r="V254" s="143"/>
      <c r="W254" s="143"/>
      <c r="X254" s="143"/>
      <c r="Y254" s="143"/>
      <c r="Z254" s="143"/>
      <c r="AA254" s="143"/>
      <c r="AC254" s="140"/>
      <c r="AD254" s="140"/>
      <c r="AE254" s="140"/>
      <c r="AF254" s="155"/>
      <c r="AG254" s="141"/>
      <c r="AH254" s="143"/>
      <c r="AI254" s="140"/>
      <c r="AJ254" s="140"/>
      <c r="AK254" s="140"/>
      <c r="AL254" s="140"/>
      <c r="AM254" s="140"/>
      <c r="AN254" s="140"/>
      <c r="AO254" s="140"/>
      <c r="AP254" s="140"/>
      <c r="AQ254" s="140"/>
      <c r="AR254" s="140"/>
      <c r="AS254" s="140"/>
      <c r="AT254" s="140"/>
      <c r="AU254" s="140"/>
      <c r="AV254" s="140"/>
      <c r="AW254" s="140"/>
      <c r="AX254" s="140"/>
      <c r="AY254" s="140"/>
      <c r="AZ254" s="140"/>
      <c r="BA254" s="140"/>
      <c r="BB254" s="140"/>
      <c r="BC254" s="140"/>
      <c r="BD254" s="140"/>
      <c r="BE254" s="140"/>
      <c r="BF254" s="140"/>
      <c r="BG254" s="140"/>
      <c r="BH254" s="140"/>
      <c r="BI254" s="140"/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</row>
    <row r="255" spans="1:113" s="139" customForma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3"/>
      <c r="U255" s="143"/>
      <c r="V255" s="143"/>
      <c r="W255" s="143"/>
      <c r="X255" s="143"/>
      <c r="Y255" s="143"/>
      <c r="Z255" s="143"/>
      <c r="AA255" s="143"/>
      <c r="AC255" s="140"/>
      <c r="AD255" s="140"/>
      <c r="AE255" s="140"/>
      <c r="AF255" s="155"/>
      <c r="AG255" s="141"/>
      <c r="AH255" s="143"/>
      <c r="AI255" s="140"/>
      <c r="AJ255" s="140"/>
      <c r="AK255" s="140"/>
      <c r="AL255" s="140"/>
      <c r="AM255" s="140"/>
      <c r="AN255" s="140"/>
      <c r="AO255" s="140"/>
      <c r="AP255" s="140"/>
      <c r="AQ255" s="140"/>
      <c r="AR255" s="140"/>
      <c r="AS255" s="140"/>
      <c r="AT255" s="140"/>
      <c r="AU255" s="140"/>
      <c r="AV255" s="140"/>
      <c r="AW255" s="140"/>
      <c r="AX255" s="140"/>
      <c r="AY255" s="140"/>
      <c r="AZ255" s="140"/>
      <c r="BA255" s="140"/>
      <c r="BB255" s="140"/>
      <c r="BC255" s="140"/>
      <c r="BD255" s="140"/>
      <c r="BE255" s="140"/>
      <c r="BF255" s="140"/>
      <c r="BG255" s="140"/>
      <c r="BH255" s="140"/>
      <c r="BI255" s="140"/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</row>
    <row r="256" spans="1:113" s="139" customForma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3"/>
      <c r="U256" s="143"/>
      <c r="V256" s="143"/>
      <c r="W256" s="143"/>
      <c r="X256" s="143"/>
      <c r="Y256" s="143"/>
      <c r="Z256" s="143"/>
      <c r="AA256" s="143"/>
      <c r="AC256" s="140"/>
      <c r="AD256" s="140"/>
      <c r="AE256" s="140"/>
      <c r="AF256" s="155"/>
      <c r="AG256" s="141"/>
      <c r="AH256" s="143"/>
      <c r="AI256" s="140"/>
      <c r="AJ256" s="140"/>
      <c r="AK256" s="140"/>
      <c r="AL256" s="140"/>
      <c r="AM256" s="140"/>
      <c r="AN256" s="140"/>
      <c r="AO256" s="140"/>
      <c r="AP256" s="140"/>
      <c r="AQ256" s="140"/>
      <c r="AR256" s="140"/>
      <c r="AS256" s="140"/>
      <c r="AT256" s="140"/>
      <c r="AU256" s="140"/>
      <c r="AV256" s="140"/>
      <c r="AW256" s="140"/>
      <c r="AX256" s="140"/>
      <c r="AY256" s="140"/>
      <c r="AZ256" s="140"/>
      <c r="BA256" s="140"/>
      <c r="BB256" s="140"/>
      <c r="BC256" s="140"/>
      <c r="BD256" s="140"/>
      <c r="BE256" s="140"/>
      <c r="BF256" s="140"/>
      <c r="BG256" s="140"/>
      <c r="BH256" s="140"/>
      <c r="BI256" s="140"/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</row>
    <row r="257" spans="1:113" s="139" customForma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3"/>
      <c r="U257" s="143"/>
      <c r="V257" s="143"/>
      <c r="W257" s="143"/>
      <c r="X257" s="143"/>
      <c r="Y257" s="143"/>
      <c r="Z257" s="143"/>
      <c r="AA257" s="143"/>
      <c r="AC257" s="140"/>
      <c r="AD257" s="140"/>
      <c r="AE257" s="140"/>
      <c r="AF257" s="155"/>
      <c r="AG257" s="141"/>
      <c r="AH257" s="143"/>
      <c r="AI257" s="140"/>
      <c r="AJ257" s="140"/>
      <c r="AK257" s="140"/>
      <c r="AL257" s="140"/>
      <c r="AM257" s="140"/>
      <c r="AN257" s="140"/>
      <c r="AO257" s="140"/>
      <c r="AP257" s="140"/>
      <c r="AQ257" s="140"/>
      <c r="AR257" s="140"/>
      <c r="AS257" s="140"/>
      <c r="AT257" s="140"/>
      <c r="AU257" s="140"/>
      <c r="AV257" s="140"/>
      <c r="AW257" s="140"/>
      <c r="AX257" s="140"/>
      <c r="AY257" s="140"/>
      <c r="AZ257" s="140"/>
      <c r="BA257" s="140"/>
      <c r="BB257" s="140"/>
      <c r="BC257" s="140"/>
      <c r="BD257" s="140"/>
      <c r="BE257" s="140"/>
      <c r="BF257" s="140"/>
      <c r="BG257" s="140"/>
      <c r="BH257" s="140"/>
      <c r="BI257" s="140"/>
      <c r="BJ257" s="140"/>
      <c r="BK257" s="140"/>
      <c r="BL257" s="140"/>
      <c r="BM257" s="140"/>
      <c r="BN257" s="140"/>
      <c r="BO257" s="140"/>
      <c r="BP257" s="140"/>
      <c r="BQ257" s="140"/>
      <c r="BR257" s="140"/>
      <c r="BS257" s="140"/>
      <c r="BT257" s="140"/>
      <c r="BU257" s="140"/>
      <c r="BV257" s="140"/>
      <c r="BW257" s="140"/>
      <c r="BX257" s="140"/>
      <c r="BY257" s="140"/>
      <c r="BZ257" s="140"/>
      <c r="CA257" s="140"/>
      <c r="CB257" s="140"/>
      <c r="CC257" s="140"/>
      <c r="CD257" s="140"/>
      <c r="CE257" s="140"/>
      <c r="CF257" s="140"/>
      <c r="CG257" s="140"/>
      <c r="CH257" s="140"/>
      <c r="CI257" s="140"/>
      <c r="CJ257" s="140"/>
      <c r="CK257" s="140"/>
      <c r="CL257" s="140"/>
      <c r="CM257" s="140"/>
      <c r="CN257" s="140"/>
      <c r="CO257" s="140"/>
      <c r="CP257" s="140"/>
      <c r="CQ257" s="140"/>
      <c r="CR257" s="140"/>
      <c r="CS257" s="140"/>
      <c r="CT257" s="140"/>
      <c r="CU257" s="140"/>
      <c r="CV257" s="140"/>
      <c r="CW257" s="140"/>
      <c r="CX257" s="140"/>
      <c r="CY257" s="140"/>
      <c r="CZ257" s="140"/>
      <c r="DA257" s="140"/>
      <c r="DB257" s="140"/>
      <c r="DC257" s="140"/>
      <c r="DD257" s="140"/>
      <c r="DE257" s="140"/>
      <c r="DF257" s="140"/>
      <c r="DG257" s="140"/>
      <c r="DH257" s="140"/>
      <c r="DI257" s="140"/>
    </row>
    <row r="258" spans="1:113" s="139" customForma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3"/>
      <c r="U258" s="143"/>
      <c r="V258" s="143"/>
      <c r="W258" s="143"/>
      <c r="X258" s="143"/>
      <c r="Y258" s="143"/>
      <c r="Z258" s="143"/>
      <c r="AA258" s="143"/>
      <c r="AC258" s="140"/>
      <c r="AD258" s="140"/>
      <c r="AE258" s="140"/>
      <c r="AF258" s="155"/>
      <c r="AG258" s="141"/>
      <c r="AH258" s="143"/>
      <c r="AI258" s="140"/>
      <c r="AJ258" s="140"/>
      <c r="AK258" s="140"/>
      <c r="AL258" s="140"/>
      <c r="AM258" s="140"/>
      <c r="AN258" s="140"/>
      <c r="AO258" s="140"/>
      <c r="AP258" s="140"/>
      <c r="AQ258" s="140"/>
      <c r="AR258" s="140"/>
      <c r="AS258" s="140"/>
      <c r="AT258" s="140"/>
      <c r="AU258" s="140"/>
      <c r="AV258" s="140"/>
      <c r="AW258" s="140"/>
      <c r="AX258" s="140"/>
      <c r="AY258" s="140"/>
      <c r="AZ258" s="140"/>
      <c r="BA258" s="140"/>
      <c r="BB258" s="140"/>
      <c r="BC258" s="140"/>
      <c r="BD258" s="140"/>
      <c r="BE258" s="140"/>
      <c r="BF258" s="140"/>
      <c r="BG258" s="140"/>
      <c r="BH258" s="140"/>
      <c r="BI258" s="140"/>
      <c r="BJ258" s="140"/>
      <c r="BK258" s="140"/>
      <c r="BL258" s="140"/>
      <c r="BM258" s="140"/>
      <c r="BN258" s="140"/>
      <c r="BO258" s="140"/>
      <c r="BP258" s="140"/>
      <c r="BQ258" s="140"/>
      <c r="BR258" s="140"/>
      <c r="BS258" s="140"/>
      <c r="BT258" s="140"/>
      <c r="BU258" s="140"/>
      <c r="BV258" s="140"/>
      <c r="BW258" s="140"/>
      <c r="BX258" s="140"/>
      <c r="BY258" s="140"/>
      <c r="BZ258" s="140"/>
      <c r="CA258" s="140"/>
      <c r="CB258" s="140"/>
      <c r="CC258" s="140"/>
      <c r="CD258" s="140"/>
      <c r="CE258" s="140"/>
      <c r="CF258" s="140"/>
      <c r="CG258" s="140"/>
      <c r="CH258" s="140"/>
      <c r="CI258" s="140"/>
      <c r="CJ258" s="140"/>
      <c r="CK258" s="140"/>
      <c r="CL258" s="140"/>
      <c r="CM258" s="140"/>
      <c r="CN258" s="140"/>
      <c r="CO258" s="140"/>
      <c r="CP258" s="140"/>
      <c r="CQ258" s="140"/>
      <c r="CR258" s="140"/>
      <c r="CS258" s="140"/>
      <c r="CT258" s="140"/>
      <c r="CU258" s="140"/>
      <c r="CV258" s="140"/>
      <c r="CW258" s="140"/>
      <c r="CX258" s="140"/>
      <c r="CY258" s="140"/>
      <c r="CZ258" s="140"/>
      <c r="DA258" s="140"/>
      <c r="DB258" s="140"/>
      <c r="DC258" s="140"/>
      <c r="DD258" s="140"/>
      <c r="DE258" s="140"/>
      <c r="DF258" s="140"/>
      <c r="DG258" s="140"/>
      <c r="DH258" s="140"/>
      <c r="DI258" s="140"/>
    </row>
    <row r="259" spans="1:113" s="139" customForma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3"/>
      <c r="U259" s="143"/>
      <c r="V259" s="143"/>
      <c r="W259" s="143"/>
      <c r="X259" s="143"/>
      <c r="Y259" s="143"/>
      <c r="Z259" s="143"/>
      <c r="AA259" s="143"/>
      <c r="AC259" s="140"/>
      <c r="AD259" s="140"/>
      <c r="AE259" s="140"/>
      <c r="AF259" s="155"/>
      <c r="AG259" s="141"/>
      <c r="AH259" s="143"/>
      <c r="AI259" s="140"/>
      <c r="AJ259" s="140"/>
      <c r="AK259" s="140"/>
      <c r="AL259" s="140"/>
      <c r="AM259" s="140"/>
      <c r="AN259" s="140"/>
      <c r="AO259" s="140"/>
      <c r="AP259" s="140"/>
      <c r="AQ259" s="140"/>
      <c r="AR259" s="140"/>
      <c r="AS259" s="140"/>
      <c r="AT259" s="140"/>
      <c r="AU259" s="140"/>
      <c r="AV259" s="140"/>
      <c r="AW259" s="140"/>
      <c r="AX259" s="140"/>
      <c r="AY259" s="140"/>
      <c r="AZ259" s="140"/>
      <c r="BA259" s="140"/>
      <c r="BB259" s="140"/>
      <c r="BC259" s="140"/>
      <c r="BD259" s="140"/>
      <c r="BE259" s="140"/>
      <c r="BF259" s="140"/>
      <c r="BG259" s="140"/>
      <c r="BH259" s="140"/>
      <c r="BI259" s="140"/>
      <c r="BJ259" s="140"/>
      <c r="BK259" s="140"/>
      <c r="BL259" s="140"/>
      <c r="BM259" s="140"/>
      <c r="BN259" s="140"/>
      <c r="BO259" s="140"/>
      <c r="BP259" s="140"/>
      <c r="BQ259" s="140"/>
      <c r="BR259" s="140"/>
      <c r="BS259" s="140"/>
      <c r="BT259" s="140"/>
      <c r="BU259" s="140"/>
      <c r="BV259" s="140"/>
      <c r="BW259" s="140"/>
      <c r="BX259" s="140"/>
      <c r="BY259" s="140"/>
      <c r="BZ259" s="140"/>
      <c r="CA259" s="140"/>
      <c r="CB259" s="140"/>
      <c r="CC259" s="140"/>
      <c r="CD259" s="140"/>
      <c r="CE259" s="140"/>
      <c r="CF259" s="140"/>
      <c r="CG259" s="140"/>
      <c r="CH259" s="140"/>
      <c r="CI259" s="140"/>
      <c r="CJ259" s="140"/>
      <c r="CK259" s="140"/>
      <c r="CL259" s="140"/>
      <c r="CM259" s="140"/>
      <c r="CN259" s="140"/>
      <c r="CO259" s="140"/>
      <c r="CP259" s="140"/>
      <c r="CQ259" s="140"/>
      <c r="CR259" s="140"/>
      <c r="CS259" s="140"/>
      <c r="CT259" s="140"/>
      <c r="CU259" s="140"/>
      <c r="CV259" s="140"/>
      <c r="CW259" s="140"/>
      <c r="CX259" s="140"/>
      <c r="CY259" s="140"/>
      <c r="CZ259" s="140"/>
      <c r="DA259" s="140"/>
      <c r="DB259" s="140"/>
      <c r="DC259" s="140"/>
      <c r="DD259" s="140"/>
      <c r="DE259" s="140"/>
      <c r="DF259" s="140"/>
      <c r="DG259" s="140"/>
      <c r="DH259" s="140"/>
      <c r="DI259" s="140"/>
    </row>
    <row r="260" spans="1:113" s="139" customForma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3"/>
      <c r="U260" s="143"/>
      <c r="V260" s="143"/>
      <c r="W260" s="143"/>
      <c r="X260" s="143"/>
      <c r="Y260" s="143"/>
      <c r="Z260" s="143"/>
      <c r="AA260" s="143"/>
      <c r="AC260" s="140"/>
      <c r="AD260" s="140"/>
      <c r="AE260" s="140"/>
      <c r="AF260" s="155"/>
      <c r="AG260" s="141"/>
      <c r="AH260" s="143"/>
      <c r="AI260" s="140"/>
      <c r="AJ260" s="140"/>
      <c r="AK260" s="140"/>
      <c r="AL260" s="140"/>
      <c r="AM260" s="140"/>
      <c r="AN260" s="140"/>
      <c r="AO260" s="140"/>
      <c r="AP260" s="140"/>
      <c r="AQ260" s="140"/>
      <c r="AR260" s="140"/>
      <c r="AS260" s="140"/>
      <c r="AT260" s="140"/>
      <c r="AU260" s="140"/>
      <c r="AV260" s="140"/>
      <c r="AW260" s="140"/>
      <c r="AX260" s="140"/>
      <c r="AY260" s="140"/>
      <c r="AZ260" s="140"/>
      <c r="BA260" s="140"/>
      <c r="BB260" s="140"/>
      <c r="BC260" s="140"/>
      <c r="BD260" s="140"/>
      <c r="BE260" s="140"/>
      <c r="BF260" s="140"/>
      <c r="BG260" s="140"/>
      <c r="BH260" s="140"/>
      <c r="BI260" s="140"/>
      <c r="BJ260" s="140"/>
      <c r="BK260" s="140"/>
      <c r="BL260" s="140"/>
      <c r="BM260" s="140"/>
      <c r="BN260" s="140"/>
      <c r="BO260" s="140"/>
      <c r="BP260" s="140"/>
      <c r="BQ260" s="140"/>
      <c r="BR260" s="140"/>
      <c r="BS260" s="140"/>
      <c r="BT260" s="140"/>
      <c r="BU260" s="140"/>
      <c r="BV260" s="140"/>
      <c r="BW260" s="140"/>
      <c r="BX260" s="140"/>
      <c r="BY260" s="140"/>
      <c r="BZ260" s="140"/>
      <c r="CA260" s="140"/>
      <c r="CB260" s="140"/>
      <c r="CC260" s="140"/>
      <c r="CD260" s="140"/>
      <c r="CE260" s="140"/>
      <c r="CF260" s="140"/>
      <c r="CG260" s="140"/>
      <c r="CH260" s="140"/>
      <c r="CI260" s="140"/>
      <c r="CJ260" s="140"/>
      <c r="CK260" s="140"/>
      <c r="CL260" s="140"/>
      <c r="CM260" s="140"/>
      <c r="CN260" s="140"/>
      <c r="CO260" s="140"/>
      <c r="CP260" s="140"/>
      <c r="CQ260" s="140"/>
      <c r="CR260" s="140"/>
      <c r="CS260" s="140"/>
      <c r="CT260" s="140"/>
      <c r="CU260" s="140"/>
      <c r="CV260" s="140"/>
      <c r="CW260" s="140"/>
      <c r="CX260" s="140"/>
      <c r="CY260" s="140"/>
      <c r="CZ260" s="140"/>
      <c r="DA260" s="140"/>
      <c r="DB260" s="140"/>
      <c r="DC260" s="140"/>
      <c r="DD260" s="140"/>
      <c r="DE260" s="140"/>
      <c r="DF260" s="140"/>
      <c r="DG260" s="140"/>
      <c r="DH260" s="140"/>
      <c r="DI260" s="140"/>
    </row>
    <row r="261" spans="1:113" s="139" customForma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3"/>
      <c r="U261" s="143"/>
      <c r="V261" s="143"/>
      <c r="W261" s="143"/>
      <c r="X261" s="143"/>
      <c r="Y261" s="143"/>
      <c r="Z261" s="143"/>
      <c r="AA261" s="143"/>
      <c r="AC261" s="140"/>
      <c r="AD261" s="140"/>
      <c r="AE261" s="140"/>
      <c r="AF261" s="155"/>
      <c r="AG261" s="141"/>
      <c r="AH261" s="143"/>
      <c r="AI261" s="140"/>
      <c r="AJ261" s="140"/>
      <c r="AK261" s="140"/>
      <c r="AL261" s="140"/>
      <c r="AM261" s="140"/>
      <c r="AN261" s="140"/>
      <c r="AO261" s="140"/>
      <c r="AP261" s="140"/>
      <c r="AQ261" s="140"/>
      <c r="AR261" s="140"/>
      <c r="AS261" s="140"/>
      <c r="AT261" s="140"/>
      <c r="AU261" s="140"/>
      <c r="AV261" s="140"/>
      <c r="AW261" s="140"/>
      <c r="AX261" s="140"/>
      <c r="AY261" s="140"/>
      <c r="AZ261" s="140"/>
      <c r="BA261" s="140"/>
      <c r="BB261" s="140"/>
      <c r="BC261" s="140"/>
      <c r="BD261" s="140"/>
      <c r="BE261" s="140"/>
      <c r="BF261" s="140"/>
      <c r="BG261" s="140"/>
      <c r="BH261" s="140"/>
      <c r="BI261" s="140"/>
      <c r="BJ261" s="140"/>
      <c r="BK261" s="140"/>
      <c r="BL261" s="140"/>
      <c r="BM261" s="140"/>
      <c r="BN261" s="140"/>
      <c r="BO261" s="140"/>
      <c r="BP261" s="140"/>
      <c r="BQ261" s="140"/>
      <c r="BR261" s="140"/>
      <c r="BS261" s="140"/>
      <c r="BT261" s="140"/>
      <c r="BU261" s="140"/>
      <c r="BV261" s="140"/>
      <c r="BW261" s="140"/>
      <c r="BX261" s="140"/>
      <c r="BY261" s="140"/>
      <c r="BZ261" s="140"/>
      <c r="CA261" s="140"/>
      <c r="CB261" s="140"/>
      <c r="CC261" s="140"/>
      <c r="CD261" s="140"/>
      <c r="CE261" s="140"/>
      <c r="CF261" s="140"/>
      <c r="CG261" s="140"/>
      <c r="CH261" s="140"/>
      <c r="CI261" s="140"/>
      <c r="CJ261" s="140"/>
      <c r="CK261" s="140"/>
      <c r="CL261" s="140"/>
      <c r="CM261" s="140"/>
      <c r="CN261" s="140"/>
      <c r="CO261" s="140"/>
      <c r="CP261" s="140"/>
      <c r="CQ261" s="140"/>
      <c r="CR261" s="140"/>
      <c r="CS261" s="140"/>
      <c r="CT261" s="140"/>
      <c r="CU261" s="140"/>
      <c r="CV261" s="140"/>
      <c r="CW261" s="140"/>
      <c r="CX261" s="140"/>
      <c r="CY261" s="140"/>
      <c r="CZ261" s="140"/>
      <c r="DA261" s="140"/>
      <c r="DB261" s="140"/>
      <c r="DC261" s="140"/>
      <c r="DD261" s="140"/>
      <c r="DE261" s="140"/>
      <c r="DF261" s="140"/>
      <c r="DG261" s="140"/>
      <c r="DH261" s="140"/>
      <c r="DI261" s="140"/>
    </row>
    <row r="262" spans="1:113" s="139" customForma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3"/>
      <c r="U262" s="143"/>
      <c r="V262" s="143"/>
      <c r="W262" s="143"/>
      <c r="X262" s="143"/>
      <c r="Y262" s="143"/>
      <c r="Z262" s="143"/>
      <c r="AA262" s="143"/>
      <c r="AC262" s="140"/>
      <c r="AD262" s="140"/>
      <c r="AE262" s="140"/>
      <c r="AF262" s="155"/>
      <c r="AG262" s="141"/>
      <c r="AH262" s="143"/>
      <c r="AI262" s="140"/>
      <c r="AJ262" s="140"/>
      <c r="AK262" s="140"/>
      <c r="AL262" s="140"/>
      <c r="AM262" s="140"/>
      <c r="AN262" s="140"/>
      <c r="AO262" s="140"/>
      <c r="AP262" s="140"/>
      <c r="AQ262" s="140"/>
      <c r="AR262" s="140"/>
      <c r="AS262" s="140"/>
      <c r="AT262" s="140"/>
      <c r="AU262" s="140"/>
      <c r="AV262" s="140"/>
      <c r="AW262" s="140"/>
      <c r="AX262" s="140"/>
      <c r="AY262" s="140"/>
      <c r="AZ262" s="140"/>
      <c r="BA262" s="140"/>
      <c r="BB262" s="140"/>
      <c r="BC262" s="140"/>
      <c r="BD262" s="140"/>
      <c r="BE262" s="140"/>
      <c r="BF262" s="140"/>
      <c r="BG262" s="140"/>
      <c r="BH262" s="140"/>
      <c r="BI262" s="140"/>
      <c r="BJ262" s="140"/>
      <c r="BK262" s="140"/>
      <c r="BL262" s="140"/>
      <c r="BM262" s="140"/>
      <c r="BN262" s="140"/>
      <c r="BO262" s="140"/>
      <c r="BP262" s="140"/>
      <c r="BQ262" s="140"/>
      <c r="BR262" s="140"/>
      <c r="BS262" s="140"/>
      <c r="BT262" s="140"/>
      <c r="BU262" s="140"/>
      <c r="BV262" s="140"/>
      <c r="BW262" s="140"/>
      <c r="BX262" s="140"/>
      <c r="BY262" s="140"/>
      <c r="BZ262" s="140"/>
      <c r="CA262" s="140"/>
      <c r="CB262" s="140"/>
      <c r="CC262" s="140"/>
      <c r="CD262" s="140"/>
      <c r="CE262" s="140"/>
      <c r="CF262" s="140"/>
      <c r="CG262" s="140"/>
      <c r="CH262" s="140"/>
      <c r="CI262" s="140"/>
      <c r="CJ262" s="140"/>
      <c r="CK262" s="140"/>
      <c r="CL262" s="140"/>
      <c r="CM262" s="140"/>
      <c r="CN262" s="140"/>
      <c r="CO262" s="140"/>
      <c r="CP262" s="140"/>
      <c r="CQ262" s="140"/>
      <c r="CR262" s="140"/>
      <c r="CS262" s="140"/>
      <c r="CT262" s="140"/>
      <c r="CU262" s="140"/>
      <c r="CV262" s="140"/>
      <c r="CW262" s="140"/>
      <c r="CX262" s="140"/>
      <c r="CY262" s="140"/>
      <c r="CZ262" s="140"/>
      <c r="DA262" s="140"/>
      <c r="DB262" s="140"/>
      <c r="DC262" s="140"/>
      <c r="DD262" s="140"/>
      <c r="DE262" s="140"/>
      <c r="DF262" s="140"/>
      <c r="DG262" s="140"/>
      <c r="DH262" s="140"/>
      <c r="DI262" s="140"/>
    </row>
    <row r="263" spans="1:113" s="139" customForma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3"/>
      <c r="U263" s="143"/>
      <c r="V263" s="143"/>
      <c r="W263" s="143"/>
      <c r="X263" s="143"/>
      <c r="Y263" s="143"/>
      <c r="Z263" s="143"/>
      <c r="AA263" s="143"/>
      <c r="AC263" s="140"/>
      <c r="AD263" s="140"/>
      <c r="AE263" s="140"/>
      <c r="AF263" s="155"/>
      <c r="AG263" s="141"/>
      <c r="AH263" s="143"/>
      <c r="AI263" s="140"/>
      <c r="AJ263" s="140"/>
      <c r="AK263" s="140"/>
      <c r="AL263" s="140"/>
      <c r="AM263" s="140"/>
      <c r="AN263" s="140"/>
      <c r="AO263" s="140"/>
      <c r="AP263" s="140"/>
      <c r="AQ263" s="140"/>
      <c r="AR263" s="140"/>
      <c r="AS263" s="140"/>
      <c r="AT263" s="140"/>
      <c r="AU263" s="140"/>
      <c r="AV263" s="140"/>
      <c r="AW263" s="140"/>
      <c r="AX263" s="140"/>
      <c r="AY263" s="140"/>
      <c r="AZ263" s="140"/>
      <c r="BA263" s="140"/>
      <c r="BB263" s="140"/>
      <c r="BC263" s="140"/>
      <c r="BD263" s="140"/>
      <c r="BE263" s="140"/>
      <c r="BF263" s="140"/>
      <c r="BG263" s="140"/>
      <c r="BH263" s="140"/>
      <c r="BI263" s="140"/>
      <c r="BJ263" s="140"/>
      <c r="BK263" s="140"/>
      <c r="BL263" s="140"/>
      <c r="BM263" s="140"/>
      <c r="BN263" s="140"/>
      <c r="BO263" s="140"/>
      <c r="BP263" s="140"/>
      <c r="BQ263" s="140"/>
      <c r="BR263" s="140"/>
      <c r="BS263" s="140"/>
      <c r="BT263" s="140"/>
      <c r="BU263" s="140"/>
      <c r="BV263" s="140"/>
      <c r="BW263" s="140"/>
      <c r="BX263" s="140"/>
      <c r="BY263" s="140"/>
      <c r="BZ263" s="140"/>
      <c r="CA263" s="140"/>
      <c r="CB263" s="140"/>
      <c r="CC263" s="140"/>
      <c r="CD263" s="140"/>
      <c r="CE263" s="140"/>
      <c r="CF263" s="140"/>
      <c r="CG263" s="140"/>
      <c r="CH263" s="140"/>
      <c r="CI263" s="140"/>
      <c r="CJ263" s="140"/>
      <c r="CK263" s="140"/>
      <c r="CL263" s="140"/>
      <c r="CM263" s="140"/>
      <c r="CN263" s="140"/>
      <c r="CO263" s="140"/>
      <c r="CP263" s="140"/>
      <c r="CQ263" s="140"/>
      <c r="CR263" s="140"/>
      <c r="CS263" s="140"/>
      <c r="CT263" s="140"/>
      <c r="CU263" s="140"/>
      <c r="CV263" s="140"/>
      <c r="CW263" s="140"/>
      <c r="CX263" s="140"/>
      <c r="CY263" s="140"/>
      <c r="CZ263" s="140"/>
      <c r="DA263" s="140"/>
      <c r="DB263" s="140"/>
      <c r="DC263" s="140"/>
      <c r="DD263" s="140"/>
      <c r="DE263" s="140"/>
      <c r="DF263" s="140"/>
      <c r="DG263" s="140"/>
      <c r="DH263" s="140"/>
      <c r="DI263" s="140"/>
    </row>
    <row r="264" spans="1:113" s="139" customForma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3"/>
      <c r="U264" s="143"/>
      <c r="V264" s="143"/>
      <c r="W264" s="143"/>
      <c r="X264" s="143"/>
      <c r="Y264" s="143"/>
      <c r="Z264" s="143"/>
      <c r="AA264" s="143"/>
      <c r="AC264" s="140"/>
      <c r="AD264" s="140"/>
      <c r="AE264" s="140"/>
      <c r="AF264" s="155"/>
      <c r="AG264" s="141"/>
      <c r="AH264" s="143"/>
      <c r="AI264" s="140"/>
      <c r="AJ264" s="140"/>
      <c r="AK264" s="140"/>
      <c r="AL264" s="140"/>
      <c r="AM264" s="140"/>
      <c r="AN264" s="140"/>
      <c r="AO264" s="140"/>
      <c r="AP264" s="140"/>
      <c r="AQ264" s="140"/>
      <c r="AR264" s="140"/>
      <c r="AS264" s="140"/>
      <c r="AT264" s="140"/>
      <c r="AU264" s="140"/>
      <c r="AV264" s="140"/>
      <c r="AW264" s="140"/>
      <c r="AX264" s="140"/>
      <c r="AY264" s="140"/>
      <c r="AZ264" s="140"/>
      <c r="BA264" s="140"/>
      <c r="BB264" s="140"/>
      <c r="BC264" s="140"/>
      <c r="BD264" s="140"/>
      <c r="BE264" s="140"/>
      <c r="BF264" s="140"/>
      <c r="BG264" s="140"/>
      <c r="BH264" s="140"/>
      <c r="BI264" s="140"/>
      <c r="BJ264" s="140"/>
      <c r="BK264" s="140"/>
      <c r="BL264" s="140"/>
      <c r="BM264" s="140"/>
      <c r="BN264" s="140"/>
      <c r="BO264" s="140"/>
      <c r="BP264" s="140"/>
      <c r="BQ264" s="140"/>
      <c r="BR264" s="140"/>
      <c r="BS264" s="140"/>
      <c r="BT264" s="140"/>
      <c r="BU264" s="140"/>
      <c r="BV264" s="140"/>
      <c r="BW264" s="140"/>
      <c r="BX264" s="140"/>
      <c r="BY264" s="140"/>
      <c r="BZ264" s="140"/>
      <c r="CA264" s="140"/>
      <c r="CB264" s="140"/>
      <c r="CC264" s="140"/>
      <c r="CD264" s="140"/>
      <c r="CE264" s="140"/>
      <c r="CF264" s="140"/>
      <c r="CG264" s="140"/>
      <c r="CH264" s="140"/>
      <c r="CI264" s="140"/>
      <c r="CJ264" s="140"/>
      <c r="CK264" s="140"/>
      <c r="CL264" s="140"/>
      <c r="CM264" s="140"/>
      <c r="CN264" s="140"/>
      <c r="CO264" s="140"/>
      <c r="CP264" s="140"/>
      <c r="CQ264" s="140"/>
      <c r="CR264" s="140"/>
      <c r="CS264" s="140"/>
      <c r="CT264" s="140"/>
      <c r="CU264" s="140"/>
      <c r="CV264" s="140"/>
      <c r="CW264" s="140"/>
      <c r="CX264" s="140"/>
      <c r="CY264" s="140"/>
      <c r="CZ264" s="140"/>
      <c r="DA264" s="140"/>
      <c r="DB264" s="140"/>
      <c r="DC264" s="140"/>
      <c r="DD264" s="140"/>
      <c r="DE264" s="140"/>
      <c r="DF264" s="140"/>
      <c r="DG264" s="140"/>
      <c r="DH264" s="140"/>
      <c r="DI264" s="140"/>
    </row>
    <row r="265" spans="1:113" s="139" customForma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3"/>
      <c r="U265" s="143"/>
      <c r="V265" s="143"/>
      <c r="W265" s="143"/>
      <c r="X265" s="143"/>
      <c r="Y265" s="143"/>
      <c r="Z265" s="143"/>
      <c r="AA265" s="143"/>
      <c r="AC265" s="140"/>
      <c r="AD265" s="140"/>
      <c r="AE265" s="140"/>
      <c r="AF265" s="155"/>
      <c r="AG265" s="141"/>
      <c r="AH265" s="143"/>
      <c r="AI265" s="140"/>
      <c r="AJ265" s="140"/>
      <c r="AK265" s="140"/>
      <c r="AL265" s="140"/>
      <c r="AM265" s="140"/>
      <c r="AN265" s="140"/>
      <c r="AO265" s="140"/>
      <c r="AP265" s="140"/>
      <c r="AQ265" s="140"/>
      <c r="AR265" s="140"/>
      <c r="AS265" s="140"/>
      <c r="AT265" s="140"/>
      <c r="AU265" s="140"/>
      <c r="AV265" s="140"/>
      <c r="AW265" s="140"/>
      <c r="AX265" s="140"/>
      <c r="AY265" s="140"/>
      <c r="AZ265" s="140"/>
      <c r="BA265" s="140"/>
      <c r="BB265" s="140"/>
      <c r="BC265" s="140"/>
      <c r="BD265" s="140"/>
      <c r="BE265" s="140"/>
      <c r="BF265" s="140"/>
      <c r="BG265" s="140"/>
      <c r="BH265" s="140"/>
      <c r="BI265" s="140"/>
      <c r="BJ265" s="140"/>
      <c r="BK265" s="140"/>
      <c r="BL265" s="140"/>
      <c r="BM265" s="140"/>
      <c r="BN265" s="140"/>
      <c r="BO265" s="140"/>
      <c r="BP265" s="140"/>
      <c r="BQ265" s="140"/>
      <c r="BR265" s="140"/>
      <c r="BS265" s="140"/>
      <c r="BT265" s="140"/>
      <c r="BU265" s="140"/>
      <c r="BV265" s="140"/>
      <c r="BW265" s="140"/>
      <c r="BX265" s="140"/>
      <c r="BY265" s="140"/>
      <c r="BZ265" s="140"/>
      <c r="CA265" s="140"/>
      <c r="CB265" s="140"/>
      <c r="CC265" s="140"/>
      <c r="CD265" s="140"/>
      <c r="CE265" s="140"/>
      <c r="CF265" s="140"/>
      <c r="CG265" s="140"/>
      <c r="CH265" s="140"/>
      <c r="CI265" s="140"/>
      <c r="CJ265" s="140"/>
      <c r="CK265" s="140"/>
      <c r="CL265" s="140"/>
      <c r="CM265" s="140"/>
      <c r="CN265" s="140"/>
      <c r="CO265" s="140"/>
      <c r="CP265" s="140"/>
      <c r="CQ265" s="140"/>
      <c r="CR265" s="140"/>
      <c r="CS265" s="140"/>
      <c r="CT265" s="140"/>
      <c r="CU265" s="140"/>
      <c r="CV265" s="140"/>
      <c r="CW265" s="140"/>
      <c r="CX265" s="140"/>
      <c r="CY265" s="140"/>
      <c r="CZ265" s="140"/>
      <c r="DA265" s="140"/>
      <c r="DB265" s="140"/>
      <c r="DC265" s="140"/>
      <c r="DD265" s="140"/>
      <c r="DE265" s="140"/>
      <c r="DF265" s="140"/>
      <c r="DG265" s="140"/>
      <c r="DH265" s="140"/>
      <c r="DI265" s="140"/>
    </row>
    <row r="266" spans="1:113" s="139" customForma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3"/>
      <c r="U266" s="143"/>
      <c r="V266" s="143"/>
      <c r="W266" s="143"/>
      <c r="X266" s="143"/>
      <c r="Y266" s="143"/>
      <c r="Z266" s="143"/>
      <c r="AA266" s="143"/>
      <c r="AC266" s="140"/>
      <c r="AD266" s="140"/>
      <c r="AE266" s="140"/>
      <c r="AF266" s="155"/>
      <c r="AG266" s="141"/>
      <c r="AH266" s="143"/>
      <c r="AI266" s="140"/>
      <c r="AJ266" s="140"/>
      <c r="AK266" s="140"/>
      <c r="AL266" s="140"/>
      <c r="AM266" s="140"/>
      <c r="AN266" s="140"/>
      <c r="AO266" s="140"/>
      <c r="AP266" s="140"/>
      <c r="AQ266" s="140"/>
      <c r="AR266" s="140"/>
      <c r="AS266" s="140"/>
      <c r="AT266" s="140"/>
      <c r="AU266" s="140"/>
      <c r="AV266" s="140"/>
      <c r="AW266" s="140"/>
      <c r="AX266" s="140"/>
      <c r="AY266" s="140"/>
      <c r="AZ266" s="140"/>
      <c r="BA266" s="140"/>
      <c r="BB266" s="140"/>
      <c r="BC266" s="140"/>
      <c r="BD266" s="140"/>
      <c r="BE266" s="140"/>
      <c r="BF266" s="140"/>
      <c r="BG266" s="140"/>
      <c r="BH266" s="140"/>
      <c r="BI266" s="140"/>
      <c r="BJ266" s="140"/>
      <c r="BK266" s="140"/>
      <c r="BL266" s="140"/>
      <c r="BM266" s="140"/>
      <c r="BN266" s="140"/>
      <c r="BO266" s="140"/>
      <c r="BP266" s="140"/>
      <c r="BQ266" s="140"/>
      <c r="BR266" s="140"/>
      <c r="BS266" s="140"/>
      <c r="BT266" s="140"/>
      <c r="BU266" s="140"/>
      <c r="BV266" s="140"/>
      <c r="BW266" s="140"/>
      <c r="BX266" s="140"/>
      <c r="BY266" s="140"/>
      <c r="BZ266" s="140"/>
      <c r="CA266" s="140"/>
      <c r="CB266" s="140"/>
      <c r="CC266" s="140"/>
      <c r="CD266" s="140"/>
      <c r="CE266" s="140"/>
      <c r="CF266" s="140"/>
      <c r="CG266" s="140"/>
      <c r="CH266" s="140"/>
      <c r="CI266" s="140"/>
      <c r="CJ266" s="140"/>
      <c r="CK266" s="140"/>
      <c r="CL266" s="140"/>
      <c r="CM266" s="140"/>
      <c r="CN266" s="140"/>
      <c r="CO266" s="140"/>
      <c r="CP266" s="140"/>
      <c r="CQ266" s="140"/>
      <c r="CR266" s="140"/>
      <c r="CS266" s="140"/>
      <c r="CT266" s="140"/>
      <c r="CU266" s="140"/>
      <c r="CV266" s="140"/>
      <c r="CW266" s="140"/>
      <c r="CX266" s="140"/>
      <c r="CY266" s="140"/>
      <c r="CZ266" s="140"/>
      <c r="DA266" s="140"/>
      <c r="DB266" s="140"/>
      <c r="DC266" s="140"/>
      <c r="DD266" s="140"/>
      <c r="DE266" s="140"/>
      <c r="DF266" s="140"/>
      <c r="DG266" s="140"/>
      <c r="DH266" s="140"/>
      <c r="DI266" s="140"/>
    </row>
    <row r="267" spans="1:113" s="139" customForma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3"/>
      <c r="U267" s="143"/>
      <c r="V267" s="143"/>
      <c r="W267" s="143"/>
      <c r="X267" s="143"/>
      <c r="Y267" s="143"/>
      <c r="Z267" s="143"/>
      <c r="AA267" s="143"/>
      <c r="AC267" s="140"/>
      <c r="AD267" s="140"/>
      <c r="AE267" s="140"/>
      <c r="AF267" s="155"/>
      <c r="AG267" s="141"/>
      <c r="AH267" s="143"/>
      <c r="AI267" s="140"/>
      <c r="AJ267" s="140"/>
      <c r="AK267" s="140"/>
      <c r="AL267" s="140"/>
      <c r="AM267" s="140"/>
      <c r="AN267" s="140"/>
      <c r="AO267" s="140"/>
      <c r="AP267" s="140"/>
      <c r="AQ267" s="140"/>
      <c r="AR267" s="140"/>
      <c r="AS267" s="140"/>
      <c r="AT267" s="140"/>
      <c r="AU267" s="140"/>
      <c r="AV267" s="140"/>
      <c r="AW267" s="140"/>
      <c r="AX267" s="140"/>
      <c r="AY267" s="140"/>
      <c r="AZ267" s="140"/>
      <c r="BA267" s="140"/>
      <c r="BB267" s="140"/>
      <c r="BC267" s="140"/>
      <c r="BD267" s="140"/>
      <c r="BE267" s="140"/>
      <c r="BF267" s="140"/>
      <c r="BG267" s="140"/>
      <c r="BH267" s="140"/>
      <c r="BI267" s="140"/>
      <c r="BJ267" s="140"/>
      <c r="BK267" s="140"/>
      <c r="BL267" s="140"/>
      <c r="BM267" s="140"/>
      <c r="BN267" s="140"/>
      <c r="BO267" s="140"/>
      <c r="BP267" s="140"/>
      <c r="BQ267" s="140"/>
      <c r="BR267" s="140"/>
      <c r="BS267" s="140"/>
      <c r="BT267" s="140"/>
      <c r="BU267" s="140"/>
      <c r="BV267" s="140"/>
      <c r="BW267" s="140"/>
      <c r="BX267" s="140"/>
      <c r="BY267" s="140"/>
      <c r="BZ267" s="140"/>
      <c r="CA267" s="140"/>
      <c r="CB267" s="140"/>
      <c r="CC267" s="140"/>
      <c r="CD267" s="140"/>
      <c r="CE267" s="140"/>
      <c r="CF267" s="140"/>
      <c r="CG267" s="140"/>
      <c r="CH267" s="140"/>
      <c r="CI267" s="140"/>
      <c r="CJ267" s="140"/>
      <c r="CK267" s="140"/>
      <c r="CL267" s="140"/>
      <c r="CM267" s="140"/>
      <c r="CN267" s="140"/>
      <c r="CO267" s="140"/>
      <c r="CP267" s="140"/>
      <c r="CQ267" s="140"/>
      <c r="CR267" s="140"/>
      <c r="CS267" s="140"/>
      <c r="CT267" s="140"/>
      <c r="CU267" s="140"/>
      <c r="CV267" s="140"/>
      <c r="CW267" s="140"/>
      <c r="CX267" s="140"/>
      <c r="CY267" s="140"/>
      <c r="CZ267" s="140"/>
      <c r="DA267" s="140"/>
      <c r="DB267" s="140"/>
      <c r="DC267" s="140"/>
      <c r="DD267" s="140"/>
      <c r="DE267" s="140"/>
      <c r="DF267" s="140"/>
      <c r="DG267" s="140"/>
      <c r="DH267" s="140"/>
      <c r="DI267" s="140"/>
    </row>
    <row r="268" spans="1:113" s="139" customForma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3"/>
      <c r="U268" s="143"/>
      <c r="V268" s="143"/>
      <c r="W268" s="143"/>
      <c r="X268" s="143"/>
      <c r="Y268" s="143"/>
      <c r="Z268" s="143"/>
      <c r="AA268" s="143"/>
      <c r="AC268" s="140"/>
      <c r="AD268" s="140"/>
      <c r="AE268" s="140"/>
      <c r="AF268" s="155"/>
      <c r="AG268" s="141"/>
      <c r="AH268" s="143"/>
      <c r="AI268" s="140"/>
      <c r="AJ268" s="140"/>
      <c r="AK268" s="140"/>
      <c r="AL268" s="140"/>
      <c r="AM268" s="140"/>
      <c r="AN268" s="140"/>
      <c r="AO268" s="140"/>
      <c r="AP268" s="140"/>
      <c r="AQ268" s="140"/>
      <c r="AR268" s="140"/>
      <c r="AS268" s="140"/>
      <c r="AT268" s="140"/>
      <c r="AU268" s="140"/>
      <c r="AV268" s="140"/>
      <c r="AW268" s="140"/>
      <c r="AX268" s="140"/>
      <c r="AY268" s="140"/>
      <c r="AZ268" s="140"/>
      <c r="BA268" s="140"/>
      <c r="BB268" s="140"/>
      <c r="BC268" s="140"/>
      <c r="BD268" s="140"/>
      <c r="BE268" s="140"/>
      <c r="BF268" s="140"/>
      <c r="BG268" s="140"/>
      <c r="BH268" s="140"/>
      <c r="BI268" s="140"/>
      <c r="BJ268" s="140"/>
      <c r="BK268" s="140"/>
      <c r="BL268" s="140"/>
      <c r="BM268" s="140"/>
      <c r="BN268" s="140"/>
      <c r="BO268" s="140"/>
      <c r="BP268" s="140"/>
      <c r="BQ268" s="140"/>
      <c r="BR268" s="140"/>
      <c r="BS268" s="140"/>
      <c r="BT268" s="140"/>
      <c r="BU268" s="140"/>
      <c r="BV268" s="140"/>
      <c r="BW268" s="140"/>
      <c r="BX268" s="140"/>
      <c r="BY268" s="140"/>
      <c r="BZ268" s="140"/>
      <c r="CA268" s="140"/>
      <c r="CB268" s="140"/>
      <c r="CC268" s="140"/>
      <c r="CD268" s="140"/>
      <c r="CE268" s="140"/>
      <c r="CF268" s="140"/>
      <c r="CG268" s="140"/>
      <c r="CH268" s="140"/>
      <c r="CI268" s="140"/>
      <c r="CJ268" s="140"/>
      <c r="CK268" s="140"/>
      <c r="CL268" s="140"/>
      <c r="CM268" s="140"/>
      <c r="CN268" s="140"/>
      <c r="CO268" s="140"/>
      <c r="CP268" s="140"/>
      <c r="CQ268" s="140"/>
      <c r="CR268" s="140"/>
      <c r="CS268" s="140"/>
      <c r="CT268" s="140"/>
      <c r="CU268" s="140"/>
      <c r="CV268" s="140"/>
      <c r="CW268" s="140"/>
      <c r="CX268" s="140"/>
      <c r="CY268" s="140"/>
      <c r="CZ268" s="140"/>
      <c r="DA268" s="140"/>
      <c r="DB268" s="140"/>
      <c r="DC268" s="140"/>
      <c r="DD268" s="140"/>
      <c r="DE268" s="140"/>
      <c r="DF268" s="140"/>
      <c r="DG268" s="140"/>
      <c r="DH268" s="140"/>
      <c r="DI268" s="140"/>
    </row>
    <row r="269" spans="1:113" s="139" customForma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3"/>
      <c r="U269" s="143"/>
      <c r="V269" s="143"/>
      <c r="W269" s="143"/>
      <c r="X269" s="143"/>
      <c r="Y269" s="143"/>
      <c r="Z269" s="143"/>
      <c r="AA269" s="143"/>
      <c r="AC269" s="140"/>
      <c r="AD269" s="140"/>
      <c r="AE269" s="140"/>
      <c r="AF269" s="155"/>
      <c r="AG269" s="141"/>
      <c r="AH269" s="143"/>
      <c r="AI269" s="140"/>
      <c r="AJ269" s="140"/>
      <c r="AK269" s="140"/>
      <c r="AL269" s="140"/>
      <c r="AM269" s="140"/>
      <c r="AN269" s="140"/>
      <c r="AO269" s="140"/>
      <c r="AP269" s="140"/>
      <c r="AQ269" s="140"/>
      <c r="AR269" s="140"/>
      <c r="AS269" s="140"/>
      <c r="AT269" s="140"/>
      <c r="AU269" s="140"/>
      <c r="AV269" s="140"/>
      <c r="AW269" s="140"/>
      <c r="AX269" s="140"/>
      <c r="AY269" s="140"/>
      <c r="AZ269" s="140"/>
      <c r="BA269" s="140"/>
      <c r="BB269" s="140"/>
      <c r="BC269" s="140"/>
      <c r="BD269" s="140"/>
      <c r="BE269" s="140"/>
      <c r="BF269" s="140"/>
      <c r="BG269" s="140"/>
      <c r="BH269" s="140"/>
      <c r="BI269" s="140"/>
      <c r="BJ269" s="140"/>
      <c r="BK269" s="140"/>
      <c r="BL269" s="140"/>
      <c r="BM269" s="140"/>
      <c r="BN269" s="140"/>
      <c r="BO269" s="140"/>
      <c r="BP269" s="140"/>
      <c r="BQ269" s="140"/>
      <c r="BR269" s="140"/>
      <c r="BS269" s="140"/>
      <c r="BT269" s="140"/>
      <c r="BU269" s="140"/>
      <c r="BV269" s="140"/>
      <c r="BW269" s="140"/>
      <c r="BX269" s="140"/>
      <c r="BY269" s="140"/>
      <c r="BZ269" s="140"/>
      <c r="CA269" s="140"/>
      <c r="CB269" s="140"/>
      <c r="CC269" s="140"/>
      <c r="CD269" s="140"/>
      <c r="CE269" s="140"/>
      <c r="CF269" s="140"/>
      <c r="CG269" s="140"/>
      <c r="CH269" s="140"/>
      <c r="CI269" s="140"/>
      <c r="CJ269" s="140"/>
      <c r="CK269" s="140"/>
      <c r="CL269" s="140"/>
      <c r="CM269" s="140"/>
      <c r="CN269" s="140"/>
      <c r="CO269" s="140"/>
      <c r="CP269" s="140"/>
      <c r="CQ269" s="140"/>
      <c r="CR269" s="140"/>
      <c r="CS269" s="140"/>
      <c r="CT269" s="140"/>
      <c r="CU269" s="140"/>
      <c r="CV269" s="140"/>
      <c r="CW269" s="140"/>
      <c r="CX269" s="140"/>
      <c r="CY269" s="140"/>
      <c r="CZ269" s="140"/>
      <c r="DA269" s="140"/>
      <c r="DB269" s="140"/>
      <c r="DC269" s="140"/>
      <c r="DD269" s="140"/>
      <c r="DE269" s="140"/>
      <c r="DF269" s="140"/>
      <c r="DG269" s="140"/>
      <c r="DH269" s="140"/>
      <c r="DI269" s="140"/>
    </row>
    <row r="270" spans="1:113" s="139" customForma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3"/>
      <c r="U270" s="143"/>
      <c r="V270" s="143"/>
      <c r="W270" s="143"/>
      <c r="X270" s="143"/>
      <c r="Y270" s="143"/>
      <c r="Z270" s="143"/>
      <c r="AA270" s="143"/>
      <c r="AC270" s="140"/>
      <c r="AD270" s="140"/>
      <c r="AE270" s="140"/>
      <c r="AF270" s="155"/>
      <c r="AG270" s="141"/>
      <c r="AH270" s="143"/>
      <c r="AI270" s="140"/>
      <c r="AJ270" s="140"/>
      <c r="AK270" s="140"/>
      <c r="AL270" s="140"/>
      <c r="AM270" s="140"/>
      <c r="AN270" s="140"/>
      <c r="AO270" s="140"/>
      <c r="AP270" s="140"/>
      <c r="AQ270" s="140"/>
      <c r="AR270" s="140"/>
      <c r="AS270" s="140"/>
      <c r="AT270" s="140"/>
      <c r="AU270" s="140"/>
      <c r="AV270" s="140"/>
      <c r="AW270" s="140"/>
      <c r="AX270" s="140"/>
      <c r="AY270" s="140"/>
      <c r="AZ270" s="140"/>
      <c r="BA270" s="140"/>
      <c r="BB270" s="140"/>
      <c r="BC270" s="140"/>
      <c r="BD270" s="140"/>
      <c r="BE270" s="140"/>
      <c r="BF270" s="140"/>
      <c r="BG270" s="140"/>
      <c r="BH270" s="140"/>
      <c r="BI270" s="140"/>
      <c r="BJ270" s="140"/>
      <c r="BK270" s="140"/>
      <c r="BL270" s="140"/>
      <c r="BM270" s="140"/>
      <c r="BN270" s="140"/>
      <c r="BO270" s="140"/>
      <c r="BP270" s="140"/>
      <c r="BQ270" s="140"/>
      <c r="BR270" s="140"/>
      <c r="BS270" s="140"/>
      <c r="BT270" s="140"/>
      <c r="BU270" s="140"/>
      <c r="BV270" s="140"/>
      <c r="BW270" s="140"/>
      <c r="BX270" s="140"/>
      <c r="BY270" s="140"/>
      <c r="BZ270" s="140"/>
      <c r="CA270" s="140"/>
      <c r="CB270" s="140"/>
      <c r="CC270" s="140"/>
      <c r="CD270" s="140"/>
      <c r="CE270" s="140"/>
      <c r="CF270" s="140"/>
      <c r="CG270" s="140"/>
      <c r="CH270" s="140"/>
      <c r="CI270" s="140"/>
      <c r="CJ270" s="140"/>
      <c r="CK270" s="140"/>
      <c r="CL270" s="140"/>
      <c r="CM270" s="140"/>
      <c r="CN270" s="140"/>
      <c r="CO270" s="140"/>
      <c r="CP270" s="140"/>
      <c r="CQ270" s="140"/>
      <c r="CR270" s="140"/>
      <c r="CS270" s="140"/>
      <c r="CT270" s="140"/>
      <c r="CU270" s="140"/>
      <c r="CV270" s="140"/>
      <c r="CW270" s="140"/>
      <c r="CX270" s="140"/>
      <c r="CY270" s="140"/>
      <c r="CZ270" s="140"/>
      <c r="DA270" s="140"/>
      <c r="DB270" s="140"/>
      <c r="DC270" s="140"/>
      <c r="DD270" s="140"/>
      <c r="DE270" s="140"/>
      <c r="DF270" s="140"/>
      <c r="DG270" s="140"/>
      <c r="DH270" s="140"/>
      <c r="DI270" s="140"/>
    </row>
    <row r="271" spans="1:113" s="139" customForma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3"/>
      <c r="U271" s="143"/>
      <c r="V271" s="143"/>
      <c r="W271" s="143"/>
      <c r="X271" s="143"/>
      <c r="Y271" s="143"/>
      <c r="Z271" s="143"/>
      <c r="AA271" s="143"/>
      <c r="AC271" s="140"/>
      <c r="AD271" s="140"/>
      <c r="AE271" s="140"/>
      <c r="AF271" s="155"/>
      <c r="AG271" s="141"/>
      <c r="AH271" s="143"/>
      <c r="AI271" s="140"/>
      <c r="AJ271" s="140"/>
      <c r="AK271" s="140"/>
      <c r="AL271" s="140"/>
      <c r="AM271" s="140"/>
      <c r="AN271" s="140"/>
      <c r="AO271" s="140"/>
      <c r="AP271" s="140"/>
      <c r="AQ271" s="140"/>
      <c r="AR271" s="140"/>
      <c r="AS271" s="140"/>
      <c r="AT271" s="140"/>
      <c r="AU271" s="140"/>
      <c r="AV271" s="140"/>
      <c r="AW271" s="140"/>
      <c r="AX271" s="140"/>
      <c r="AY271" s="140"/>
      <c r="AZ271" s="140"/>
      <c r="BA271" s="140"/>
      <c r="BB271" s="140"/>
      <c r="BC271" s="140"/>
      <c r="BD271" s="140"/>
      <c r="BE271" s="140"/>
      <c r="BF271" s="140"/>
      <c r="BG271" s="140"/>
      <c r="BH271" s="140"/>
      <c r="BI271" s="140"/>
      <c r="BJ271" s="140"/>
      <c r="BK271" s="140"/>
      <c r="BL271" s="140"/>
      <c r="BM271" s="140"/>
      <c r="BN271" s="140"/>
      <c r="BO271" s="140"/>
      <c r="BP271" s="140"/>
      <c r="BQ271" s="140"/>
      <c r="BR271" s="140"/>
      <c r="BS271" s="140"/>
      <c r="BT271" s="140"/>
      <c r="BU271" s="140"/>
      <c r="BV271" s="140"/>
      <c r="BW271" s="140"/>
      <c r="BX271" s="140"/>
      <c r="BY271" s="140"/>
      <c r="BZ271" s="140"/>
      <c r="CA271" s="140"/>
      <c r="CB271" s="140"/>
      <c r="CC271" s="140"/>
      <c r="CD271" s="140"/>
      <c r="CE271" s="140"/>
      <c r="CF271" s="140"/>
      <c r="CG271" s="140"/>
      <c r="CH271" s="140"/>
      <c r="CI271" s="140"/>
      <c r="CJ271" s="140"/>
      <c r="CK271" s="140"/>
      <c r="CL271" s="140"/>
      <c r="CM271" s="140"/>
      <c r="CN271" s="140"/>
      <c r="CO271" s="140"/>
      <c r="CP271" s="140"/>
      <c r="CQ271" s="140"/>
      <c r="CR271" s="140"/>
      <c r="CS271" s="140"/>
      <c r="CT271" s="140"/>
      <c r="CU271" s="140"/>
      <c r="CV271" s="140"/>
      <c r="CW271" s="140"/>
      <c r="CX271" s="140"/>
      <c r="CY271" s="140"/>
      <c r="CZ271" s="140"/>
      <c r="DA271" s="140"/>
      <c r="DB271" s="140"/>
      <c r="DC271" s="140"/>
      <c r="DD271" s="140"/>
      <c r="DE271" s="140"/>
      <c r="DF271" s="140"/>
      <c r="DG271" s="140"/>
      <c r="DH271" s="140"/>
      <c r="DI271" s="140"/>
    </row>
    <row r="272" spans="1:113" s="139" customForma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3"/>
      <c r="U272" s="143"/>
      <c r="V272" s="143"/>
      <c r="W272" s="143"/>
      <c r="X272" s="143"/>
      <c r="Y272" s="143"/>
      <c r="Z272" s="143"/>
      <c r="AA272" s="143"/>
      <c r="AC272" s="140"/>
      <c r="AD272" s="140"/>
      <c r="AE272" s="140"/>
      <c r="AF272" s="155"/>
      <c r="AG272" s="141"/>
      <c r="AH272" s="143"/>
      <c r="AI272" s="140"/>
      <c r="AJ272" s="140"/>
      <c r="AK272" s="140"/>
      <c r="AL272" s="140"/>
      <c r="AM272" s="140"/>
      <c r="AN272" s="140"/>
      <c r="AO272" s="140"/>
      <c r="AP272" s="140"/>
      <c r="AQ272" s="140"/>
      <c r="AR272" s="140"/>
      <c r="AS272" s="140"/>
      <c r="AT272" s="140"/>
      <c r="AU272" s="140"/>
      <c r="AV272" s="140"/>
      <c r="AW272" s="140"/>
      <c r="AX272" s="140"/>
      <c r="AY272" s="140"/>
      <c r="AZ272" s="140"/>
      <c r="BA272" s="140"/>
      <c r="BB272" s="140"/>
      <c r="BC272" s="140"/>
      <c r="BD272" s="140"/>
      <c r="BE272" s="140"/>
      <c r="BF272" s="140"/>
      <c r="BG272" s="140"/>
      <c r="BH272" s="140"/>
      <c r="BI272" s="140"/>
      <c r="BJ272" s="140"/>
      <c r="BK272" s="140"/>
      <c r="BL272" s="140"/>
      <c r="BM272" s="140"/>
      <c r="BN272" s="140"/>
      <c r="BO272" s="140"/>
      <c r="BP272" s="140"/>
      <c r="BQ272" s="140"/>
      <c r="BR272" s="140"/>
      <c r="BS272" s="140"/>
      <c r="BT272" s="140"/>
      <c r="BU272" s="140"/>
      <c r="BV272" s="140"/>
      <c r="BW272" s="140"/>
      <c r="BX272" s="140"/>
      <c r="BY272" s="140"/>
      <c r="BZ272" s="140"/>
      <c r="CA272" s="140"/>
      <c r="CB272" s="140"/>
      <c r="CC272" s="140"/>
      <c r="CD272" s="140"/>
      <c r="CE272" s="140"/>
      <c r="CF272" s="140"/>
      <c r="CG272" s="140"/>
      <c r="CH272" s="140"/>
      <c r="CI272" s="140"/>
      <c r="CJ272" s="140"/>
      <c r="CK272" s="140"/>
      <c r="CL272" s="140"/>
      <c r="CM272" s="140"/>
      <c r="CN272" s="140"/>
      <c r="CO272" s="140"/>
      <c r="CP272" s="140"/>
      <c r="CQ272" s="140"/>
      <c r="CR272" s="140"/>
      <c r="CS272" s="140"/>
      <c r="CT272" s="140"/>
      <c r="CU272" s="140"/>
      <c r="CV272" s="140"/>
      <c r="CW272" s="140"/>
      <c r="CX272" s="140"/>
      <c r="CY272" s="140"/>
      <c r="CZ272" s="140"/>
      <c r="DA272" s="140"/>
      <c r="DB272" s="140"/>
      <c r="DC272" s="140"/>
      <c r="DD272" s="140"/>
      <c r="DE272" s="140"/>
      <c r="DF272" s="140"/>
      <c r="DG272" s="140"/>
      <c r="DH272" s="140"/>
      <c r="DI272" s="140"/>
    </row>
    <row r="273" spans="1:113" s="139" customForma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3"/>
      <c r="U273" s="143"/>
      <c r="V273" s="143"/>
      <c r="W273" s="143"/>
      <c r="X273" s="143"/>
      <c r="Y273" s="143"/>
      <c r="Z273" s="143"/>
      <c r="AA273" s="143"/>
      <c r="AC273" s="140"/>
      <c r="AD273" s="140"/>
      <c r="AE273" s="140"/>
      <c r="AF273" s="155"/>
      <c r="AG273" s="141"/>
      <c r="AH273" s="143"/>
      <c r="AI273" s="140"/>
      <c r="AJ273" s="140"/>
      <c r="AK273" s="140"/>
      <c r="AL273" s="140"/>
      <c r="AM273" s="140"/>
      <c r="AN273" s="140"/>
      <c r="AO273" s="140"/>
      <c r="AP273" s="140"/>
      <c r="AQ273" s="140"/>
      <c r="AR273" s="140"/>
      <c r="AS273" s="140"/>
      <c r="AT273" s="140"/>
      <c r="AU273" s="140"/>
      <c r="AV273" s="140"/>
      <c r="AW273" s="140"/>
      <c r="AX273" s="140"/>
      <c r="AY273" s="140"/>
      <c r="AZ273" s="140"/>
      <c r="BA273" s="140"/>
      <c r="BB273" s="140"/>
      <c r="BC273" s="140"/>
      <c r="BD273" s="140"/>
      <c r="BE273" s="140"/>
      <c r="BF273" s="140"/>
      <c r="BG273" s="140"/>
      <c r="BH273" s="140"/>
      <c r="BI273" s="140"/>
      <c r="BJ273" s="140"/>
      <c r="BK273" s="140"/>
      <c r="BL273" s="140"/>
      <c r="BM273" s="140"/>
      <c r="BN273" s="140"/>
      <c r="BO273" s="140"/>
      <c r="BP273" s="140"/>
      <c r="BQ273" s="140"/>
      <c r="BR273" s="140"/>
      <c r="BS273" s="140"/>
      <c r="BT273" s="140"/>
      <c r="BU273" s="140"/>
      <c r="BV273" s="140"/>
      <c r="BW273" s="140"/>
      <c r="BX273" s="140"/>
      <c r="BY273" s="140"/>
      <c r="BZ273" s="140"/>
      <c r="CA273" s="140"/>
      <c r="CB273" s="140"/>
      <c r="CC273" s="140"/>
      <c r="CD273" s="140"/>
      <c r="CE273" s="140"/>
      <c r="CF273" s="140"/>
      <c r="CG273" s="140"/>
      <c r="CH273" s="140"/>
      <c r="CI273" s="140"/>
      <c r="CJ273" s="140"/>
      <c r="CK273" s="140"/>
      <c r="CL273" s="140"/>
      <c r="CM273" s="140"/>
      <c r="CN273" s="140"/>
      <c r="CO273" s="140"/>
      <c r="CP273" s="140"/>
      <c r="CQ273" s="140"/>
      <c r="CR273" s="140"/>
      <c r="CS273" s="140"/>
      <c r="CT273" s="140"/>
      <c r="CU273" s="140"/>
      <c r="CV273" s="140"/>
      <c r="CW273" s="140"/>
      <c r="CX273" s="140"/>
      <c r="CY273" s="140"/>
      <c r="CZ273" s="140"/>
      <c r="DA273" s="140"/>
      <c r="DB273" s="140"/>
      <c r="DC273" s="140"/>
      <c r="DD273" s="140"/>
      <c r="DE273" s="140"/>
      <c r="DF273" s="140"/>
      <c r="DG273" s="140"/>
      <c r="DH273" s="140"/>
      <c r="DI273" s="140"/>
    </row>
    <row r="274" spans="1:113" s="139" customForma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3"/>
      <c r="U274" s="143"/>
      <c r="V274" s="143"/>
      <c r="W274" s="143"/>
      <c r="X274" s="143"/>
      <c r="Y274" s="143"/>
      <c r="Z274" s="143"/>
      <c r="AA274" s="143"/>
      <c r="AC274" s="140"/>
      <c r="AD274" s="140"/>
      <c r="AE274" s="140"/>
      <c r="AF274" s="155"/>
      <c r="AG274" s="141"/>
      <c r="AH274" s="143"/>
      <c r="AI274" s="140"/>
      <c r="AJ274" s="140"/>
      <c r="AK274" s="140"/>
      <c r="AL274" s="140"/>
      <c r="AM274" s="140"/>
      <c r="AN274" s="140"/>
      <c r="AO274" s="140"/>
      <c r="AP274" s="140"/>
      <c r="AQ274" s="140"/>
      <c r="AR274" s="140"/>
      <c r="AS274" s="140"/>
      <c r="AT274" s="140"/>
      <c r="AU274" s="140"/>
      <c r="AV274" s="140"/>
      <c r="AW274" s="140"/>
      <c r="AX274" s="140"/>
      <c r="AY274" s="140"/>
      <c r="AZ274" s="140"/>
      <c r="BA274" s="140"/>
      <c r="BB274" s="140"/>
      <c r="BC274" s="140"/>
      <c r="BD274" s="140"/>
      <c r="BE274" s="140"/>
      <c r="BF274" s="140"/>
      <c r="BG274" s="140"/>
      <c r="BH274" s="140"/>
      <c r="BI274" s="140"/>
      <c r="BJ274" s="140"/>
      <c r="BK274" s="140"/>
      <c r="BL274" s="140"/>
      <c r="BM274" s="140"/>
      <c r="BN274" s="140"/>
      <c r="BO274" s="140"/>
      <c r="BP274" s="140"/>
      <c r="BQ274" s="140"/>
      <c r="BR274" s="140"/>
      <c r="BS274" s="140"/>
      <c r="BT274" s="140"/>
      <c r="BU274" s="140"/>
      <c r="BV274" s="140"/>
      <c r="BW274" s="140"/>
      <c r="BX274" s="140"/>
      <c r="BY274" s="140"/>
      <c r="BZ274" s="140"/>
      <c r="CA274" s="140"/>
      <c r="CB274" s="140"/>
      <c r="CC274" s="140"/>
      <c r="CD274" s="140"/>
      <c r="CE274" s="140"/>
      <c r="CF274" s="140"/>
      <c r="CG274" s="140"/>
      <c r="CH274" s="140"/>
      <c r="CI274" s="140"/>
      <c r="CJ274" s="140"/>
      <c r="CK274" s="140"/>
      <c r="CL274" s="140"/>
      <c r="CM274" s="140"/>
      <c r="CN274" s="140"/>
      <c r="CO274" s="140"/>
      <c r="CP274" s="140"/>
      <c r="CQ274" s="140"/>
      <c r="CR274" s="140"/>
      <c r="CS274" s="140"/>
      <c r="CT274" s="140"/>
      <c r="CU274" s="140"/>
      <c r="CV274" s="140"/>
      <c r="CW274" s="140"/>
      <c r="CX274" s="140"/>
      <c r="CY274" s="140"/>
      <c r="CZ274" s="140"/>
      <c r="DA274" s="140"/>
      <c r="DB274" s="140"/>
      <c r="DC274" s="140"/>
      <c r="DD274" s="140"/>
      <c r="DE274" s="140"/>
      <c r="DF274" s="140"/>
      <c r="DG274" s="140"/>
      <c r="DH274" s="140"/>
      <c r="DI274" s="140"/>
    </row>
    <row r="275" spans="1:113" s="139" customForma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3"/>
      <c r="U275" s="143"/>
      <c r="V275" s="143"/>
      <c r="W275" s="143"/>
      <c r="X275" s="143"/>
      <c r="Y275" s="143"/>
      <c r="Z275" s="143"/>
      <c r="AA275" s="143"/>
      <c r="AC275" s="140"/>
      <c r="AD275" s="140"/>
      <c r="AE275" s="140"/>
      <c r="AF275" s="155"/>
      <c r="AG275" s="141"/>
      <c r="AH275" s="143"/>
      <c r="AI275" s="140"/>
      <c r="AJ275" s="140"/>
      <c r="AK275" s="140"/>
      <c r="AL275" s="140"/>
      <c r="AM275" s="140"/>
      <c r="AN275" s="140"/>
      <c r="AO275" s="140"/>
      <c r="AP275" s="140"/>
      <c r="AQ275" s="140"/>
      <c r="AR275" s="140"/>
      <c r="AS275" s="140"/>
      <c r="AT275" s="140"/>
      <c r="AU275" s="140"/>
      <c r="AV275" s="140"/>
      <c r="AW275" s="140"/>
      <c r="AX275" s="140"/>
      <c r="AY275" s="140"/>
      <c r="AZ275" s="140"/>
      <c r="BA275" s="140"/>
      <c r="BB275" s="140"/>
      <c r="BC275" s="140"/>
      <c r="BD275" s="140"/>
      <c r="BE275" s="140"/>
      <c r="BF275" s="140"/>
      <c r="BG275" s="140"/>
      <c r="BH275" s="140"/>
      <c r="BI275" s="140"/>
      <c r="BJ275" s="140"/>
      <c r="BK275" s="140"/>
      <c r="BL275" s="140"/>
      <c r="BM275" s="140"/>
      <c r="BN275" s="140"/>
      <c r="BO275" s="140"/>
      <c r="BP275" s="140"/>
      <c r="BQ275" s="140"/>
      <c r="BR275" s="140"/>
      <c r="BS275" s="140"/>
      <c r="BT275" s="140"/>
      <c r="BU275" s="140"/>
      <c r="BV275" s="140"/>
      <c r="BW275" s="140"/>
      <c r="BX275" s="140"/>
      <c r="BY275" s="140"/>
      <c r="BZ275" s="140"/>
      <c r="CA275" s="140"/>
      <c r="CB275" s="140"/>
      <c r="CC275" s="140"/>
      <c r="CD275" s="140"/>
      <c r="CE275" s="140"/>
      <c r="CF275" s="140"/>
      <c r="CG275" s="140"/>
      <c r="CH275" s="140"/>
      <c r="CI275" s="140"/>
      <c r="CJ275" s="140"/>
      <c r="CK275" s="140"/>
      <c r="CL275" s="140"/>
      <c r="CM275" s="140"/>
      <c r="CN275" s="140"/>
      <c r="CO275" s="140"/>
      <c r="CP275" s="140"/>
      <c r="CQ275" s="140"/>
      <c r="CR275" s="140"/>
      <c r="CS275" s="140"/>
      <c r="CT275" s="140"/>
      <c r="CU275" s="140"/>
      <c r="CV275" s="140"/>
      <c r="CW275" s="140"/>
      <c r="CX275" s="140"/>
      <c r="CY275" s="140"/>
      <c r="CZ275" s="140"/>
      <c r="DA275" s="140"/>
      <c r="DB275" s="140"/>
      <c r="DC275" s="140"/>
      <c r="DD275" s="140"/>
      <c r="DE275" s="140"/>
      <c r="DF275" s="140"/>
      <c r="DG275" s="140"/>
      <c r="DH275" s="140"/>
      <c r="DI275" s="140"/>
    </row>
    <row r="276" spans="1:113" s="139" customForma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3"/>
      <c r="U276" s="143"/>
      <c r="V276" s="143"/>
      <c r="W276" s="143"/>
      <c r="X276" s="143"/>
      <c r="Y276" s="143"/>
      <c r="Z276" s="143"/>
      <c r="AA276" s="143"/>
      <c r="AC276" s="140"/>
      <c r="AD276" s="140"/>
      <c r="AE276" s="140"/>
      <c r="AF276" s="155"/>
      <c r="AG276" s="141"/>
      <c r="AH276" s="143"/>
      <c r="AI276" s="140"/>
      <c r="AJ276" s="140"/>
      <c r="AK276" s="140"/>
      <c r="AL276" s="140"/>
      <c r="AM276" s="140"/>
      <c r="AN276" s="140"/>
      <c r="AO276" s="140"/>
      <c r="AP276" s="140"/>
      <c r="AQ276" s="140"/>
      <c r="AR276" s="140"/>
      <c r="AS276" s="140"/>
      <c r="AT276" s="140"/>
      <c r="AU276" s="140"/>
      <c r="AV276" s="140"/>
      <c r="AW276" s="140"/>
      <c r="AX276" s="140"/>
      <c r="AY276" s="140"/>
      <c r="AZ276" s="140"/>
      <c r="BA276" s="140"/>
      <c r="BB276" s="140"/>
      <c r="BC276" s="140"/>
      <c r="BD276" s="140"/>
      <c r="BE276" s="140"/>
      <c r="BF276" s="140"/>
      <c r="BG276" s="140"/>
      <c r="BH276" s="140"/>
      <c r="BI276" s="140"/>
      <c r="BJ276" s="140"/>
      <c r="BK276" s="140"/>
      <c r="BL276" s="140"/>
      <c r="BM276" s="140"/>
      <c r="BN276" s="140"/>
      <c r="BO276" s="140"/>
      <c r="BP276" s="140"/>
      <c r="BQ276" s="140"/>
      <c r="BR276" s="140"/>
      <c r="BS276" s="140"/>
      <c r="BT276" s="140"/>
      <c r="BU276" s="140"/>
      <c r="BV276" s="140"/>
      <c r="BW276" s="140"/>
      <c r="BX276" s="140"/>
      <c r="BY276" s="140"/>
      <c r="BZ276" s="140"/>
      <c r="CA276" s="140"/>
      <c r="CB276" s="140"/>
      <c r="CC276" s="140"/>
      <c r="CD276" s="140"/>
      <c r="CE276" s="140"/>
      <c r="CF276" s="140"/>
      <c r="CG276" s="140"/>
      <c r="CH276" s="140"/>
      <c r="CI276" s="140"/>
      <c r="CJ276" s="140"/>
      <c r="CK276" s="140"/>
      <c r="CL276" s="140"/>
      <c r="CM276" s="140"/>
      <c r="CN276" s="140"/>
      <c r="CO276" s="140"/>
      <c r="CP276" s="140"/>
      <c r="CQ276" s="140"/>
      <c r="CR276" s="140"/>
      <c r="CS276" s="140"/>
      <c r="CT276" s="140"/>
      <c r="CU276" s="140"/>
      <c r="CV276" s="140"/>
      <c r="CW276" s="140"/>
      <c r="CX276" s="140"/>
      <c r="CY276" s="140"/>
      <c r="CZ276" s="140"/>
      <c r="DA276" s="140"/>
      <c r="DB276" s="140"/>
      <c r="DC276" s="140"/>
      <c r="DD276" s="140"/>
      <c r="DE276" s="140"/>
      <c r="DF276" s="140"/>
      <c r="DG276" s="140"/>
      <c r="DH276" s="140"/>
      <c r="DI276" s="140"/>
    </row>
    <row r="277" spans="1:113" s="139" customForma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3"/>
      <c r="U277" s="143"/>
      <c r="V277" s="143"/>
      <c r="W277" s="143"/>
      <c r="X277" s="143"/>
      <c r="Y277" s="143"/>
      <c r="Z277" s="143"/>
      <c r="AA277" s="143"/>
      <c r="AC277" s="140"/>
      <c r="AD277" s="140"/>
      <c r="AE277" s="140"/>
      <c r="AF277" s="155"/>
      <c r="AG277" s="141"/>
      <c r="AH277" s="143"/>
      <c r="AI277" s="140"/>
      <c r="AJ277" s="140"/>
      <c r="AK277" s="140"/>
      <c r="AL277" s="140"/>
      <c r="AM277" s="140"/>
      <c r="AN277" s="140"/>
      <c r="AO277" s="140"/>
      <c r="AP277" s="140"/>
      <c r="AQ277" s="140"/>
      <c r="AR277" s="140"/>
      <c r="AS277" s="140"/>
      <c r="AT277" s="140"/>
      <c r="AU277" s="140"/>
      <c r="AV277" s="140"/>
      <c r="AW277" s="140"/>
      <c r="AX277" s="140"/>
      <c r="AY277" s="140"/>
      <c r="AZ277" s="140"/>
      <c r="BA277" s="140"/>
      <c r="BB277" s="140"/>
      <c r="BC277" s="140"/>
      <c r="BD277" s="140"/>
      <c r="BE277" s="140"/>
      <c r="BF277" s="140"/>
      <c r="BG277" s="140"/>
      <c r="BH277" s="140"/>
      <c r="BI277" s="140"/>
      <c r="BJ277" s="140"/>
      <c r="BK277" s="140"/>
      <c r="BL277" s="140"/>
      <c r="BM277" s="140"/>
      <c r="BN277" s="140"/>
      <c r="BO277" s="140"/>
      <c r="BP277" s="140"/>
      <c r="BQ277" s="140"/>
      <c r="BR277" s="140"/>
      <c r="BS277" s="140"/>
      <c r="BT277" s="140"/>
      <c r="BU277" s="140"/>
      <c r="BV277" s="140"/>
      <c r="BW277" s="140"/>
      <c r="BX277" s="140"/>
      <c r="BY277" s="140"/>
      <c r="BZ277" s="140"/>
      <c r="CA277" s="140"/>
      <c r="CB277" s="140"/>
      <c r="CC277" s="140"/>
      <c r="CD277" s="140"/>
      <c r="CE277" s="140"/>
      <c r="CF277" s="140"/>
      <c r="CG277" s="140"/>
      <c r="CH277" s="140"/>
      <c r="CI277" s="140"/>
      <c r="CJ277" s="140"/>
      <c r="CK277" s="140"/>
      <c r="CL277" s="140"/>
      <c r="CM277" s="140"/>
      <c r="CN277" s="140"/>
      <c r="CO277" s="140"/>
      <c r="CP277" s="140"/>
      <c r="CQ277" s="140"/>
      <c r="CR277" s="140"/>
      <c r="CS277" s="140"/>
      <c r="CT277" s="140"/>
      <c r="CU277" s="140"/>
      <c r="CV277" s="140"/>
      <c r="CW277" s="140"/>
      <c r="CX277" s="140"/>
      <c r="CY277" s="140"/>
      <c r="CZ277" s="140"/>
      <c r="DA277" s="140"/>
      <c r="DB277" s="140"/>
      <c r="DC277" s="140"/>
      <c r="DD277" s="140"/>
      <c r="DE277" s="140"/>
      <c r="DF277" s="140"/>
      <c r="DG277" s="140"/>
      <c r="DH277" s="140"/>
      <c r="DI277" s="140"/>
    </row>
    <row r="278" spans="1:113" s="139" customForma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3"/>
      <c r="U278" s="143"/>
      <c r="V278" s="143"/>
      <c r="W278" s="143"/>
      <c r="X278" s="143"/>
      <c r="Y278" s="143"/>
      <c r="Z278" s="143"/>
      <c r="AA278" s="143"/>
      <c r="AC278" s="140"/>
      <c r="AD278" s="140"/>
      <c r="AE278" s="140"/>
      <c r="AF278" s="155"/>
      <c r="AG278" s="141"/>
      <c r="AH278" s="143"/>
      <c r="AI278" s="140"/>
      <c r="AJ278" s="140"/>
      <c r="AK278" s="140"/>
      <c r="AL278" s="140"/>
      <c r="AM278" s="140"/>
      <c r="AN278" s="140"/>
      <c r="AO278" s="140"/>
      <c r="AP278" s="140"/>
      <c r="AQ278" s="140"/>
      <c r="AR278" s="140"/>
      <c r="AS278" s="140"/>
      <c r="AT278" s="140"/>
      <c r="AU278" s="140"/>
      <c r="AV278" s="140"/>
      <c r="AW278" s="140"/>
      <c r="AX278" s="140"/>
      <c r="AY278" s="140"/>
      <c r="AZ278" s="140"/>
      <c r="BA278" s="140"/>
      <c r="BB278" s="140"/>
      <c r="BC278" s="140"/>
      <c r="BD278" s="140"/>
      <c r="BE278" s="140"/>
      <c r="BF278" s="140"/>
      <c r="BG278" s="140"/>
      <c r="BH278" s="140"/>
      <c r="BI278" s="140"/>
      <c r="BJ278" s="140"/>
      <c r="BK278" s="140"/>
      <c r="BL278" s="140"/>
      <c r="BM278" s="140"/>
      <c r="BN278" s="140"/>
      <c r="BO278" s="140"/>
      <c r="BP278" s="140"/>
      <c r="BQ278" s="140"/>
      <c r="BR278" s="140"/>
      <c r="BS278" s="140"/>
      <c r="BT278" s="140"/>
      <c r="BU278" s="140"/>
      <c r="BV278" s="140"/>
      <c r="BW278" s="140"/>
      <c r="BX278" s="140"/>
      <c r="BY278" s="140"/>
      <c r="BZ278" s="140"/>
      <c r="CA278" s="140"/>
      <c r="CB278" s="140"/>
      <c r="CC278" s="140"/>
      <c r="CD278" s="140"/>
      <c r="CE278" s="140"/>
      <c r="CF278" s="140"/>
      <c r="CG278" s="140"/>
      <c r="CH278" s="140"/>
      <c r="CI278" s="140"/>
      <c r="CJ278" s="140"/>
      <c r="CK278" s="140"/>
      <c r="CL278" s="140"/>
      <c r="CM278" s="140"/>
      <c r="CN278" s="140"/>
      <c r="CO278" s="140"/>
      <c r="CP278" s="140"/>
      <c r="CQ278" s="140"/>
      <c r="CR278" s="140"/>
      <c r="CS278" s="140"/>
      <c r="CT278" s="140"/>
      <c r="CU278" s="140"/>
      <c r="CV278" s="140"/>
      <c r="CW278" s="140"/>
      <c r="CX278" s="140"/>
      <c r="CY278" s="140"/>
      <c r="CZ278" s="140"/>
      <c r="DA278" s="140"/>
      <c r="DB278" s="140"/>
      <c r="DC278" s="140"/>
      <c r="DD278" s="140"/>
      <c r="DE278" s="140"/>
      <c r="DF278" s="140"/>
      <c r="DG278" s="140"/>
      <c r="DH278" s="140"/>
      <c r="DI278" s="140"/>
    </row>
    <row r="279" spans="1:113" s="139" customForma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3"/>
      <c r="U279" s="143"/>
      <c r="V279" s="143"/>
      <c r="W279" s="143"/>
      <c r="X279" s="143"/>
      <c r="Y279" s="143"/>
      <c r="Z279" s="143"/>
      <c r="AA279" s="143"/>
      <c r="AC279" s="140"/>
      <c r="AD279" s="140"/>
      <c r="AE279" s="140"/>
      <c r="AF279" s="155"/>
      <c r="AG279" s="141"/>
      <c r="AH279" s="143"/>
      <c r="AI279" s="140"/>
      <c r="AJ279" s="140"/>
      <c r="AK279" s="140"/>
      <c r="AL279" s="140"/>
      <c r="AM279" s="140"/>
      <c r="AN279" s="140"/>
      <c r="AO279" s="140"/>
      <c r="AP279" s="140"/>
      <c r="AQ279" s="140"/>
      <c r="AR279" s="140"/>
      <c r="AS279" s="140"/>
      <c r="AT279" s="140"/>
      <c r="AU279" s="140"/>
      <c r="AV279" s="140"/>
      <c r="AW279" s="140"/>
      <c r="AX279" s="140"/>
      <c r="AY279" s="140"/>
      <c r="AZ279" s="140"/>
      <c r="BA279" s="140"/>
      <c r="BB279" s="140"/>
      <c r="BC279" s="140"/>
      <c r="BD279" s="140"/>
      <c r="BE279" s="140"/>
      <c r="BF279" s="140"/>
      <c r="BG279" s="140"/>
      <c r="BH279" s="140"/>
      <c r="BI279" s="140"/>
      <c r="BJ279" s="140"/>
      <c r="BK279" s="140"/>
      <c r="BL279" s="140"/>
      <c r="BM279" s="140"/>
      <c r="BN279" s="140"/>
      <c r="BO279" s="140"/>
      <c r="BP279" s="140"/>
      <c r="BQ279" s="140"/>
      <c r="BR279" s="140"/>
      <c r="BS279" s="140"/>
      <c r="BT279" s="140"/>
      <c r="BU279" s="140"/>
      <c r="BV279" s="140"/>
      <c r="BW279" s="140"/>
      <c r="BX279" s="140"/>
      <c r="BY279" s="140"/>
      <c r="BZ279" s="140"/>
      <c r="CA279" s="140"/>
      <c r="CB279" s="140"/>
      <c r="CC279" s="140"/>
      <c r="CD279" s="140"/>
      <c r="CE279" s="140"/>
      <c r="CF279" s="140"/>
      <c r="CG279" s="140"/>
      <c r="CH279" s="140"/>
      <c r="CI279" s="140"/>
      <c r="CJ279" s="140"/>
      <c r="CK279" s="140"/>
      <c r="CL279" s="140"/>
      <c r="CM279" s="140"/>
      <c r="CN279" s="140"/>
      <c r="CO279" s="140"/>
      <c r="CP279" s="140"/>
      <c r="CQ279" s="140"/>
      <c r="CR279" s="140"/>
      <c r="CS279" s="140"/>
      <c r="CT279" s="140"/>
      <c r="CU279" s="140"/>
      <c r="CV279" s="140"/>
      <c r="CW279" s="140"/>
      <c r="CX279" s="140"/>
      <c r="CY279" s="140"/>
      <c r="CZ279" s="140"/>
      <c r="DA279" s="140"/>
      <c r="DB279" s="140"/>
      <c r="DC279" s="140"/>
      <c r="DD279" s="140"/>
      <c r="DE279" s="140"/>
      <c r="DF279" s="140"/>
      <c r="DG279" s="140"/>
      <c r="DH279" s="140"/>
      <c r="DI279" s="140"/>
    </row>
    <row r="280" spans="1:113" s="139" customForma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3"/>
      <c r="U280" s="143"/>
      <c r="V280" s="143"/>
      <c r="W280" s="143"/>
      <c r="X280" s="143"/>
      <c r="Y280" s="143"/>
      <c r="Z280" s="143"/>
      <c r="AA280" s="143"/>
      <c r="AC280" s="140"/>
      <c r="AD280" s="140"/>
      <c r="AE280" s="140"/>
      <c r="AF280" s="155"/>
      <c r="AG280" s="141"/>
      <c r="AH280" s="143"/>
      <c r="AI280" s="140"/>
      <c r="AJ280" s="140"/>
      <c r="AK280" s="140"/>
      <c r="AL280" s="140"/>
      <c r="AM280" s="140"/>
      <c r="AN280" s="140"/>
      <c r="AO280" s="140"/>
      <c r="AP280" s="140"/>
      <c r="AQ280" s="140"/>
      <c r="AR280" s="140"/>
      <c r="AS280" s="140"/>
      <c r="AT280" s="140"/>
      <c r="AU280" s="140"/>
      <c r="AV280" s="140"/>
      <c r="AW280" s="140"/>
      <c r="AX280" s="140"/>
      <c r="AY280" s="140"/>
      <c r="AZ280" s="140"/>
      <c r="BA280" s="140"/>
      <c r="BB280" s="140"/>
      <c r="BC280" s="140"/>
      <c r="BD280" s="140"/>
      <c r="BE280" s="140"/>
      <c r="BF280" s="140"/>
      <c r="BG280" s="140"/>
      <c r="BH280" s="140"/>
      <c r="BI280" s="140"/>
      <c r="BJ280" s="140"/>
      <c r="BK280" s="140"/>
      <c r="BL280" s="140"/>
      <c r="BM280" s="140"/>
      <c r="BN280" s="140"/>
      <c r="BO280" s="140"/>
      <c r="BP280" s="140"/>
      <c r="BQ280" s="140"/>
      <c r="BR280" s="140"/>
      <c r="BS280" s="140"/>
      <c r="BT280" s="140"/>
      <c r="BU280" s="140"/>
      <c r="BV280" s="140"/>
      <c r="BW280" s="140"/>
      <c r="BX280" s="140"/>
      <c r="BY280" s="140"/>
      <c r="BZ280" s="140"/>
      <c r="CA280" s="140"/>
      <c r="CB280" s="140"/>
      <c r="CC280" s="140"/>
      <c r="CD280" s="140"/>
      <c r="CE280" s="140"/>
      <c r="CF280" s="140"/>
      <c r="CG280" s="140"/>
      <c r="CH280" s="140"/>
      <c r="CI280" s="140"/>
      <c r="CJ280" s="140"/>
      <c r="CK280" s="140"/>
      <c r="CL280" s="140"/>
      <c r="CM280" s="140"/>
      <c r="CN280" s="140"/>
      <c r="CO280" s="140"/>
      <c r="CP280" s="140"/>
      <c r="CQ280" s="140"/>
      <c r="CR280" s="140"/>
      <c r="CS280" s="140"/>
      <c r="CT280" s="140"/>
      <c r="CU280" s="140"/>
      <c r="CV280" s="140"/>
      <c r="CW280" s="140"/>
      <c r="CX280" s="140"/>
      <c r="CY280" s="140"/>
      <c r="CZ280" s="140"/>
      <c r="DA280" s="140"/>
      <c r="DB280" s="140"/>
      <c r="DC280" s="140"/>
      <c r="DD280" s="140"/>
      <c r="DE280" s="140"/>
      <c r="DF280" s="140"/>
      <c r="DG280" s="140"/>
      <c r="DH280" s="140"/>
      <c r="DI280" s="140"/>
    </row>
    <row r="281" spans="1:113" s="139" customForma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3"/>
      <c r="U281" s="143"/>
      <c r="V281" s="143"/>
      <c r="W281" s="143"/>
      <c r="X281" s="143"/>
      <c r="Y281" s="143"/>
      <c r="Z281" s="143"/>
      <c r="AA281" s="143"/>
      <c r="AC281" s="140"/>
      <c r="AD281" s="140"/>
      <c r="AE281" s="140"/>
      <c r="AF281" s="155"/>
      <c r="AG281" s="141"/>
      <c r="AH281" s="143"/>
      <c r="AI281" s="140"/>
      <c r="AJ281" s="140"/>
      <c r="AK281" s="140"/>
      <c r="AL281" s="140"/>
      <c r="AM281" s="140"/>
      <c r="AN281" s="140"/>
      <c r="AO281" s="140"/>
      <c r="AP281" s="140"/>
      <c r="AQ281" s="140"/>
      <c r="AR281" s="140"/>
      <c r="AS281" s="140"/>
      <c r="AT281" s="140"/>
      <c r="AU281" s="140"/>
      <c r="AV281" s="140"/>
      <c r="AW281" s="140"/>
      <c r="AX281" s="140"/>
      <c r="AY281" s="140"/>
      <c r="AZ281" s="140"/>
      <c r="BA281" s="140"/>
      <c r="BB281" s="140"/>
      <c r="BC281" s="140"/>
      <c r="BD281" s="140"/>
      <c r="BE281" s="140"/>
      <c r="BF281" s="140"/>
      <c r="BG281" s="140"/>
      <c r="BH281" s="140"/>
      <c r="BI281" s="140"/>
      <c r="BJ281" s="140"/>
      <c r="BK281" s="140"/>
      <c r="BL281" s="140"/>
      <c r="BM281" s="140"/>
      <c r="BN281" s="140"/>
      <c r="BO281" s="140"/>
      <c r="BP281" s="140"/>
      <c r="BQ281" s="140"/>
      <c r="BR281" s="140"/>
      <c r="BS281" s="140"/>
      <c r="BT281" s="140"/>
      <c r="BU281" s="140"/>
      <c r="BV281" s="140"/>
      <c r="BW281" s="140"/>
      <c r="BX281" s="140"/>
      <c r="BY281" s="140"/>
      <c r="BZ281" s="140"/>
      <c r="CA281" s="140"/>
      <c r="CB281" s="140"/>
      <c r="CC281" s="140"/>
      <c r="CD281" s="140"/>
      <c r="CE281" s="140"/>
      <c r="CF281" s="140"/>
      <c r="CG281" s="140"/>
      <c r="CH281" s="140"/>
      <c r="CI281" s="140"/>
      <c r="CJ281" s="140"/>
      <c r="CK281" s="140"/>
      <c r="CL281" s="140"/>
      <c r="CM281" s="140"/>
      <c r="CN281" s="140"/>
      <c r="CO281" s="140"/>
      <c r="CP281" s="140"/>
      <c r="CQ281" s="140"/>
      <c r="CR281" s="140"/>
      <c r="CS281" s="140"/>
      <c r="CT281" s="140"/>
      <c r="CU281" s="140"/>
      <c r="CV281" s="140"/>
      <c r="CW281" s="140"/>
      <c r="CX281" s="140"/>
      <c r="CY281" s="140"/>
      <c r="CZ281" s="140"/>
      <c r="DA281" s="140"/>
      <c r="DB281" s="140"/>
      <c r="DC281" s="140"/>
      <c r="DD281" s="140"/>
      <c r="DE281" s="140"/>
      <c r="DF281" s="140"/>
      <c r="DG281" s="140"/>
      <c r="DH281" s="140"/>
      <c r="DI281" s="140"/>
    </row>
    <row r="282" spans="1:113" s="139" customForma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3"/>
      <c r="U282" s="143"/>
      <c r="V282" s="143"/>
      <c r="W282" s="143"/>
      <c r="X282" s="143"/>
      <c r="Y282" s="143"/>
      <c r="Z282" s="143"/>
      <c r="AA282" s="143"/>
      <c r="AC282" s="140"/>
      <c r="AD282" s="140"/>
      <c r="AE282" s="140"/>
      <c r="AF282" s="155"/>
      <c r="AG282" s="141"/>
      <c r="AH282" s="143"/>
      <c r="AI282" s="140"/>
      <c r="AJ282" s="140"/>
      <c r="AK282" s="140"/>
      <c r="AL282" s="140"/>
      <c r="AM282" s="140"/>
      <c r="AN282" s="140"/>
      <c r="AO282" s="140"/>
      <c r="AP282" s="140"/>
      <c r="AQ282" s="140"/>
      <c r="AR282" s="140"/>
      <c r="AS282" s="140"/>
      <c r="AT282" s="140"/>
      <c r="AU282" s="140"/>
      <c r="AV282" s="140"/>
      <c r="AW282" s="140"/>
      <c r="AX282" s="140"/>
      <c r="AY282" s="140"/>
      <c r="AZ282" s="140"/>
      <c r="BA282" s="140"/>
      <c r="BB282" s="140"/>
      <c r="BC282" s="140"/>
      <c r="BD282" s="140"/>
      <c r="BE282" s="140"/>
      <c r="BF282" s="140"/>
      <c r="BG282" s="140"/>
      <c r="BH282" s="140"/>
      <c r="BI282" s="140"/>
      <c r="BJ282" s="140"/>
      <c r="BK282" s="140"/>
      <c r="BL282" s="140"/>
      <c r="BM282" s="140"/>
      <c r="BN282" s="140"/>
      <c r="BO282" s="140"/>
      <c r="BP282" s="140"/>
      <c r="BQ282" s="140"/>
      <c r="BR282" s="140"/>
      <c r="BS282" s="140"/>
      <c r="BT282" s="140"/>
      <c r="BU282" s="140"/>
      <c r="BV282" s="140"/>
      <c r="BW282" s="140"/>
      <c r="BX282" s="140"/>
      <c r="BY282" s="140"/>
      <c r="BZ282" s="140"/>
      <c r="CA282" s="140"/>
      <c r="CB282" s="140"/>
      <c r="CC282" s="140"/>
      <c r="CD282" s="140"/>
      <c r="CE282" s="140"/>
      <c r="CF282" s="140"/>
      <c r="CG282" s="140"/>
      <c r="CH282" s="140"/>
      <c r="CI282" s="140"/>
      <c r="CJ282" s="140"/>
      <c r="CK282" s="140"/>
      <c r="CL282" s="140"/>
      <c r="CM282" s="140"/>
      <c r="CN282" s="140"/>
      <c r="CO282" s="140"/>
      <c r="CP282" s="140"/>
      <c r="CQ282" s="140"/>
      <c r="CR282" s="140"/>
      <c r="CS282" s="140"/>
      <c r="CT282" s="140"/>
      <c r="CU282" s="140"/>
      <c r="CV282" s="140"/>
      <c r="CW282" s="140"/>
      <c r="CX282" s="140"/>
      <c r="CY282" s="140"/>
      <c r="CZ282" s="140"/>
      <c r="DA282" s="140"/>
      <c r="DB282" s="140"/>
      <c r="DC282" s="140"/>
      <c r="DD282" s="140"/>
      <c r="DE282" s="140"/>
      <c r="DF282" s="140"/>
      <c r="DG282" s="140"/>
      <c r="DH282" s="140"/>
      <c r="DI282" s="140"/>
    </row>
    <row r="283" spans="1:113" s="139" customForma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3"/>
      <c r="U283" s="143"/>
      <c r="V283" s="143"/>
      <c r="W283" s="143"/>
      <c r="X283" s="143"/>
      <c r="Y283" s="143"/>
      <c r="Z283" s="143"/>
      <c r="AA283" s="143"/>
      <c r="AC283" s="140"/>
      <c r="AD283" s="140"/>
      <c r="AE283" s="140"/>
      <c r="AF283" s="155"/>
      <c r="AG283" s="141"/>
      <c r="AH283" s="143"/>
      <c r="AI283" s="140"/>
      <c r="AJ283" s="140"/>
      <c r="AK283" s="140"/>
      <c r="AL283" s="140"/>
      <c r="AM283" s="140"/>
      <c r="AN283" s="140"/>
      <c r="AO283" s="140"/>
      <c r="AP283" s="140"/>
      <c r="AQ283" s="140"/>
      <c r="AR283" s="140"/>
      <c r="AS283" s="140"/>
      <c r="AT283" s="140"/>
      <c r="AU283" s="140"/>
      <c r="AV283" s="140"/>
      <c r="AW283" s="140"/>
      <c r="AX283" s="140"/>
      <c r="AY283" s="140"/>
      <c r="AZ283" s="140"/>
      <c r="BA283" s="140"/>
      <c r="BB283" s="140"/>
      <c r="BC283" s="140"/>
      <c r="BD283" s="140"/>
      <c r="BE283" s="140"/>
      <c r="BF283" s="140"/>
      <c r="BG283" s="140"/>
      <c r="BH283" s="140"/>
      <c r="BI283" s="140"/>
      <c r="BJ283" s="140"/>
      <c r="BK283" s="140"/>
      <c r="BL283" s="140"/>
      <c r="BM283" s="140"/>
      <c r="BN283" s="140"/>
      <c r="BO283" s="140"/>
      <c r="BP283" s="140"/>
      <c r="BQ283" s="140"/>
      <c r="BR283" s="140"/>
      <c r="BS283" s="140"/>
      <c r="BT283" s="140"/>
      <c r="BU283" s="140"/>
      <c r="BV283" s="140"/>
      <c r="BW283" s="140"/>
      <c r="BX283" s="140"/>
      <c r="BY283" s="140"/>
      <c r="BZ283" s="140"/>
      <c r="CA283" s="140"/>
      <c r="CB283" s="140"/>
      <c r="CC283" s="140"/>
      <c r="CD283" s="140"/>
      <c r="CE283" s="140"/>
      <c r="CF283" s="140"/>
      <c r="CG283" s="140"/>
      <c r="CH283" s="140"/>
      <c r="CI283" s="140"/>
      <c r="CJ283" s="140"/>
      <c r="CK283" s="140"/>
      <c r="CL283" s="140"/>
      <c r="CM283" s="140"/>
      <c r="CN283" s="140"/>
      <c r="CO283" s="140"/>
      <c r="CP283" s="140"/>
      <c r="CQ283" s="140"/>
      <c r="CR283" s="140"/>
      <c r="CS283" s="140"/>
      <c r="CT283" s="140"/>
      <c r="CU283" s="140"/>
      <c r="CV283" s="140"/>
      <c r="CW283" s="140"/>
      <c r="CX283" s="140"/>
      <c r="CY283" s="140"/>
      <c r="CZ283" s="140"/>
      <c r="DA283" s="140"/>
      <c r="DB283" s="140"/>
      <c r="DC283" s="140"/>
      <c r="DD283" s="140"/>
      <c r="DE283" s="140"/>
      <c r="DF283" s="140"/>
      <c r="DG283" s="140"/>
      <c r="DH283" s="140"/>
      <c r="DI283" s="140"/>
    </row>
    <row r="284" spans="1:113" s="139" customForma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3"/>
      <c r="U284" s="143"/>
      <c r="V284" s="143"/>
      <c r="W284" s="143"/>
      <c r="X284" s="143"/>
      <c r="Y284" s="143"/>
      <c r="Z284" s="143"/>
      <c r="AA284" s="143"/>
      <c r="AC284" s="140"/>
      <c r="AD284" s="140"/>
      <c r="AE284" s="140"/>
      <c r="AF284" s="155"/>
      <c r="AG284" s="141"/>
      <c r="AH284" s="143"/>
      <c r="AI284" s="140"/>
      <c r="AJ284" s="140"/>
      <c r="AK284" s="140"/>
      <c r="AL284" s="140"/>
      <c r="AM284" s="140"/>
      <c r="AN284" s="140"/>
      <c r="AO284" s="140"/>
      <c r="AP284" s="140"/>
      <c r="AQ284" s="140"/>
      <c r="AR284" s="140"/>
      <c r="AS284" s="140"/>
      <c r="AT284" s="140"/>
      <c r="AU284" s="140"/>
      <c r="AV284" s="140"/>
      <c r="AW284" s="140"/>
      <c r="AX284" s="140"/>
      <c r="AY284" s="140"/>
      <c r="AZ284" s="140"/>
      <c r="BA284" s="140"/>
      <c r="BB284" s="140"/>
      <c r="BC284" s="140"/>
      <c r="BD284" s="140"/>
      <c r="BE284" s="140"/>
      <c r="BF284" s="140"/>
      <c r="BG284" s="140"/>
      <c r="BH284" s="140"/>
      <c r="BI284" s="140"/>
      <c r="BJ284" s="140"/>
      <c r="BK284" s="140"/>
      <c r="BL284" s="140"/>
      <c r="BM284" s="140"/>
      <c r="BN284" s="140"/>
      <c r="BO284" s="140"/>
      <c r="BP284" s="140"/>
      <c r="BQ284" s="140"/>
      <c r="BR284" s="140"/>
      <c r="BS284" s="140"/>
      <c r="BT284" s="140"/>
      <c r="BU284" s="140"/>
      <c r="BV284" s="140"/>
      <c r="BW284" s="140"/>
      <c r="BX284" s="140"/>
      <c r="BY284" s="140"/>
      <c r="BZ284" s="140"/>
      <c r="CA284" s="140"/>
      <c r="CB284" s="140"/>
      <c r="CC284" s="140"/>
      <c r="CD284" s="140"/>
      <c r="CE284" s="140"/>
      <c r="CF284" s="140"/>
      <c r="CG284" s="140"/>
      <c r="CH284" s="140"/>
      <c r="CI284" s="140"/>
      <c r="CJ284" s="140"/>
      <c r="CK284" s="140"/>
      <c r="CL284" s="140"/>
      <c r="CM284" s="140"/>
      <c r="CN284" s="140"/>
      <c r="CO284" s="140"/>
      <c r="CP284" s="140"/>
      <c r="CQ284" s="140"/>
      <c r="CR284" s="140"/>
      <c r="CS284" s="140"/>
      <c r="CT284" s="140"/>
      <c r="CU284" s="140"/>
      <c r="CV284" s="140"/>
      <c r="CW284" s="140"/>
      <c r="CX284" s="140"/>
      <c r="CY284" s="140"/>
      <c r="CZ284" s="140"/>
      <c r="DA284" s="140"/>
      <c r="DB284" s="140"/>
      <c r="DC284" s="140"/>
      <c r="DD284" s="140"/>
      <c r="DE284" s="140"/>
      <c r="DF284" s="140"/>
      <c r="DG284" s="140"/>
      <c r="DH284" s="140"/>
      <c r="DI284" s="140"/>
    </row>
    <row r="285" spans="1:113" s="139" customForma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3"/>
      <c r="U285" s="143"/>
      <c r="V285" s="143"/>
      <c r="W285" s="143"/>
      <c r="X285" s="143"/>
      <c r="Y285" s="143"/>
      <c r="Z285" s="143"/>
      <c r="AA285" s="143"/>
      <c r="AC285" s="140"/>
      <c r="AD285" s="140"/>
      <c r="AE285" s="140"/>
      <c r="AF285" s="155"/>
      <c r="AG285" s="141"/>
      <c r="AH285" s="143"/>
      <c r="AI285" s="140"/>
      <c r="AJ285" s="140"/>
      <c r="AK285" s="140"/>
      <c r="AL285" s="140"/>
      <c r="AM285" s="140"/>
      <c r="AN285" s="140"/>
      <c r="AO285" s="140"/>
      <c r="AP285" s="140"/>
      <c r="AQ285" s="140"/>
      <c r="AR285" s="140"/>
      <c r="AS285" s="140"/>
      <c r="AT285" s="140"/>
      <c r="AU285" s="140"/>
      <c r="AV285" s="140"/>
      <c r="AW285" s="140"/>
      <c r="AX285" s="140"/>
      <c r="AY285" s="140"/>
      <c r="AZ285" s="140"/>
      <c r="BA285" s="140"/>
      <c r="BB285" s="140"/>
      <c r="BC285" s="140"/>
      <c r="BD285" s="140"/>
      <c r="BE285" s="140"/>
      <c r="BF285" s="140"/>
      <c r="BG285" s="140"/>
      <c r="BH285" s="140"/>
      <c r="BI285" s="140"/>
      <c r="BJ285" s="140"/>
      <c r="BK285" s="140"/>
      <c r="BL285" s="140"/>
      <c r="BM285" s="140"/>
      <c r="BN285" s="140"/>
      <c r="BO285" s="140"/>
      <c r="BP285" s="140"/>
      <c r="BQ285" s="140"/>
      <c r="BR285" s="140"/>
      <c r="BS285" s="140"/>
      <c r="BT285" s="140"/>
      <c r="BU285" s="140"/>
      <c r="BV285" s="140"/>
      <c r="BW285" s="140"/>
      <c r="BX285" s="140"/>
      <c r="BY285" s="140"/>
      <c r="BZ285" s="140"/>
      <c r="CA285" s="140"/>
      <c r="CB285" s="140"/>
      <c r="CC285" s="140"/>
      <c r="CD285" s="140"/>
      <c r="CE285" s="140"/>
      <c r="CF285" s="140"/>
      <c r="CG285" s="140"/>
      <c r="CH285" s="140"/>
      <c r="CI285" s="140"/>
      <c r="CJ285" s="140"/>
      <c r="CK285" s="140"/>
      <c r="CL285" s="140"/>
      <c r="CM285" s="140"/>
      <c r="CN285" s="140"/>
      <c r="CO285" s="140"/>
      <c r="CP285" s="140"/>
      <c r="CQ285" s="140"/>
      <c r="CR285" s="140"/>
      <c r="CS285" s="140"/>
      <c r="CT285" s="140"/>
      <c r="CU285" s="140"/>
      <c r="CV285" s="140"/>
      <c r="CW285" s="140"/>
      <c r="CX285" s="140"/>
      <c r="CY285" s="140"/>
      <c r="CZ285" s="140"/>
      <c r="DA285" s="140"/>
      <c r="DB285" s="140"/>
      <c r="DC285" s="140"/>
      <c r="DD285" s="140"/>
      <c r="DE285" s="140"/>
      <c r="DF285" s="140"/>
      <c r="DG285" s="140"/>
      <c r="DH285" s="140"/>
      <c r="DI285" s="140"/>
    </row>
    <row r="286" spans="1:113" s="139" customForma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3"/>
      <c r="U286" s="143"/>
      <c r="V286" s="143"/>
      <c r="W286" s="143"/>
      <c r="X286" s="143"/>
      <c r="Y286" s="143"/>
      <c r="Z286" s="143"/>
      <c r="AA286" s="143"/>
      <c r="AC286" s="140"/>
      <c r="AD286" s="140"/>
      <c r="AE286" s="140"/>
      <c r="AF286" s="155"/>
      <c r="AG286" s="141"/>
      <c r="AH286" s="143"/>
      <c r="AI286" s="140"/>
      <c r="AJ286" s="140"/>
      <c r="AK286" s="140"/>
      <c r="AL286" s="140"/>
      <c r="AM286" s="140"/>
      <c r="AN286" s="140"/>
      <c r="AO286" s="140"/>
      <c r="AP286" s="140"/>
      <c r="AQ286" s="140"/>
      <c r="AR286" s="140"/>
      <c r="AS286" s="140"/>
      <c r="AT286" s="140"/>
      <c r="AU286" s="140"/>
      <c r="AV286" s="140"/>
      <c r="AW286" s="140"/>
      <c r="AX286" s="140"/>
      <c r="AY286" s="140"/>
      <c r="AZ286" s="140"/>
      <c r="BA286" s="140"/>
      <c r="BB286" s="140"/>
      <c r="BC286" s="140"/>
      <c r="BD286" s="140"/>
      <c r="BE286" s="140"/>
      <c r="BF286" s="140"/>
      <c r="BG286" s="140"/>
      <c r="BH286" s="140"/>
      <c r="BI286" s="140"/>
      <c r="BJ286" s="140"/>
      <c r="BK286" s="140"/>
      <c r="BL286" s="140"/>
      <c r="BM286" s="140"/>
      <c r="BN286" s="140"/>
      <c r="BO286" s="140"/>
      <c r="BP286" s="140"/>
      <c r="BQ286" s="140"/>
      <c r="BR286" s="140"/>
      <c r="BS286" s="140"/>
      <c r="BT286" s="140"/>
      <c r="BU286" s="140"/>
      <c r="BV286" s="140"/>
      <c r="BW286" s="140"/>
      <c r="BX286" s="140"/>
      <c r="BY286" s="140"/>
      <c r="BZ286" s="140"/>
      <c r="CA286" s="140"/>
      <c r="CB286" s="140"/>
      <c r="CC286" s="140"/>
      <c r="CD286" s="140"/>
      <c r="CE286" s="140"/>
      <c r="CF286" s="140"/>
      <c r="CG286" s="140"/>
      <c r="CH286" s="140"/>
      <c r="CI286" s="140"/>
      <c r="CJ286" s="140"/>
      <c r="CK286" s="140"/>
      <c r="CL286" s="140"/>
      <c r="CM286" s="140"/>
      <c r="CN286" s="140"/>
      <c r="CO286" s="140"/>
      <c r="CP286" s="140"/>
      <c r="CQ286" s="140"/>
      <c r="CR286" s="140"/>
      <c r="CS286" s="140"/>
      <c r="CT286" s="140"/>
      <c r="CU286" s="140"/>
      <c r="CV286" s="140"/>
      <c r="CW286" s="140"/>
      <c r="CX286" s="140"/>
      <c r="CY286" s="140"/>
      <c r="CZ286" s="140"/>
      <c r="DA286" s="140"/>
      <c r="DB286" s="140"/>
      <c r="DC286" s="140"/>
      <c r="DD286" s="140"/>
      <c r="DE286" s="140"/>
      <c r="DF286" s="140"/>
      <c r="DG286" s="140"/>
      <c r="DH286" s="140"/>
      <c r="DI286" s="140"/>
    </row>
    <row r="287" spans="1:113" s="139" customForma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3"/>
      <c r="U287" s="143"/>
      <c r="V287" s="143"/>
      <c r="W287" s="143"/>
      <c r="X287" s="143"/>
      <c r="Y287" s="143"/>
      <c r="Z287" s="143"/>
      <c r="AA287" s="143"/>
      <c r="AC287" s="140"/>
      <c r="AD287" s="140"/>
      <c r="AE287" s="140"/>
      <c r="AF287" s="155"/>
      <c r="AG287" s="141"/>
      <c r="AH287" s="143"/>
      <c r="AI287" s="140"/>
      <c r="AJ287" s="140"/>
      <c r="AK287" s="140"/>
      <c r="AL287" s="140"/>
      <c r="AM287" s="140"/>
      <c r="AN287" s="140"/>
      <c r="AO287" s="140"/>
      <c r="AP287" s="140"/>
      <c r="AQ287" s="140"/>
      <c r="AR287" s="140"/>
      <c r="AS287" s="140"/>
      <c r="AT287" s="140"/>
      <c r="AU287" s="140"/>
      <c r="AV287" s="140"/>
      <c r="AW287" s="140"/>
      <c r="AX287" s="140"/>
      <c r="AY287" s="140"/>
      <c r="AZ287" s="140"/>
      <c r="BA287" s="140"/>
      <c r="BB287" s="140"/>
      <c r="BC287" s="140"/>
      <c r="BD287" s="140"/>
      <c r="BE287" s="140"/>
      <c r="BF287" s="140"/>
      <c r="BG287" s="140"/>
      <c r="BH287" s="140"/>
      <c r="BI287" s="140"/>
      <c r="BJ287" s="140"/>
      <c r="BK287" s="140"/>
      <c r="BL287" s="140"/>
      <c r="BM287" s="140"/>
      <c r="BN287" s="140"/>
      <c r="BO287" s="140"/>
      <c r="BP287" s="140"/>
      <c r="BQ287" s="140"/>
      <c r="BR287" s="140"/>
      <c r="BS287" s="140"/>
      <c r="BT287" s="140"/>
      <c r="BU287" s="140"/>
      <c r="BV287" s="140"/>
      <c r="BW287" s="140"/>
      <c r="BX287" s="140"/>
      <c r="BY287" s="140"/>
      <c r="BZ287" s="140"/>
      <c r="CA287" s="140"/>
      <c r="CB287" s="140"/>
      <c r="CC287" s="140"/>
      <c r="CD287" s="140"/>
      <c r="CE287" s="140"/>
      <c r="CF287" s="140"/>
      <c r="CG287" s="140"/>
      <c r="CH287" s="140"/>
      <c r="CI287" s="140"/>
      <c r="CJ287" s="140"/>
      <c r="CK287" s="140"/>
      <c r="CL287" s="140"/>
      <c r="CM287" s="140"/>
      <c r="CN287" s="140"/>
      <c r="CO287" s="140"/>
      <c r="CP287" s="140"/>
      <c r="CQ287" s="140"/>
      <c r="CR287" s="140"/>
      <c r="CS287" s="140"/>
      <c r="CT287" s="140"/>
      <c r="CU287" s="140"/>
      <c r="CV287" s="140"/>
      <c r="CW287" s="140"/>
      <c r="CX287" s="140"/>
      <c r="CY287" s="140"/>
      <c r="CZ287" s="140"/>
      <c r="DA287" s="140"/>
      <c r="DB287" s="140"/>
      <c r="DC287" s="140"/>
      <c r="DD287" s="140"/>
      <c r="DE287" s="140"/>
      <c r="DF287" s="140"/>
      <c r="DG287" s="140"/>
      <c r="DH287" s="140"/>
      <c r="DI287" s="140"/>
    </row>
    <row r="288" spans="1:113" s="139" customForma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3"/>
      <c r="U288" s="143"/>
      <c r="V288" s="143"/>
      <c r="W288" s="143"/>
      <c r="X288" s="143"/>
      <c r="Y288" s="143"/>
      <c r="Z288" s="143"/>
      <c r="AA288" s="143"/>
      <c r="AC288" s="140"/>
      <c r="AD288" s="140"/>
      <c r="AE288" s="140"/>
      <c r="AF288" s="155"/>
      <c r="AG288" s="141"/>
      <c r="AH288" s="143"/>
      <c r="AI288" s="140"/>
      <c r="AJ288" s="140"/>
      <c r="AK288" s="140"/>
      <c r="AL288" s="140"/>
      <c r="AM288" s="140"/>
      <c r="AN288" s="140"/>
      <c r="AO288" s="140"/>
      <c r="AP288" s="140"/>
      <c r="AQ288" s="140"/>
      <c r="AR288" s="140"/>
      <c r="AS288" s="140"/>
      <c r="AT288" s="140"/>
      <c r="AU288" s="140"/>
      <c r="AV288" s="140"/>
      <c r="AW288" s="140"/>
      <c r="AX288" s="140"/>
      <c r="AY288" s="140"/>
      <c r="AZ288" s="140"/>
      <c r="BA288" s="140"/>
      <c r="BB288" s="140"/>
      <c r="BC288" s="140"/>
      <c r="BD288" s="140"/>
      <c r="BE288" s="140"/>
      <c r="BF288" s="140"/>
      <c r="BG288" s="140"/>
      <c r="BH288" s="140"/>
      <c r="BI288" s="140"/>
      <c r="BJ288" s="140"/>
      <c r="BK288" s="140"/>
      <c r="BL288" s="140"/>
      <c r="BM288" s="140"/>
      <c r="BN288" s="140"/>
      <c r="BO288" s="140"/>
      <c r="BP288" s="140"/>
      <c r="BQ288" s="140"/>
      <c r="BR288" s="140"/>
      <c r="BS288" s="140"/>
      <c r="BT288" s="140"/>
      <c r="BU288" s="140"/>
      <c r="BV288" s="140"/>
      <c r="BW288" s="140"/>
      <c r="BX288" s="140"/>
      <c r="BY288" s="140"/>
      <c r="BZ288" s="140"/>
      <c r="CA288" s="140"/>
      <c r="CB288" s="140"/>
      <c r="CC288" s="140"/>
      <c r="CD288" s="140"/>
      <c r="CE288" s="140"/>
      <c r="CF288" s="140"/>
      <c r="CG288" s="140"/>
      <c r="CH288" s="140"/>
      <c r="CI288" s="140"/>
      <c r="CJ288" s="140"/>
      <c r="CK288" s="140"/>
      <c r="CL288" s="140"/>
      <c r="CM288" s="140"/>
      <c r="CN288" s="140"/>
      <c r="CO288" s="140"/>
      <c r="CP288" s="140"/>
      <c r="CQ288" s="140"/>
      <c r="CR288" s="140"/>
      <c r="CS288" s="140"/>
      <c r="CT288" s="140"/>
      <c r="CU288" s="140"/>
      <c r="CV288" s="140"/>
      <c r="CW288" s="140"/>
      <c r="CX288" s="140"/>
      <c r="CY288" s="140"/>
      <c r="CZ288" s="140"/>
      <c r="DA288" s="140"/>
      <c r="DB288" s="140"/>
      <c r="DC288" s="140"/>
      <c r="DD288" s="140"/>
      <c r="DE288" s="140"/>
      <c r="DF288" s="140"/>
      <c r="DG288" s="140"/>
      <c r="DH288" s="140"/>
      <c r="DI288" s="140"/>
    </row>
    <row r="289" spans="1:113" s="139" customForma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3"/>
      <c r="U289" s="143"/>
      <c r="V289" s="143"/>
      <c r="W289" s="143"/>
      <c r="X289" s="143"/>
      <c r="Y289" s="143"/>
      <c r="Z289" s="143"/>
      <c r="AA289" s="143"/>
      <c r="AC289" s="140"/>
      <c r="AD289" s="140"/>
      <c r="AE289" s="140"/>
      <c r="AF289" s="155"/>
      <c r="AG289" s="141"/>
      <c r="AH289" s="143"/>
      <c r="AI289" s="140"/>
      <c r="AJ289" s="140"/>
      <c r="AK289" s="140"/>
      <c r="AL289" s="140"/>
      <c r="AM289" s="140"/>
      <c r="AN289" s="140"/>
      <c r="AO289" s="140"/>
      <c r="AP289" s="140"/>
      <c r="AQ289" s="140"/>
      <c r="AR289" s="140"/>
      <c r="AS289" s="140"/>
      <c r="AT289" s="140"/>
      <c r="AU289" s="140"/>
      <c r="AV289" s="140"/>
      <c r="AW289" s="140"/>
      <c r="AX289" s="140"/>
      <c r="AY289" s="140"/>
      <c r="AZ289" s="140"/>
      <c r="BA289" s="140"/>
      <c r="BB289" s="140"/>
      <c r="BC289" s="140"/>
      <c r="BD289" s="140"/>
      <c r="BE289" s="140"/>
      <c r="BF289" s="140"/>
      <c r="BG289" s="140"/>
      <c r="BH289" s="140"/>
      <c r="BI289" s="140"/>
      <c r="BJ289" s="140"/>
      <c r="BK289" s="140"/>
      <c r="BL289" s="140"/>
      <c r="BM289" s="140"/>
      <c r="BN289" s="140"/>
      <c r="BO289" s="140"/>
      <c r="BP289" s="140"/>
      <c r="BQ289" s="140"/>
      <c r="BR289" s="140"/>
      <c r="BS289" s="140"/>
      <c r="BT289" s="140"/>
      <c r="BU289" s="140"/>
      <c r="BV289" s="140"/>
      <c r="BW289" s="140"/>
      <c r="BX289" s="140"/>
      <c r="BY289" s="140"/>
      <c r="BZ289" s="140"/>
      <c r="CA289" s="140"/>
      <c r="CB289" s="140"/>
      <c r="CC289" s="140"/>
      <c r="CD289" s="140"/>
      <c r="CE289" s="140"/>
      <c r="CF289" s="140"/>
      <c r="CG289" s="140"/>
      <c r="CH289" s="140"/>
      <c r="CI289" s="140"/>
      <c r="CJ289" s="140"/>
      <c r="CK289" s="140"/>
      <c r="CL289" s="140"/>
      <c r="CM289" s="140"/>
      <c r="CN289" s="140"/>
      <c r="CO289" s="140"/>
      <c r="CP289" s="140"/>
      <c r="CQ289" s="140"/>
      <c r="CR289" s="140"/>
      <c r="CS289" s="140"/>
      <c r="CT289" s="140"/>
      <c r="CU289" s="140"/>
      <c r="CV289" s="140"/>
      <c r="CW289" s="140"/>
      <c r="CX289" s="140"/>
      <c r="CY289" s="140"/>
      <c r="CZ289" s="140"/>
      <c r="DA289" s="140"/>
      <c r="DB289" s="140"/>
      <c r="DC289" s="140"/>
      <c r="DD289" s="140"/>
      <c r="DE289" s="140"/>
      <c r="DF289" s="140"/>
      <c r="DG289" s="140"/>
      <c r="DH289" s="140"/>
      <c r="DI289" s="140"/>
    </row>
    <row r="290" spans="1:113" s="139" customForma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3"/>
      <c r="U290" s="143"/>
      <c r="V290" s="143"/>
      <c r="W290" s="143"/>
      <c r="X290" s="143"/>
      <c r="Y290" s="143"/>
      <c r="Z290" s="143"/>
      <c r="AA290" s="143"/>
      <c r="AC290" s="140"/>
      <c r="AD290" s="140"/>
      <c r="AE290" s="140"/>
      <c r="AF290" s="155"/>
      <c r="AG290" s="141"/>
      <c r="AH290" s="143"/>
      <c r="AI290" s="140"/>
      <c r="AJ290" s="140"/>
      <c r="AK290" s="140"/>
      <c r="AL290" s="140"/>
      <c r="AM290" s="140"/>
      <c r="AN290" s="140"/>
      <c r="AO290" s="140"/>
      <c r="AP290" s="140"/>
      <c r="AQ290" s="140"/>
      <c r="AR290" s="140"/>
      <c r="AS290" s="140"/>
      <c r="AT290" s="140"/>
      <c r="AU290" s="140"/>
      <c r="AV290" s="140"/>
      <c r="AW290" s="140"/>
      <c r="AX290" s="140"/>
      <c r="AY290" s="140"/>
      <c r="AZ290" s="140"/>
      <c r="BA290" s="140"/>
      <c r="BB290" s="140"/>
      <c r="BC290" s="140"/>
      <c r="BD290" s="140"/>
      <c r="BE290" s="140"/>
      <c r="BF290" s="140"/>
      <c r="BG290" s="140"/>
      <c r="BH290" s="140"/>
      <c r="BI290" s="140"/>
      <c r="BJ290" s="140"/>
      <c r="BK290" s="140"/>
      <c r="BL290" s="140"/>
      <c r="BM290" s="140"/>
      <c r="BN290" s="140"/>
      <c r="BO290" s="140"/>
      <c r="BP290" s="140"/>
      <c r="BQ290" s="140"/>
      <c r="BR290" s="140"/>
      <c r="BS290" s="140"/>
      <c r="BT290" s="140"/>
      <c r="BU290" s="140"/>
      <c r="BV290" s="140"/>
      <c r="BW290" s="140"/>
      <c r="BX290" s="140"/>
      <c r="BY290" s="140"/>
      <c r="BZ290" s="140"/>
      <c r="CA290" s="140"/>
      <c r="CB290" s="140"/>
      <c r="CC290" s="140"/>
      <c r="CD290" s="140"/>
      <c r="CE290" s="140"/>
      <c r="CF290" s="140"/>
      <c r="CG290" s="140"/>
      <c r="CH290" s="140"/>
      <c r="CI290" s="140"/>
      <c r="CJ290" s="140"/>
      <c r="CK290" s="140"/>
      <c r="CL290" s="140"/>
      <c r="CM290" s="140"/>
      <c r="CN290" s="140"/>
      <c r="CO290" s="140"/>
      <c r="CP290" s="140"/>
      <c r="CQ290" s="140"/>
      <c r="CR290" s="140"/>
      <c r="CS290" s="140"/>
      <c r="CT290" s="140"/>
      <c r="CU290" s="140"/>
      <c r="CV290" s="140"/>
      <c r="CW290" s="140"/>
      <c r="CX290" s="140"/>
      <c r="CY290" s="140"/>
      <c r="CZ290" s="140"/>
      <c r="DA290" s="140"/>
      <c r="DB290" s="140"/>
      <c r="DC290" s="140"/>
      <c r="DD290" s="140"/>
      <c r="DE290" s="140"/>
      <c r="DF290" s="140"/>
      <c r="DG290" s="140"/>
      <c r="DH290" s="140"/>
      <c r="DI290" s="140"/>
    </row>
    <row r="291" spans="1:113" s="139" customForma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3"/>
      <c r="U291" s="143"/>
      <c r="V291" s="143"/>
      <c r="W291" s="143"/>
      <c r="X291" s="143"/>
      <c r="Y291" s="143"/>
      <c r="Z291" s="143"/>
      <c r="AA291" s="143"/>
      <c r="AC291" s="140"/>
      <c r="AD291" s="140"/>
      <c r="AE291" s="140"/>
      <c r="AF291" s="155"/>
      <c r="AG291" s="141"/>
      <c r="AH291" s="143"/>
      <c r="AI291" s="140"/>
      <c r="AJ291" s="140"/>
      <c r="AK291" s="140"/>
      <c r="AL291" s="140"/>
      <c r="AM291" s="140"/>
      <c r="AN291" s="140"/>
      <c r="AO291" s="140"/>
      <c r="AP291" s="140"/>
      <c r="AQ291" s="140"/>
      <c r="AR291" s="140"/>
      <c r="AS291" s="140"/>
      <c r="AT291" s="140"/>
      <c r="AU291" s="140"/>
      <c r="AV291" s="140"/>
      <c r="AW291" s="140"/>
      <c r="AX291" s="140"/>
      <c r="AY291" s="140"/>
      <c r="AZ291" s="140"/>
      <c r="BA291" s="140"/>
      <c r="BB291" s="140"/>
      <c r="BC291" s="140"/>
      <c r="BD291" s="140"/>
      <c r="BE291" s="140"/>
      <c r="BF291" s="140"/>
      <c r="BG291" s="140"/>
      <c r="BH291" s="140"/>
      <c r="BI291" s="140"/>
      <c r="BJ291" s="140"/>
      <c r="BK291" s="140"/>
      <c r="BL291" s="140"/>
      <c r="BM291" s="140"/>
      <c r="BN291" s="140"/>
      <c r="BO291" s="140"/>
      <c r="BP291" s="140"/>
      <c r="BQ291" s="140"/>
      <c r="BR291" s="140"/>
      <c r="BS291" s="140"/>
      <c r="BT291" s="140"/>
      <c r="BU291" s="140"/>
      <c r="BV291" s="140"/>
      <c r="BW291" s="140"/>
      <c r="BX291" s="140"/>
      <c r="BY291" s="140"/>
      <c r="BZ291" s="140"/>
      <c r="CA291" s="140"/>
      <c r="CB291" s="140"/>
      <c r="CC291" s="140"/>
      <c r="CD291" s="140"/>
      <c r="CE291" s="140"/>
      <c r="CF291" s="140"/>
      <c r="CG291" s="140"/>
      <c r="CH291" s="140"/>
      <c r="CI291" s="140"/>
      <c r="CJ291" s="140"/>
      <c r="CK291" s="140"/>
      <c r="CL291" s="140"/>
      <c r="CM291" s="140"/>
      <c r="CN291" s="140"/>
      <c r="CO291" s="140"/>
      <c r="CP291" s="140"/>
      <c r="CQ291" s="140"/>
      <c r="CR291" s="140"/>
      <c r="CS291" s="140"/>
      <c r="CT291" s="140"/>
      <c r="CU291" s="140"/>
      <c r="CV291" s="140"/>
      <c r="CW291" s="140"/>
      <c r="CX291" s="140"/>
      <c r="CY291" s="140"/>
      <c r="CZ291" s="140"/>
      <c r="DA291" s="140"/>
      <c r="DB291" s="140"/>
      <c r="DC291" s="140"/>
      <c r="DD291" s="140"/>
      <c r="DE291" s="140"/>
      <c r="DF291" s="140"/>
      <c r="DG291" s="140"/>
      <c r="DH291" s="140"/>
      <c r="DI291" s="140"/>
    </row>
    <row r="292" spans="1:113" s="139" customForma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3"/>
      <c r="U292" s="143"/>
      <c r="V292" s="143"/>
      <c r="W292" s="143"/>
      <c r="X292" s="143"/>
      <c r="Y292" s="143"/>
      <c r="Z292" s="143"/>
      <c r="AA292" s="143"/>
      <c r="AC292" s="140"/>
      <c r="AD292" s="140"/>
      <c r="AE292" s="140"/>
      <c r="AF292" s="155"/>
      <c r="AG292" s="141"/>
      <c r="AH292" s="143"/>
      <c r="AI292" s="140"/>
      <c r="AJ292" s="140"/>
      <c r="AK292" s="140"/>
      <c r="AL292" s="140"/>
      <c r="AM292" s="140"/>
      <c r="AN292" s="140"/>
      <c r="AO292" s="140"/>
      <c r="AP292" s="140"/>
      <c r="AQ292" s="140"/>
      <c r="AR292" s="140"/>
      <c r="AS292" s="140"/>
      <c r="AT292" s="140"/>
      <c r="AU292" s="140"/>
      <c r="AV292" s="140"/>
      <c r="AW292" s="140"/>
      <c r="AX292" s="140"/>
      <c r="AY292" s="140"/>
      <c r="AZ292" s="140"/>
      <c r="BA292" s="140"/>
      <c r="BB292" s="140"/>
      <c r="BC292" s="140"/>
      <c r="BD292" s="140"/>
      <c r="BE292" s="140"/>
      <c r="BF292" s="140"/>
      <c r="BG292" s="140"/>
      <c r="BH292" s="140"/>
      <c r="BI292" s="140"/>
      <c r="BJ292" s="140"/>
      <c r="BK292" s="140"/>
      <c r="BL292" s="140"/>
      <c r="BM292" s="140"/>
      <c r="BN292" s="140"/>
      <c r="BO292" s="140"/>
      <c r="BP292" s="140"/>
      <c r="BQ292" s="140"/>
      <c r="BR292" s="140"/>
      <c r="BS292" s="140"/>
      <c r="BT292" s="140"/>
      <c r="BU292" s="140"/>
      <c r="BV292" s="140"/>
      <c r="BW292" s="140"/>
      <c r="BX292" s="140"/>
      <c r="BY292" s="140"/>
      <c r="BZ292" s="140"/>
      <c r="CA292" s="140"/>
      <c r="CB292" s="140"/>
      <c r="CC292" s="140"/>
      <c r="CD292" s="140"/>
      <c r="CE292" s="140"/>
      <c r="CF292" s="140"/>
      <c r="CG292" s="140"/>
      <c r="CH292" s="140"/>
      <c r="CI292" s="140"/>
      <c r="CJ292" s="140"/>
      <c r="CK292" s="140"/>
      <c r="CL292" s="140"/>
      <c r="CM292" s="140"/>
      <c r="CN292" s="140"/>
      <c r="CO292" s="140"/>
      <c r="CP292" s="140"/>
      <c r="CQ292" s="140"/>
      <c r="CR292" s="140"/>
      <c r="CS292" s="140"/>
      <c r="CT292" s="140"/>
      <c r="CU292" s="140"/>
      <c r="CV292" s="140"/>
      <c r="CW292" s="140"/>
      <c r="CX292" s="140"/>
      <c r="CY292" s="140"/>
      <c r="CZ292" s="140"/>
      <c r="DA292" s="140"/>
      <c r="DB292" s="140"/>
      <c r="DC292" s="140"/>
      <c r="DD292" s="140"/>
      <c r="DE292" s="140"/>
      <c r="DF292" s="140"/>
      <c r="DG292" s="140"/>
      <c r="DH292" s="140"/>
      <c r="DI292" s="140"/>
    </row>
    <row r="293" spans="1:113" s="139" customForma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3"/>
      <c r="U293" s="143"/>
      <c r="V293" s="143"/>
      <c r="W293" s="143"/>
      <c r="X293" s="143"/>
      <c r="Y293" s="143"/>
      <c r="Z293" s="143"/>
      <c r="AA293" s="143"/>
      <c r="AC293" s="140"/>
      <c r="AD293" s="140"/>
      <c r="AE293" s="140"/>
      <c r="AF293" s="155"/>
      <c r="AG293" s="141"/>
      <c r="AH293" s="143"/>
      <c r="AI293" s="140"/>
      <c r="AJ293" s="140"/>
      <c r="AK293" s="140"/>
      <c r="AL293" s="140"/>
      <c r="AM293" s="140"/>
      <c r="AN293" s="140"/>
      <c r="AO293" s="140"/>
      <c r="AP293" s="140"/>
      <c r="AQ293" s="140"/>
      <c r="AR293" s="140"/>
      <c r="AS293" s="140"/>
      <c r="AT293" s="140"/>
      <c r="AU293" s="140"/>
      <c r="AV293" s="140"/>
      <c r="AW293" s="140"/>
      <c r="AX293" s="140"/>
      <c r="AY293" s="140"/>
      <c r="AZ293" s="140"/>
      <c r="BA293" s="140"/>
      <c r="BB293" s="140"/>
      <c r="BC293" s="140"/>
      <c r="BD293" s="140"/>
      <c r="BE293" s="140"/>
      <c r="BF293" s="140"/>
      <c r="BG293" s="140"/>
      <c r="BH293" s="140"/>
      <c r="BI293" s="140"/>
      <c r="BJ293" s="140"/>
      <c r="BK293" s="140"/>
      <c r="BL293" s="140"/>
      <c r="BM293" s="140"/>
      <c r="BN293" s="140"/>
      <c r="BO293" s="140"/>
      <c r="BP293" s="140"/>
      <c r="BQ293" s="140"/>
      <c r="BR293" s="140"/>
      <c r="BS293" s="140"/>
      <c r="BT293" s="140"/>
      <c r="BU293" s="140"/>
      <c r="BV293" s="140"/>
      <c r="BW293" s="140"/>
      <c r="BX293" s="140"/>
      <c r="BY293" s="140"/>
      <c r="BZ293" s="140"/>
      <c r="CA293" s="140"/>
      <c r="CB293" s="140"/>
      <c r="CC293" s="140"/>
      <c r="CD293" s="140"/>
      <c r="CE293" s="140"/>
      <c r="CF293" s="140"/>
      <c r="CG293" s="140"/>
      <c r="CH293" s="140"/>
      <c r="CI293" s="140"/>
      <c r="CJ293" s="140"/>
      <c r="CK293" s="140"/>
      <c r="CL293" s="140"/>
      <c r="CM293" s="140"/>
      <c r="CN293" s="140"/>
      <c r="CO293" s="140"/>
      <c r="CP293" s="140"/>
      <c r="CQ293" s="140"/>
      <c r="CR293" s="140"/>
      <c r="CS293" s="140"/>
      <c r="CT293" s="140"/>
      <c r="CU293" s="140"/>
      <c r="CV293" s="140"/>
      <c r="CW293" s="140"/>
      <c r="CX293" s="140"/>
      <c r="CY293" s="140"/>
      <c r="CZ293" s="140"/>
      <c r="DA293" s="140"/>
      <c r="DB293" s="140"/>
      <c r="DC293" s="140"/>
      <c r="DD293" s="140"/>
      <c r="DE293" s="140"/>
      <c r="DF293" s="140"/>
      <c r="DG293" s="140"/>
      <c r="DH293" s="140"/>
      <c r="DI293" s="140"/>
    </row>
    <row r="294" spans="1:113" s="139" customForma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3"/>
      <c r="U294" s="143"/>
      <c r="V294" s="143"/>
      <c r="W294" s="143"/>
      <c r="X294" s="143"/>
      <c r="Y294" s="143"/>
      <c r="Z294" s="143"/>
      <c r="AA294" s="143"/>
      <c r="AC294" s="140"/>
      <c r="AD294" s="140"/>
      <c r="AE294" s="140"/>
      <c r="AF294" s="155"/>
      <c r="AG294" s="141"/>
      <c r="AH294" s="143"/>
      <c r="AI294" s="140"/>
      <c r="AJ294" s="140"/>
      <c r="AK294" s="140"/>
      <c r="AL294" s="140"/>
      <c r="AM294" s="140"/>
      <c r="AN294" s="140"/>
      <c r="AO294" s="140"/>
      <c r="AP294" s="140"/>
      <c r="AQ294" s="140"/>
      <c r="AR294" s="140"/>
      <c r="AS294" s="140"/>
      <c r="AT294" s="140"/>
      <c r="AU294" s="140"/>
      <c r="AV294" s="140"/>
      <c r="AW294" s="140"/>
      <c r="AX294" s="140"/>
      <c r="AY294" s="140"/>
      <c r="AZ294" s="140"/>
      <c r="BA294" s="140"/>
      <c r="BB294" s="140"/>
      <c r="BC294" s="140"/>
      <c r="BD294" s="140"/>
      <c r="BE294" s="140"/>
      <c r="BF294" s="140"/>
      <c r="BG294" s="140"/>
      <c r="BH294" s="140"/>
      <c r="BI294" s="140"/>
      <c r="BJ294" s="140"/>
      <c r="BK294" s="140"/>
      <c r="BL294" s="140"/>
      <c r="BM294" s="140"/>
      <c r="BN294" s="140"/>
      <c r="BO294" s="140"/>
      <c r="BP294" s="140"/>
      <c r="BQ294" s="140"/>
      <c r="BR294" s="140"/>
      <c r="BS294" s="140"/>
      <c r="BT294" s="140"/>
      <c r="BU294" s="140"/>
      <c r="BV294" s="140"/>
      <c r="BW294" s="140"/>
      <c r="BX294" s="140"/>
      <c r="BY294" s="140"/>
      <c r="BZ294" s="140"/>
      <c r="CA294" s="140"/>
      <c r="CB294" s="140"/>
      <c r="CC294" s="140"/>
      <c r="CD294" s="140"/>
      <c r="CE294" s="140"/>
      <c r="CF294" s="140"/>
      <c r="CG294" s="140"/>
      <c r="CH294" s="140"/>
      <c r="CI294" s="140"/>
      <c r="CJ294" s="140"/>
      <c r="CK294" s="140"/>
      <c r="CL294" s="140"/>
      <c r="CM294" s="140"/>
      <c r="CN294" s="140"/>
      <c r="CO294" s="140"/>
      <c r="CP294" s="140"/>
      <c r="CQ294" s="140"/>
      <c r="CR294" s="140"/>
      <c r="CS294" s="140"/>
      <c r="CT294" s="140"/>
      <c r="CU294" s="140"/>
      <c r="CV294" s="140"/>
      <c r="CW294" s="140"/>
      <c r="CX294" s="140"/>
      <c r="CY294" s="140"/>
      <c r="CZ294" s="140"/>
      <c r="DA294" s="140"/>
      <c r="DB294" s="140"/>
      <c r="DC294" s="140"/>
      <c r="DD294" s="140"/>
      <c r="DE294" s="140"/>
      <c r="DF294" s="140"/>
      <c r="DG294" s="140"/>
      <c r="DH294" s="140"/>
      <c r="DI294" s="140"/>
    </row>
    <row r="295" spans="1:113" s="139" customForma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3"/>
      <c r="U295" s="143"/>
      <c r="V295" s="143"/>
      <c r="W295" s="143"/>
      <c r="X295" s="143"/>
      <c r="Y295" s="143"/>
      <c r="Z295" s="143"/>
      <c r="AA295" s="143"/>
      <c r="AC295" s="140"/>
      <c r="AD295" s="140"/>
      <c r="AE295" s="140"/>
      <c r="AF295" s="155"/>
      <c r="AG295" s="141"/>
      <c r="AH295" s="143"/>
      <c r="AI295" s="140"/>
      <c r="AJ295" s="140"/>
      <c r="AK295" s="140"/>
      <c r="AL295" s="140"/>
      <c r="AM295" s="140"/>
      <c r="AN295" s="140"/>
      <c r="AO295" s="140"/>
      <c r="AP295" s="140"/>
      <c r="AQ295" s="140"/>
      <c r="AR295" s="140"/>
      <c r="AS295" s="140"/>
      <c r="AT295" s="140"/>
      <c r="AU295" s="140"/>
      <c r="AV295" s="140"/>
      <c r="AW295" s="140"/>
      <c r="AX295" s="140"/>
      <c r="AY295" s="140"/>
      <c r="AZ295" s="140"/>
      <c r="BA295" s="140"/>
      <c r="BB295" s="140"/>
      <c r="BC295" s="140"/>
      <c r="BD295" s="140"/>
      <c r="BE295" s="140"/>
      <c r="BF295" s="140"/>
      <c r="BG295" s="140"/>
      <c r="BH295" s="140"/>
      <c r="BI295" s="140"/>
      <c r="BJ295" s="140"/>
      <c r="BK295" s="140"/>
      <c r="BL295" s="140"/>
      <c r="BM295" s="140"/>
      <c r="BN295" s="140"/>
      <c r="BO295" s="140"/>
      <c r="BP295" s="140"/>
      <c r="BQ295" s="140"/>
      <c r="BR295" s="140"/>
      <c r="BS295" s="140"/>
      <c r="BT295" s="140"/>
      <c r="BU295" s="140"/>
      <c r="BV295" s="140"/>
      <c r="BW295" s="140"/>
      <c r="BX295" s="140"/>
      <c r="BY295" s="140"/>
      <c r="BZ295" s="140"/>
      <c r="CA295" s="140"/>
      <c r="CB295" s="140"/>
      <c r="CC295" s="140"/>
      <c r="CD295" s="140"/>
      <c r="CE295" s="140"/>
      <c r="CF295" s="140"/>
      <c r="CG295" s="140"/>
      <c r="CH295" s="140"/>
      <c r="CI295" s="140"/>
      <c r="CJ295" s="140"/>
      <c r="CK295" s="140"/>
      <c r="CL295" s="140"/>
      <c r="CM295" s="140"/>
      <c r="CN295" s="140"/>
      <c r="CO295" s="140"/>
      <c r="CP295" s="140"/>
      <c r="CQ295" s="140"/>
      <c r="CR295" s="140"/>
      <c r="CS295" s="140"/>
      <c r="CT295" s="140"/>
      <c r="CU295" s="140"/>
      <c r="CV295" s="140"/>
      <c r="CW295" s="140"/>
      <c r="CX295" s="140"/>
      <c r="CY295" s="140"/>
      <c r="CZ295" s="140"/>
      <c r="DA295" s="140"/>
      <c r="DB295" s="140"/>
      <c r="DC295" s="140"/>
      <c r="DD295" s="140"/>
      <c r="DE295" s="140"/>
      <c r="DF295" s="140"/>
      <c r="DG295" s="140"/>
      <c r="DH295" s="140"/>
      <c r="DI295" s="140"/>
    </row>
    <row r="296" spans="1:113" s="139" customForma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3"/>
      <c r="U296" s="143"/>
      <c r="V296" s="143"/>
      <c r="W296" s="143"/>
      <c r="X296" s="143"/>
      <c r="Y296" s="143"/>
      <c r="Z296" s="143"/>
      <c r="AA296" s="143"/>
      <c r="AC296" s="140"/>
      <c r="AD296" s="140"/>
      <c r="AE296" s="140"/>
      <c r="AF296" s="155"/>
      <c r="AG296" s="141"/>
      <c r="AH296" s="143"/>
      <c r="AI296" s="140"/>
      <c r="AJ296" s="140"/>
      <c r="AK296" s="140"/>
      <c r="AL296" s="140"/>
      <c r="AM296" s="140"/>
      <c r="AN296" s="140"/>
      <c r="AO296" s="140"/>
      <c r="AP296" s="140"/>
      <c r="AQ296" s="140"/>
      <c r="AR296" s="140"/>
      <c r="AS296" s="140"/>
      <c r="AT296" s="140"/>
      <c r="AU296" s="140"/>
      <c r="AV296" s="140"/>
      <c r="AW296" s="140"/>
      <c r="AX296" s="140"/>
      <c r="AY296" s="140"/>
      <c r="AZ296" s="140"/>
      <c r="BA296" s="140"/>
      <c r="BB296" s="140"/>
      <c r="BC296" s="140"/>
      <c r="BD296" s="140"/>
      <c r="BE296" s="140"/>
      <c r="BF296" s="140"/>
      <c r="BG296" s="140"/>
      <c r="BH296" s="140"/>
      <c r="BI296" s="140"/>
      <c r="BJ296" s="140"/>
      <c r="BK296" s="140"/>
      <c r="BL296" s="140"/>
      <c r="BM296" s="140"/>
      <c r="BN296" s="140"/>
      <c r="BO296" s="140"/>
      <c r="BP296" s="140"/>
      <c r="BQ296" s="140"/>
      <c r="BR296" s="140"/>
      <c r="BS296" s="140"/>
      <c r="BT296" s="140"/>
      <c r="BU296" s="140"/>
      <c r="BV296" s="140"/>
      <c r="BW296" s="140"/>
      <c r="BX296" s="140"/>
      <c r="BY296" s="140"/>
      <c r="BZ296" s="140"/>
      <c r="CA296" s="140"/>
      <c r="CB296" s="140"/>
      <c r="CC296" s="140"/>
      <c r="CD296" s="140"/>
      <c r="CE296" s="140"/>
      <c r="CF296" s="140"/>
      <c r="CG296" s="140"/>
      <c r="CH296" s="140"/>
      <c r="CI296" s="140"/>
      <c r="CJ296" s="140"/>
      <c r="CK296" s="140"/>
      <c r="CL296" s="140"/>
      <c r="CM296" s="140"/>
      <c r="CN296" s="140"/>
      <c r="CO296" s="140"/>
      <c r="CP296" s="140"/>
      <c r="CQ296" s="140"/>
      <c r="CR296" s="140"/>
      <c r="CS296" s="140"/>
      <c r="CT296" s="140"/>
      <c r="CU296" s="140"/>
      <c r="CV296" s="140"/>
      <c r="CW296" s="140"/>
      <c r="CX296" s="140"/>
      <c r="CY296" s="140"/>
      <c r="CZ296" s="140"/>
      <c r="DA296" s="140"/>
      <c r="DB296" s="140"/>
      <c r="DC296" s="140"/>
      <c r="DD296" s="140"/>
      <c r="DE296" s="140"/>
      <c r="DF296" s="140"/>
      <c r="DG296" s="140"/>
      <c r="DH296" s="140"/>
      <c r="DI296" s="140"/>
    </row>
    <row r="297" spans="1:113" s="139" customForma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3"/>
      <c r="U297" s="143"/>
      <c r="V297" s="143"/>
      <c r="W297" s="143"/>
      <c r="X297" s="143"/>
      <c r="Y297" s="143"/>
      <c r="Z297" s="143"/>
      <c r="AA297" s="143"/>
      <c r="AC297" s="140"/>
      <c r="AD297" s="140"/>
      <c r="AE297" s="140"/>
      <c r="AF297" s="155"/>
      <c r="AG297" s="141"/>
      <c r="AH297" s="143"/>
      <c r="AI297" s="140"/>
      <c r="AJ297" s="140"/>
      <c r="AK297" s="140"/>
      <c r="AL297" s="140"/>
      <c r="AM297" s="140"/>
      <c r="AN297" s="140"/>
      <c r="AO297" s="140"/>
      <c r="AP297" s="140"/>
      <c r="AQ297" s="140"/>
      <c r="AR297" s="140"/>
      <c r="AS297" s="140"/>
      <c r="AT297" s="140"/>
      <c r="AU297" s="140"/>
      <c r="AV297" s="140"/>
      <c r="AW297" s="140"/>
      <c r="AX297" s="140"/>
      <c r="AY297" s="140"/>
      <c r="AZ297" s="140"/>
      <c r="BA297" s="140"/>
      <c r="BB297" s="140"/>
      <c r="BC297" s="140"/>
      <c r="BD297" s="140"/>
      <c r="BE297" s="140"/>
      <c r="BF297" s="140"/>
      <c r="BG297" s="140"/>
      <c r="BH297" s="140"/>
      <c r="BI297" s="140"/>
      <c r="BJ297" s="140"/>
      <c r="BK297" s="140"/>
      <c r="BL297" s="140"/>
      <c r="BM297" s="140"/>
      <c r="BN297" s="140"/>
      <c r="BO297" s="140"/>
      <c r="BP297" s="140"/>
      <c r="BQ297" s="140"/>
      <c r="BR297" s="140"/>
      <c r="BS297" s="140"/>
      <c r="BT297" s="140"/>
      <c r="BU297" s="140"/>
      <c r="BV297" s="140"/>
      <c r="BW297" s="140"/>
      <c r="BX297" s="140"/>
      <c r="BY297" s="140"/>
      <c r="BZ297" s="140"/>
      <c r="CA297" s="140"/>
      <c r="CB297" s="140"/>
      <c r="CC297" s="140"/>
      <c r="CD297" s="140"/>
      <c r="CE297" s="140"/>
      <c r="CF297" s="140"/>
      <c r="CG297" s="140"/>
      <c r="CH297" s="140"/>
      <c r="CI297" s="140"/>
      <c r="CJ297" s="140"/>
      <c r="CK297" s="140"/>
      <c r="CL297" s="140"/>
      <c r="CM297" s="140"/>
      <c r="CN297" s="140"/>
      <c r="CO297" s="140"/>
      <c r="CP297" s="140"/>
      <c r="CQ297" s="140"/>
      <c r="CR297" s="140"/>
      <c r="CS297" s="140"/>
      <c r="CT297" s="140"/>
      <c r="CU297" s="140"/>
      <c r="CV297" s="140"/>
      <c r="CW297" s="140"/>
      <c r="CX297" s="140"/>
      <c r="CY297" s="140"/>
      <c r="CZ297" s="140"/>
      <c r="DA297" s="140"/>
      <c r="DB297" s="140"/>
      <c r="DC297" s="140"/>
      <c r="DD297" s="140"/>
      <c r="DE297" s="140"/>
      <c r="DF297" s="140"/>
      <c r="DG297" s="140"/>
      <c r="DH297" s="140"/>
      <c r="DI297" s="140"/>
    </row>
    <row r="298" spans="1:113" s="139" customForma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3"/>
      <c r="U298" s="143"/>
      <c r="V298" s="143"/>
      <c r="W298" s="143"/>
      <c r="X298" s="143"/>
      <c r="Y298" s="143"/>
      <c r="Z298" s="143"/>
      <c r="AA298" s="143"/>
      <c r="AC298" s="140"/>
      <c r="AD298" s="140"/>
      <c r="AE298" s="140"/>
      <c r="AF298" s="155"/>
      <c r="AG298" s="141"/>
      <c r="AH298" s="143"/>
      <c r="AI298" s="140"/>
      <c r="AJ298" s="140"/>
      <c r="AK298" s="140"/>
      <c r="AL298" s="140"/>
      <c r="AM298" s="140"/>
      <c r="AN298" s="140"/>
      <c r="AO298" s="140"/>
      <c r="AP298" s="140"/>
      <c r="AQ298" s="140"/>
      <c r="AR298" s="140"/>
      <c r="AS298" s="140"/>
      <c r="AT298" s="140"/>
      <c r="AU298" s="140"/>
      <c r="AV298" s="140"/>
      <c r="AW298" s="140"/>
      <c r="AX298" s="140"/>
      <c r="AY298" s="140"/>
      <c r="AZ298" s="140"/>
      <c r="BA298" s="140"/>
      <c r="BB298" s="140"/>
      <c r="BC298" s="140"/>
      <c r="BD298" s="140"/>
      <c r="BE298" s="140"/>
      <c r="BF298" s="140"/>
      <c r="BG298" s="140"/>
      <c r="BH298" s="140"/>
      <c r="BI298" s="140"/>
      <c r="BJ298" s="140"/>
      <c r="BK298" s="140"/>
      <c r="BL298" s="140"/>
      <c r="BM298" s="140"/>
      <c r="BN298" s="140"/>
      <c r="BO298" s="140"/>
      <c r="BP298" s="140"/>
      <c r="BQ298" s="140"/>
      <c r="BR298" s="140"/>
      <c r="BS298" s="140"/>
      <c r="BT298" s="140"/>
      <c r="BU298" s="140"/>
      <c r="BV298" s="140"/>
      <c r="BW298" s="140"/>
      <c r="BX298" s="140"/>
      <c r="BY298" s="140"/>
      <c r="BZ298" s="140"/>
      <c r="CA298" s="140"/>
      <c r="CB298" s="140"/>
      <c r="CC298" s="140"/>
      <c r="CD298" s="140"/>
      <c r="CE298" s="140"/>
      <c r="CF298" s="140"/>
      <c r="CG298" s="140"/>
      <c r="CH298" s="140"/>
      <c r="CI298" s="140"/>
      <c r="CJ298" s="140"/>
      <c r="CK298" s="140"/>
      <c r="CL298" s="140"/>
      <c r="CM298" s="140"/>
      <c r="CN298" s="140"/>
      <c r="CO298" s="140"/>
      <c r="CP298" s="140"/>
      <c r="CQ298" s="140"/>
      <c r="CR298" s="140"/>
      <c r="CS298" s="140"/>
      <c r="CT298" s="140"/>
      <c r="CU298" s="140"/>
      <c r="CV298" s="140"/>
      <c r="CW298" s="140"/>
      <c r="CX298" s="140"/>
      <c r="CY298" s="140"/>
      <c r="CZ298" s="140"/>
      <c r="DA298" s="140"/>
      <c r="DB298" s="140"/>
      <c r="DC298" s="140"/>
      <c r="DD298" s="140"/>
      <c r="DE298" s="140"/>
      <c r="DF298" s="140"/>
      <c r="DG298" s="140"/>
      <c r="DH298" s="140"/>
      <c r="DI298" s="140"/>
    </row>
    <row r="299" spans="1:113" s="139" customForma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3"/>
      <c r="U299" s="143"/>
      <c r="V299" s="143"/>
      <c r="W299" s="143"/>
      <c r="X299" s="143"/>
      <c r="Y299" s="143"/>
      <c r="Z299" s="143"/>
      <c r="AA299" s="143"/>
      <c r="AC299" s="140"/>
      <c r="AD299" s="140"/>
      <c r="AE299" s="140"/>
      <c r="AF299" s="155"/>
      <c r="AG299" s="141"/>
      <c r="AH299" s="143"/>
      <c r="AI299" s="140"/>
      <c r="AJ299" s="140"/>
      <c r="AK299" s="140"/>
      <c r="AL299" s="140"/>
      <c r="AM299" s="140"/>
      <c r="AN299" s="140"/>
      <c r="AO299" s="140"/>
      <c r="AP299" s="140"/>
      <c r="AQ299" s="140"/>
      <c r="AR299" s="140"/>
      <c r="AS299" s="140"/>
      <c r="AT299" s="140"/>
      <c r="AU299" s="140"/>
      <c r="AV299" s="140"/>
      <c r="AW299" s="140"/>
      <c r="AX299" s="140"/>
      <c r="AY299" s="140"/>
      <c r="AZ299" s="140"/>
      <c r="BA299" s="140"/>
      <c r="BB299" s="140"/>
      <c r="BC299" s="140"/>
      <c r="BD299" s="140"/>
      <c r="BE299" s="140"/>
      <c r="BF299" s="140"/>
      <c r="BG299" s="140"/>
      <c r="BH299" s="140"/>
      <c r="BI299" s="140"/>
      <c r="BJ299" s="140"/>
      <c r="BK299" s="140"/>
      <c r="BL299" s="140"/>
      <c r="BM299" s="140"/>
      <c r="BN299" s="140"/>
      <c r="BO299" s="140"/>
      <c r="BP299" s="140"/>
      <c r="BQ299" s="140"/>
      <c r="BR299" s="140"/>
      <c r="BS299" s="140"/>
      <c r="BT299" s="140"/>
      <c r="BU299" s="140"/>
      <c r="BV299" s="140"/>
      <c r="BW299" s="140"/>
      <c r="BX299" s="140"/>
      <c r="BY299" s="140"/>
      <c r="BZ299" s="140"/>
      <c r="CA299" s="140"/>
      <c r="CB299" s="140"/>
      <c r="CC299" s="140"/>
      <c r="CD299" s="140"/>
      <c r="CE299" s="140"/>
      <c r="CF299" s="140"/>
      <c r="CG299" s="140"/>
      <c r="CH299" s="140"/>
      <c r="CI299" s="140"/>
      <c r="CJ299" s="140"/>
      <c r="CK299" s="140"/>
      <c r="CL299" s="140"/>
      <c r="CM299" s="140"/>
      <c r="CN299" s="140"/>
      <c r="CO299" s="140"/>
      <c r="CP299" s="140"/>
      <c r="CQ299" s="140"/>
      <c r="CR299" s="140"/>
      <c r="CS299" s="140"/>
      <c r="CT299" s="140"/>
      <c r="CU299" s="140"/>
      <c r="CV299" s="140"/>
      <c r="CW299" s="140"/>
      <c r="CX299" s="140"/>
      <c r="CY299" s="140"/>
      <c r="CZ299" s="140"/>
      <c r="DA299" s="140"/>
      <c r="DB299" s="140"/>
      <c r="DC299" s="140"/>
      <c r="DD299" s="140"/>
      <c r="DE299" s="140"/>
      <c r="DF299" s="140"/>
      <c r="DG299" s="140"/>
      <c r="DH299" s="140"/>
      <c r="DI299" s="140"/>
    </row>
    <row r="300" spans="1:113" s="139" customForma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3"/>
      <c r="U300" s="143"/>
      <c r="V300" s="143"/>
      <c r="W300" s="143"/>
      <c r="X300" s="143"/>
      <c r="Y300" s="143"/>
      <c r="Z300" s="143"/>
      <c r="AA300" s="143"/>
      <c r="AC300" s="140"/>
      <c r="AD300" s="140"/>
      <c r="AE300" s="140"/>
      <c r="AF300" s="155"/>
      <c r="AG300" s="141"/>
      <c r="AH300" s="143"/>
      <c r="AI300" s="140"/>
      <c r="AJ300" s="140"/>
      <c r="AK300" s="140"/>
      <c r="AL300" s="140"/>
      <c r="AM300" s="140"/>
      <c r="AN300" s="140"/>
      <c r="AO300" s="140"/>
      <c r="AP300" s="140"/>
      <c r="AQ300" s="140"/>
      <c r="AR300" s="140"/>
      <c r="AS300" s="140"/>
      <c r="AT300" s="140"/>
      <c r="AU300" s="140"/>
      <c r="AV300" s="140"/>
      <c r="AW300" s="140"/>
      <c r="AX300" s="140"/>
      <c r="AY300" s="140"/>
      <c r="AZ300" s="140"/>
      <c r="BA300" s="140"/>
      <c r="BB300" s="140"/>
      <c r="BC300" s="140"/>
      <c r="BD300" s="140"/>
      <c r="BE300" s="140"/>
      <c r="BF300" s="140"/>
      <c r="BG300" s="140"/>
      <c r="BH300" s="140"/>
      <c r="BI300" s="140"/>
      <c r="BJ300" s="140"/>
      <c r="BK300" s="140"/>
      <c r="BL300" s="140"/>
      <c r="BM300" s="140"/>
      <c r="BN300" s="140"/>
      <c r="BO300" s="140"/>
      <c r="BP300" s="140"/>
      <c r="BQ300" s="140"/>
      <c r="BR300" s="140"/>
      <c r="BS300" s="140"/>
      <c r="BT300" s="140"/>
      <c r="BU300" s="140"/>
      <c r="BV300" s="140"/>
      <c r="BW300" s="140"/>
      <c r="BX300" s="140"/>
      <c r="BY300" s="140"/>
      <c r="BZ300" s="140"/>
      <c r="CA300" s="140"/>
      <c r="CB300" s="140"/>
      <c r="CC300" s="140"/>
      <c r="CD300" s="140"/>
      <c r="CE300" s="140"/>
      <c r="CF300" s="140"/>
      <c r="CG300" s="140"/>
      <c r="CH300" s="140"/>
      <c r="CI300" s="140"/>
      <c r="CJ300" s="140"/>
      <c r="CK300" s="140"/>
      <c r="CL300" s="140"/>
      <c r="CM300" s="140"/>
      <c r="CN300" s="140"/>
      <c r="CO300" s="140"/>
      <c r="CP300" s="140"/>
      <c r="CQ300" s="140"/>
      <c r="CR300" s="140"/>
      <c r="CS300" s="140"/>
      <c r="CT300" s="140"/>
      <c r="CU300" s="140"/>
      <c r="CV300" s="140"/>
      <c r="CW300" s="140"/>
      <c r="CX300" s="140"/>
      <c r="CY300" s="140"/>
      <c r="CZ300" s="140"/>
      <c r="DA300" s="140"/>
      <c r="DB300" s="140"/>
      <c r="DC300" s="140"/>
      <c r="DD300" s="140"/>
      <c r="DE300" s="140"/>
      <c r="DF300" s="140"/>
      <c r="DG300" s="140"/>
      <c r="DH300" s="140"/>
      <c r="DI300" s="140"/>
    </row>
    <row r="301" spans="1:113" s="139" customForma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3"/>
      <c r="U301" s="143"/>
      <c r="V301" s="143"/>
      <c r="W301" s="143"/>
      <c r="X301" s="143"/>
      <c r="Y301" s="143"/>
      <c r="Z301" s="143"/>
      <c r="AA301" s="143"/>
      <c r="AC301" s="140"/>
      <c r="AD301" s="140"/>
      <c r="AE301" s="140"/>
      <c r="AF301" s="155"/>
      <c r="AG301" s="141"/>
      <c r="AH301" s="143"/>
      <c r="AI301" s="140"/>
      <c r="AJ301" s="140"/>
      <c r="AK301" s="140"/>
      <c r="AL301" s="140"/>
      <c r="AM301" s="140"/>
      <c r="AN301" s="140"/>
      <c r="AO301" s="140"/>
      <c r="AP301" s="140"/>
      <c r="AQ301" s="140"/>
      <c r="AR301" s="140"/>
      <c r="AS301" s="140"/>
      <c r="AT301" s="140"/>
      <c r="AU301" s="140"/>
      <c r="AV301" s="140"/>
      <c r="AW301" s="140"/>
      <c r="AX301" s="140"/>
      <c r="AY301" s="140"/>
      <c r="AZ301" s="140"/>
      <c r="BA301" s="140"/>
      <c r="BB301" s="140"/>
      <c r="BC301" s="140"/>
      <c r="BD301" s="140"/>
      <c r="BE301" s="140"/>
      <c r="BF301" s="140"/>
      <c r="BG301" s="140"/>
      <c r="BH301" s="140"/>
      <c r="BI301" s="140"/>
      <c r="BJ301" s="140"/>
      <c r="BK301" s="140"/>
      <c r="BL301" s="140"/>
      <c r="BM301" s="140"/>
      <c r="BN301" s="140"/>
      <c r="BO301" s="140"/>
      <c r="BP301" s="140"/>
      <c r="BQ301" s="140"/>
      <c r="BR301" s="140"/>
      <c r="BS301" s="140"/>
      <c r="BT301" s="140"/>
      <c r="BU301" s="140"/>
      <c r="BV301" s="140"/>
      <c r="BW301" s="140"/>
      <c r="BX301" s="140"/>
      <c r="BY301" s="140"/>
      <c r="BZ301" s="140"/>
      <c r="CA301" s="140"/>
      <c r="CB301" s="140"/>
      <c r="CC301" s="140"/>
      <c r="CD301" s="140"/>
      <c r="CE301" s="140"/>
      <c r="CF301" s="140"/>
      <c r="CG301" s="140"/>
      <c r="CH301" s="140"/>
      <c r="CI301" s="140"/>
      <c r="CJ301" s="140"/>
      <c r="CK301" s="140"/>
      <c r="CL301" s="140"/>
      <c r="CM301" s="140"/>
      <c r="CN301" s="140"/>
      <c r="CO301" s="140"/>
      <c r="CP301" s="140"/>
      <c r="CQ301" s="140"/>
      <c r="CR301" s="140"/>
      <c r="CS301" s="140"/>
      <c r="CT301" s="140"/>
      <c r="CU301" s="140"/>
      <c r="CV301" s="140"/>
      <c r="CW301" s="140"/>
      <c r="CX301" s="140"/>
      <c r="CY301" s="140"/>
      <c r="CZ301" s="140"/>
      <c r="DA301" s="140"/>
      <c r="DB301" s="140"/>
      <c r="DC301" s="140"/>
      <c r="DD301" s="140"/>
      <c r="DE301" s="140"/>
      <c r="DF301" s="140"/>
      <c r="DG301" s="140"/>
      <c r="DH301" s="140"/>
      <c r="DI301" s="140"/>
    </row>
    <row r="302" spans="1:113" s="139" customForma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3"/>
      <c r="U302" s="143"/>
      <c r="V302" s="143"/>
      <c r="W302" s="143"/>
      <c r="X302" s="143"/>
      <c r="Y302" s="143"/>
      <c r="Z302" s="143"/>
      <c r="AA302" s="143"/>
      <c r="AC302" s="140"/>
      <c r="AD302" s="140"/>
      <c r="AE302" s="140"/>
      <c r="AF302" s="155"/>
      <c r="AG302" s="141"/>
      <c r="AH302" s="143"/>
      <c r="AI302" s="140"/>
      <c r="AJ302" s="140"/>
      <c r="AK302" s="140"/>
      <c r="AL302" s="140"/>
      <c r="AM302" s="140"/>
      <c r="AN302" s="140"/>
      <c r="AO302" s="140"/>
      <c r="AP302" s="140"/>
      <c r="AQ302" s="140"/>
      <c r="AR302" s="140"/>
      <c r="AS302" s="140"/>
      <c r="AT302" s="140"/>
      <c r="AU302" s="140"/>
      <c r="AV302" s="140"/>
      <c r="AW302" s="140"/>
      <c r="AX302" s="140"/>
      <c r="AY302" s="140"/>
      <c r="AZ302" s="140"/>
      <c r="BA302" s="140"/>
      <c r="BB302" s="140"/>
      <c r="BC302" s="140"/>
      <c r="BD302" s="140"/>
      <c r="BE302" s="140"/>
      <c r="BF302" s="140"/>
      <c r="BG302" s="140"/>
      <c r="BH302" s="140"/>
      <c r="BI302" s="140"/>
      <c r="BJ302" s="140"/>
      <c r="BK302" s="140"/>
      <c r="BL302" s="140"/>
      <c r="BM302" s="140"/>
      <c r="BN302" s="140"/>
      <c r="BO302" s="140"/>
      <c r="BP302" s="140"/>
      <c r="BQ302" s="140"/>
      <c r="BR302" s="140"/>
      <c r="BS302" s="140"/>
      <c r="BT302" s="140"/>
      <c r="BU302" s="140"/>
      <c r="BV302" s="140"/>
      <c r="BW302" s="140"/>
      <c r="BX302" s="140"/>
      <c r="BY302" s="140"/>
      <c r="BZ302" s="140"/>
      <c r="CA302" s="140"/>
      <c r="CB302" s="140"/>
      <c r="CC302" s="140"/>
      <c r="CD302" s="140"/>
      <c r="CE302" s="140"/>
      <c r="CF302" s="140"/>
      <c r="CG302" s="140"/>
      <c r="CH302" s="140"/>
      <c r="CI302" s="140"/>
      <c r="CJ302" s="140"/>
      <c r="CK302" s="140"/>
      <c r="CL302" s="140"/>
      <c r="CM302" s="140"/>
      <c r="CN302" s="140"/>
      <c r="CO302" s="140"/>
      <c r="CP302" s="140"/>
      <c r="CQ302" s="140"/>
      <c r="CR302" s="140"/>
      <c r="CS302" s="140"/>
      <c r="CT302" s="140"/>
      <c r="CU302" s="140"/>
      <c r="CV302" s="140"/>
      <c r="CW302" s="140"/>
      <c r="CX302" s="140"/>
      <c r="CY302" s="140"/>
      <c r="CZ302" s="140"/>
      <c r="DA302" s="140"/>
      <c r="DB302" s="140"/>
      <c r="DC302" s="140"/>
      <c r="DD302" s="140"/>
      <c r="DE302" s="140"/>
      <c r="DF302" s="140"/>
      <c r="DG302" s="140"/>
      <c r="DH302" s="140"/>
      <c r="DI302" s="140"/>
    </row>
    <row r="303" spans="1:113" s="139" customForma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3"/>
      <c r="U303" s="143"/>
      <c r="V303" s="143"/>
      <c r="W303" s="143"/>
      <c r="X303" s="143"/>
      <c r="Y303" s="143"/>
      <c r="Z303" s="143"/>
      <c r="AA303" s="143"/>
      <c r="AC303" s="140"/>
      <c r="AD303" s="140"/>
      <c r="AE303" s="140"/>
      <c r="AF303" s="155"/>
      <c r="AG303" s="141"/>
      <c r="AH303" s="143"/>
      <c r="AI303" s="140"/>
      <c r="AJ303" s="140"/>
      <c r="AK303" s="140"/>
      <c r="AL303" s="140"/>
      <c r="AM303" s="140"/>
      <c r="AN303" s="140"/>
      <c r="AO303" s="140"/>
      <c r="AP303" s="140"/>
      <c r="AQ303" s="140"/>
      <c r="AR303" s="140"/>
      <c r="AS303" s="140"/>
      <c r="AT303" s="140"/>
      <c r="AU303" s="140"/>
      <c r="AV303" s="140"/>
      <c r="AW303" s="140"/>
      <c r="AX303" s="140"/>
      <c r="AY303" s="140"/>
      <c r="AZ303" s="140"/>
      <c r="BA303" s="140"/>
      <c r="BB303" s="140"/>
      <c r="BC303" s="140"/>
      <c r="BD303" s="140"/>
      <c r="BE303" s="140"/>
      <c r="BF303" s="140"/>
      <c r="BG303" s="140"/>
      <c r="BH303" s="140"/>
      <c r="BI303" s="140"/>
      <c r="BJ303" s="140"/>
      <c r="BK303" s="140"/>
      <c r="BL303" s="140"/>
      <c r="BM303" s="140"/>
      <c r="BN303" s="140"/>
      <c r="BO303" s="140"/>
      <c r="BP303" s="140"/>
      <c r="BQ303" s="140"/>
      <c r="BR303" s="140"/>
      <c r="BS303" s="140"/>
      <c r="BT303" s="140"/>
      <c r="BU303" s="140"/>
      <c r="BV303" s="140"/>
      <c r="BW303" s="140"/>
      <c r="BX303" s="140"/>
      <c r="BY303" s="140"/>
      <c r="BZ303" s="140"/>
      <c r="CA303" s="140"/>
      <c r="CB303" s="140"/>
      <c r="CC303" s="140"/>
      <c r="CD303" s="140"/>
      <c r="CE303" s="140"/>
      <c r="CF303" s="140"/>
      <c r="CG303" s="140"/>
      <c r="CH303" s="140"/>
      <c r="CI303" s="140"/>
      <c r="CJ303" s="140"/>
      <c r="CK303" s="140"/>
      <c r="CL303" s="140"/>
      <c r="CM303" s="140"/>
      <c r="CN303" s="140"/>
      <c r="CO303" s="140"/>
      <c r="CP303" s="140"/>
      <c r="CQ303" s="140"/>
      <c r="CR303" s="140"/>
      <c r="CS303" s="140"/>
      <c r="CT303" s="140"/>
      <c r="CU303" s="140"/>
      <c r="CV303" s="140"/>
      <c r="CW303" s="140"/>
      <c r="CX303" s="140"/>
      <c r="CY303" s="140"/>
      <c r="CZ303" s="140"/>
      <c r="DA303" s="140"/>
      <c r="DB303" s="140"/>
      <c r="DC303" s="140"/>
      <c r="DD303" s="140"/>
      <c r="DE303" s="140"/>
      <c r="DF303" s="140"/>
      <c r="DG303" s="140"/>
      <c r="DH303" s="140"/>
      <c r="DI303" s="140"/>
    </row>
    <row r="304" spans="1:113" s="139" customForma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3"/>
      <c r="U304" s="143"/>
      <c r="V304" s="143"/>
      <c r="W304" s="143"/>
      <c r="X304" s="143"/>
      <c r="Y304" s="143"/>
      <c r="Z304" s="143"/>
      <c r="AA304" s="143"/>
      <c r="AC304" s="140"/>
      <c r="AD304" s="140"/>
      <c r="AE304" s="140"/>
      <c r="AF304" s="155"/>
      <c r="AG304" s="141"/>
      <c r="AH304" s="143"/>
      <c r="AI304" s="140"/>
      <c r="AJ304" s="140"/>
      <c r="AK304" s="140"/>
      <c r="AL304" s="140"/>
      <c r="AM304" s="140"/>
      <c r="AN304" s="140"/>
      <c r="AO304" s="140"/>
      <c r="AP304" s="140"/>
      <c r="AQ304" s="140"/>
      <c r="AR304" s="140"/>
      <c r="AS304" s="140"/>
      <c r="AT304" s="140"/>
      <c r="AU304" s="140"/>
      <c r="AV304" s="140"/>
      <c r="AW304" s="140"/>
      <c r="AX304" s="140"/>
      <c r="AY304" s="140"/>
      <c r="AZ304" s="140"/>
      <c r="BA304" s="140"/>
      <c r="BB304" s="140"/>
      <c r="BC304" s="140"/>
      <c r="BD304" s="140"/>
      <c r="BE304" s="140"/>
      <c r="BF304" s="140"/>
      <c r="BG304" s="140"/>
      <c r="BH304" s="140"/>
      <c r="BI304" s="140"/>
      <c r="BJ304" s="140"/>
      <c r="BK304" s="140"/>
      <c r="BL304" s="140"/>
      <c r="BM304" s="140"/>
      <c r="BN304" s="140"/>
      <c r="BO304" s="140"/>
      <c r="BP304" s="140"/>
      <c r="BQ304" s="140"/>
      <c r="BR304" s="140"/>
      <c r="BS304" s="140"/>
      <c r="BT304" s="140"/>
      <c r="BU304" s="140"/>
      <c r="BV304" s="140"/>
      <c r="BW304" s="140"/>
      <c r="BX304" s="140"/>
      <c r="BY304" s="140"/>
      <c r="BZ304" s="140"/>
      <c r="CA304" s="140"/>
      <c r="CB304" s="140"/>
      <c r="CC304" s="140"/>
      <c r="CD304" s="140"/>
      <c r="CE304" s="140"/>
      <c r="CF304" s="140"/>
      <c r="CG304" s="140"/>
      <c r="CH304" s="140"/>
      <c r="CI304" s="140"/>
      <c r="CJ304" s="140"/>
      <c r="CK304" s="140"/>
      <c r="CL304" s="140"/>
      <c r="CM304" s="140"/>
      <c r="CN304" s="140"/>
      <c r="CO304" s="140"/>
      <c r="CP304" s="140"/>
      <c r="CQ304" s="140"/>
      <c r="CR304" s="140"/>
      <c r="CS304" s="140"/>
      <c r="CT304" s="140"/>
      <c r="CU304" s="140"/>
      <c r="CV304" s="140"/>
      <c r="CW304" s="140"/>
      <c r="CX304" s="140"/>
      <c r="CY304" s="140"/>
      <c r="CZ304" s="140"/>
      <c r="DA304" s="140"/>
      <c r="DB304" s="140"/>
      <c r="DC304" s="140"/>
      <c r="DD304" s="140"/>
      <c r="DE304" s="140"/>
      <c r="DF304" s="140"/>
      <c r="DG304" s="140"/>
      <c r="DH304" s="140"/>
      <c r="DI304" s="140"/>
    </row>
    <row r="305" spans="1:113" s="139" customForma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3"/>
      <c r="U305" s="143"/>
      <c r="V305" s="143"/>
      <c r="W305" s="143"/>
      <c r="X305" s="143"/>
      <c r="Y305" s="143"/>
      <c r="Z305" s="143"/>
      <c r="AA305" s="143"/>
      <c r="AC305" s="140"/>
      <c r="AD305" s="140"/>
      <c r="AE305" s="140"/>
      <c r="AF305" s="155"/>
      <c r="AG305" s="141"/>
      <c r="AH305" s="143"/>
      <c r="AI305" s="140"/>
      <c r="AJ305" s="140"/>
      <c r="AK305" s="140"/>
      <c r="AL305" s="140"/>
      <c r="AM305" s="140"/>
      <c r="AN305" s="140"/>
      <c r="AO305" s="140"/>
      <c r="AP305" s="140"/>
      <c r="AQ305" s="140"/>
      <c r="AR305" s="140"/>
      <c r="AS305" s="140"/>
      <c r="AT305" s="140"/>
      <c r="AU305" s="140"/>
      <c r="AV305" s="140"/>
      <c r="AW305" s="140"/>
      <c r="AX305" s="140"/>
      <c r="AY305" s="140"/>
      <c r="AZ305" s="140"/>
      <c r="BA305" s="140"/>
      <c r="BB305" s="140"/>
      <c r="BC305" s="140"/>
      <c r="BD305" s="140"/>
      <c r="BE305" s="140"/>
      <c r="BF305" s="140"/>
      <c r="BG305" s="140"/>
      <c r="BH305" s="140"/>
      <c r="BI305" s="140"/>
      <c r="BJ305" s="140"/>
      <c r="BK305" s="140"/>
      <c r="BL305" s="140"/>
      <c r="BM305" s="140"/>
      <c r="BN305" s="140"/>
      <c r="BO305" s="140"/>
      <c r="BP305" s="140"/>
      <c r="BQ305" s="140"/>
      <c r="BR305" s="140"/>
      <c r="BS305" s="140"/>
      <c r="BT305" s="140"/>
      <c r="BU305" s="140"/>
      <c r="BV305" s="140"/>
      <c r="BW305" s="140"/>
      <c r="BX305" s="140"/>
      <c r="BY305" s="140"/>
      <c r="BZ305" s="140"/>
      <c r="CA305" s="140"/>
      <c r="CB305" s="140"/>
      <c r="CC305" s="140"/>
      <c r="CD305" s="140"/>
      <c r="CE305" s="140"/>
      <c r="CF305" s="140"/>
      <c r="CG305" s="140"/>
      <c r="CH305" s="140"/>
      <c r="CI305" s="140"/>
      <c r="CJ305" s="140"/>
      <c r="CK305" s="140"/>
      <c r="CL305" s="140"/>
      <c r="CM305" s="140"/>
      <c r="CN305" s="140"/>
      <c r="CO305" s="140"/>
      <c r="CP305" s="140"/>
      <c r="CQ305" s="140"/>
      <c r="CR305" s="140"/>
      <c r="CS305" s="140"/>
      <c r="CT305" s="140"/>
      <c r="CU305" s="140"/>
      <c r="CV305" s="140"/>
      <c r="CW305" s="140"/>
      <c r="CX305" s="140"/>
      <c r="CY305" s="140"/>
      <c r="CZ305" s="140"/>
      <c r="DA305" s="140"/>
      <c r="DB305" s="140"/>
      <c r="DC305" s="140"/>
      <c r="DD305" s="140"/>
      <c r="DE305" s="140"/>
      <c r="DF305" s="140"/>
      <c r="DG305" s="140"/>
      <c r="DH305" s="140"/>
      <c r="DI305" s="140"/>
    </row>
    <row r="306" spans="1:113" s="139" customForma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3"/>
      <c r="U306" s="143"/>
      <c r="V306" s="143"/>
      <c r="W306" s="143"/>
      <c r="X306" s="143"/>
      <c r="Y306" s="143"/>
      <c r="Z306" s="143"/>
      <c r="AA306" s="143"/>
      <c r="AC306" s="140"/>
      <c r="AD306" s="140"/>
      <c r="AE306" s="140"/>
      <c r="AF306" s="155"/>
      <c r="AG306" s="141"/>
      <c r="AH306" s="143"/>
      <c r="AI306" s="140"/>
      <c r="AJ306" s="140"/>
      <c r="AK306" s="140"/>
      <c r="AL306" s="140"/>
      <c r="AM306" s="140"/>
      <c r="AN306" s="140"/>
      <c r="AO306" s="140"/>
      <c r="AP306" s="140"/>
      <c r="AQ306" s="140"/>
      <c r="AR306" s="140"/>
      <c r="AS306" s="140"/>
      <c r="AT306" s="140"/>
      <c r="AU306" s="140"/>
      <c r="AV306" s="140"/>
      <c r="AW306" s="140"/>
      <c r="AX306" s="140"/>
      <c r="AY306" s="140"/>
      <c r="AZ306" s="140"/>
      <c r="BA306" s="140"/>
      <c r="BB306" s="140"/>
      <c r="BC306" s="140"/>
      <c r="BD306" s="140"/>
      <c r="BE306" s="140"/>
      <c r="BF306" s="140"/>
      <c r="BG306" s="140"/>
      <c r="BH306" s="140"/>
      <c r="BI306" s="140"/>
      <c r="BJ306" s="140"/>
      <c r="BK306" s="140"/>
      <c r="BL306" s="140"/>
      <c r="BM306" s="140"/>
      <c r="BN306" s="140"/>
      <c r="BO306" s="140"/>
      <c r="BP306" s="140"/>
      <c r="BQ306" s="140"/>
      <c r="BR306" s="140"/>
      <c r="BS306" s="140"/>
      <c r="BT306" s="140"/>
      <c r="BU306" s="140"/>
      <c r="BV306" s="140"/>
      <c r="BW306" s="140"/>
      <c r="BX306" s="140"/>
      <c r="BY306" s="140"/>
      <c r="BZ306" s="140"/>
      <c r="CA306" s="140"/>
      <c r="CB306" s="140"/>
      <c r="CC306" s="140"/>
      <c r="CD306" s="140"/>
      <c r="CE306" s="140"/>
      <c r="CF306" s="140"/>
      <c r="CG306" s="140"/>
      <c r="CH306" s="140"/>
      <c r="CI306" s="140"/>
      <c r="CJ306" s="140"/>
      <c r="CK306" s="140"/>
      <c r="CL306" s="140"/>
      <c r="CM306" s="140"/>
      <c r="CN306" s="140"/>
      <c r="CO306" s="140"/>
      <c r="CP306" s="140"/>
      <c r="CQ306" s="140"/>
      <c r="CR306" s="140"/>
      <c r="CS306" s="140"/>
      <c r="CT306" s="140"/>
      <c r="CU306" s="140"/>
      <c r="CV306" s="140"/>
      <c r="CW306" s="140"/>
      <c r="CX306" s="140"/>
      <c r="CY306" s="140"/>
      <c r="CZ306" s="140"/>
      <c r="DA306" s="140"/>
      <c r="DB306" s="140"/>
      <c r="DC306" s="140"/>
      <c r="DD306" s="140"/>
      <c r="DE306" s="140"/>
      <c r="DF306" s="140"/>
      <c r="DG306" s="140"/>
      <c r="DH306" s="140"/>
      <c r="DI306" s="140"/>
    </row>
    <row r="307" spans="1:113" s="139" customForma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3"/>
      <c r="U307" s="143"/>
      <c r="V307" s="143"/>
      <c r="W307" s="143"/>
      <c r="X307" s="143"/>
      <c r="Y307" s="143"/>
      <c r="Z307" s="143"/>
      <c r="AA307" s="143"/>
      <c r="AC307" s="140"/>
      <c r="AD307" s="140"/>
      <c r="AE307" s="140"/>
      <c r="AF307" s="155"/>
      <c r="AG307" s="141"/>
      <c r="AH307" s="143"/>
      <c r="AI307" s="140"/>
      <c r="AJ307" s="140"/>
      <c r="AK307" s="140"/>
      <c r="AL307" s="140"/>
      <c r="AM307" s="140"/>
      <c r="AN307" s="140"/>
      <c r="AO307" s="140"/>
      <c r="AP307" s="140"/>
      <c r="AQ307" s="140"/>
      <c r="AR307" s="140"/>
      <c r="AS307" s="140"/>
      <c r="AT307" s="140"/>
      <c r="AU307" s="140"/>
      <c r="AV307" s="140"/>
      <c r="AW307" s="140"/>
      <c r="AX307" s="140"/>
      <c r="AY307" s="140"/>
      <c r="AZ307" s="140"/>
      <c r="BA307" s="140"/>
      <c r="BB307" s="140"/>
      <c r="BC307" s="140"/>
      <c r="BD307" s="140"/>
      <c r="BE307" s="140"/>
      <c r="BF307" s="140"/>
      <c r="BG307" s="140"/>
      <c r="BH307" s="140"/>
      <c r="BI307" s="140"/>
      <c r="BJ307" s="140"/>
      <c r="BK307" s="140"/>
      <c r="BL307" s="140"/>
      <c r="BM307" s="140"/>
      <c r="BN307" s="140"/>
      <c r="BO307" s="140"/>
      <c r="BP307" s="140"/>
      <c r="BQ307" s="140"/>
      <c r="BR307" s="140"/>
      <c r="BS307" s="140"/>
      <c r="BT307" s="140"/>
      <c r="BU307" s="140"/>
      <c r="BV307" s="140"/>
      <c r="BW307" s="140"/>
      <c r="BX307" s="140"/>
      <c r="BY307" s="140"/>
      <c r="BZ307" s="140"/>
      <c r="CA307" s="140"/>
      <c r="CB307" s="140"/>
      <c r="CC307" s="140"/>
      <c r="CD307" s="140"/>
      <c r="CE307" s="140"/>
      <c r="CF307" s="140"/>
      <c r="CG307" s="140"/>
      <c r="CH307" s="140"/>
      <c r="CI307" s="140"/>
      <c r="CJ307" s="140"/>
      <c r="CK307" s="140"/>
      <c r="CL307" s="140"/>
      <c r="CM307" s="140"/>
      <c r="CN307" s="140"/>
      <c r="CO307" s="140"/>
      <c r="CP307" s="140"/>
      <c r="CQ307" s="140"/>
      <c r="CR307" s="140"/>
      <c r="CS307" s="140"/>
      <c r="CT307" s="140"/>
      <c r="CU307" s="140"/>
      <c r="CV307" s="140"/>
      <c r="CW307" s="140"/>
      <c r="CX307" s="140"/>
      <c r="CY307" s="140"/>
      <c r="CZ307" s="140"/>
      <c r="DA307" s="140"/>
      <c r="DB307" s="140"/>
      <c r="DC307" s="140"/>
      <c r="DD307" s="140"/>
      <c r="DE307" s="140"/>
      <c r="DF307" s="140"/>
      <c r="DG307" s="140"/>
      <c r="DH307" s="140"/>
      <c r="DI307" s="140"/>
    </row>
    <row r="308" spans="1:113" s="139" customForma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3"/>
      <c r="U308" s="143"/>
      <c r="V308" s="143"/>
      <c r="W308" s="143"/>
      <c r="X308" s="143"/>
      <c r="Y308" s="143"/>
      <c r="Z308" s="143"/>
      <c r="AA308" s="143"/>
      <c r="AC308" s="140"/>
      <c r="AD308" s="140"/>
      <c r="AE308" s="140"/>
      <c r="AF308" s="155"/>
      <c r="AG308" s="141"/>
      <c r="AH308" s="143"/>
      <c r="AI308" s="140"/>
      <c r="AJ308" s="140"/>
      <c r="AK308" s="140"/>
      <c r="AL308" s="140"/>
      <c r="AM308" s="140"/>
      <c r="AN308" s="140"/>
      <c r="AO308" s="140"/>
      <c r="AP308" s="140"/>
      <c r="AQ308" s="140"/>
      <c r="AR308" s="140"/>
      <c r="AS308" s="140"/>
      <c r="AT308" s="140"/>
      <c r="AU308" s="140"/>
      <c r="AV308" s="140"/>
      <c r="AW308" s="140"/>
      <c r="AX308" s="140"/>
      <c r="AY308" s="140"/>
      <c r="AZ308" s="140"/>
      <c r="BA308" s="140"/>
      <c r="BB308" s="140"/>
      <c r="BC308" s="140"/>
      <c r="BD308" s="140"/>
      <c r="BE308" s="140"/>
      <c r="BF308" s="140"/>
      <c r="BG308" s="140"/>
      <c r="BH308" s="140"/>
      <c r="BI308" s="140"/>
      <c r="BJ308" s="140"/>
      <c r="BK308" s="140"/>
      <c r="BL308" s="140"/>
      <c r="BM308" s="140"/>
      <c r="BN308" s="140"/>
      <c r="BO308" s="140"/>
      <c r="BP308" s="140"/>
      <c r="BQ308" s="140"/>
      <c r="BR308" s="140"/>
      <c r="BS308" s="140"/>
      <c r="BT308" s="140"/>
      <c r="BU308" s="140"/>
      <c r="BV308" s="140"/>
      <c r="BW308" s="140"/>
      <c r="BX308" s="140"/>
      <c r="BY308" s="140"/>
      <c r="BZ308" s="140"/>
      <c r="CA308" s="140"/>
      <c r="CB308" s="140"/>
      <c r="CC308" s="140"/>
      <c r="CD308" s="140"/>
      <c r="CE308" s="140"/>
      <c r="CF308" s="140"/>
      <c r="CG308" s="140"/>
      <c r="CH308" s="140"/>
      <c r="CI308" s="140"/>
      <c r="CJ308" s="140"/>
      <c r="CK308" s="140"/>
      <c r="CL308" s="140"/>
      <c r="CM308" s="140"/>
      <c r="CN308" s="140"/>
      <c r="CO308" s="140"/>
      <c r="CP308" s="140"/>
      <c r="CQ308" s="140"/>
      <c r="CR308" s="140"/>
      <c r="CS308" s="140"/>
      <c r="CT308" s="140"/>
      <c r="CU308" s="140"/>
      <c r="CV308" s="140"/>
      <c r="CW308" s="140"/>
      <c r="CX308" s="140"/>
      <c r="CY308" s="140"/>
      <c r="CZ308" s="140"/>
      <c r="DA308" s="140"/>
      <c r="DB308" s="140"/>
      <c r="DC308" s="140"/>
      <c r="DD308" s="140"/>
      <c r="DE308" s="140"/>
      <c r="DF308" s="140"/>
      <c r="DG308" s="140"/>
      <c r="DH308" s="140"/>
      <c r="DI308" s="140"/>
    </row>
    <row r="309" spans="1:113" s="139" customForma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3"/>
      <c r="U309" s="143"/>
      <c r="V309" s="143"/>
      <c r="W309" s="143"/>
      <c r="X309" s="143"/>
      <c r="Y309" s="143"/>
      <c r="Z309" s="143"/>
      <c r="AA309" s="143"/>
      <c r="AC309" s="140"/>
      <c r="AD309" s="140"/>
      <c r="AE309" s="140"/>
      <c r="AF309" s="155"/>
      <c r="AG309" s="141"/>
      <c r="AH309" s="143"/>
      <c r="AI309" s="140"/>
      <c r="AJ309" s="140"/>
      <c r="AK309" s="140"/>
      <c r="AL309" s="140"/>
      <c r="AM309" s="140"/>
      <c r="AN309" s="140"/>
      <c r="AO309" s="140"/>
      <c r="AP309" s="140"/>
      <c r="AQ309" s="140"/>
      <c r="AR309" s="140"/>
      <c r="AS309" s="140"/>
      <c r="AT309" s="140"/>
      <c r="AU309" s="140"/>
      <c r="AV309" s="140"/>
      <c r="AW309" s="140"/>
      <c r="AX309" s="140"/>
      <c r="AY309" s="140"/>
      <c r="AZ309" s="140"/>
      <c r="BA309" s="140"/>
      <c r="BB309" s="140"/>
      <c r="BC309" s="140"/>
      <c r="BD309" s="140"/>
      <c r="BE309" s="140"/>
      <c r="BF309" s="140"/>
      <c r="BG309" s="140"/>
      <c r="BH309" s="140"/>
      <c r="BI309" s="140"/>
      <c r="BJ309" s="140"/>
      <c r="BK309" s="140"/>
      <c r="BL309" s="140"/>
      <c r="BM309" s="140"/>
      <c r="BN309" s="140"/>
      <c r="BO309" s="140"/>
      <c r="BP309" s="140"/>
      <c r="BQ309" s="140"/>
      <c r="BR309" s="140"/>
      <c r="BS309" s="140"/>
      <c r="BT309" s="140"/>
      <c r="BU309" s="140"/>
      <c r="BV309" s="140"/>
      <c r="BW309" s="140"/>
      <c r="BX309" s="140"/>
      <c r="BY309" s="140"/>
      <c r="BZ309" s="140"/>
      <c r="CA309" s="140"/>
      <c r="CB309" s="140"/>
      <c r="CC309" s="140"/>
      <c r="CD309" s="140"/>
      <c r="CE309" s="140"/>
      <c r="CF309" s="140"/>
      <c r="CG309" s="140"/>
      <c r="CH309" s="140"/>
      <c r="CI309" s="140"/>
      <c r="CJ309" s="140"/>
      <c r="CK309" s="140"/>
      <c r="CL309" s="140"/>
      <c r="CM309" s="140"/>
      <c r="CN309" s="140"/>
      <c r="CO309" s="140"/>
      <c r="CP309" s="140"/>
      <c r="CQ309" s="140"/>
      <c r="CR309" s="140"/>
      <c r="CS309" s="140"/>
      <c r="CT309" s="140"/>
      <c r="CU309" s="140"/>
      <c r="CV309" s="140"/>
      <c r="CW309" s="140"/>
      <c r="CX309" s="140"/>
      <c r="CY309" s="140"/>
      <c r="CZ309" s="140"/>
      <c r="DA309" s="140"/>
      <c r="DB309" s="140"/>
      <c r="DC309" s="140"/>
      <c r="DD309" s="140"/>
      <c r="DE309" s="140"/>
      <c r="DF309" s="140"/>
      <c r="DG309" s="140"/>
      <c r="DH309" s="140"/>
      <c r="DI309" s="140"/>
    </row>
    <row r="310" spans="1:113" s="139" customForma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3"/>
      <c r="U310" s="143"/>
      <c r="V310" s="143"/>
      <c r="W310" s="143"/>
      <c r="X310" s="143"/>
      <c r="Y310" s="143"/>
      <c r="Z310" s="143"/>
      <c r="AA310" s="143"/>
      <c r="AC310" s="140"/>
      <c r="AD310" s="140"/>
      <c r="AE310" s="140"/>
      <c r="AF310" s="155"/>
      <c r="AG310" s="141"/>
      <c r="AH310" s="143"/>
      <c r="AI310" s="140"/>
      <c r="AJ310" s="140"/>
      <c r="AK310" s="140"/>
      <c r="AL310" s="140"/>
      <c r="AM310" s="140"/>
      <c r="AN310" s="140"/>
      <c r="AO310" s="140"/>
      <c r="AP310" s="140"/>
      <c r="AQ310" s="140"/>
      <c r="AR310" s="140"/>
      <c r="AS310" s="140"/>
      <c r="AT310" s="140"/>
      <c r="AU310" s="140"/>
      <c r="AV310" s="140"/>
      <c r="AW310" s="140"/>
      <c r="AX310" s="140"/>
      <c r="AY310" s="140"/>
      <c r="AZ310" s="140"/>
      <c r="BA310" s="140"/>
      <c r="BB310" s="140"/>
      <c r="BC310" s="140"/>
      <c r="BD310" s="140"/>
      <c r="BE310" s="140"/>
      <c r="BF310" s="140"/>
      <c r="BG310" s="140"/>
      <c r="BH310" s="140"/>
      <c r="BI310" s="140"/>
      <c r="BJ310" s="140"/>
      <c r="BK310" s="140"/>
      <c r="BL310" s="140"/>
      <c r="BM310" s="140"/>
      <c r="BN310" s="140"/>
      <c r="BO310" s="140"/>
      <c r="BP310" s="140"/>
      <c r="BQ310" s="140"/>
      <c r="BR310" s="140"/>
      <c r="BS310" s="140"/>
      <c r="BT310" s="140"/>
      <c r="BU310" s="140"/>
      <c r="BV310" s="140"/>
      <c r="BW310" s="140"/>
      <c r="BX310" s="140"/>
      <c r="BY310" s="140"/>
      <c r="BZ310" s="140"/>
      <c r="CA310" s="140"/>
      <c r="CB310" s="140"/>
      <c r="CC310" s="140"/>
      <c r="CD310" s="140"/>
      <c r="CE310" s="140"/>
      <c r="CF310" s="140"/>
      <c r="CG310" s="140"/>
      <c r="CH310" s="140"/>
      <c r="CI310" s="140"/>
      <c r="CJ310" s="140"/>
      <c r="CK310" s="140"/>
      <c r="CL310" s="140"/>
      <c r="CM310" s="140"/>
      <c r="CN310" s="140"/>
      <c r="CO310" s="140"/>
      <c r="CP310" s="140"/>
      <c r="CQ310" s="140"/>
      <c r="CR310" s="140"/>
      <c r="CS310" s="140"/>
      <c r="CT310" s="140"/>
      <c r="CU310" s="140"/>
      <c r="CV310" s="140"/>
      <c r="CW310" s="140"/>
      <c r="CX310" s="140"/>
      <c r="CY310" s="140"/>
      <c r="CZ310" s="140"/>
      <c r="DA310" s="140"/>
      <c r="DB310" s="140"/>
      <c r="DC310" s="140"/>
      <c r="DD310" s="140"/>
      <c r="DE310" s="140"/>
      <c r="DF310" s="140"/>
      <c r="DG310" s="140"/>
      <c r="DH310" s="140"/>
      <c r="DI310" s="140"/>
    </row>
    <row r="311" spans="1:113" s="139" customForma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3"/>
      <c r="U311" s="143"/>
      <c r="V311" s="143"/>
      <c r="W311" s="143"/>
      <c r="X311" s="143"/>
      <c r="Y311" s="143"/>
      <c r="Z311" s="143"/>
      <c r="AA311" s="143"/>
      <c r="AC311" s="140"/>
      <c r="AD311" s="140"/>
      <c r="AE311" s="140"/>
      <c r="AF311" s="155"/>
      <c r="AG311" s="141"/>
      <c r="AH311" s="143"/>
      <c r="AI311" s="140"/>
      <c r="AJ311" s="140"/>
      <c r="AK311" s="140"/>
      <c r="AL311" s="140"/>
      <c r="AM311" s="140"/>
      <c r="AN311" s="140"/>
      <c r="AO311" s="140"/>
      <c r="AP311" s="140"/>
      <c r="AQ311" s="140"/>
      <c r="AR311" s="140"/>
      <c r="AS311" s="140"/>
      <c r="AT311" s="140"/>
      <c r="AU311" s="140"/>
      <c r="AV311" s="140"/>
      <c r="AW311" s="140"/>
      <c r="AX311" s="140"/>
      <c r="AY311" s="140"/>
      <c r="AZ311" s="140"/>
      <c r="BA311" s="140"/>
      <c r="BB311" s="140"/>
      <c r="BC311" s="140"/>
      <c r="BD311" s="140"/>
      <c r="BE311" s="140"/>
      <c r="BF311" s="140"/>
      <c r="BG311" s="140"/>
      <c r="BH311" s="140"/>
      <c r="BI311" s="140"/>
      <c r="BJ311" s="140"/>
      <c r="BK311" s="140"/>
      <c r="BL311" s="140"/>
      <c r="BM311" s="140"/>
      <c r="BN311" s="140"/>
      <c r="BO311" s="140"/>
      <c r="BP311" s="140"/>
      <c r="BQ311" s="140"/>
      <c r="BR311" s="140"/>
      <c r="BS311" s="140"/>
      <c r="BT311" s="140"/>
      <c r="BU311" s="140"/>
      <c r="BV311" s="140"/>
      <c r="BW311" s="140"/>
      <c r="BX311" s="140"/>
      <c r="BY311" s="140"/>
      <c r="BZ311" s="140"/>
      <c r="CA311" s="140"/>
      <c r="CB311" s="140"/>
      <c r="CC311" s="140"/>
      <c r="CD311" s="140"/>
      <c r="CE311" s="140"/>
      <c r="CF311" s="140"/>
      <c r="CG311" s="140"/>
      <c r="CH311" s="140"/>
      <c r="CI311" s="140"/>
      <c r="CJ311" s="140"/>
      <c r="CK311" s="140"/>
      <c r="CL311" s="140"/>
      <c r="CM311" s="140"/>
      <c r="CN311" s="140"/>
      <c r="CO311" s="140"/>
      <c r="CP311" s="140"/>
      <c r="CQ311" s="140"/>
      <c r="CR311" s="140"/>
      <c r="CS311" s="140"/>
      <c r="CT311" s="140"/>
      <c r="CU311" s="140"/>
      <c r="CV311" s="140"/>
      <c r="CW311" s="140"/>
      <c r="CX311" s="140"/>
      <c r="CY311" s="140"/>
      <c r="CZ311" s="140"/>
      <c r="DA311" s="140"/>
      <c r="DB311" s="140"/>
      <c r="DC311" s="140"/>
      <c r="DD311" s="140"/>
      <c r="DE311" s="140"/>
      <c r="DF311" s="140"/>
      <c r="DG311" s="140"/>
      <c r="DH311" s="140"/>
      <c r="DI311" s="140"/>
    </row>
    <row r="312" spans="1:113" s="139" customForma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3"/>
      <c r="U312" s="143"/>
      <c r="V312" s="143"/>
      <c r="W312" s="143"/>
      <c r="X312" s="143"/>
      <c r="Y312" s="143"/>
      <c r="Z312" s="143"/>
      <c r="AA312" s="143"/>
      <c r="AC312" s="140"/>
      <c r="AD312" s="140"/>
      <c r="AE312" s="140"/>
      <c r="AF312" s="155"/>
      <c r="AG312" s="141"/>
      <c r="AH312" s="143"/>
      <c r="AI312" s="140"/>
      <c r="AJ312" s="140"/>
      <c r="AK312" s="140"/>
      <c r="AL312" s="140"/>
      <c r="AM312" s="140"/>
      <c r="AN312" s="140"/>
      <c r="AO312" s="140"/>
      <c r="AP312" s="140"/>
      <c r="AQ312" s="140"/>
      <c r="AR312" s="140"/>
      <c r="AS312" s="140"/>
      <c r="AT312" s="140"/>
      <c r="AU312" s="140"/>
      <c r="AV312" s="140"/>
      <c r="AW312" s="140"/>
      <c r="AX312" s="140"/>
      <c r="AY312" s="140"/>
      <c r="AZ312" s="140"/>
      <c r="BA312" s="140"/>
      <c r="BB312" s="140"/>
      <c r="BC312" s="140"/>
      <c r="BD312" s="140"/>
      <c r="BE312" s="140"/>
      <c r="BF312" s="140"/>
      <c r="BG312" s="140"/>
      <c r="BH312" s="140"/>
      <c r="BI312" s="140"/>
      <c r="BJ312" s="140"/>
      <c r="BK312" s="140"/>
      <c r="BL312" s="140"/>
      <c r="BM312" s="140"/>
      <c r="BN312" s="140"/>
      <c r="BO312" s="140"/>
      <c r="BP312" s="140"/>
      <c r="BQ312" s="140"/>
      <c r="BR312" s="140"/>
      <c r="BS312" s="140"/>
      <c r="BT312" s="140"/>
      <c r="BU312" s="140"/>
      <c r="BV312" s="140"/>
      <c r="BW312" s="140"/>
      <c r="BX312" s="140"/>
      <c r="BY312" s="140"/>
      <c r="BZ312" s="140"/>
      <c r="CA312" s="140"/>
      <c r="CB312" s="140"/>
      <c r="CC312" s="140"/>
      <c r="CD312" s="140"/>
      <c r="CE312" s="140"/>
      <c r="CF312" s="140"/>
      <c r="CG312" s="140"/>
      <c r="CH312" s="140"/>
      <c r="CI312" s="140"/>
      <c r="CJ312" s="140"/>
      <c r="CK312" s="140"/>
      <c r="CL312" s="140"/>
      <c r="CM312" s="140"/>
      <c r="CN312" s="140"/>
      <c r="CO312" s="140"/>
      <c r="CP312" s="140"/>
      <c r="CQ312" s="140"/>
      <c r="CR312" s="140"/>
      <c r="CS312" s="140"/>
      <c r="CT312" s="140"/>
      <c r="CU312" s="140"/>
      <c r="CV312" s="140"/>
      <c r="CW312" s="140"/>
      <c r="CX312" s="140"/>
      <c r="CY312" s="140"/>
      <c r="CZ312" s="140"/>
      <c r="DA312" s="140"/>
      <c r="DB312" s="140"/>
      <c r="DC312" s="140"/>
      <c r="DD312" s="140"/>
      <c r="DE312" s="140"/>
      <c r="DF312" s="140"/>
      <c r="DG312" s="140"/>
      <c r="DH312" s="140"/>
      <c r="DI312" s="140"/>
    </row>
    <row r="313" spans="1:113" s="139" customForma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3"/>
      <c r="U313" s="143"/>
      <c r="V313" s="143"/>
      <c r="W313" s="143"/>
      <c r="X313" s="143"/>
      <c r="Y313" s="143"/>
      <c r="Z313" s="143"/>
      <c r="AA313" s="143"/>
      <c r="AC313" s="140"/>
      <c r="AD313" s="140"/>
      <c r="AE313" s="140"/>
      <c r="AF313" s="155"/>
      <c r="AG313" s="141"/>
      <c r="AH313" s="143"/>
      <c r="AI313" s="140"/>
      <c r="AJ313" s="140"/>
      <c r="AK313" s="140"/>
      <c r="AL313" s="140"/>
      <c r="AM313" s="140"/>
      <c r="AN313" s="140"/>
      <c r="AO313" s="140"/>
      <c r="AP313" s="140"/>
      <c r="AQ313" s="140"/>
      <c r="AR313" s="140"/>
      <c r="AS313" s="140"/>
      <c r="AT313" s="140"/>
      <c r="AU313" s="140"/>
      <c r="AV313" s="140"/>
      <c r="AW313" s="140"/>
      <c r="AX313" s="140"/>
      <c r="AY313" s="140"/>
      <c r="AZ313" s="140"/>
      <c r="BA313" s="140"/>
      <c r="BB313" s="140"/>
      <c r="BC313" s="140"/>
      <c r="BD313" s="140"/>
      <c r="BE313" s="140"/>
      <c r="BF313" s="140"/>
      <c r="BG313" s="140"/>
      <c r="BH313" s="140"/>
      <c r="BI313" s="140"/>
      <c r="BJ313" s="140"/>
      <c r="BK313" s="140"/>
      <c r="BL313" s="140"/>
      <c r="BM313" s="140"/>
      <c r="BN313" s="140"/>
      <c r="BO313" s="140"/>
      <c r="BP313" s="140"/>
      <c r="BQ313" s="140"/>
      <c r="BR313" s="140"/>
      <c r="BS313" s="140"/>
      <c r="BT313" s="140"/>
      <c r="BU313" s="140"/>
      <c r="BV313" s="140"/>
      <c r="BW313" s="140"/>
      <c r="BX313" s="140"/>
      <c r="BY313" s="140"/>
      <c r="BZ313" s="140"/>
      <c r="CA313" s="140"/>
      <c r="CB313" s="140"/>
      <c r="CC313" s="140"/>
      <c r="CD313" s="140"/>
      <c r="CE313" s="140"/>
      <c r="CF313" s="140"/>
      <c r="CG313" s="140"/>
      <c r="CH313" s="140"/>
      <c r="CI313" s="140"/>
      <c r="CJ313" s="140"/>
      <c r="CK313" s="140"/>
      <c r="CL313" s="140"/>
      <c r="CM313" s="140"/>
      <c r="CN313" s="140"/>
      <c r="CO313" s="140"/>
      <c r="CP313" s="140"/>
      <c r="CQ313" s="140"/>
      <c r="CR313" s="140"/>
      <c r="CS313" s="140"/>
      <c r="CT313" s="140"/>
      <c r="CU313" s="140"/>
      <c r="CV313" s="140"/>
      <c r="CW313" s="140"/>
      <c r="CX313" s="140"/>
      <c r="CY313" s="140"/>
      <c r="CZ313" s="140"/>
      <c r="DA313" s="140"/>
      <c r="DB313" s="140"/>
      <c r="DC313" s="140"/>
      <c r="DD313" s="140"/>
      <c r="DE313" s="140"/>
      <c r="DF313" s="140"/>
      <c r="DG313" s="140"/>
      <c r="DH313" s="140"/>
      <c r="DI313" s="140"/>
    </row>
    <row r="314" spans="1:113" s="139" customForma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3"/>
      <c r="U314" s="143"/>
      <c r="V314" s="143"/>
      <c r="W314" s="143"/>
      <c r="X314" s="143"/>
      <c r="Y314" s="143"/>
      <c r="Z314" s="143"/>
      <c r="AA314" s="143"/>
      <c r="AC314" s="140"/>
      <c r="AD314" s="140"/>
      <c r="AE314" s="140"/>
      <c r="AF314" s="155"/>
      <c r="AG314" s="141"/>
      <c r="AH314" s="143"/>
      <c r="AI314" s="140"/>
      <c r="AJ314" s="140"/>
      <c r="AK314" s="140"/>
      <c r="AL314" s="140"/>
      <c r="AM314" s="140"/>
      <c r="AN314" s="140"/>
      <c r="AO314" s="140"/>
      <c r="AP314" s="140"/>
      <c r="AQ314" s="140"/>
      <c r="AR314" s="140"/>
      <c r="AS314" s="140"/>
      <c r="AT314" s="140"/>
      <c r="AU314" s="140"/>
      <c r="AV314" s="140"/>
      <c r="AW314" s="140"/>
      <c r="AX314" s="140"/>
      <c r="AY314" s="140"/>
      <c r="AZ314" s="140"/>
      <c r="BA314" s="140"/>
      <c r="BB314" s="140"/>
      <c r="BC314" s="140"/>
      <c r="BD314" s="140"/>
      <c r="BE314" s="140"/>
      <c r="BF314" s="140"/>
      <c r="BG314" s="140"/>
      <c r="BH314" s="140"/>
      <c r="BI314" s="140"/>
      <c r="BJ314" s="140"/>
      <c r="BK314" s="140"/>
      <c r="BL314" s="140"/>
      <c r="BM314" s="140"/>
      <c r="BN314" s="140"/>
      <c r="BO314" s="140"/>
      <c r="BP314" s="140"/>
      <c r="BQ314" s="140"/>
      <c r="BR314" s="140"/>
      <c r="BS314" s="140"/>
      <c r="BT314" s="140"/>
      <c r="BU314" s="140"/>
      <c r="BV314" s="140"/>
      <c r="BW314" s="140"/>
      <c r="BX314" s="140"/>
      <c r="BY314" s="140"/>
      <c r="BZ314" s="140"/>
      <c r="CA314" s="140"/>
      <c r="CB314" s="140"/>
      <c r="CC314" s="140"/>
      <c r="CD314" s="140"/>
      <c r="CE314" s="140"/>
      <c r="CF314" s="140"/>
      <c r="CG314" s="140"/>
      <c r="CH314" s="140"/>
      <c r="CI314" s="140"/>
      <c r="CJ314" s="140"/>
      <c r="CK314" s="140"/>
      <c r="CL314" s="140"/>
      <c r="CM314" s="140"/>
      <c r="CN314" s="140"/>
      <c r="CO314" s="140"/>
      <c r="CP314" s="140"/>
      <c r="CQ314" s="140"/>
      <c r="CR314" s="140"/>
      <c r="CS314" s="140"/>
      <c r="CT314" s="140"/>
      <c r="CU314" s="140"/>
      <c r="CV314" s="140"/>
      <c r="CW314" s="140"/>
      <c r="CX314" s="140"/>
      <c r="CY314" s="140"/>
      <c r="CZ314" s="140"/>
      <c r="DA314" s="140"/>
      <c r="DB314" s="140"/>
      <c r="DC314" s="140"/>
      <c r="DD314" s="140"/>
      <c r="DE314" s="140"/>
      <c r="DF314" s="140"/>
      <c r="DG314" s="140"/>
      <c r="DH314" s="140"/>
      <c r="DI314" s="140"/>
    </row>
    <row r="315" spans="1:113" s="139" customForma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3"/>
      <c r="U315" s="143"/>
      <c r="V315" s="143"/>
      <c r="W315" s="143"/>
      <c r="X315" s="143"/>
      <c r="Y315" s="143"/>
      <c r="Z315" s="143"/>
      <c r="AA315" s="143"/>
      <c r="AC315" s="140"/>
      <c r="AD315" s="140"/>
      <c r="AE315" s="140"/>
      <c r="AF315" s="155"/>
      <c r="AG315" s="141"/>
      <c r="AH315" s="143"/>
      <c r="AI315" s="140"/>
      <c r="AJ315" s="140"/>
      <c r="AK315" s="140"/>
      <c r="AL315" s="140"/>
      <c r="AM315" s="140"/>
      <c r="AN315" s="140"/>
      <c r="AO315" s="140"/>
      <c r="AP315" s="140"/>
      <c r="AQ315" s="140"/>
      <c r="AR315" s="140"/>
      <c r="AS315" s="140"/>
      <c r="AT315" s="140"/>
      <c r="AU315" s="140"/>
      <c r="AV315" s="140"/>
      <c r="AW315" s="140"/>
      <c r="AX315" s="140"/>
      <c r="AY315" s="140"/>
      <c r="AZ315" s="140"/>
      <c r="BA315" s="140"/>
      <c r="BB315" s="140"/>
      <c r="BC315" s="140"/>
      <c r="BD315" s="140"/>
      <c r="BE315" s="140"/>
      <c r="BF315" s="140"/>
      <c r="BG315" s="140"/>
      <c r="BH315" s="140"/>
      <c r="BI315" s="140"/>
      <c r="BJ315" s="140"/>
      <c r="BK315" s="140"/>
      <c r="BL315" s="140"/>
      <c r="BM315" s="140"/>
      <c r="BN315" s="140"/>
      <c r="BO315" s="140"/>
      <c r="BP315" s="140"/>
      <c r="BQ315" s="140"/>
      <c r="BR315" s="140"/>
      <c r="BS315" s="140"/>
      <c r="BT315" s="140"/>
      <c r="BU315" s="140"/>
      <c r="BV315" s="140"/>
      <c r="BW315" s="140"/>
      <c r="BX315" s="140"/>
      <c r="BY315" s="140"/>
      <c r="BZ315" s="140"/>
      <c r="CA315" s="140"/>
      <c r="CB315" s="140"/>
      <c r="CC315" s="140"/>
      <c r="CD315" s="140"/>
      <c r="CE315" s="140"/>
      <c r="CF315" s="140"/>
      <c r="CG315" s="140"/>
      <c r="CH315" s="140"/>
      <c r="CI315" s="140"/>
      <c r="CJ315" s="140"/>
      <c r="CK315" s="140"/>
      <c r="CL315" s="140"/>
      <c r="CM315" s="140"/>
      <c r="CN315" s="140"/>
      <c r="CO315" s="140"/>
      <c r="CP315" s="140"/>
      <c r="CQ315" s="140"/>
      <c r="CR315" s="140"/>
      <c r="CS315" s="140"/>
      <c r="CT315" s="140"/>
      <c r="CU315" s="140"/>
      <c r="CV315" s="140"/>
      <c r="CW315" s="140"/>
      <c r="CX315" s="140"/>
      <c r="CY315" s="140"/>
      <c r="CZ315" s="140"/>
      <c r="DA315" s="140"/>
      <c r="DB315" s="140"/>
      <c r="DC315" s="140"/>
      <c r="DD315" s="140"/>
      <c r="DE315" s="140"/>
      <c r="DF315" s="140"/>
      <c r="DG315" s="140"/>
      <c r="DH315" s="140"/>
      <c r="DI315" s="140"/>
    </row>
    <row r="316" spans="1:113" s="139" customForma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3"/>
      <c r="U316" s="143"/>
      <c r="V316" s="143"/>
      <c r="W316" s="143"/>
      <c r="X316" s="143"/>
      <c r="Y316" s="143"/>
      <c r="Z316" s="143"/>
      <c r="AA316" s="143"/>
      <c r="AC316" s="140"/>
      <c r="AD316" s="140"/>
      <c r="AE316" s="140"/>
      <c r="AF316" s="155"/>
      <c r="AG316" s="141"/>
      <c r="AH316" s="143"/>
      <c r="AI316" s="140"/>
      <c r="AJ316" s="140"/>
      <c r="AK316" s="140"/>
      <c r="AL316" s="140"/>
      <c r="AM316" s="140"/>
      <c r="AN316" s="140"/>
      <c r="AO316" s="140"/>
      <c r="AP316" s="140"/>
      <c r="AQ316" s="140"/>
      <c r="AR316" s="140"/>
      <c r="AS316" s="140"/>
      <c r="AT316" s="140"/>
      <c r="AU316" s="140"/>
      <c r="AV316" s="140"/>
      <c r="AW316" s="140"/>
      <c r="AX316" s="140"/>
      <c r="AY316" s="140"/>
      <c r="AZ316" s="140"/>
      <c r="BA316" s="140"/>
      <c r="BB316" s="140"/>
      <c r="BC316" s="140"/>
      <c r="BD316" s="140"/>
      <c r="BE316" s="140"/>
      <c r="BF316" s="140"/>
      <c r="BG316" s="140"/>
      <c r="BH316" s="140"/>
      <c r="BI316" s="140"/>
      <c r="BJ316" s="140"/>
      <c r="BK316" s="140"/>
      <c r="BL316" s="140"/>
      <c r="BM316" s="140"/>
      <c r="BN316" s="140"/>
      <c r="BO316" s="140"/>
      <c r="BP316" s="140"/>
      <c r="BQ316" s="140"/>
      <c r="BR316" s="140"/>
      <c r="BS316" s="140"/>
      <c r="BT316" s="140"/>
      <c r="BU316" s="140"/>
      <c r="BV316" s="140"/>
      <c r="BW316" s="140"/>
      <c r="BX316" s="140"/>
      <c r="BY316" s="140"/>
      <c r="BZ316" s="140"/>
      <c r="CA316" s="140"/>
      <c r="CB316" s="140"/>
      <c r="CC316" s="140"/>
      <c r="CD316" s="140"/>
      <c r="CE316" s="140"/>
      <c r="CF316" s="140"/>
      <c r="CG316" s="140"/>
      <c r="CH316" s="140"/>
      <c r="CI316" s="140"/>
      <c r="CJ316" s="140"/>
      <c r="CK316" s="140"/>
      <c r="CL316" s="140"/>
      <c r="CM316" s="140"/>
      <c r="CN316" s="140"/>
      <c r="CO316" s="140"/>
      <c r="CP316" s="140"/>
      <c r="CQ316" s="140"/>
      <c r="CR316" s="140"/>
      <c r="CS316" s="140"/>
      <c r="CT316" s="140"/>
      <c r="CU316" s="140"/>
      <c r="CV316" s="140"/>
      <c r="CW316" s="140"/>
      <c r="CX316" s="140"/>
      <c r="CY316" s="140"/>
      <c r="CZ316" s="140"/>
      <c r="DA316" s="140"/>
      <c r="DB316" s="140"/>
      <c r="DC316" s="140"/>
      <c r="DD316" s="140"/>
      <c r="DE316" s="140"/>
      <c r="DF316" s="140"/>
      <c r="DG316" s="140"/>
      <c r="DH316" s="140"/>
      <c r="DI316" s="140"/>
    </row>
    <row r="317" spans="1:113" s="139" customForma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3"/>
      <c r="U317" s="143"/>
      <c r="V317" s="143"/>
      <c r="W317" s="143"/>
      <c r="X317" s="143"/>
      <c r="Y317" s="143"/>
      <c r="Z317" s="143"/>
      <c r="AA317" s="143"/>
      <c r="AC317" s="140"/>
      <c r="AD317" s="140"/>
      <c r="AE317" s="140"/>
      <c r="AF317" s="155"/>
      <c r="AG317" s="141"/>
      <c r="AH317" s="143"/>
      <c r="AI317" s="140"/>
      <c r="AJ317" s="140"/>
      <c r="AK317" s="140"/>
      <c r="AL317" s="140"/>
      <c r="AM317" s="140"/>
      <c r="AN317" s="140"/>
      <c r="AO317" s="140"/>
      <c r="AP317" s="140"/>
      <c r="AQ317" s="140"/>
      <c r="AR317" s="140"/>
      <c r="AS317" s="140"/>
      <c r="AT317" s="140"/>
      <c r="AU317" s="140"/>
      <c r="AV317" s="140"/>
      <c r="AW317" s="140"/>
      <c r="AX317" s="140"/>
      <c r="AY317" s="140"/>
      <c r="AZ317" s="140"/>
      <c r="BA317" s="140"/>
      <c r="BB317" s="140"/>
      <c r="BC317" s="140"/>
      <c r="BD317" s="140"/>
      <c r="BE317" s="140"/>
      <c r="BF317" s="140"/>
      <c r="BG317" s="140"/>
      <c r="BH317" s="140"/>
      <c r="BI317" s="140"/>
      <c r="BJ317" s="140"/>
      <c r="BK317" s="140"/>
      <c r="BL317" s="140"/>
      <c r="BM317" s="140"/>
      <c r="BN317" s="140"/>
      <c r="BO317" s="140"/>
      <c r="BP317" s="140"/>
      <c r="BQ317" s="140"/>
      <c r="BR317" s="140"/>
      <c r="BS317" s="140"/>
      <c r="BT317" s="140"/>
      <c r="BU317" s="140"/>
      <c r="BV317" s="140"/>
      <c r="BW317" s="140"/>
      <c r="BX317" s="140"/>
      <c r="BY317" s="140"/>
      <c r="BZ317" s="140"/>
      <c r="CA317" s="140"/>
      <c r="CB317" s="140"/>
      <c r="CC317" s="140"/>
      <c r="CD317" s="140"/>
      <c r="CE317" s="140"/>
      <c r="CF317" s="140"/>
      <c r="CG317" s="140"/>
      <c r="CH317" s="140"/>
      <c r="CI317" s="140"/>
      <c r="CJ317" s="140"/>
      <c r="CK317" s="140"/>
      <c r="CL317" s="140"/>
      <c r="CM317" s="140"/>
      <c r="CN317" s="140"/>
      <c r="CO317" s="140"/>
      <c r="CP317" s="140"/>
      <c r="CQ317" s="140"/>
      <c r="CR317" s="140"/>
      <c r="CS317" s="140"/>
      <c r="CT317" s="140"/>
      <c r="CU317" s="140"/>
      <c r="CV317" s="140"/>
      <c r="CW317" s="140"/>
      <c r="CX317" s="140"/>
      <c r="CY317" s="140"/>
      <c r="CZ317" s="140"/>
      <c r="DA317" s="140"/>
      <c r="DB317" s="140"/>
      <c r="DC317" s="140"/>
      <c r="DD317" s="140"/>
      <c r="DE317" s="140"/>
      <c r="DF317" s="140"/>
      <c r="DG317" s="140"/>
      <c r="DH317" s="140"/>
      <c r="DI317" s="140"/>
    </row>
    <row r="318" spans="1:113" s="139" customForma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3"/>
      <c r="U318" s="143"/>
      <c r="V318" s="143"/>
      <c r="W318" s="143"/>
      <c r="X318" s="143"/>
      <c r="Y318" s="143"/>
      <c r="Z318" s="143"/>
      <c r="AA318" s="143"/>
      <c r="AC318" s="140"/>
      <c r="AD318" s="140"/>
      <c r="AE318" s="140"/>
      <c r="AF318" s="155"/>
      <c r="AG318" s="141"/>
      <c r="AH318" s="143"/>
      <c r="AI318" s="140"/>
      <c r="AJ318" s="140"/>
      <c r="AK318" s="140"/>
      <c r="AL318" s="140"/>
      <c r="AM318" s="140"/>
      <c r="AN318" s="140"/>
      <c r="AO318" s="140"/>
      <c r="AP318" s="140"/>
      <c r="AQ318" s="140"/>
      <c r="AR318" s="140"/>
      <c r="AS318" s="140"/>
      <c r="AT318" s="140"/>
      <c r="AU318" s="140"/>
      <c r="AV318" s="140"/>
      <c r="AW318" s="140"/>
      <c r="AX318" s="140"/>
      <c r="AY318" s="140"/>
      <c r="AZ318" s="140"/>
      <c r="BA318" s="140"/>
      <c r="BB318" s="140"/>
      <c r="BC318" s="140"/>
      <c r="BD318" s="140"/>
      <c r="BE318" s="140"/>
      <c r="BF318" s="140"/>
      <c r="BG318" s="140"/>
      <c r="BH318" s="140"/>
      <c r="BI318" s="140"/>
      <c r="BJ318" s="140"/>
      <c r="BK318" s="140"/>
      <c r="BL318" s="140"/>
      <c r="BM318" s="140"/>
      <c r="BN318" s="140"/>
      <c r="BO318" s="140"/>
      <c r="BP318" s="140"/>
      <c r="BQ318" s="140"/>
      <c r="BR318" s="140"/>
      <c r="BS318" s="140"/>
      <c r="BT318" s="140"/>
      <c r="BU318" s="140"/>
      <c r="BV318" s="140"/>
      <c r="BW318" s="140"/>
      <c r="BX318" s="140"/>
      <c r="BY318" s="140"/>
      <c r="BZ318" s="140"/>
      <c r="CA318" s="140"/>
      <c r="CB318" s="140"/>
      <c r="CC318" s="140"/>
      <c r="CD318" s="140"/>
      <c r="CE318" s="140"/>
      <c r="CF318" s="140"/>
      <c r="CG318" s="140"/>
      <c r="CH318" s="140"/>
      <c r="CI318" s="140"/>
      <c r="CJ318" s="140"/>
      <c r="CK318" s="140"/>
      <c r="CL318" s="140"/>
      <c r="CM318" s="140"/>
      <c r="CN318" s="140"/>
      <c r="CO318" s="140"/>
      <c r="CP318" s="140"/>
      <c r="CQ318" s="140"/>
      <c r="CR318" s="140"/>
      <c r="CS318" s="140"/>
      <c r="CT318" s="140"/>
      <c r="CU318" s="140"/>
      <c r="CV318" s="140"/>
      <c r="CW318" s="140"/>
      <c r="CX318" s="140"/>
      <c r="CY318" s="140"/>
      <c r="CZ318" s="140"/>
      <c r="DA318" s="140"/>
      <c r="DB318" s="140"/>
      <c r="DC318" s="140"/>
      <c r="DD318" s="140"/>
      <c r="DE318" s="140"/>
      <c r="DF318" s="140"/>
      <c r="DG318" s="140"/>
      <c r="DH318" s="140"/>
      <c r="DI318" s="140"/>
    </row>
    <row r="319" spans="1:113" s="139" customForma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3"/>
      <c r="U319" s="143"/>
      <c r="V319" s="143"/>
      <c r="W319" s="143"/>
      <c r="X319" s="143"/>
      <c r="Y319" s="143"/>
      <c r="Z319" s="143"/>
      <c r="AA319" s="143"/>
      <c r="AC319" s="140"/>
      <c r="AD319" s="140"/>
      <c r="AE319" s="140"/>
      <c r="AF319" s="155"/>
      <c r="AG319" s="141"/>
      <c r="AH319" s="143"/>
      <c r="AI319" s="140"/>
      <c r="AJ319" s="140"/>
      <c r="AK319" s="140"/>
      <c r="AL319" s="140"/>
      <c r="AM319" s="140"/>
      <c r="AN319" s="140"/>
      <c r="AO319" s="140"/>
      <c r="AP319" s="140"/>
      <c r="AQ319" s="140"/>
      <c r="AR319" s="140"/>
      <c r="AS319" s="140"/>
      <c r="AT319" s="140"/>
      <c r="AU319" s="140"/>
      <c r="AV319" s="140"/>
      <c r="AW319" s="140"/>
      <c r="AX319" s="140"/>
      <c r="AY319" s="140"/>
      <c r="AZ319" s="140"/>
      <c r="BA319" s="140"/>
      <c r="BB319" s="140"/>
      <c r="BC319" s="140"/>
      <c r="BD319" s="140"/>
      <c r="BE319" s="140"/>
      <c r="BF319" s="140"/>
      <c r="BG319" s="140"/>
      <c r="BH319" s="140"/>
      <c r="BI319" s="140"/>
      <c r="BJ319" s="140"/>
      <c r="BK319" s="140"/>
      <c r="BL319" s="140"/>
      <c r="BM319" s="140"/>
      <c r="BN319" s="140"/>
      <c r="BO319" s="140"/>
      <c r="BP319" s="140"/>
      <c r="BQ319" s="140"/>
      <c r="BR319" s="140"/>
      <c r="BS319" s="140"/>
      <c r="BT319" s="140"/>
      <c r="BU319" s="140"/>
      <c r="BV319" s="140"/>
      <c r="BW319" s="140"/>
      <c r="BX319" s="140"/>
      <c r="BY319" s="140"/>
      <c r="BZ319" s="140"/>
      <c r="CA319" s="140"/>
      <c r="CB319" s="140"/>
      <c r="CC319" s="140"/>
      <c r="CD319" s="140"/>
      <c r="CE319" s="140"/>
      <c r="CF319" s="140"/>
      <c r="CG319" s="140"/>
      <c r="CH319" s="140"/>
      <c r="CI319" s="140"/>
      <c r="CJ319" s="140"/>
      <c r="CK319" s="140"/>
      <c r="CL319" s="140"/>
      <c r="CM319" s="140"/>
      <c r="CN319" s="140"/>
      <c r="CO319" s="140"/>
      <c r="CP319" s="140"/>
      <c r="CQ319" s="140"/>
      <c r="CR319" s="140"/>
      <c r="CS319" s="140"/>
      <c r="CT319" s="140"/>
      <c r="CU319" s="140"/>
      <c r="CV319" s="140"/>
      <c r="CW319" s="140"/>
      <c r="CX319" s="140"/>
      <c r="CY319" s="140"/>
      <c r="CZ319" s="140"/>
      <c r="DA319" s="140"/>
      <c r="DB319" s="140"/>
      <c r="DC319" s="140"/>
      <c r="DD319" s="140"/>
      <c r="DE319" s="140"/>
      <c r="DF319" s="140"/>
      <c r="DG319" s="140"/>
      <c r="DH319" s="140"/>
      <c r="DI319" s="140"/>
    </row>
    <row r="320" spans="1:113" s="139" customForma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3"/>
      <c r="U320" s="143"/>
      <c r="V320" s="143"/>
      <c r="W320" s="143"/>
      <c r="X320" s="143"/>
      <c r="Y320" s="143"/>
      <c r="Z320" s="143"/>
      <c r="AA320" s="143"/>
      <c r="AC320" s="140"/>
      <c r="AD320" s="140"/>
      <c r="AE320" s="140"/>
      <c r="AF320" s="155"/>
      <c r="AG320" s="141"/>
      <c r="AH320" s="143"/>
      <c r="AI320" s="140"/>
      <c r="AJ320" s="140"/>
      <c r="AK320" s="140"/>
      <c r="AL320" s="140"/>
      <c r="AM320" s="140"/>
      <c r="AN320" s="140"/>
      <c r="AO320" s="140"/>
      <c r="AP320" s="140"/>
      <c r="AQ320" s="140"/>
      <c r="AR320" s="140"/>
      <c r="AS320" s="140"/>
      <c r="AT320" s="140"/>
      <c r="AU320" s="140"/>
      <c r="AV320" s="140"/>
      <c r="AW320" s="140"/>
      <c r="AX320" s="140"/>
      <c r="AY320" s="140"/>
      <c r="AZ320" s="140"/>
      <c r="BA320" s="140"/>
      <c r="BB320" s="140"/>
      <c r="BC320" s="140"/>
      <c r="BD320" s="140"/>
      <c r="BE320" s="140"/>
      <c r="BF320" s="140"/>
      <c r="BG320" s="140"/>
      <c r="BH320" s="140"/>
      <c r="BI320" s="140"/>
      <c r="BJ320" s="140"/>
      <c r="BK320" s="140"/>
      <c r="BL320" s="140"/>
      <c r="BM320" s="140"/>
      <c r="BN320" s="140"/>
      <c r="BO320" s="140"/>
      <c r="BP320" s="140"/>
      <c r="BQ320" s="140"/>
      <c r="BR320" s="140"/>
      <c r="BS320" s="140"/>
      <c r="BT320" s="140"/>
      <c r="BU320" s="140"/>
      <c r="BV320" s="140"/>
      <c r="BW320" s="140"/>
      <c r="BX320" s="140"/>
      <c r="BY320" s="140"/>
      <c r="BZ320" s="140"/>
      <c r="CA320" s="140"/>
      <c r="CB320" s="140"/>
      <c r="CC320" s="140"/>
      <c r="CD320" s="140"/>
      <c r="CE320" s="140"/>
      <c r="CF320" s="140"/>
      <c r="CG320" s="140"/>
      <c r="CH320" s="140"/>
      <c r="CI320" s="140"/>
      <c r="CJ320" s="140"/>
      <c r="CK320" s="140"/>
      <c r="CL320" s="140"/>
      <c r="CM320" s="140"/>
      <c r="CN320" s="140"/>
      <c r="CO320" s="140"/>
      <c r="CP320" s="140"/>
      <c r="CQ320" s="140"/>
      <c r="CR320" s="140"/>
      <c r="CS320" s="140"/>
      <c r="CT320" s="140"/>
      <c r="CU320" s="140"/>
      <c r="CV320" s="140"/>
      <c r="CW320" s="140"/>
      <c r="CX320" s="140"/>
      <c r="CY320" s="140"/>
      <c r="CZ320" s="140"/>
      <c r="DA320" s="140"/>
      <c r="DB320" s="140"/>
      <c r="DC320" s="140"/>
      <c r="DD320" s="140"/>
      <c r="DE320" s="140"/>
      <c r="DF320" s="140"/>
      <c r="DG320" s="140"/>
      <c r="DH320" s="140"/>
      <c r="DI320" s="140"/>
    </row>
    <row r="321" spans="1:113" s="139" customForma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3"/>
      <c r="U321" s="143"/>
      <c r="V321" s="143"/>
      <c r="W321" s="143"/>
      <c r="X321" s="143"/>
      <c r="Y321" s="143"/>
      <c r="Z321" s="143"/>
      <c r="AA321" s="143"/>
      <c r="AC321" s="140"/>
      <c r="AD321" s="140"/>
      <c r="AE321" s="140"/>
      <c r="AF321" s="155"/>
      <c r="AG321" s="141"/>
      <c r="AH321" s="143"/>
      <c r="AI321" s="140"/>
      <c r="AJ321" s="140"/>
      <c r="AK321" s="140"/>
      <c r="AL321" s="140"/>
      <c r="AM321" s="140"/>
      <c r="AN321" s="140"/>
      <c r="AO321" s="140"/>
      <c r="AP321" s="140"/>
      <c r="AQ321" s="140"/>
      <c r="AR321" s="140"/>
      <c r="AS321" s="140"/>
      <c r="AT321" s="140"/>
      <c r="AU321" s="140"/>
      <c r="AV321" s="140"/>
      <c r="AW321" s="140"/>
      <c r="AX321" s="140"/>
      <c r="AY321" s="140"/>
      <c r="AZ321" s="140"/>
      <c r="BA321" s="140"/>
      <c r="BB321" s="140"/>
      <c r="BC321" s="140"/>
      <c r="BD321" s="140"/>
      <c r="BE321" s="140"/>
      <c r="BF321" s="140"/>
      <c r="BG321" s="140"/>
      <c r="BH321" s="140"/>
      <c r="BI321" s="140"/>
      <c r="BJ321" s="140"/>
      <c r="BK321" s="140"/>
      <c r="BL321" s="140"/>
      <c r="BM321" s="140"/>
      <c r="BN321" s="140"/>
      <c r="BO321" s="140"/>
      <c r="BP321" s="140"/>
      <c r="BQ321" s="140"/>
      <c r="BR321" s="140"/>
      <c r="BS321" s="140"/>
      <c r="BT321" s="140"/>
      <c r="BU321" s="140"/>
      <c r="BV321" s="140"/>
      <c r="BW321" s="140"/>
      <c r="BX321" s="140"/>
      <c r="BY321" s="140"/>
      <c r="BZ321" s="140"/>
      <c r="CA321" s="140"/>
      <c r="CB321" s="140"/>
      <c r="CC321" s="140"/>
      <c r="CD321" s="140"/>
      <c r="CE321" s="140"/>
      <c r="CF321" s="140"/>
      <c r="CG321" s="140"/>
      <c r="CH321" s="140"/>
      <c r="CI321" s="140"/>
      <c r="CJ321" s="140"/>
      <c r="CK321" s="140"/>
      <c r="CL321" s="140"/>
      <c r="CM321" s="140"/>
      <c r="CN321" s="140"/>
      <c r="CO321" s="140"/>
      <c r="CP321" s="140"/>
      <c r="CQ321" s="140"/>
      <c r="CR321" s="140"/>
      <c r="CS321" s="140"/>
      <c r="CT321" s="140"/>
      <c r="CU321" s="140"/>
      <c r="CV321" s="140"/>
      <c r="CW321" s="140"/>
      <c r="CX321" s="140"/>
      <c r="CY321" s="140"/>
      <c r="CZ321" s="140"/>
      <c r="DA321" s="140"/>
      <c r="DB321" s="140"/>
      <c r="DC321" s="140"/>
      <c r="DD321" s="140"/>
      <c r="DE321" s="140"/>
      <c r="DF321" s="140"/>
      <c r="DG321" s="140"/>
      <c r="DH321" s="140"/>
      <c r="DI321" s="140"/>
    </row>
    <row r="322" spans="1:113" s="139" customForma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3"/>
      <c r="U322" s="143"/>
      <c r="V322" s="143"/>
      <c r="W322" s="143"/>
      <c r="X322" s="143"/>
      <c r="Y322" s="143"/>
      <c r="Z322" s="143"/>
      <c r="AA322" s="143"/>
      <c r="AC322" s="140"/>
      <c r="AD322" s="140"/>
      <c r="AE322" s="140"/>
      <c r="AF322" s="155"/>
      <c r="AG322" s="141"/>
      <c r="AH322" s="143"/>
      <c r="AI322" s="140"/>
      <c r="AJ322" s="140"/>
      <c r="AK322" s="140"/>
      <c r="AL322" s="140"/>
      <c r="AM322" s="140"/>
      <c r="AN322" s="140"/>
      <c r="AO322" s="140"/>
      <c r="AP322" s="140"/>
      <c r="AQ322" s="140"/>
      <c r="AR322" s="140"/>
      <c r="AS322" s="140"/>
      <c r="AT322" s="140"/>
      <c r="AU322" s="140"/>
      <c r="AV322" s="140"/>
      <c r="AW322" s="140"/>
      <c r="AX322" s="140"/>
      <c r="AY322" s="140"/>
      <c r="AZ322" s="140"/>
      <c r="BA322" s="140"/>
      <c r="BB322" s="140"/>
      <c r="BC322" s="140"/>
      <c r="BD322" s="140"/>
      <c r="BE322" s="140"/>
      <c r="BF322" s="140"/>
      <c r="BG322" s="140"/>
      <c r="BH322" s="140"/>
      <c r="BI322" s="140"/>
      <c r="BJ322" s="140"/>
      <c r="BK322" s="140"/>
      <c r="BL322" s="140"/>
      <c r="BM322" s="140"/>
      <c r="BN322" s="140"/>
      <c r="BO322" s="140"/>
      <c r="BP322" s="140"/>
      <c r="BQ322" s="140"/>
      <c r="BR322" s="140"/>
      <c r="BS322" s="140"/>
      <c r="BT322" s="140"/>
      <c r="BU322" s="140"/>
      <c r="BV322" s="140"/>
      <c r="BW322" s="140"/>
      <c r="BX322" s="140"/>
      <c r="BY322" s="140"/>
      <c r="BZ322" s="140"/>
      <c r="CA322" s="140"/>
      <c r="CB322" s="140"/>
      <c r="CC322" s="140"/>
      <c r="CD322" s="140"/>
      <c r="CE322" s="140"/>
      <c r="CF322" s="140"/>
      <c r="CG322" s="140"/>
      <c r="CH322" s="140"/>
      <c r="CI322" s="140"/>
      <c r="CJ322" s="140"/>
      <c r="CK322" s="140"/>
      <c r="CL322" s="140"/>
      <c r="CM322" s="140"/>
      <c r="CN322" s="140"/>
      <c r="CO322" s="140"/>
      <c r="CP322" s="140"/>
      <c r="CQ322" s="140"/>
      <c r="CR322" s="140"/>
      <c r="CS322" s="140"/>
      <c r="CT322" s="140"/>
      <c r="CU322" s="140"/>
      <c r="CV322" s="140"/>
      <c r="CW322" s="140"/>
      <c r="CX322" s="140"/>
      <c r="CY322" s="140"/>
      <c r="CZ322" s="140"/>
      <c r="DA322" s="140"/>
      <c r="DB322" s="140"/>
      <c r="DC322" s="140"/>
      <c r="DD322" s="140"/>
      <c r="DE322" s="140"/>
      <c r="DF322" s="140"/>
      <c r="DG322" s="140"/>
      <c r="DH322" s="140"/>
      <c r="DI322" s="140"/>
    </row>
    <row r="323" spans="1:113" s="139" customForma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3"/>
      <c r="U323" s="143"/>
      <c r="V323" s="143"/>
      <c r="W323" s="143"/>
      <c r="X323" s="143"/>
      <c r="Y323" s="143"/>
      <c r="Z323" s="143"/>
      <c r="AA323" s="143"/>
      <c r="AC323" s="140"/>
      <c r="AD323" s="140"/>
      <c r="AE323" s="140"/>
      <c r="AF323" s="155"/>
      <c r="AG323" s="141"/>
      <c r="AH323" s="143"/>
      <c r="AI323" s="140"/>
      <c r="AJ323" s="140"/>
      <c r="AK323" s="140"/>
      <c r="AL323" s="140"/>
      <c r="AM323" s="140"/>
      <c r="AN323" s="140"/>
      <c r="AO323" s="140"/>
      <c r="AP323" s="140"/>
      <c r="AQ323" s="140"/>
      <c r="AR323" s="140"/>
      <c r="AS323" s="140"/>
      <c r="AT323" s="140"/>
      <c r="AU323" s="140"/>
      <c r="AV323" s="140"/>
      <c r="AW323" s="140"/>
      <c r="AX323" s="140"/>
      <c r="AY323" s="140"/>
      <c r="AZ323" s="140"/>
      <c r="BA323" s="140"/>
      <c r="BB323" s="140"/>
      <c r="BC323" s="140"/>
      <c r="BD323" s="140"/>
      <c r="BE323" s="140"/>
      <c r="BF323" s="140"/>
      <c r="BG323" s="140"/>
      <c r="BH323" s="140"/>
      <c r="BI323" s="140"/>
      <c r="BJ323" s="140"/>
      <c r="BK323" s="140"/>
      <c r="BL323" s="140"/>
      <c r="BM323" s="140"/>
      <c r="BN323" s="140"/>
      <c r="BO323" s="140"/>
      <c r="BP323" s="140"/>
      <c r="BQ323" s="140"/>
      <c r="BR323" s="140"/>
      <c r="BS323" s="140"/>
      <c r="BT323" s="140"/>
      <c r="BU323" s="140"/>
      <c r="BV323" s="140"/>
      <c r="BW323" s="140"/>
      <c r="BX323" s="140"/>
      <c r="BY323" s="140"/>
      <c r="BZ323" s="140"/>
      <c r="CA323" s="140"/>
      <c r="CB323" s="140"/>
      <c r="CC323" s="140"/>
      <c r="CD323" s="140"/>
      <c r="CE323" s="140"/>
      <c r="CF323" s="140"/>
      <c r="CG323" s="140"/>
      <c r="CH323" s="140"/>
      <c r="CI323" s="140"/>
      <c r="CJ323" s="140"/>
      <c r="CK323" s="140"/>
      <c r="CL323" s="140"/>
      <c r="CM323" s="140"/>
      <c r="CN323" s="140"/>
      <c r="CO323" s="140"/>
      <c r="CP323" s="140"/>
      <c r="CQ323" s="140"/>
      <c r="CR323" s="140"/>
      <c r="CS323" s="140"/>
      <c r="CT323" s="140"/>
      <c r="CU323" s="140"/>
      <c r="CV323" s="140"/>
      <c r="CW323" s="140"/>
      <c r="CX323" s="140"/>
      <c r="CY323" s="140"/>
      <c r="CZ323" s="140"/>
      <c r="DA323" s="140"/>
      <c r="DB323" s="140"/>
      <c r="DC323" s="140"/>
      <c r="DD323" s="140"/>
      <c r="DE323" s="140"/>
      <c r="DF323" s="140"/>
      <c r="DG323" s="140"/>
      <c r="DH323" s="140"/>
      <c r="DI323" s="140"/>
    </row>
    <row r="324" spans="1:113" s="139" customForma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3"/>
      <c r="U324" s="143"/>
      <c r="V324" s="143"/>
      <c r="W324" s="143"/>
      <c r="X324" s="143"/>
      <c r="Y324" s="143"/>
      <c r="Z324" s="143"/>
      <c r="AA324" s="143"/>
      <c r="AC324" s="140"/>
      <c r="AD324" s="140"/>
      <c r="AE324" s="140"/>
      <c r="AF324" s="155"/>
      <c r="AG324" s="141"/>
      <c r="AH324" s="143"/>
      <c r="AI324" s="140"/>
      <c r="AJ324" s="140"/>
      <c r="AK324" s="140"/>
      <c r="AL324" s="140"/>
      <c r="AM324" s="140"/>
      <c r="AN324" s="140"/>
      <c r="AO324" s="140"/>
      <c r="AP324" s="140"/>
      <c r="AQ324" s="140"/>
      <c r="AR324" s="140"/>
      <c r="AS324" s="140"/>
      <c r="AT324" s="140"/>
      <c r="AU324" s="140"/>
      <c r="AV324" s="140"/>
      <c r="AW324" s="140"/>
      <c r="AX324" s="140"/>
      <c r="AY324" s="140"/>
      <c r="AZ324" s="140"/>
      <c r="BA324" s="140"/>
      <c r="BB324" s="140"/>
      <c r="BC324" s="140"/>
      <c r="BD324" s="140"/>
      <c r="BE324" s="140"/>
      <c r="BF324" s="140"/>
      <c r="BG324" s="140"/>
      <c r="BH324" s="140"/>
      <c r="BI324" s="140"/>
      <c r="BJ324" s="140"/>
      <c r="BK324" s="140"/>
      <c r="BL324" s="140"/>
      <c r="BM324" s="140"/>
      <c r="BN324" s="140"/>
      <c r="BO324" s="140"/>
      <c r="BP324" s="140"/>
      <c r="BQ324" s="140"/>
      <c r="BR324" s="140"/>
      <c r="BS324" s="140"/>
      <c r="BT324" s="140"/>
      <c r="BU324" s="140"/>
      <c r="BV324" s="140"/>
      <c r="BW324" s="140"/>
      <c r="BX324" s="140"/>
      <c r="BY324" s="140"/>
      <c r="BZ324" s="140"/>
      <c r="CA324" s="140"/>
      <c r="CB324" s="140"/>
      <c r="CC324" s="140"/>
      <c r="CD324" s="140"/>
      <c r="CE324" s="140"/>
      <c r="CF324" s="140"/>
      <c r="CG324" s="140"/>
      <c r="CH324" s="140"/>
      <c r="CI324" s="140"/>
      <c r="CJ324" s="140"/>
      <c r="CK324" s="140"/>
      <c r="CL324" s="140"/>
      <c r="CM324" s="140"/>
      <c r="CN324" s="140"/>
      <c r="CO324" s="140"/>
      <c r="CP324" s="140"/>
      <c r="CQ324" s="140"/>
      <c r="CR324" s="140"/>
      <c r="CS324" s="140"/>
      <c r="CT324" s="140"/>
      <c r="CU324" s="140"/>
      <c r="CV324" s="140"/>
      <c r="CW324" s="140"/>
      <c r="CX324" s="140"/>
      <c r="CY324" s="140"/>
      <c r="CZ324" s="140"/>
      <c r="DA324" s="140"/>
      <c r="DB324" s="140"/>
      <c r="DC324" s="140"/>
      <c r="DD324" s="140"/>
      <c r="DE324" s="140"/>
      <c r="DF324" s="140"/>
      <c r="DG324" s="140"/>
      <c r="DH324" s="140"/>
      <c r="DI324" s="140"/>
    </row>
    <row r="325" spans="1:113" s="139" customForma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3"/>
      <c r="U325" s="143"/>
      <c r="V325" s="143"/>
      <c r="W325" s="143"/>
      <c r="X325" s="143"/>
      <c r="Y325" s="143"/>
      <c r="Z325" s="143"/>
      <c r="AA325" s="143"/>
      <c r="AC325" s="140"/>
      <c r="AD325" s="140"/>
      <c r="AE325" s="140"/>
      <c r="AF325" s="155"/>
      <c r="AG325" s="141"/>
      <c r="AH325" s="143"/>
      <c r="AI325" s="140"/>
      <c r="AJ325" s="140"/>
      <c r="AK325" s="140"/>
      <c r="AL325" s="140"/>
      <c r="AM325" s="140"/>
      <c r="AN325" s="140"/>
      <c r="AO325" s="140"/>
      <c r="AP325" s="140"/>
      <c r="AQ325" s="140"/>
      <c r="AR325" s="140"/>
      <c r="AS325" s="140"/>
      <c r="AT325" s="140"/>
      <c r="AU325" s="140"/>
      <c r="AV325" s="140"/>
      <c r="AW325" s="140"/>
      <c r="AX325" s="140"/>
      <c r="AY325" s="140"/>
      <c r="AZ325" s="140"/>
      <c r="BA325" s="140"/>
      <c r="BB325" s="140"/>
      <c r="BC325" s="140"/>
      <c r="BD325" s="140"/>
      <c r="BE325" s="140"/>
      <c r="BF325" s="140"/>
      <c r="BG325" s="140"/>
      <c r="BH325" s="140"/>
      <c r="BI325" s="140"/>
      <c r="BJ325" s="140"/>
      <c r="BK325" s="140"/>
      <c r="BL325" s="140"/>
      <c r="BM325" s="140"/>
      <c r="BN325" s="140"/>
      <c r="BO325" s="140"/>
      <c r="BP325" s="140"/>
      <c r="BQ325" s="140"/>
      <c r="BR325" s="140"/>
      <c r="BS325" s="140"/>
      <c r="BT325" s="140"/>
      <c r="BU325" s="140"/>
      <c r="BV325" s="140"/>
      <c r="BW325" s="140"/>
      <c r="BX325" s="140"/>
      <c r="BY325" s="140"/>
      <c r="BZ325" s="140"/>
      <c r="CA325" s="140"/>
      <c r="CB325" s="140"/>
      <c r="CC325" s="140"/>
      <c r="CD325" s="140"/>
      <c r="CE325" s="140"/>
      <c r="CF325" s="140"/>
      <c r="CG325" s="140"/>
      <c r="CH325" s="140"/>
      <c r="CI325" s="140"/>
      <c r="CJ325" s="140"/>
      <c r="CK325" s="140"/>
      <c r="CL325" s="140"/>
      <c r="CM325" s="140"/>
      <c r="CN325" s="140"/>
      <c r="CO325" s="140"/>
      <c r="CP325" s="140"/>
      <c r="CQ325" s="140"/>
      <c r="CR325" s="140"/>
      <c r="CS325" s="140"/>
      <c r="CT325" s="140"/>
      <c r="CU325" s="140"/>
      <c r="CV325" s="140"/>
      <c r="CW325" s="140"/>
      <c r="CX325" s="140"/>
      <c r="CY325" s="140"/>
      <c r="CZ325" s="140"/>
      <c r="DA325" s="140"/>
      <c r="DB325" s="140"/>
      <c r="DC325" s="140"/>
      <c r="DD325" s="140"/>
      <c r="DE325" s="140"/>
      <c r="DF325" s="140"/>
      <c r="DG325" s="140"/>
      <c r="DH325" s="140"/>
      <c r="DI325" s="140"/>
    </row>
    <row r="326" spans="1:113" s="139" customForma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3"/>
      <c r="U326" s="143"/>
      <c r="V326" s="143"/>
      <c r="W326" s="143"/>
      <c r="X326" s="143"/>
      <c r="Y326" s="143"/>
      <c r="Z326" s="143"/>
      <c r="AA326" s="143"/>
      <c r="AC326" s="140"/>
      <c r="AD326" s="140"/>
      <c r="AE326" s="140"/>
      <c r="AF326" s="155"/>
      <c r="AG326" s="141"/>
      <c r="AH326" s="143"/>
      <c r="AI326" s="140"/>
      <c r="AJ326" s="140"/>
      <c r="AK326" s="140"/>
      <c r="AL326" s="140"/>
      <c r="AM326" s="140"/>
      <c r="AN326" s="140"/>
      <c r="AO326" s="140"/>
      <c r="AP326" s="140"/>
      <c r="AQ326" s="140"/>
      <c r="AR326" s="140"/>
      <c r="AS326" s="140"/>
      <c r="AT326" s="140"/>
      <c r="AU326" s="140"/>
      <c r="AV326" s="140"/>
      <c r="AW326" s="140"/>
      <c r="AX326" s="140"/>
      <c r="AY326" s="140"/>
      <c r="AZ326" s="140"/>
      <c r="BA326" s="140"/>
      <c r="BB326" s="140"/>
      <c r="BC326" s="140"/>
      <c r="BD326" s="140"/>
      <c r="BE326" s="140"/>
      <c r="BF326" s="140"/>
      <c r="BG326" s="140"/>
      <c r="BH326" s="140"/>
      <c r="BI326" s="140"/>
      <c r="BJ326" s="140"/>
      <c r="BK326" s="140"/>
      <c r="BL326" s="140"/>
      <c r="BM326" s="140"/>
      <c r="BN326" s="140"/>
      <c r="BO326" s="140"/>
      <c r="BP326" s="140"/>
      <c r="BQ326" s="140"/>
      <c r="BR326" s="140"/>
      <c r="BS326" s="140"/>
      <c r="BT326" s="140"/>
      <c r="BU326" s="140"/>
      <c r="BV326" s="140"/>
      <c r="BW326" s="140"/>
      <c r="BX326" s="140"/>
      <c r="BY326" s="140"/>
      <c r="BZ326" s="140"/>
      <c r="CA326" s="140"/>
      <c r="CB326" s="140"/>
      <c r="CC326" s="140"/>
      <c r="CD326" s="140"/>
      <c r="CE326" s="140"/>
      <c r="CF326" s="140"/>
      <c r="CG326" s="140"/>
      <c r="CH326" s="140"/>
      <c r="CI326" s="140"/>
      <c r="CJ326" s="140"/>
      <c r="CK326" s="140"/>
      <c r="CL326" s="140"/>
      <c r="CM326" s="140"/>
      <c r="CN326" s="140"/>
      <c r="CO326" s="140"/>
      <c r="CP326" s="140"/>
      <c r="CQ326" s="140"/>
      <c r="CR326" s="140"/>
      <c r="CS326" s="140"/>
      <c r="CT326" s="140"/>
      <c r="CU326" s="140"/>
      <c r="CV326" s="140"/>
      <c r="CW326" s="140"/>
      <c r="CX326" s="140"/>
      <c r="CY326" s="140"/>
      <c r="CZ326" s="140"/>
      <c r="DA326" s="140"/>
      <c r="DB326" s="140"/>
      <c r="DC326" s="140"/>
      <c r="DD326" s="140"/>
      <c r="DE326" s="140"/>
      <c r="DF326" s="140"/>
      <c r="DG326" s="140"/>
      <c r="DH326" s="140"/>
      <c r="DI326" s="140"/>
    </row>
    <row r="327" spans="1:113" s="139" customForma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3"/>
      <c r="U327" s="143"/>
      <c r="V327" s="143"/>
      <c r="W327" s="143"/>
      <c r="X327" s="143"/>
      <c r="Y327" s="143"/>
      <c r="Z327" s="143"/>
      <c r="AA327" s="143"/>
      <c r="AC327" s="140"/>
      <c r="AD327" s="140"/>
      <c r="AE327" s="140"/>
      <c r="AF327" s="155"/>
      <c r="AG327" s="141"/>
      <c r="AH327" s="143"/>
      <c r="AI327" s="140"/>
      <c r="AJ327" s="140"/>
      <c r="AK327" s="140"/>
      <c r="AL327" s="140"/>
      <c r="AM327" s="140"/>
      <c r="AN327" s="140"/>
      <c r="AO327" s="140"/>
      <c r="AP327" s="140"/>
      <c r="AQ327" s="140"/>
      <c r="AR327" s="140"/>
      <c r="AS327" s="140"/>
      <c r="AT327" s="140"/>
      <c r="AU327" s="140"/>
      <c r="AV327" s="140"/>
      <c r="AW327" s="140"/>
      <c r="AX327" s="140"/>
      <c r="AY327" s="140"/>
      <c r="AZ327" s="140"/>
      <c r="BA327" s="140"/>
      <c r="BB327" s="140"/>
      <c r="BC327" s="140"/>
      <c r="BD327" s="140"/>
      <c r="BE327" s="140"/>
      <c r="BF327" s="140"/>
      <c r="BG327" s="140"/>
      <c r="BH327" s="140"/>
      <c r="BI327" s="140"/>
      <c r="BJ327" s="140"/>
      <c r="BK327" s="140"/>
      <c r="BL327" s="140"/>
      <c r="BM327" s="140"/>
      <c r="BN327" s="140"/>
      <c r="BO327" s="140"/>
      <c r="BP327" s="140"/>
      <c r="BQ327" s="140"/>
      <c r="BR327" s="140"/>
      <c r="BS327" s="140"/>
      <c r="BT327" s="140"/>
      <c r="BU327" s="140"/>
      <c r="BV327" s="140"/>
      <c r="BW327" s="140"/>
      <c r="BX327" s="140"/>
      <c r="BY327" s="140"/>
      <c r="BZ327" s="140"/>
      <c r="CA327" s="140"/>
      <c r="CB327" s="140"/>
      <c r="CC327" s="140"/>
      <c r="CD327" s="140"/>
      <c r="CE327" s="140"/>
      <c r="CF327" s="140"/>
      <c r="CG327" s="140"/>
      <c r="CH327" s="140"/>
      <c r="CI327" s="140"/>
      <c r="CJ327" s="140"/>
      <c r="CK327" s="140"/>
      <c r="CL327" s="140"/>
      <c r="CM327" s="140"/>
      <c r="CN327" s="140"/>
      <c r="CO327" s="140"/>
      <c r="CP327" s="140"/>
      <c r="CQ327" s="140"/>
      <c r="CR327" s="140"/>
      <c r="CS327" s="140"/>
      <c r="CT327" s="140"/>
      <c r="CU327" s="140"/>
      <c r="CV327" s="140"/>
      <c r="CW327" s="140"/>
      <c r="CX327" s="140"/>
      <c r="CY327" s="140"/>
      <c r="CZ327" s="140"/>
      <c r="DA327" s="140"/>
      <c r="DB327" s="140"/>
      <c r="DC327" s="140"/>
      <c r="DD327" s="140"/>
      <c r="DE327" s="140"/>
      <c r="DF327" s="140"/>
      <c r="DG327" s="140"/>
      <c r="DH327" s="140"/>
      <c r="DI327" s="140"/>
    </row>
    <row r="328" spans="1:113" s="139" customForma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3"/>
      <c r="U328" s="143"/>
      <c r="V328" s="143"/>
      <c r="W328" s="143"/>
      <c r="X328" s="143"/>
      <c r="Y328" s="143"/>
      <c r="Z328" s="143"/>
      <c r="AA328" s="143"/>
      <c r="AC328" s="140"/>
      <c r="AD328" s="140"/>
      <c r="AE328" s="140"/>
      <c r="AF328" s="155"/>
      <c r="AG328" s="141"/>
      <c r="AH328" s="143"/>
      <c r="AI328" s="140"/>
      <c r="AJ328" s="140"/>
      <c r="AK328" s="140"/>
      <c r="AL328" s="140"/>
      <c r="AM328" s="140"/>
      <c r="AN328" s="140"/>
      <c r="AO328" s="140"/>
      <c r="AP328" s="140"/>
      <c r="AQ328" s="140"/>
      <c r="AR328" s="140"/>
      <c r="AS328" s="140"/>
      <c r="AT328" s="140"/>
      <c r="AU328" s="140"/>
      <c r="AV328" s="140"/>
      <c r="AW328" s="140"/>
      <c r="AX328" s="140"/>
      <c r="AY328" s="140"/>
      <c r="AZ328" s="140"/>
      <c r="BA328" s="140"/>
      <c r="BB328" s="140"/>
      <c r="BC328" s="140"/>
      <c r="BD328" s="140"/>
      <c r="BE328" s="140"/>
      <c r="BF328" s="140"/>
      <c r="BG328" s="140"/>
      <c r="BH328" s="140"/>
      <c r="BI328" s="140"/>
      <c r="BJ328" s="140"/>
      <c r="BK328" s="140"/>
      <c r="BL328" s="140"/>
      <c r="BM328" s="140"/>
      <c r="BN328" s="140"/>
      <c r="BO328" s="140"/>
      <c r="BP328" s="140"/>
      <c r="BQ328" s="140"/>
      <c r="BR328" s="140"/>
      <c r="BS328" s="140"/>
      <c r="BT328" s="140"/>
      <c r="BU328" s="140"/>
      <c r="BV328" s="140"/>
      <c r="BW328" s="140"/>
      <c r="BX328" s="140"/>
      <c r="BY328" s="140"/>
      <c r="BZ328" s="140"/>
      <c r="CA328" s="140"/>
      <c r="CB328" s="140"/>
      <c r="CC328" s="140"/>
      <c r="CD328" s="140"/>
      <c r="CE328" s="140"/>
      <c r="CF328" s="140"/>
      <c r="CG328" s="140"/>
      <c r="CH328" s="140"/>
      <c r="CI328" s="140"/>
      <c r="CJ328" s="140"/>
      <c r="CK328" s="140"/>
      <c r="CL328" s="140"/>
      <c r="CM328" s="140"/>
      <c r="CN328" s="140"/>
      <c r="CO328" s="140"/>
      <c r="CP328" s="140"/>
      <c r="CQ328" s="140"/>
      <c r="CR328" s="140"/>
      <c r="CS328" s="140"/>
      <c r="CT328" s="140"/>
      <c r="CU328" s="140"/>
      <c r="CV328" s="140"/>
      <c r="CW328" s="140"/>
      <c r="CX328" s="140"/>
      <c r="CY328" s="140"/>
      <c r="CZ328" s="140"/>
      <c r="DA328" s="140"/>
      <c r="DB328" s="140"/>
      <c r="DC328" s="140"/>
      <c r="DD328" s="140"/>
      <c r="DE328" s="140"/>
      <c r="DF328" s="140"/>
      <c r="DG328" s="140"/>
      <c r="DH328" s="140"/>
      <c r="DI328" s="140"/>
    </row>
    <row r="329" spans="1:113" s="139" customForma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3"/>
      <c r="U329" s="143"/>
      <c r="V329" s="143"/>
      <c r="W329" s="143"/>
      <c r="X329" s="143"/>
      <c r="Y329" s="143"/>
      <c r="Z329" s="143"/>
      <c r="AA329" s="143"/>
      <c r="AC329" s="140"/>
      <c r="AD329" s="140"/>
      <c r="AE329" s="140"/>
      <c r="AF329" s="155"/>
      <c r="AG329" s="141"/>
      <c r="AH329" s="143"/>
      <c r="AI329" s="140"/>
      <c r="AJ329" s="140"/>
      <c r="AK329" s="140"/>
      <c r="AL329" s="140"/>
      <c r="AM329" s="140"/>
      <c r="AN329" s="140"/>
      <c r="AO329" s="140"/>
      <c r="AP329" s="140"/>
      <c r="AQ329" s="140"/>
      <c r="AR329" s="140"/>
      <c r="AS329" s="140"/>
      <c r="AT329" s="140"/>
      <c r="AU329" s="140"/>
      <c r="AV329" s="140"/>
      <c r="AW329" s="140"/>
      <c r="AX329" s="140"/>
      <c r="AY329" s="140"/>
      <c r="AZ329" s="140"/>
      <c r="BA329" s="140"/>
      <c r="BB329" s="140"/>
      <c r="BC329" s="140"/>
      <c r="BD329" s="140"/>
      <c r="BE329" s="140"/>
      <c r="BF329" s="140"/>
      <c r="BG329" s="140"/>
      <c r="BH329" s="140"/>
      <c r="BI329" s="140"/>
      <c r="BJ329" s="140"/>
      <c r="BK329" s="140"/>
      <c r="BL329" s="140"/>
      <c r="BM329" s="140"/>
      <c r="BN329" s="140"/>
      <c r="BO329" s="140"/>
      <c r="BP329" s="140"/>
      <c r="BQ329" s="140"/>
      <c r="BR329" s="140"/>
      <c r="BS329" s="140"/>
      <c r="BT329" s="140"/>
      <c r="BU329" s="140"/>
      <c r="BV329" s="140"/>
      <c r="BW329" s="140"/>
      <c r="BX329" s="140"/>
      <c r="BY329" s="140"/>
      <c r="BZ329" s="140"/>
      <c r="CA329" s="140"/>
      <c r="CB329" s="140"/>
      <c r="CC329" s="140"/>
      <c r="CD329" s="140"/>
      <c r="CE329" s="140"/>
      <c r="CF329" s="140"/>
      <c r="CG329" s="140"/>
      <c r="CH329" s="140"/>
      <c r="CI329" s="140"/>
      <c r="CJ329" s="140"/>
      <c r="CK329" s="140"/>
      <c r="CL329" s="140"/>
      <c r="CM329" s="140"/>
      <c r="CN329" s="140"/>
      <c r="CO329" s="140"/>
      <c r="CP329" s="140"/>
      <c r="CQ329" s="140"/>
      <c r="CR329" s="140"/>
      <c r="CS329" s="140"/>
      <c r="CT329" s="140"/>
      <c r="CU329" s="140"/>
      <c r="CV329" s="140"/>
      <c r="CW329" s="140"/>
      <c r="CX329" s="140"/>
      <c r="CY329" s="140"/>
      <c r="CZ329" s="140"/>
      <c r="DA329" s="140"/>
      <c r="DB329" s="140"/>
      <c r="DC329" s="140"/>
      <c r="DD329" s="140"/>
      <c r="DE329" s="140"/>
      <c r="DF329" s="140"/>
      <c r="DG329" s="140"/>
      <c r="DH329" s="140"/>
      <c r="DI329" s="140"/>
    </row>
    <row r="330" spans="1:113" s="139" customForma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3"/>
      <c r="U330" s="143"/>
      <c r="V330" s="143"/>
      <c r="W330" s="143"/>
      <c r="X330" s="143"/>
      <c r="Y330" s="143"/>
      <c r="Z330" s="143"/>
      <c r="AA330" s="143"/>
      <c r="AC330" s="140"/>
      <c r="AD330" s="140"/>
      <c r="AE330" s="140"/>
      <c r="AF330" s="155"/>
      <c r="AG330" s="141"/>
      <c r="AH330" s="143"/>
      <c r="AI330" s="140"/>
      <c r="AJ330" s="140"/>
      <c r="AK330" s="140"/>
      <c r="AL330" s="140"/>
      <c r="AM330" s="140"/>
      <c r="AN330" s="140"/>
      <c r="AO330" s="140"/>
      <c r="AP330" s="140"/>
      <c r="AQ330" s="140"/>
      <c r="AR330" s="140"/>
      <c r="AS330" s="140"/>
      <c r="AT330" s="140"/>
      <c r="AU330" s="140"/>
      <c r="AV330" s="140"/>
      <c r="AW330" s="140"/>
      <c r="AX330" s="140"/>
      <c r="AY330" s="140"/>
      <c r="AZ330" s="140"/>
      <c r="BA330" s="140"/>
      <c r="BB330" s="140"/>
      <c r="BC330" s="140"/>
      <c r="BD330" s="140"/>
      <c r="BE330" s="140"/>
      <c r="BF330" s="140"/>
      <c r="BG330" s="140"/>
      <c r="BH330" s="140"/>
      <c r="BI330" s="140"/>
      <c r="BJ330" s="140"/>
      <c r="BK330" s="140"/>
      <c r="BL330" s="140"/>
      <c r="BM330" s="140"/>
      <c r="BN330" s="140"/>
      <c r="BO330" s="140"/>
      <c r="BP330" s="140"/>
      <c r="BQ330" s="140"/>
      <c r="BR330" s="140"/>
      <c r="BS330" s="140"/>
      <c r="BT330" s="140"/>
      <c r="BU330" s="140"/>
      <c r="BV330" s="140"/>
      <c r="BW330" s="140"/>
      <c r="BX330" s="140"/>
      <c r="BY330" s="140"/>
      <c r="BZ330" s="140"/>
      <c r="CA330" s="140"/>
      <c r="CB330" s="140"/>
      <c r="CC330" s="140"/>
      <c r="CD330" s="140"/>
      <c r="CE330" s="140"/>
      <c r="CF330" s="140"/>
      <c r="CG330" s="140"/>
      <c r="CH330" s="140"/>
      <c r="CI330" s="140"/>
      <c r="CJ330" s="140"/>
      <c r="CK330" s="140"/>
      <c r="CL330" s="140"/>
      <c r="CM330" s="140"/>
      <c r="CN330" s="140"/>
      <c r="CO330" s="140"/>
      <c r="CP330" s="140"/>
      <c r="CQ330" s="140"/>
      <c r="CR330" s="140"/>
      <c r="CS330" s="140"/>
      <c r="CT330" s="140"/>
      <c r="CU330" s="140"/>
      <c r="CV330" s="140"/>
      <c r="CW330" s="140"/>
      <c r="CX330" s="140"/>
      <c r="CY330" s="140"/>
      <c r="CZ330" s="140"/>
      <c r="DA330" s="140"/>
      <c r="DB330" s="140"/>
      <c r="DC330" s="140"/>
      <c r="DD330" s="140"/>
      <c r="DE330" s="140"/>
      <c r="DF330" s="140"/>
      <c r="DG330" s="140"/>
      <c r="DH330" s="140"/>
      <c r="DI330" s="140"/>
    </row>
    <row r="331" spans="1:113" s="139" customForma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3"/>
      <c r="U331" s="143"/>
      <c r="V331" s="143"/>
      <c r="W331" s="143"/>
      <c r="X331" s="143"/>
      <c r="Y331" s="143"/>
      <c r="Z331" s="143"/>
      <c r="AA331" s="143"/>
      <c r="AC331" s="140"/>
      <c r="AD331" s="140"/>
      <c r="AE331" s="140"/>
      <c r="AF331" s="155"/>
      <c r="AG331" s="141"/>
      <c r="AH331" s="143"/>
      <c r="AI331" s="140"/>
      <c r="AJ331" s="140"/>
      <c r="AK331" s="140"/>
      <c r="AL331" s="140"/>
      <c r="AM331" s="140"/>
      <c r="AN331" s="140"/>
      <c r="AO331" s="140"/>
      <c r="AP331" s="140"/>
      <c r="AQ331" s="140"/>
      <c r="AR331" s="140"/>
      <c r="AS331" s="140"/>
      <c r="AT331" s="140"/>
      <c r="AU331" s="140"/>
      <c r="AV331" s="140"/>
      <c r="AW331" s="140"/>
      <c r="AX331" s="140"/>
      <c r="AY331" s="140"/>
      <c r="AZ331" s="140"/>
      <c r="BA331" s="140"/>
      <c r="BB331" s="140"/>
      <c r="BC331" s="140"/>
      <c r="BD331" s="140"/>
      <c r="BE331" s="140"/>
      <c r="BF331" s="140"/>
      <c r="BG331" s="140"/>
      <c r="BH331" s="140"/>
      <c r="BI331" s="140"/>
      <c r="BJ331" s="140"/>
      <c r="BK331" s="140"/>
      <c r="BL331" s="140"/>
      <c r="BM331" s="140"/>
      <c r="BN331" s="140"/>
      <c r="BO331" s="140"/>
      <c r="BP331" s="140"/>
      <c r="BQ331" s="140"/>
      <c r="BR331" s="140"/>
      <c r="BS331" s="140"/>
      <c r="BT331" s="140"/>
      <c r="BU331" s="140"/>
      <c r="BV331" s="140"/>
      <c r="BW331" s="140"/>
      <c r="BX331" s="140"/>
      <c r="BY331" s="140"/>
      <c r="BZ331" s="140"/>
      <c r="CA331" s="140"/>
      <c r="CB331" s="140"/>
      <c r="CC331" s="140"/>
      <c r="CD331" s="140"/>
      <c r="CE331" s="140"/>
      <c r="CF331" s="140"/>
      <c r="CG331" s="140"/>
      <c r="CH331" s="140"/>
      <c r="CI331" s="140"/>
      <c r="CJ331" s="140"/>
      <c r="CK331" s="140"/>
      <c r="CL331" s="140"/>
      <c r="CM331" s="140"/>
      <c r="CN331" s="140"/>
      <c r="CO331" s="140"/>
      <c r="CP331" s="140"/>
      <c r="CQ331" s="140"/>
      <c r="CR331" s="140"/>
      <c r="CS331" s="140"/>
      <c r="CT331" s="140"/>
      <c r="CU331" s="140"/>
      <c r="CV331" s="140"/>
      <c r="CW331" s="140"/>
      <c r="CX331" s="140"/>
      <c r="CY331" s="140"/>
      <c r="CZ331" s="140"/>
      <c r="DA331" s="140"/>
      <c r="DB331" s="140"/>
      <c r="DC331" s="140"/>
      <c r="DD331" s="140"/>
      <c r="DE331" s="140"/>
      <c r="DF331" s="140"/>
      <c r="DG331" s="140"/>
      <c r="DH331" s="140"/>
      <c r="DI331" s="140"/>
    </row>
    <row r="332" spans="1:113" s="139" customForma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3"/>
      <c r="U332" s="143"/>
      <c r="V332" s="143"/>
      <c r="W332" s="143"/>
      <c r="X332" s="143"/>
      <c r="Y332" s="143"/>
      <c r="Z332" s="143"/>
      <c r="AA332" s="143"/>
      <c r="AC332" s="140"/>
      <c r="AD332" s="140"/>
      <c r="AE332" s="140"/>
      <c r="AF332" s="155"/>
      <c r="AG332" s="141"/>
      <c r="AH332" s="143"/>
      <c r="AI332" s="140"/>
      <c r="AJ332" s="140"/>
      <c r="AK332" s="140"/>
      <c r="AL332" s="140"/>
      <c r="AM332" s="140"/>
      <c r="AN332" s="140"/>
      <c r="AO332" s="140"/>
      <c r="AP332" s="140"/>
      <c r="AQ332" s="140"/>
      <c r="AR332" s="140"/>
      <c r="AS332" s="140"/>
      <c r="AT332" s="140"/>
      <c r="AU332" s="140"/>
      <c r="AV332" s="140"/>
      <c r="AW332" s="140"/>
      <c r="AX332" s="140"/>
      <c r="AY332" s="140"/>
      <c r="AZ332" s="140"/>
      <c r="BA332" s="140"/>
      <c r="BB332" s="140"/>
      <c r="BC332" s="140"/>
      <c r="BD332" s="140"/>
      <c r="BE332" s="140"/>
      <c r="BF332" s="140"/>
      <c r="BG332" s="140"/>
      <c r="BH332" s="140"/>
      <c r="BI332" s="140"/>
      <c r="BJ332" s="140"/>
      <c r="BK332" s="140"/>
      <c r="BL332" s="140"/>
      <c r="BM332" s="140"/>
      <c r="BN332" s="140"/>
      <c r="BO332" s="140"/>
      <c r="BP332" s="140"/>
      <c r="BQ332" s="140"/>
      <c r="BR332" s="140"/>
      <c r="BS332" s="140"/>
      <c r="BT332" s="140"/>
      <c r="BU332" s="140"/>
      <c r="BV332" s="140"/>
      <c r="BW332" s="140"/>
      <c r="BX332" s="140"/>
      <c r="BY332" s="140"/>
      <c r="BZ332" s="140"/>
      <c r="CA332" s="140"/>
      <c r="CB332" s="140"/>
      <c r="CC332" s="140"/>
      <c r="CD332" s="140"/>
      <c r="CE332" s="140"/>
      <c r="CF332" s="140"/>
      <c r="CG332" s="140"/>
      <c r="CH332" s="140"/>
      <c r="CI332" s="140"/>
      <c r="CJ332" s="140"/>
      <c r="CK332" s="140"/>
      <c r="CL332" s="140"/>
      <c r="CM332" s="140"/>
      <c r="CN332" s="140"/>
      <c r="CO332" s="140"/>
      <c r="CP332" s="140"/>
      <c r="CQ332" s="140"/>
      <c r="CR332" s="140"/>
      <c r="CS332" s="140"/>
      <c r="CT332" s="140"/>
      <c r="CU332" s="140"/>
      <c r="CV332" s="140"/>
      <c r="CW332" s="140"/>
      <c r="CX332" s="140"/>
      <c r="CY332" s="140"/>
      <c r="CZ332" s="140"/>
      <c r="DA332" s="140"/>
      <c r="DB332" s="140"/>
      <c r="DC332" s="140"/>
      <c r="DD332" s="140"/>
      <c r="DE332" s="140"/>
      <c r="DF332" s="140"/>
      <c r="DG332" s="140"/>
      <c r="DH332" s="140"/>
      <c r="DI332" s="140"/>
    </row>
    <row r="333" spans="1:113" s="139" customForma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3"/>
      <c r="U333" s="143"/>
      <c r="V333" s="143"/>
      <c r="W333" s="143"/>
      <c r="X333" s="143"/>
      <c r="Y333" s="143"/>
      <c r="Z333" s="143"/>
      <c r="AA333" s="143"/>
      <c r="AC333" s="140"/>
      <c r="AD333" s="140"/>
      <c r="AE333" s="140"/>
      <c r="AF333" s="155"/>
      <c r="AG333" s="141"/>
      <c r="AH333" s="143"/>
      <c r="AI333" s="140"/>
      <c r="AJ333" s="140"/>
      <c r="AK333" s="140"/>
      <c r="AL333" s="140"/>
      <c r="AM333" s="140"/>
      <c r="AN333" s="140"/>
      <c r="AO333" s="140"/>
      <c r="AP333" s="140"/>
      <c r="AQ333" s="140"/>
      <c r="AR333" s="140"/>
      <c r="AS333" s="140"/>
      <c r="AT333" s="140"/>
      <c r="AU333" s="140"/>
      <c r="AV333" s="140"/>
      <c r="AW333" s="140"/>
      <c r="AX333" s="140"/>
      <c r="AY333" s="140"/>
      <c r="AZ333" s="140"/>
      <c r="BA333" s="140"/>
      <c r="BB333" s="140"/>
      <c r="BC333" s="140"/>
      <c r="BD333" s="140"/>
      <c r="BE333" s="140"/>
      <c r="BF333" s="140"/>
      <c r="BG333" s="140"/>
      <c r="BH333" s="140"/>
      <c r="BI333" s="140"/>
      <c r="BJ333" s="140"/>
      <c r="BK333" s="140"/>
      <c r="BL333" s="140"/>
      <c r="BM333" s="140"/>
      <c r="BN333" s="140"/>
      <c r="BO333" s="140"/>
      <c r="BP333" s="140"/>
      <c r="BQ333" s="140"/>
      <c r="BR333" s="140"/>
      <c r="BS333" s="140"/>
      <c r="BT333" s="140"/>
      <c r="BU333" s="140"/>
      <c r="BV333" s="140"/>
      <c r="BW333" s="140"/>
      <c r="BX333" s="140"/>
      <c r="BY333" s="140"/>
      <c r="BZ333" s="140"/>
      <c r="CA333" s="140"/>
      <c r="CB333" s="140"/>
      <c r="CC333" s="140"/>
      <c r="CD333" s="140"/>
      <c r="CE333" s="140"/>
      <c r="CF333" s="140"/>
      <c r="CG333" s="140"/>
      <c r="CH333" s="140"/>
      <c r="CI333" s="140"/>
      <c r="CJ333" s="140"/>
      <c r="CK333" s="140"/>
      <c r="CL333" s="140"/>
      <c r="CM333" s="140"/>
      <c r="CN333" s="140"/>
      <c r="CO333" s="140"/>
      <c r="CP333" s="140"/>
      <c r="CQ333" s="140"/>
      <c r="CR333" s="140"/>
      <c r="CS333" s="140"/>
      <c r="CT333" s="140"/>
      <c r="CU333" s="140"/>
      <c r="CV333" s="140"/>
      <c r="CW333" s="140"/>
      <c r="CX333" s="140"/>
      <c r="CY333" s="140"/>
      <c r="CZ333" s="140"/>
      <c r="DA333" s="140"/>
      <c r="DB333" s="140"/>
      <c r="DC333" s="140"/>
      <c r="DD333" s="140"/>
      <c r="DE333" s="140"/>
      <c r="DF333" s="140"/>
      <c r="DG333" s="140"/>
      <c r="DH333" s="140"/>
      <c r="DI333" s="140"/>
    </row>
    <row r="334" spans="1:113" s="139" customForma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3"/>
      <c r="U334" s="143"/>
      <c r="V334" s="143"/>
      <c r="W334" s="143"/>
      <c r="X334" s="143"/>
      <c r="Y334" s="143"/>
      <c r="Z334" s="143"/>
      <c r="AA334" s="143"/>
      <c r="AC334" s="140"/>
      <c r="AD334" s="140"/>
      <c r="AE334" s="140"/>
      <c r="AF334" s="155"/>
      <c r="AG334" s="141"/>
      <c r="AH334" s="143"/>
      <c r="AI334" s="140"/>
      <c r="AJ334" s="140"/>
      <c r="AK334" s="140"/>
      <c r="AL334" s="140"/>
      <c r="AM334" s="140"/>
      <c r="AN334" s="140"/>
      <c r="AO334" s="140"/>
      <c r="AP334" s="140"/>
      <c r="AQ334" s="140"/>
      <c r="AR334" s="140"/>
      <c r="AS334" s="140"/>
      <c r="AT334" s="140"/>
      <c r="AU334" s="140"/>
      <c r="AV334" s="140"/>
      <c r="AW334" s="140"/>
      <c r="AX334" s="140"/>
      <c r="AY334" s="140"/>
      <c r="AZ334" s="140"/>
      <c r="BA334" s="140"/>
      <c r="BB334" s="140"/>
      <c r="BC334" s="140"/>
      <c r="BD334" s="140"/>
      <c r="BE334" s="140"/>
      <c r="BF334" s="140"/>
      <c r="BG334" s="140"/>
      <c r="BH334" s="140"/>
      <c r="BI334" s="140"/>
      <c r="BJ334" s="140"/>
      <c r="BK334" s="140"/>
      <c r="BL334" s="140"/>
      <c r="BM334" s="140"/>
      <c r="BN334" s="140"/>
      <c r="BO334" s="140"/>
      <c r="BP334" s="140"/>
      <c r="BQ334" s="140"/>
      <c r="BR334" s="140"/>
      <c r="BS334" s="140"/>
      <c r="BT334" s="140"/>
      <c r="BU334" s="140"/>
      <c r="BV334" s="140"/>
      <c r="BW334" s="140"/>
      <c r="BX334" s="140"/>
      <c r="BY334" s="140"/>
      <c r="BZ334" s="140"/>
      <c r="CA334" s="140"/>
      <c r="CB334" s="140"/>
      <c r="CC334" s="140"/>
      <c r="CD334" s="140"/>
      <c r="CE334" s="140"/>
      <c r="CF334" s="140"/>
      <c r="CG334" s="140"/>
      <c r="CH334" s="140"/>
      <c r="CI334" s="140"/>
      <c r="CJ334" s="140"/>
      <c r="CK334" s="140"/>
      <c r="CL334" s="140"/>
      <c r="CM334" s="140"/>
      <c r="CN334" s="140"/>
      <c r="CO334" s="140"/>
      <c r="CP334" s="140"/>
      <c r="CQ334" s="140"/>
      <c r="CR334" s="140"/>
      <c r="CS334" s="140"/>
      <c r="CT334" s="140"/>
      <c r="CU334" s="140"/>
      <c r="CV334" s="140"/>
      <c r="CW334" s="140"/>
      <c r="CX334" s="140"/>
      <c r="CY334" s="140"/>
      <c r="CZ334" s="140"/>
      <c r="DA334" s="140"/>
      <c r="DB334" s="140"/>
      <c r="DC334" s="140"/>
      <c r="DD334" s="140"/>
      <c r="DE334" s="140"/>
      <c r="DF334" s="140"/>
      <c r="DG334" s="140"/>
      <c r="DH334" s="140"/>
      <c r="DI334" s="140"/>
    </row>
    <row r="335" spans="1:113" s="139" customForma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3"/>
      <c r="U335" s="143"/>
      <c r="V335" s="143"/>
      <c r="W335" s="143"/>
      <c r="X335" s="143"/>
      <c r="Y335" s="143"/>
      <c r="Z335" s="143"/>
      <c r="AA335" s="143"/>
      <c r="AC335" s="140"/>
      <c r="AD335" s="140"/>
      <c r="AE335" s="140"/>
      <c r="AF335" s="155"/>
      <c r="AG335" s="141"/>
      <c r="AH335" s="143"/>
      <c r="AI335" s="140"/>
      <c r="AJ335" s="140"/>
      <c r="AK335" s="140"/>
      <c r="AL335" s="140"/>
      <c r="AM335" s="140"/>
      <c r="AN335" s="140"/>
      <c r="AO335" s="140"/>
      <c r="AP335" s="140"/>
      <c r="AQ335" s="140"/>
      <c r="AR335" s="140"/>
      <c r="AS335" s="140"/>
      <c r="AT335" s="140"/>
      <c r="AU335" s="140"/>
      <c r="AV335" s="140"/>
      <c r="AW335" s="140"/>
      <c r="AX335" s="140"/>
      <c r="AY335" s="140"/>
      <c r="AZ335" s="140"/>
      <c r="BA335" s="140"/>
      <c r="BB335" s="140"/>
      <c r="BC335" s="140"/>
      <c r="BD335" s="140"/>
      <c r="BE335" s="140"/>
      <c r="BF335" s="140"/>
      <c r="BG335" s="140"/>
      <c r="BH335" s="140"/>
      <c r="BI335" s="140"/>
      <c r="BJ335" s="140"/>
      <c r="BK335" s="140"/>
      <c r="BL335" s="140"/>
      <c r="BM335" s="140"/>
      <c r="BN335" s="140"/>
      <c r="BO335" s="140"/>
      <c r="BP335" s="140"/>
      <c r="BQ335" s="140"/>
      <c r="BR335" s="140"/>
      <c r="BS335" s="140"/>
      <c r="BT335" s="140"/>
      <c r="BU335" s="140"/>
      <c r="BV335" s="140"/>
      <c r="BW335" s="140"/>
      <c r="BX335" s="140"/>
      <c r="BY335" s="140"/>
      <c r="BZ335" s="140"/>
      <c r="CA335" s="140"/>
      <c r="CB335" s="140"/>
      <c r="CC335" s="140"/>
      <c r="CD335" s="140"/>
      <c r="CE335" s="140"/>
      <c r="CF335" s="140"/>
      <c r="CG335" s="140"/>
      <c r="CH335" s="140"/>
      <c r="CI335" s="140"/>
      <c r="CJ335" s="140"/>
      <c r="CK335" s="140"/>
      <c r="CL335" s="140"/>
      <c r="CM335" s="140"/>
      <c r="CN335" s="140"/>
      <c r="CO335" s="140"/>
      <c r="CP335" s="140"/>
      <c r="CQ335" s="140"/>
      <c r="CR335" s="140"/>
      <c r="CS335" s="140"/>
      <c r="CT335" s="140"/>
      <c r="CU335" s="140"/>
      <c r="CV335" s="140"/>
      <c r="CW335" s="140"/>
      <c r="CX335" s="140"/>
      <c r="CY335" s="140"/>
      <c r="CZ335" s="140"/>
      <c r="DA335" s="140"/>
      <c r="DB335" s="140"/>
      <c r="DC335" s="140"/>
      <c r="DD335" s="140"/>
      <c r="DE335" s="140"/>
      <c r="DF335" s="140"/>
      <c r="DG335" s="140"/>
      <c r="DH335" s="140"/>
      <c r="DI335" s="140"/>
    </row>
    <row r="336" spans="1:113" s="139" customForma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3"/>
      <c r="U336" s="143"/>
      <c r="V336" s="143"/>
      <c r="W336" s="143"/>
      <c r="X336" s="143"/>
      <c r="Y336" s="143"/>
      <c r="Z336" s="143"/>
      <c r="AA336" s="143"/>
      <c r="AC336" s="140"/>
      <c r="AD336" s="140"/>
      <c r="AE336" s="140"/>
      <c r="AF336" s="155"/>
      <c r="AG336" s="141"/>
      <c r="AH336" s="143"/>
      <c r="AI336" s="140"/>
      <c r="AJ336" s="140"/>
      <c r="AK336" s="140"/>
      <c r="AL336" s="140"/>
      <c r="AM336" s="140"/>
      <c r="AN336" s="140"/>
      <c r="AO336" s="140"/>
      <c r="AP336" s="140"/>
      <c r="AQ336" s="140"/>
      <c r="AR336" s="140"/>
      <c r="AS336" s="140"/>
      <c r="AT336" s="140"/>
      <c r="AU336" s="140"/>
      <c r="AV336" s="140"/>
      <c r="AW336" s="140"/>
      <c r="AX336" s="140"/>
      <c r="AY336" s="140"/>
      <c r="AZ336" s="140"/>
      <c r="BA336" s="140"/>
      <c r="BB336" s="140"/>
      <c r="BC336" s="140"/>
      <c r="BD336" s="140"/>
      <c r="BE336" s="140"/>
      <c r="BF336" s="140"/>
      <c r="BG336" s="140"/>
      <c r="BH336" s="140"/>
      <c r="BI336" s="140"/>
      <c r="BJ336" s="140"/>
      <c r="BK336" s="140"/>
      <c r="BL336" s="140"/>
      <c r="BM336" s="140"/>
      <c r="BN336" s="140"/>
      <c r="BO336" s="140"/>
      <c r="BP336" s="140"/>
      <c r="BQ336" s="140"/>
      <c r="BR336" s="140"/>
      <c r="BS336" s="140"/>
      <c r="BT336" s="140"/>
      <c r="BU336" s="140"/>
      <c r="BV336" s="140"/>
      <c r="BW336" s="140"/>
      <c r="BX336" s="140"/>
      <c r="BY336" s="140"/>
      <c r="BZ336" s="140"/>
      <c r="CA336" s="140"/>
      <c r="CB336" s="140"/>
      <c r="CC336" s="140"/>
      <c r="CD336" s="140"/>
      <c r="CE336" s="140"/>
      <c r="CF336" s="140"/>
      <c r="CG336" s="140"/>
      <c r="CH336" s="140"/>
      <c r="CI336" s="140"/>
      <c r="CJ336" s="140"/>
      <c r="CK336" s="140"/>
      <c r="CL336" s="140"/>
      <c r="CM336" s="140"/>
      <c r="CN336" s="140"/>
      <c r="CO336" s="140"/>
      <c r="CP336" s="140"/>
      <c r="CQ336" s="140"/>
      <c r="CR336" s="140"/>
      <c r="CS336" s="140"/>
      <c r="CT336" s="140"/>
      <c r="CU336" s="140"/>
      <c r="CV336" s="140"/>
      <c r="CW336" s="140"/>
      <c r="CX336" s="140"/>
      <c r="CY336" s="140"/>
      <c r="CZ336" s="140"/>
      <c r="DA336" s="140"/>
      <c r="DB336" s="140"/>
      <c r="DC336" s="140"/>
      <c r="DD336" s="140"/>
      <c r="DE336" s="140"/>
      <c r="DF336" s="140"/>
      <c r="DG336" s="140"/>
      <c r="DH336" s="140"/>
      <c r="DI336" s="140"/>
    </row>
    <row r="337" spans="1:113" s="139" customForma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3"/>
      <c r="U337" s="143"/>
      <c r="V337" s="143"/>
      <c r="W337" s="143"/>
      <c r="X337" s="143"/>
      <c r="Y337" s="143"/>
      <c r="Z337" s="143"/>
      <c r="AA337" s="143"/>
      <c r="AC337" s="140"/>
      <c r="AD337" s="140"/>
      <c r="AE337" s="140"/>
      <c r="AF337" s="155"/>
      <c r="AG337" s="141"/>
      <c r="AH337" s="143"/>
      <c r="AI337" s="140"/>
      <c r="AJ337" s="140"/>
      <c r="AK337" s="140"/>
      <c r="AL337" s="140"/>
      <c r="AM337" s="140"/>
      <c r="AN337" s="140"/>
      <c r="AO337" s="140"/>
      <c r="AP337" s="140"/>
      <c r="AQ337" s="140"/>
      <c r="AR337" s="140"/>
      <c r="AS337" s="140"/>
      <c r="AT337" s="140"/>
      <c r="AU337" s="140"/>
      <c r="AV337" s="140"/>
      <c r="AW337" s="140"/>
      <c r="AX337" s="140"/>
      <c r="AY337" s="140"/>
      <c r="AZ337" s="140"/>
      <c r="BA337" s="140"/>
      <c r="BB337" s="140"/>
      <c r="BC337" s="140"/>
      <c r="BD337" s="140"/>
      <c r="BE337" s="140"/>
      <c r="BF337" s="140"/>
      <c r="BG337" s="140"/>
      <c r="BH337" s="140"/>
      <c r="BI337" s="140"/>
      <c r="BJ337" s="140"/>
      <c r="BK337" s="140"/>
      <c r="BL337" s="140"/>
      <c r="BM337" s="140"/>
      <c r="BN337" s="140"/>
      <c r="BO337" s="140"/>
      <c r="BP337" s="140"/>
      <c r="BQ337" s="140"/>
      <c r="BR337" s="140"/>
      <c r="BS337" s="140"/>
      <c r="BT337" s="140"/>
      <c r="BU337" s="140"/>
      <c r="BV337" s="140"/>
      <c r="BW337" s="140"/>
      <c r="BX337" s="140"/>
      <c r="BY337" s="140"/>
      <c r="BZ337" s="140"/>
      <c r="CA337" s="140"/>
      <c r="CB337" s="140"/>
      <c r="CC337" s="140"/>
      <c r="CD337" s="140"/>
      <c r="CE337" s="140"/>
      <c r="CF337" s="140"/>
      <c r="CG337" s="140"/>
      <c r="CH337" s="140"/>
      <c r="CI337" s="140"/>
      <c r="CJ337" s="140"/>
      <c r="CK337" s="140"/>
      <c r="CL337" s="140"/>
      <c r="CM337" s="140"/>
      <c r="CN337" s="140"/>
      <c r="CO337" s="140"/>
      <c r="CP337" s="140"/>
      <c r="CQ337" s="140"/>
      <c r="CR337" s="140"/>
      <c r="CS337" s="140"/>
      <c r="CT337" s="140"/>
      <c r="CU337" s="140"/>
      <c r="CV337" s="140"/>
      <c r="CW337" s="140"/>
      <c r="CX337" s="140"/>
      <c r="CY337" s="140"/>
      <c r="CZ337" s="140"/>
      <c r="DA337" s="140"/>
      <c r="DB337" s="140"/>
      <c r="DC337" s="140"/>
      <c r="DD337" s="140"/>
      <c r="DE337" s="140"/>
      <c r="DF337" s="140"/>
      <c r="DG337" s="140"/>
      <c r="DH337" s="140"/>
      <c r="DI337" s="140"/>
    </row>
    <row r="338" spans="1:113" s="139" customForma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3"/>
      <c r="U338" s="143"/>
      <c r="V338" s="143"/>
      <c r="W338" s="143"/>
      <c r="X338" s="143"/>
      <c r="Y338" s="143"/>
      <c r="Z338" s="143"/>
      <c r="AA338" s="143"/>
      <c r="AC338" s="140"/>
      <c r="AD338" s="140"/>
      <c r="AE338" s="140"/>
      <c r="AF338" s="155"/>
      <c r="AG338" s="141"/>
      <c r="AH338" s="143"/>
      <c r="AI338" s="140"/>
      <c r="AJ338" s="140"/>
      <c r="AK338" s="140"/>
      <c r="AL338" s="140"/>
      <c r="AM338" s="140"/>
      <c r="AN338" s="140"/>
      <c r="AO338" s="140"/>
      <c r="AP338" s="140"/>
      <c r="AQ338" s="140"/>
      <c r="AR338" s="140"/>
      <c r="AS338" s="140"/>
      <c r="AT338" s="140"/>
      <c r="AU338" s="140"/>
      <c r="AV338" s="140"/>
      <c r="AW338" s="140"/>
      <c r="AX338" s="140"/>
      <c r="AY338" s="140"/>
      <c r="AZ338" s="140"/>
      <c r="BA338" s="140"/>
      <c r="BB338" s="140"/>
      <c r="BC338" s="140"/>
      <c r="BD338" s="140"/>
      <c r="BE338" s="140"/>
      <c r="BF338" s="140"/>
      <c r="BG338" s="140"/>
      <c r="BH338" s="140"/>
      <c r="BI338" s="140"/>
      <c r="BJ338" s="140"/>
      <c r="BK338" s="140"/>
      <c r="BL338" s="140"/>
      <c r="BM338" s="140"/>
      <c r="BN338" s="140"/>
      <c r="BO338" s="140"/>
      <c r="BP338" s="140"/>
      <c r="BQ338" s="140"/>
      <c r="BR338" s="140"/>
      <c r="BS338" s="140"/>
      <c r="BT338" s="140"/>
      <c r="BU338" s="140"/>
      <c r="BV338" s="140"/>
      <c r="BW338" s="140"/>
      <c r="BX338" s="140"/>
      <c r="BY338" s="140"/>
      <c r="BZ338" s="140"/>
      <c r="CA338" s="140"/>
      <c r="CB338" s="140"/>
      <c r="CC338" s="140"/>
      <c r="CD338" s="140"/>
      <c r="CE338" s="140"/>
      <c r="CF338" s="140"/>
      <c r="CG338" s="140"/>
      <c r="CH338" s="140"/>
      <c r="CI338" s="140"/>
      <c r="CJ338" s="140"/>
      <c r="CK338" s="140"/>
      <c r="CL338" s="140"/>
      <c r="CM338" s="140"/>
      <c r="CN338" s="140"/>
      <c r="CO338" s="140"/>
      <c r="CP338" s="140"/>
      <c r="CQ338" s="140"/>
      <c r="CR338" s="140"/>
      <c r="CS338" s="140"/>
      <c r="CT338" s="140"/>
      <c r="CU338" s="140"/>
      <c r="CV338" s="140"/>
      <c r="CW338" s="140"/>
      <c r="CX338" s="140"/>
      <c r="CY338" s="140"/>
      <c r="CZ338" s="140"/>
      <c r="DA338" s="140"/>
      <c r="DB338" s="140"/>
      <c r="DC338" s="140"/>
      <c r="DD338" s="140"/>
      <c r="DE338" s="140"/>
      <c r="DF338" s="140"/>
      <c r="DG338" s="140"/>
      <c r="DH338" s="140"/>
      <c r="DI338" s="140"/>
    </row>
    <row r="339" spans="1:113" s="139" customForma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3"/>
      <c r="U339" s="143"/>
      <c r="V339" s="143"/>
      <c r="W339" s="143"/>
      <c r="X339" s="143"/>
      <c r="Y339" s="143"/>
      <c r="Z339" s="143"/>
      <c r="AA339" s="143"/>
      <c r="AC339" s="140"/>
      <c r="AD339" s="140"/>
      <c r="AE339" s="140"/>
      <c r="AF339" s="155"/>
      <c r="AG339" s="141"/>
      <c r="AH339" s="143"/>
      <c r="AI339" s="140"/>
      <c r="AJ339" s="140"/>
      <c r="AK339" s="140"/>
      <c r="AL339" s="140"/>
      <c r="AM339" s="140"/>
      <c r="AN339" s="140"/>
      <c r="AO339" s="140"/>
      <c r="AP339" s="140"/>
      <c r="AQ339" s="140"/>
      <c r="AR339" s="140"/>
      <c r="AS339" s="140"/>
      <c r="AT339" s="140"/>
      <c r="AU339" s="140"/>
      <c r="AV339" s="140"/>
      <c r="AW339" s="140"/>
      <c r="AX339" s="140"/>
      <c r="AY339" s="140"/>
      <c r="AZ339" s="140"/>
      <c r="BA339" s="140"/>
      <c r="BB339" s="140"/>
      <c r="BC339" s="140"/>
      <c r="BD339" s="140"/>
      <c r="BE339" s="140"/>
      <c r="BF339" s="140"/>
      <c r="BG339" s="140"/>
      <c r="BH339" s="140"/>
      <c r="BI339" s="140"/>
      <c r="BJ339" s="140"/>
      <c r="BK339" s="140"/>
      <c r="BL339" s="140"/>
      <c r="BM339" s="140"/>
      <c r="BN339" s="140"/>
      <c r="BO339" s="140"/>
      <c r="BP339" s="140"/>
      <c r="BQ339" s="140"/>
      <c r="BR339" s="140"/>
      <c r="BS339" s="140"/>
      <c r="BT339" s="140"/>
      <c r="BU339" s="140"/>
      <c r="BV339" s="140"/>
      <c r="BW339" s="140"/>
      <c r="BX339" s="140"/>
      <c r="BY339" s="140"/>
      <c r="BZ339" s="140"/>
      <c r="CA339" s="140"/>
      <c r="CB339" s="140"/>
      <c r="CC339" s="140"/>
      <c r="CD339" s="140"/>
      <c r="CE339" s="140"/>
      <c r="CF339" s="140"/>
      <c r="CG339" s="140"/>
      <c r="CH339" s="140"/>
      <c r="CI339" s="140"/>
      <c r="CJ339" s="140"/>
      <c r="CK339" s="140"/>
      <c r="CL339" s="140"/>
      <c r="CM339" s="140"/>
      <c r="CN339" s="140"/>
      <c r="CO339" s="140"/>
      <c r="CP339" s="140"/>
      <c r="CQ339" s="140"/>
      <c r="CR339" s="140"/>
      <c r="CS339" s="140"/>
      <c r="CT339" s="140"/>
      <c r="CU339" s="140"/>
      <c r="CV339" s="140"/>
      <c r="CW339" s="140"/>
      <c r="CX339" s="140"/>
      <c r="CY339" s="140"/>
      <c r="CZ339" s="140"/>
      <c r="DA339" s="140"/>
      <c r="DB339" s="140"/>
      <c r="DC339" s="140"/>
      <c r="DD339" s="140"/>
      <c r="DE339" s="140"/>
      <c r="DF339" s="140"/>
      <c r="DG339" s="140"/>
      <c r="DH339" s="140"/>
      <c r="DI339" s="140"/>
    </row>
    <row r="340" spans="1:113" s="139" customForma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3"/>
      <c r="U340" s="143"/>
      <c r="V340" s="143"/>
      <c r="W340" s="143"/>
      <c r="X340" s="143"/>
      <c r="Y340" s="143"/>
      <c r="Z340" s="143"/>
      <c r="AA340" s="143"/>
      <c r="AC340" s="140"/>
      <c r="AD340" s="140"/>
      <c r="AE340" s="140"/>
      <c r="AF340" s="155"/>
      <c r="AG340" s="141"/>
      <c r="AH340" s="143"/>
      <c r="AI340" s="140"/>
      <c r="AJ340" s="140"/>
      <c r="AK340" s="140"/>
      <c r="AL340" s="140"/>
      <c r="AM340" s="140"/>
      <c r="AN340" s="140"/>
      <c r="AO340" s="140"/>
      <c r="AP340" s="140"/>
      <c r="AQ340" s="140"/>
      <c r="AR340" s="140"/>
      <c r="AS340" s="140"/>
      <c r="AT340" s="140"/>
      <c r="AU340" s="140"/>
      <c r="AV340" s="140"/>
      <c r="AW340" s="140"/>
      <c r="AX340" s="140"/>
      <c r="AY340" s="140"/>
      <c r="AZ340" s="140"/>
      <c r="BA340" s="140"/>
      <c r="BB340" s="140"/>
      <c r="BC340" s="140"/>
      <c r="BD340" s="140"/>
      <c r="BE340" s="140"/>
      <c r="BF340" s="140"/>
      <c r="BG340" s="140"/>
      <c r="BH340" s="140"/>
      <c r="BI340" s="140"/>
      <c r="BJ340" s="140"/>
      <c r="BK340" s="140"/>
      <c r="BL340" s="140"/>
      <c r="BM340" s="140"/>
      <c r="BN340" s="140"/>
      <c r="BO340" s="140"/>
      <c r="BP340" s="140"/>
      <c r="BQ340" s="140"/>
      <c r="BR340" s="140"/>
      <c r="BS340" s="140"/>
      <c r="BT340" s="140"/>
      <c r="BU340" s="140"/>
      <c r="BV340" s="140"/>
      <c r="BW340" s="140"/>
      <c r="BX340" s="140"/>
      <c r="BY340" s="140"/>
      <c r="BZ340" s="140"/>
      <c r="CA340" s="140"/>
      <c r="CB340" s="140"/>
      <c r="CC340" s="140"/>
      <c r="CD340" s="140"/>
      <c r="CE340" s="140"/>
      <c r="CF340" s="140"/>
      <c r="CG340" s="140"/>
      <c r="CH340" s="140"/>
      <c r="CI340" s="140"/>
      <c r="CJ340" s="140"/>
      <c r="CK340" s="140"/>
      <c r="CL340" s="140"/>
      <c r="CM340" s="140"/>
      <c r="CN340" s="140"/>
      <c r="CO340" s="140"/>
      <c r="CP340" s="140"/>
      <c r="CQ340" s="140"/>
      <c r="CR340" s="140"/>
      <c r="CS340" s="140"/>
      <c r="CT340" s="140"/>
      <c r="CU340" s="140"/>
      <c r="CV340" s="140"/>
      <c r="CW340" s="140"/>
      <c r="CX340" s="140"/>
      <c r="CY340" s="140"/>
      <c r="CZ340" s="140"/>
      <c r="DA340" s="140"/>
      <c r="DB340" s="140"/>
      <c r="DC340" s="140"/>
      <c r="DD340" s="140"/>
      <c r="DE340" s="140"/>
      <c r="DF340" s="140"/>
      <c r="DG340" s="140"/>
      <c r="DH340" s="140"/>
      <c r="DI340" s="140"/>
    </row>
    <row r="341" spans="1:113" s="139" customForma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3"/>
      <c r="U341" s="143"/>
      <c r="V341" s="143"/>
      <c r="W341" s="143"/>
      <c r="X341" s="143"/>
      <c r="Y341" s="143"/>
      <c r="Z341" s="143"/>
      <c r="AA341" s="143"/>
      <c r="AC341" s="140"/>
      <c r="AD341" s="140"/>
      <c r="AE341" s="140"/>
      <c r="AF341" s="155"/>
      <c r="AG341" s="141"/>
      <c r="AH341" s="143"/>
      <c r="AI341" s="140"/>
      <c r="AJ341" s="140"/>
      <c r="AK341" s="140"/>
      <c r="AL341" s="140"/>
      <c r="AM341" s="140"/>
      <c r="AN341" s="140"/>
      <c r="AO341" s="140"/>
      <c r="AP341" s="140"/>
      <c r="AQ341" s="140"/>
      <c r="AR341" s="140"/>
      <c r="AS341" s="140"/>
      <c r="AT341" s="140"/>
      <c r="AU341" s="140"/>
      <c r="AV341" s="140"/>
      <c r="AW341" s="140"/>
      <c r="AX341" s="140"/>
      <c r="AY341" s="140"/>
      <c r="AZ341" s="140"/>
      <c r="BA341" s="140"/>
      <c r="BB341" s="140"/>
      <c r="BC341" s="140"/>
      <c r="BD341" s="140"/>
      <c r="BE341" s="140"/>
      <c r="BF341" s="140"/>
      <c r="BG341" s="140"/>
      <c r="BH341" s="140"/>
      <c r="BI341" s="140"/>
      <c r="BJ341" s="140"/>
      <c r="BK341" s="140"/>
      <c r="BL341" s="140"/>
      <c r="BM341" s="140"/>
      <c r="BN341" s="140"/>
      <c r="BO341" s="140"/>
      <c r="BP341" s="140"/>
      <c r="BQ341" s="140"/>
      <c r="BR341" s="140"/>
      <c r="BS341" s="140"/>
      <c r="BT341" s="140"/>
      <c r="BU341" s="140"/>
      <c r="BV341" s="140"/>
      <c r="BW341" s="140"/>
      <c r="BX341" s="140"/>
      <c r="BY341" s="140"/>
      <c r="BZ341" s="140"/>
      <c r="CA341" s="140"/>
      <c r="CB341" s="140"/>
      <c r="CC341" s="140"/>
      <c r="CD341" s="140"/>
      <c r="CE341" s="140"/>
      <c r="CF341" s="140"/>
      <c r="CG341" s="140"/>
      <c r="CH341" s="140"/>
      <c r="CI341" s="140"/>
      <c r="CJ341" s="140"/>
      <c r="CK341" s="140"/>
      <c r="CL341" s="140"/>
      <c r="CM341" s="140"/>
      <c r="CN341" s="140"/>
      <c r="CO341" s="140"/>
      <c r="CP341" s="140"/>
      <c r="CQ341" s="140"/>
      <c r="CR341" s="140"/>
      <c r="CS341" s="140"/>
      <c r="CT341" s="140"/>
      <c r="CU341" s="140"/>
      <c r="CV341" s="140"/>
      <c r="CW341" s="140"/>
      <c r="CX341" s="140"/>
      <c r="CY341" s="140"/>
      <c r="CZ341" s="140"/>
      <c r="DA341" s="140"/>
      <c r="DB341" s="140"/>
      <c r="DC341" s="140"/>
      <c r="DD341" s="140"/>
      <c r="DE341" s="140"/>
      <c r="DF341" s="140"/>
      <c r="DG341" s="140"/>
      <c r="DH341" s="140"/>
      <c r="DI341" s="140"/>
    </row>
    <row r="342" spans="1:113" s="139" customForma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3"/>
      <c r="U342" s="143"/>
      <c r="V342" s="143"/>
      <c r="W342" s="143"/>
      <c r="X342" s="143"/>
      <c r="Y342" s="143"/>
      <c r="Z342" s="143"/>
      <c r="AA342" s="143"/>
      <c r="AC342" s="140"/>
      <c r="AD342" s="140"/>
      <c r="AE342" s="140"/>
      <c r="AF342" s="155"/>
      <c r="AG342" s="141"/>
      <c r="AH342" s="143"/>
      <c r="AI342" s="140"/>
      <c r="AJ342" s="140"/>
      <c r="AK342" s="140"/>
      <c r="AL342" s="140"/>
      <c r="AM342" s="140"/>
      <c r="AN342" s="140"/>
      <c r="AO342" s="140"/>
      <c r="AP342" s="140"/>
      <c r="AQ342" s="140"/>
      <c r="AR342" s="140"/>
      <c r="AS342" s="140"/>
      <c r="AT342" s="140"/>
      <c r="AU342" s="140"/>
      <c r="AV342" s="140"/>
      <c r="AW342" s="140"/>
      <c r="AX342" s="140"/>
      <c r="AY342" s="140"/>
      <c r="AZ342" s="140"/>
      <c r="BA342" s="140"/>
      <c r="BB342" s="140"/>
      <c r="BC342" s="140"/>
      <c r="BD342" s="140"/>
      <c r="BE342" s="140"/>
      <c r="BF342" s="140"/>
      <c r="BG342" s="140"/>
      <c r="BH342" s="140"/>
      <c r="BI342" s="140"/>
      <c r="BJ342" s="140"/>
      <c r="BK342" s="140"/>
      <c r="BL342" s="140"/>
      <c r="BM342" s="140"/>
      <c r="BN342" s="140"/>
      <c r="BO342" s="140"/>
      <c r="BP342" s="140"/>
      <c r="BQ342" s="140"/>
      <c r="BR342" s="140"/>
      <c r="BS342" s="140"/>
      <c r="BT342" s="140"/>
      <c r="BU342" s="140"/>
      <c r="BV342" s="140"/>
      <c r="BW342" s="140"/>
      <c r="BX342" s="140"/>
      <c r="BY342" s="140"/>
      <c r="BZ342" s="140"/>
      <c r="CA342" s="140"/>
      <c r="CB342" s="140"/>
      <c r="CC342" s="140"/>
      <c r="CD342" s="140"/>
      <c r="CE342" s="140"/>
      <c r="CF342" s="140"/>
      <c r="CG342" s="140"/>
      <c r="CH342" s="140"/>
      <c r="CI342" s="140"/>
      <c r="CJ342" s="140"/>
      <c r="CK342" s="140"/>
      <c r="CL342" s="140"/>
      <c r="CM342" s="140"/>
      <c r="CN342" s="140"/>
      <c r="CO342" s="140"/>
      <c r="CP342" s="140"/>
      <c r="CQ342" s="140"/>
      <c r="CR342" s="140"/>
      <c r="CS342" s="140"/>
      <c r="CT342" s="140"/>
      <c r="CU342" s="140"/>
      <c r="CV342" s="140"/>
      <c r="CW342" s="140"/>
      <c r="CX342" s="140"/>
      <c r="CY342" s="140"/>
      <c r="CZ342" s="140"/>
      <c r="DA342" s="140"/>
      <c r="DB342" s="140"/>
      <c r="DC342" s="140"/>
      <c r="DD342" s="140"/>
      <c r="DE342" s="140"/>
      <c r="DF342" s="140"/>
      <c r="DG342" s="140"/>
      <c r="DH342" s="140"/>
      <c r="DI342" s="140"/>
    </row>
    <row r="343" spans="1:113" s="139" customForma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3"/>
      <c r="U343" s="143"/>
      <c r="V343" s="143"/>
      <c r="W343" s="143"/>
      <c r="X343" s="143"/>
      <c r="Y343" s="143"/>
      <c r="Z343" s="143"/>
      <c r="AA343" s="143"/>
      <c r="AC343" s="140"/>
      <c r="AD343" s="140"/>
      <c r="AE343" s="140"/>
      <c r="AF343" s="155"/>
      <c r="AG343" s="141"/>
      <c r="AH343" s="143"/>
      <c r="AI343" s="140"/>
      <c r="AJ343" s="140"/>
      <c r="AK343" s="140"/>
      <c r="AL343" s="140"/>
      <c r="AM343" s="140"/>
      <c r="AN343" s="140"/>
      <c r="AO343" s="140"/>
      <c r="AP343" s="140"/>
      <c r="AQ343" s="140"/>
      <c r="AR343" s="140"/>
      <c r="AS343" s="140"/>
      <c r="AT343" s="140"/>
      <c r="AU343" s="140"/>
      <c r="AV343" s="140"/>
      <c r="AW343" s="140"/>
      <c r="AX343" s="140"/>
      <c r="AY343" s="140"/>
      <c r="AZ343" s="140"/>
      <c r="BA343" s="140"/>
      <c r="BB343" s="140"/>
      <c r="BC343" s="140"/>
      <c r="BD343" s="140"/>
      <c r="BE343" s="140"/>
      <c r="BF343" s="140"/>
      <c r="BG343" s="140"/>
      <c r="BH343" s="140"/>
      <c r="BI343" s="140"/>
      <c r="BJ343" s="140"/>
      <c r="BK343" s="140"/>
      <c r="BL343" s="140"/>
      <c r="BM343" s="140"/>
      <c r="BN343" s="140"/>
      <c r="BO343" s="140"/>
      <c r="BP343" s="140"/>
      <c r="BQ343" s="140"/>
      <c r="BR343" s="140"/>
      <c r="BS343" s="140"/>
      <c r="BT343" s="140"/>
      <c r="BU343" s="140"/>
      <c r="BV343" s="140"/>
      <c r="BW343" s="140"/>
      <c r="BX343" s="140"/>
      <c r="BY343" s="140"/>
      <c r="BZ343" s="140"/>
      <c r="CA343" s="140"/>
      <c r="CB343" s="140"/>
      <c r="CC343" s="140"/>
      <c r="CD343" s="140"/>
      <c r="CE343" s="140"/>
      <c r="CF343" s="140"/>
      <c r="CG343" s="140"/>
      <c r="CH343" s="140"/>
      <c r="CI343" s="140"/>
      <c r="CJ343" s="140"/>
      <c r="CK343" s="140"/>
      <c r="CL343" s="140"/>
      <c r="CM343" s="140"/>
      <c r="CN343" s="140"/>
      <c r="CO343" s="140"/>
      <c r="CP343" s="140"/>
      <c r="CQ343" s="140"/>
      <c r="CR343" s="140"/>
      <c r="CS343" s="140"/>
      <c r="CT343" s="140"/>
      <c r="CU343" s="140"/>
      <c r="CV343" s="140"/>
      <c r="CW343" s="140"/>
      <c r="CX343" s="140"/>
      <c r="CY343" s="140"/>
      <c r="CZ343" s="140"/>
      <c r="DA343" s="140"/>
      <c r="DB343" s="140"/>
      <c r="DC343" s="140"/>
      <c r="DD343" s="140"/>
      <c r="DE343" s="140"/>
      <c r="DF343" s="140"/>
      <c r="DG343" s="140"/>
      <c r="DH343" s="140"/>
      <c r="DI343" s="140"/>
    </row>
    <row r="344" spans="1:113" s="139" customForma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3"/>
      <c r="U344" s="143"/>
      <c r="V344" s="143"/>
      <c r="W344" s="143"/>
      <c r="X344" s="143"/>
      <c r="Y344" s="143"/>
      <c r="Z344" s="143"/>
      <c r="AA344" s="143"/>
      <c r="AC344" s="140"/>
      <c r="AD344" s="140"/>
      <c r="AE344" s="140"/>
      <c r="AF344" s="155"/>
      <c r="AG344" s="141"/>
      <c r="AH344" s="143"/>
      <c r="AI344" s="140"/>
      <c r="AJ344" s="140"/>
      <c r="AK344" s="140"/>
      <c r="AL344" s="140"/>
      <c r="AM344" s="140"/>
      <c r="AN344" s="140"/>
      <c r="AO344" s="140"/>
      <c r="AP344" s="140"/>
      <c r="AQ344" s="140"/>
      <c r="AR344" s="140"/>
      <c r="AS344" s="140"/>
      <c r="AT344" s="140"/>
      <c r="AU344" s="140"/>
      <c r="AV344" s="140"/>
      <c r="AW344" s="140"/>
      <c r="AX344" s="140"/>
      <c r="AY344" s="140"/>
      <c r="AZ344" s="140"/>
      <c r="BA344" s="140"/>
      <c r="BB344" s="140"/>
      <c r="BC344" s="140"/>
      <c r="BD344" s="140"/>
      <c r="BE344" s="140"/>
      <c r="BF344" s="140"/>
      <c r="BG344" s="140"/>
      <c r="BH344" s="140"/>
      <c r="BI344" s="140"/>
      <c r="BJ344" s="140"/>
      <c r="BK344" s="140"/>
      <c r="BL344" s="140"/>
      <c r="BM344" s="140"/>
      <c r="BN344" s="140"/>
      <c r="BO344" s="140"/>
      <c r="BP344" s="140"/>
      <c r="BQ344" s="140"/>
      <c r="BR344" s="140"/>
      <c r="BS344" s="140"/>
      <c r="BT344" s="140"/>
      <c r="BU344" s="140"/>
      <c r="BV344" s="140"/>
      <c r="BW344" s="140"/>
      <c r="BX344" s="140"/>
      <c r="BY344" s="140"/>
      <c r="BZ344" s="140"/>
      <c r="CA344" s="140"/>
      <c r="CB344" s="140"/>
      <c r="CC344" s="140"/>
      <c r="CD344" s="140"/>
      <c r="CE344" s="140"/>
      <c r="CF344" s="140"/>
      <c r="CG344" s="140"/>
      <c r="CH344" s="140"/>
      <c r="CI344" s="140"/>
      <c r="CJ344" s="140"/>
      <c r="CK344" s="140"/>
      <c r="CL344" s="140"/>
      <c r="CM344" s="140"/>
      <c r="CN344" s="140"/>
      <c r="CO344" s="140"/>
      <c r="CP344" s="140"/>
      <c r="CQ344" s="140"/>
      <c r="CR344" s="140"/>
      <c r="CS344" s="140"/>
      <c r="CT344" s="140"/>
      <c r="CU344" s="140"/>
      <c r="CV344" s="140"/>
      <c r="CW344" s="140"/>
      <c r="CX344" s="140"/>
      <c r="CY344" s="140"/>
      <c r="CZ344" s="140"/>
      <c r="DA344" s="140"/>
      <c r="DB344" s="140"/>
      <c r="DC344" s="140"/>
      <c r="DD344" s="140"/>
      <c r="DE344" s="140"/>
      <c r="DF344" s="140"/>
      <c r="DG344" s="140"/>
      <c r="DH344" s="140"/>
      <c r="DI344" s="140"/>
    </row>
    <row r="345" spans="1:113" s="139" customForma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3"/>
      <c r="U345" s="143"/>
      <c r="V345" s="143"/>
      <c r="W345" s="143"/>
      <c r="X345" s="143"/>
      <c r="Y345" s="143"/>
      <c r="Z345" s="143"/>
      <c r="AA345" s="143"/>
      <c r="AC345" s="140"/>
      <c r="AD345" s="140"/>
      <c r="AE345" s="140"/>
      <c r="AF345" s="155"/>
      <c r="AG345" s="141"/>
      <c r="AH345" s="143"/>
      <c r="AI345" s="140"/>
      <c r="AJ345" s="140"/>
      <c r="AK345" s="140"/>
      <c r="AL345" s="140"/>
      <c r="AM345" s="140"/>
      <c r="AN345" s="140"/>
      <c r="AO345" s="140"/>
      <c r="AP345" s="140"/>
      <c r="AQ345" s="140"/>
      <c r="AR345" s="140"/>
      <c r="AS345" s="140"/>
      <c r="AT345" s="140"/>
      <c r="AU345" s="140"/>
      <c r="AV345" s="140"/>
      <c r="AW345" s="140"/>
      <c r="AX345" s="140"/>
      <c r="AY345" s="140"/>
      <c r="AZ345" s="140"/>
      <c r="BA345" s="140"/>
      <c r="BB345" s="140"/>
      <c r="BC345" s="140"/>
      <c r="BD345" s="140"/>
      <c r="BE345" s="140"/>
      <c r="BF345" s="140"/>
      <c r="BG345" s="140"/>
      <c r="BH345" s="140"/>
      <c r="BI345" s="140"/>
      <c r="BJ345" s="140"/>
      <c r="BK345" s="140"/>
      <c r="BL345" s="140"/>
      <c r="BM345" s="140"/>
      <c r="BN345" s="140"/>
      <c r="BO345" s="140"/>
      <c r="BP345" s="140"/>
      <c r="BQ345" s="140"/>
      <c r="BR345" s="140"/>
      <c r="BS345" s="140"/>
      <c r="BT345" s="140"/>
      <c r="BU345" s="140"/>
      <c r="BV345" s="140"/>
      <c r="BW345" s="140"/>
      <c r="BX345" s="140"/>
      <c r="BY345" s="140"/>
      <c r="BZ345" s="140"/>
      <c r="CA345" s="140"/>
      <c r="CB345" s="140"/>
      <c r="CC345" s="140"/>
      <c r="CD345" s="140"/>
      <c r="CE345" s="140"/>
      <c r="CF345" s="140"/>
      <c r="CG345" s="140"/>
      <c r="CH345" s="140"/>
      <c r="CI345" s="140"/>
      <c r="CJ345" s="140"/>
      <c r="CK345" s="140"/>
      <c r="CL345" s="140"/>
      <c r="CM345" s="140"/>
      <c r="CN345" s="140"/>
      <c r="CO345" s="140"/>
      <c r="CP345" s="140"/>
      <c r="CQ345" s="140"/>
      <c r="CR345" s="140"/>
      <c r="CS345" s="140"/>
      <c r="CT345" s="140"/>
      <c r="CU345" s="140"/>
      <c r="CV345" s="140"/>
      <c r="CW345" s="140"/>
      <c r="CX345" s="140"/>
      <c r="CY345" s="140"/>
      <c r="CZ345" s="140"/>
      <c r="DA345" s="140"/>
      <c r="DB345" s="140"/>
      <c r="DC345" s="140"/>
      <c r="DD345" s="140"/>
      <c r="DE345" s="140"/>
      <c r="DF345" s="140"/>
      <c r="DG345" s="140"/>
      <c r="DH345" s="140"/>
      <c r="DI345" s="140"/>
    </row>
    <row r="346" spans="1:113" s="139" customForma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3"/>
      <c r="U346" s="143"/>
      <c r="V346" s="143"/>
      <c r="W346" s="143"/>
      <c r="X346" s="143"/>
      <c r="Y346" s="143"/>
      <c r="Z346" s="143"/>
      <c r="AA346" s="143"/>
      <c r="AC346" s="140"/>
      <c r="AD346" s="140"/>
      <c r="AE346" s="140"/>
      <c r="AF346" s="155"/>
      <c r="AG346" s="141"/>
      <c r="AH346" s="143"/>
      <c r="AI346" s="140"/>
      <c r="AJ346" s="140"/>
      <c r="AK346" s="140"/>
      <c r="AL346" s="140"/>
      <c r="AM346" s="140"/>
      <c r="AN346" s="140"/>
      <c r="AO346" s="140"/>
      <c r="AP346" s="140"/>
      <c r="AQ346" s="140"/>
      <c r="AR346" s="140"/>
      <c r="AS346" s="140"/>
      <c r="AT346" s="140"/>
      <c r="AU346" s="140"/>
      <c r="AV346" s="140"/>
      <c r="AW346" s="140"/>
      <c r="AX346" s="140"/>
      <c r="AY346" s="140"/>
      <c r="AZ346" s="140"/>
      <c r="BA346" s="140"/>
      <c r="BB346" s="140"/>
      <c r="BC346" s="140"/>
      <c r="BD346" s="140"/>
      <c r="BE346" s="140"/>
      <c r="BF346" s="140"/>
      <c r="BG346" s="140"/>
      <c r="BH346" s="140"/>
      <c r="BI346" s="140"/>
      <c r="BJ346" s="140"/>
      <c r="BK346" s="140"/>
      <c r="BL346" s="140"/>
      <c r="BM346" s="140"/>
      <c r="BN346" s="140"/>
      <c r="BO346" s="140"/>
      <c r="BP346" s="140"/>
      <c r="BQ346" s="140"/>
      <c r="BR346" s="140"/>
      <c r="BS346" s="140"/>
      <c r="BT346" s="140"/>
      <c r="BU346" s="140"/>
      <c r="BV346" s="140"/>
      <c r="BW346" s="140"/>
      <c r="BX346" s="140"/>
      <c r="BY346" s="140"/>
      <c r="BZ346" s="140"/>
      <c r="CA346" s="140"/>
      <c r="CB346" s="140"/>
      <c r="CC346" s="140"/>
      <c r="CD346" s="140"/>
      <c r="CE346" s="140"/>
      <c r="CF346" s="140"/>
      <c r="CG346" s="140"/>
      <c r="CH346" s="140"/>
      <c r="CI346" s="140"/>
      <c r="CJ346" s="140"/>
      <c r="CK346" s="140"/>
      <c r="CL346" s="140"/>
      <c r="CM346" s="140"/>
      <c r="CN346" s="140"/>
      <c r="CO346" s="140"/>
      <c r="CP346" s="140"/>
      <c r="CQ346" s="140"/>
      <c r="CR346" s="140"/>
      <c r="CS346" s="140"/>
      <c r="CT346" s="140"/>
      <c r="CU346" s="140"/>
      <c r="CV346" s="140"/>
      <c r="CW346" s="140"/>
      <c r="CX346" s="140"/>
      <c r="CY346" s="140"/>
      <c r="CZ346" s="140"/>
      <c r="DA346" s="140"/>
      <c r="DB346" s="140"/>
      <c r="DC346" s="140"/>
      <c r="DD346" s="140"/>
      <c r="DE346" s="140"/>
      <c r="DF346" s="140"/>
      <c r="DG346" s="140"/>
      <c r="DH346" s="140"/>
      <c r="DI346" s="140"/>
    </row>
    <row r="347" spans="1:113" s="139" customForma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3"/>
      <c r="U347" s="143"/>
      <c r="V347" s="143"/>
      <c r="W347" s="143"/>
      <c r="X347" s="143"/>
      <c r="Y347" s="143"/>
      <c r="Z347" s="143"/>
      <c r="AA347" s="143"/>
      <c r="AC347" s="140"/>
      <c r="AD347" s="140"/>
      <c r="AE347" s="140"/>
      <c r="AF347" s="155"/>
      <c r="AG347" s="141"/>
      <c r="AH347" s="143"/>
      <c r="AI347" s="140"/>
      <c r="AJ347" s="140"/>
      <c r="AK347" s="140"/>
      <c r="AL347" s="140"/>
      <c r="AM347" s="140"/>
      <c r="AN347" s="140"/>
      <c r="AO347" s="140"/>
      <c r="AP347" s="140"/>
      <c r="AQ347" s="140"/>
      <c r="AR347" s="140"/>
      <c r="AS347" s="140"/>
      <c r="AT347" s="140"/>
      <c r="AU347" s="140"/>
      <c r="AV347" s="140"/>
      <c r="AW347" s="140"/>
      <c r="AX347" s="140"/>
      <c r="AY347" s="140"/>
      <c r="AZ347" s="140"/>
      <c r="BA347" s="140"/>
      <c r="BB347" s="140"/>
      <c r="BC347" s="140"/>
      <c r="BD347" s="140"/>
      <c r="BE347" s="140"/>
      <c r="BF347" s="140"/>
      <c r="BG347" s="140"/>
      <c r="BH347" s="140"/>
      <c r="BI347" s="140"/>
      <c r="BJ347" s="140"/>
      <c r="BK347" s="140"/>
      <c r="BL347" s="140"/>
      <c r="BM347" s="140"/>
      <c r="BN347" s="140"/>
      <c r="BO347" s="140"/>
      <c r="BP347" s="140"/>
      <c r="BQ347" s="140"/>
      <c r="BR347" s="140"/>
      <c r="BS347" s="140"/>
      <c r="BT347" s="140"/>
      <c r="BU347" s="140"/>
      <c r="BV347" s="140"/>
      <c r="BW347" s="140"/>
      <c r="BX347" s="140"/>
      <c r="BY347" s="140"/>
      <c r="BZ347" s="140"/>
      <c r="CA347" s="140"/>
      <c r="CB347" s="140"/>
      <c r="CC347" s="140"/>
      <c r="CD347" s="140"/>
      <c r="CE347" s="140"/>
      <c r="CF347" s="140"/>
      <c r="CG347" s="140"/>
      <c r="CH347" s="140"/>
      <c r="CI347" s="140"/>
      <c r="CJ347" s="140"/>
      <c r="CK347" s="140"/>
      <c r="CL347" s="140"/>
      <c r="CM347" s="140"/>
      <c r="CN347" s="140"/>
      <c r="CO347" s="140"/>
      <c r="CP347" s="140"/>
      <c r="CQ347" s="140"/>
      <c r="CR347" s="140"/>
      <c r="CS347" s="140"/>
      <c r="CT347" s="140"/>
      <c r="CU347" s="140"/>
      <c r="CV347" s="140"/>
      <c r="CW347" s="140"/>
      <c r="CX347" s="140"/>
      <c r="CY347" s="140"/>
      <c r="CZ347" s="140"/>
      <c r="DA347" s="140"/>
      <c r="DB347" s="140"/>
      <c r="DC347" s="140"/>
      <c r="DD347" s="140"/>
      <c r="DE347" s="140"/>
      <c r="DF347" s="140"/>
      <c r="DG347" s="140"/>
      <c r="DH347" s="140"/>
      <c r="DI347" s="140"/>
    </row>
  </sheetData>
  <sheetProtection formatCells="0" formatColumns="0" formatRows="0" insertColumns="0" insertRows="0" deleteColumns="0" deleteRows="0"/>
  <protectedRanges>
    <protectedRange sqref="B16:D16 B25:D25 B27:D27" name="Range1_11_1_4_1"/>
    <protectedRange sqref="E16:G16 E25:G25 E27:G27" name="Range1_6_5_3_1_2_1"/>
    <protectedRange sqref="B107:D107 B72:D72 B82:D82 B97:D97 B47:D47 B57:D57" name="Range1_11_1_3_1"/>
    <protectedRange sqref="J107:S107 E107:G107 J72:S72 E72:G72 J82:S82 E82:G82 J97:S97 E97:G97 J47:S47 E47:G47 J57:S57 E57:G57" name="Range1_6_3_1_2_1"/>
    <protectedRange sqref="T92:AA92 T42:AA42 T67:AA67 T33:AA33" name="Range1_4_1_4_1"/>
    <protectedRange sqref="B42:D42 B67:D67 B33:D33 B92:D92" name="Range1_11_1_4_1_1"/>
    <protectedRange sqref="E42:G42 J42:R42 E67:G67 J67:R67 E33:G33 J33:R33 E92:G92 J92:R92" name="Range1_6_5_3_1_2_1_1"/>
    <protectedRange sqref="J71:S71 J81:S81 J96:S96 J106:S106 J46:S46 J56:S56" name="Range1_6_1_2_2"/>
    <protectedRange sqref="B71:D71 B81:D81 B96:D96 B106:D106 B46:D46 B56:D56" name="Range1_11_1_3_2"/>
    <protectedRange sqref="T77:AA77 T102:AA102 T52:AA52" name="Range1_4_1_4_2"/>
    <protectedRange sqref="J83:R83 B83:G83 T83:AA83 J58:R58 B58:G58 T58:AA58 J108:R108 B108:G108 T108:AA108" name="Range1_3_1_3_1"/>
    <protectedRange sqref="J69:S69 T61:AA61 B61:G61 J79:S79 T73:AA73 E73:G73 B78:D80 J94:S94 T86:AA86 B86:G86 J104:S104 T98:AA98 E98:G98 B53:D55 B103:D105 J44:S44 T36:AA36 B36:G36 J54:S54 T48:AA48 E48:G48 B98:D101 B73:D76 B48:D51 B38:D40 B63:D65 B88:D90 B43:D45 B68:D70 B93:D95 T34:AA34 B34:G34" name="Range1_6_1_1_2_1"/>
    <protectedRange sqref="E68:G68 J68:AA68 E63:G63 J63:AA63 E78:G78 J78:AA78 E74:G74 J74:AA74 E93:G93 J93:AA93 E88:G88 J88:AA88 E103:G103 J103:AA103 E99:G99 J99:AA99 E43:G43 J43:AA43 E38:G38 J38:AA38 E53:G53 J53:AA53 E49:G49 J49:AA49" name="Range1_1_1_1_1_1_1"/>
    <protectedRange sqref="J61:R61 J73:R73 J86:R86 J98:R98 J36:R36 J48:R48 J34:R34" name="Range1_4_2_1_1_1_2_2_1_1"/>
    <protectedRange sqref="B11:D11 B20:D20" name="Range1_11_1_4_1_2"/>
    <protectedRange sqref="E11:G11 E20:G20" name="Range1_6_5_3_1_2_1_2"/>
  </protectedRanges>
  <mergeCells count="682">
    <mergeCell ref="E61:G61"/>
    <mergeCell ref="B61:D61"/>
    <mergeCell ref="B23:D23"/>
    <mergeCell ref="E23:G23"/>
    <mergeCell ref="H23:I23"/>
    <mergeCell ref="J23:R23"/>
    <mergeCell ref="T23:AA23"/>
    <mergeCell ref="B25:D25"/>
    <mergeCell ref="E25:G25"/>
    <mergeCell ref="H25:I25"/>
    <mergeCell ref="J25:R25"/>
    <mergeCell ref="T25:AA25"/>
    <mergeCell ref="B24:D24"/>
    <mergeCell ref="E24:G24"/>
    <mergeCell ref="H24:I24"/>
    <mergeCell ref="J24:R24"/>
    <mergeCell ref="T24:AA24"/>
    <mergeCell ref="B59:D59"/>
    <mergeCell ref="E30:G30"/>
    <mergeCell ref="H30:I30"/>
    <mergeCell ref="B50:D50"/>
    <mergeCell ref="E50:G50"/>
    <mergeCell ref="T60:AA60"/>
    <mergeCell ref="J59:S59"/>
    <mergeCell ref="B60:D60"/>
    <mergeCell ref="E59:G59"/>
    <mergeCell ref="H59:I59"/>
    <mergeCell ref="T59:AA59"/>
    <mergeCell ref="H60:I60"/>
    <mergeCell ref="E56:G56"/>
    <mergeCell ref="H56:I56"/>
    <mergeCell ref="J56:R56"/>
    <mergeCell ref="T56:AA56"/>
    <mergeCell ref="B57:D57"/>
    <mergeCell ref="E57:G57"/>
    <mergeCell ref="H57:I57"/>
    <mergeCell ref="J57:R57"/>
    <mergeCell ref="T57:AA57"/>
    <mergeCell ref="J60:R60"/>
    <mergeCell ref="E60:G60"/>
    <mergeCell ref="B56:D56"/>
    <mergeCell ref="AH2:AR2"/>
    <mergeCell ref="AH3:AR6"/>
    <mergeCell ref="B71:D71"/>
    <mergeCell ref="E71:G71"/>
    <mergeCell ref="B43:D43"/>
    <mergeCell ref="E43:G43"/>
    <mergeCell ref="H43:I43"/>
    <mergeCell ref="J43:R43"/>
    <mergeCell ref="T43:AA43"/>
    <mergeCell ref="B45:D45"/>
    <mergeCell ref="E45:G45"/>
    <mergeCell ref="H45:I45"/>
    <mergeCell ref="J45:R45"/>
    <mergeCell ref="T45:AA45"/>
    <mergeCell ref="B44:D44"/>
    <mergeCell ref="H52:I52"/>
    <mergeCell ref="E38:G38"/>
    <mergeCell ref="H38:I38"/>
    <mergeCell ref="J38:R38"/>
    <mergeCell ref="T38:AA38"/>
    <mergeCell ref="B36:D36"/>
    <mergeCell ref="E36:G36"/>
    <mergeCell ref="T29:AA29"/>
    <mergeCell ref="B30:D30"/>
    <mergeCell ref="AC163:AE163"/>
    <mergeCell ref="AC162:AE162"/>
    <mergeCell ref="J109:S109"/>
    <mergeCell ref="T109:AA109"/>
    <mergeCell ref="B110:D110"/>
    <mergeCell ref="AC159:AE159"/>
    <mergeCell ref="H113:I113"/>
    <mergeCell ref="J113:R113"/>
    <mergeCell ref="T113:AA113"/>
    <mergeCell ref="B114:D114"/>
    <mergeCell ref="AC161:AE161"/>
    <mergeCell ref="AC158:AE158"/>
    <mergeCell ref="E114:G114"/>
    <mergeCell ref="H114:I114"/>
    <mergeCell ref="AC160:AE160"/>
    <mergeCell ref="B125:D125"/>
    <mergeCell ref="B124:D124"/>
    <mergeCell ref="B123:D123"/>
    <mergeCell ref="B113:D113"/>
    <mergeCell ref="E113:G113"/>
    <mergeCell ref="B111:D111"/>
    <mergeCell ref="E111:G111"/>
    <mergeCell ref="H111:I111"/>
    <mergeCell ref="J111:R111"/>
    <mergeCell ref="AC120:AE120"/>
    <mergeCell ref="AC121:AE121"/>
    <mergeCell ref="T120:AA120"/>
    <mergeCell ref="T119:AA119"/>
    <mergeCell ref="J122:R122"/>
    <mergeCell ref="T121:AA121"/>
    <mergeCell ref="T122:AA122"/>
    <mergeCell ref="T116:AA116"/>
    <mergeCell ref="J120:R120"/>
    <mergeCell ref="AC122:AE122"/>
    <mergeCell ref="AC117:AE117"/>
    <mergeCell ref="AC118:AE118"/>
    <mergeCell ref="AC123:AE123"/>
    <mergeCell ref="AC129:AE129"/>
    <mergeCell ref="AC128:AE128"/>
    <mergeCell ref="AC127:AE127"/>
    <mergeCell ref="AC126:AE126"/>
    <mergeCell ref="AC125:AE125"/>
    <mergeCell ref="E123:G123"/>
    <mergeCell ref="H123:I123"/>
    <mergeCell ref="J123:R123"/>
    <mergeCell ref="E125:G125"/>
    <mergeCell ref="H125:I125"/>
    <mergeCell ref="J125:R125"/>
    <mergeCell ref="T125:AA125"/>
    <mergeCell ref="T123:AA123"/>
    <mergeCell ref="AC157:AE157"/>
    <mergeCell ref="AC155:AE155"/>
    <mergeCell ref="AC156:AE156"/>
    <mergeCell ref="AC153:AE153"/>
    <mergeCell ref="AC152:AE152"/>
    <mergeCell ref="AC151:AE151"/>
    <mergeCell ref="AC130:AE130"/>
    <mergeCell ref="AC124:AE124"/>
    <mergeCell ref="E124:G124"/>
    <mergeCell ref="H124:I124"/>
    <mergeCell ref="J124:R124"/>
    <mergeCell ref="T124:AA124"/>
    <mergeCell ref="B109:D109"/>
    <mergeCell ref="E109:G109"/>
    <mergeCell ref="H109:I109"/>
    <mergeCell ref="B94:D94"/>
    <mergeCell ref="E94:G94"/>
    <mergeCell ref="H94:I94"/>
    <mergeCell ref="J94:R94"/>
    <mergeCell ref="B95:D95"/>
    <mergeCell ref="E95:G95"/>
    <mergeCell ref="H95:I95"/>
    <mergeCell ref="J95:R95"/>
    <mergeCell ref="E99:G99"/>
    <mergeCell ref="H99:I99"/>
    <mergeCell ref="B100:D100"/>
    <mergeCell ref="E100:G100"/>
    <mergeCell ref="H100:I100"/>
    <mergeCell ref="B103:D103"/>
    <mergeCell ref="E103:G103"/>
    <mergeCell ref="H103:I103"/>
    <mergeCell ref="J103:R103"/>
    <mergeCell ref="B108:D108"/>
    <mergeCell ref="E108:G108"/>
    <mergeCell ref="H108:I108"/>
    <mergeCell ref="J108:R108"/>
    <mergeCell ref="B88:D88"/>
    <mergeCell ref="E88:G88"/>
    <mergeCell ref="H88:I88"/>
    <mergeCell ref="J88:R88"/>
    <mergeCell ref="B96:D96"/>
    <mergeCell ref="E96:G96"/>
    <mergeCell ref="H96:I96"/>
    <mergeCell ref="J96:R96"/>
    <mergeCell ref="B101:D101"/>
    <mergeCell ref="E90:G90"/>
    <mergeCell ref="J93:R93"/>
    <mergeCell ref="B90:D90"/>
    <mergeCell ref="B89:D89"/>
    <mergeCell ref="E89:G89"/>
    <mergeCell ref="H89:I89"/>
    <mergeCell ref="J89:R89"/>
    <mergeCell ref="B97:D97"/>
    <mergeCell ref="B98:D98"/>
    <mergeCell ref="E98:G98"/>
    <mergeCell ref="H98:I98"/>
    <mergeCell ref="E97:G97"/>
    <mergeCell ref="E101:G101"/>
    <mergeCell ref="H101:I101"/>
    <mergeCell ref="B99:D99"/>
    <mergeCell ref="E116:G116"/>
    <mergeCell ref="H83:I83"/>
    <mergeCell ref="AC83:AE83"/>
    <mergeCell ref="J114:R114"/>
    <mergeCell ref="AC93:AE93"/>
    <mergeCell ref="T94:AA94"/>
    <mergeCell ref="AC94:AE94"/>
    <mergeCell ref="AC95:AE95"/>
    <mergeCell ref="T95:AA95"/>
    <mergeCell ref="T112:AA112"/>
    <mergeCell ref="H90:I90"/>
    <mergeCell ref="J90:R90"/>
    <mergeCell ref="T90:AA90"/>
    <mergeCell ref="J97:R97"/>
    <mergeCell ref="T97:AA97"/>
    <mergeCell ref="H97:I97"/>
    <mergeCell ref="T111:AA111"/>
    <mergeCell ref="E110:G110"/>
    <mergeCell ref="H110:I110"/>
    <mergeCell ref="T83:AA83"/>
    <mergeCell ref="AC116:AE116"/>
    <mergeCell ref="T110:AA110"/>
    <mergeCell ref="J110:R110"/>
    <mergeCell ref="AC90:AE90"/>
    <mergeCell ref="E121:G121"/>
    <mergeCell ref="H121:I121"/>
    <mergeCell ref="J121:R121"/>
    <mergeCell ref="T117:AA117"/>
    <mergeCell ref="B121:D121"/>
    <mergeCell ref="T118:AA118"/>
    <mergeCell ref="B122:D122"/>
    <mergeCell ref="E122:G122"/>
    <mergeCell ref="B112:D112"/>
    <mergeCell ref="B119:D119"/>
    <mergeCell ref="E119:G119"/>
    <mergeCell ref="H119:I119"/>
    <mergeCell ref="B115:D115"/>
    <mergeCell ref="B118:D118"/>
    <mergeCell ref="E118:G118"/>
    <mergeCell ref="H116:I116"/>
    <mergeCell ref="H120:I120"/>
    <mergeCell ref="B120:D120"/>
    <mergeCell ref="E120:G120"/>
    <mergeCell ref="E117:G117"/>
    <mergeCell ref="H117:I117"/>
    <mergeCell ref="H118:I118"/>
    <mergeCell ref="H122:I122"/>
    <mergeCell ref="B117:D117"/>
    <mergeCell ref="B86:D86"/>
    <mergeCell ref="E86:G86"/>
    <mergeCell ref="H86:I86"/>
    <mergeCell ref="E85:G85"/>
    <mergeCell ref="H85:I85"/>
    <mergeCell ref="B85:D85"/>
    <mergeCell ref="J119:R119"/>
    <mergeCell ref="B84:D84"/>
    <mergeCell ref="J115:R115"/>
    <mergeCell ref="J117:R117"/>
    <mergeCell ref="J116:R116"/>
    <mergeCell ref="B116:D116"/>
    <mergeCell ref="J112:R112"/>
    <mergeCell ref="J118:R118"/>
    <mergeCell ref="J85:R85"/>
    <mergeCell ref="H84:I84"/>
    <mergeCell ref="J84:S84"/>
    <mergeCell ref="H93:I93"/>
    <mergeCell ref="B87:D87"/>
    <mergeCell ref="E87:G87"/>
    <mergeCell ref="E115:G115"/>
    <mergeCell ref="H115:I115"/>
    <mergeCell ref="E112:G112"/>
    <mergeCell ref="H112:I112"/>
    <mergeCell ref="T88:AA88"/>
    <mergeCell ref="AC88:AE88"/>
    <mergeCell ref="T96:AA96"/>
    <mergeCell ref="AC101:AE101"/>
    <mergeCell ref="AC98:AE98"/>
    <mergeCell ref="AC99:AE99"/>
    <mergeCell ref="T114:AA114"/>
    <mergeCell ref="J98:R98"/>
    <mergeCell ref="T98:AA98"/>
    <mergeCell ref="T93:AA93"/>
    <mergeCell ref="J101:R101"/>
    <mergeCell ref="T101:AA101"/>
    <mergeCell ref="J99:R99"/>
    <mergeCell ref="T99:AA99"/>
    <mergeCell ref="J100:R100"/>
    <mergeCell ref="T89:AA89"/>
    <mergeCell ref="T100:AA100"/>
    <mergeCell ref="T103:AA103"/>
    <mergeCell ref="AC103:AE103"/>
    <mergeCell ref="J107:R107"/>
    <mergeCell ref="T107:AA107"/>
    <mergeCell ref="T108:AA108"/>
    <mergeCell ref="AC108:AE108"/>
    <mergeCell ref="T115:AA115"/>
    <mergeCell ref="AC44:AE44"/>
    <mergeCell ref="AC45:AE45"/>
    <mergeCell ref="J46:R46"/>
    <mergeCell ref="T46:AA46"/>
    <mergeCell ref="H47:I47"/>
    <mergeCell ref="J47:R47"/>
    <mergeCell ref="AC84:AE84"/>
    <mergeCell ref="AC114:AE114"/>
    <mergeCell ref="AC115:AE115"/>
    <mergeCell ref="AC86:AE86"/>
    <mergeCell ref="T85:AA85"/>
    <mergeCell ref="T84:AA84"/>
    <mergeCell ref="T58:AA58"/>
    <mergeCell ref="AC61:AE61"/>
    <mergeCell ref="T61:AA61"/>
    <mergeCell ref="J61:R61"/>
    <mergeCell ref="H61:I61"/>
    <mergeCell ref="H64:I64"/>
    <mergeCell ref="J64:R64"/>
    <mergeCell ref="T64:AA64"/>
    <mergeCell ref="AC62:AE62"/>
    <mergeCell ref="AC73:AE73"/>
    <mergeCell ref="AC58:AE58"/>
    <mergeCell ref="J40:R40"/>
    <mergeCell ref="B46:D46"/>
    <mergeCell ref="E46:G46"/>
    <mergeCell ref="H46:I46"/>
    <mergeCell ref="E39:G39"/>
    <mergeCell ref="H39:I39"/>
    <mergeCell ref="J39:R39"/>
    <mergeCell ref="E44:G44"/>
    <mergeCell ref="H44:I44"/>
    <mergeCell ref="J44:R44"/>
    <mergeCell ref="B42:D42"/>
    <mergeCell ref="E42:G42"/>
    <mergeCell ref="H42:I42"/>
    <mergeCell ref="J42:R42"/>
    <mergeCell ref="B83:D83"/>
    <mergeCell ref="E83:G83"/>
    <mergeCell ref="E84:G84"/>
    <mergeCell ref="AC89:AE89"/>
    <mergeCell ref="T30:AA30"/>
    <mergeCell ref="T31:AA31"/>
    <mergeCell ref="J30:R30"/>
    <mergeCell ref="J31:S31"/>
    <mergeCell ref="B35:D35"/>
    <mergeCell ref="E35:G35"/>
    <mergeCell ref="H35:I35"/>
    <mergeCell ref="J35:R35"/>
    <mergeCell ref="T35:AA35"/>
    <mergeCell ref="B32:D32"/>
    <mergeCell ref="E32:G32"/>
    <mergeCell ref="H32:I32"/>
    <mergeCell ref="J32:R32"/>
    <mergeCell ref="T32:AA32"/>
    <mergeCell ref="J83:R83"/>
    <mergeCell ref="B47:D47"/>
    <mergeCell ref="E47:G47"/>
    <mergeCell ref="H69:I69"/>
    <mergeCell ref="AC63:AE63"/>
    <mergeCell ref="H68:I68"/>
    <mergeCell ref="B22:D22"/>
    <mergeCell ref="E22:G22"/>
    <mergeCell ref="H22:I22"/>
    <mergeCell ref="J22:R22"/>
    <mergeCell ref="H28:I28"/>
    <mergeCell ref="J28:R28"/>
    <mergeCell ref="R3:AA3"/>
    <mergeCell ref="R4:AA4"/>
    <mergeCell ref="B7:D7"/>
    <mergeCell ref="E7:H7"/>
    <mergeCell ref="J7:M7"/>
    <mergeCell ref="N7:Q7"/>
    <mergeCell ref="S7:V7"/>
    <mergeCell ref="W7:AA7"/>
    <mergeCell ref="R5:AA5"/>
    <mergeCell ref="B3:P3"/>
    <mergeCell ref="B4:P4"/>
    <mergeCell ref="B5:P5"/>
    <mergeCell ref="B9:D9"/>
    <mergeCell ref="E9:G9"/>
    <mergeCell ref="H9:I9"/>
    <mergeCell ref="J9:S9"/>
    <mergeCell ref="T9:AA9"/>
    <mergeCell ref="B10:D10"/>
    <mergeCell ref="AC37:AE37"/>
    <mergeCell ref="H16:I16"/>
    <mergeCell ref="J16:R16"/>
    <mergeCell ref="T16:AA16"/>
    <mergeCell ref="B69:D69"/>
    <mergeCell ref="E69:G69"/>
    <mergeCell ref="B73:D73"/>
    <mergeCell ref="E73:G73"/>
    <mergeCell ref="H73:I73"/>
    <mergeCell ref="J73:R73"/>
    <mergeCell ref="T73:AA73"/>
    <mergeCell ref="B72:D72"/>
    <mergeCell ref="E72:G72"/>
    <mergeCell ref="H72:I72"/>
    <mergeCell ref="J72:R72"/>
    <mergeCell ref="T72:AA72"/>
    <mergeCell ref="B19:D19"/>
    <mergeCell ref="E19:G19"/>
    <mergeCell ref="H19:I19"/>
    <mergeCell ref="J19:R19"/>
    <mergeCell ref="B31:D31"/>
    <mergeCell ref="E31:G31"/>
    <mergeCell ref="H31:I31"/>
    <mergeCell ref="B21:D21"/>
    <mergeCell ref="E10:G10"/>
    <mergeCell ref="H10:I10"/>
    <mergeCell ref="J10:R10"/>
    <mergeCell ref="T10:AA10"/>
    <mergeCell ref="B48:D48"/>
    <mergeCell ref="E48:G48"/>
    <mergeCell ref="H48:I48"/>
    <mergeCell ref="J48:R48"/>
    <mergeCell ref="T48:AA48"/>
    <mergeCell ref="T37:AA37"/>
    <mergeCell ref="E21:G21"/>
    <mergeCell ref="H21:I21"/>
    <mergeCell ref="J21:R21"/>
    <mergeCell ref="B29:D29"/>
    <mergeCell ref="E29:G29"/>
    <mergeCell ref="J13:R13"/>
    <mergeCell ref="T13:AA13"/>
    <mergeCell ref="B16:D16"/>
    <mergeCell ref="E16:G16"/>
    <mergeCell ref="B33:D33"/>
    <mergeCell ref="E33:G33"/>
    <mergeCell ref="H33:I33"/>
    <mergeCell ref="J33:R33"/>
    <mergeCell ref="T33:AA33"/>
    <mergeCell ref="AC64:AE64"/>
    <mergeCell ref="B65:D65"/>
    <mergeCell ref="E65:G65"/>
    <mergeCell ref="H65:I65"/>
    <mergeCell ref="J65:R65"/>
    <mergeCell ref="T65:AA65"/>
    <mergeCell ref="AC65:AE65"/>
    <mergeCell ref="AC69:AE69"/>
    <mergeCell ref="B70:D70"/>
    <mergeCell ref="E70:G70"/>
    <mergeCell ref="AC66:AE66"/>
    <mergeCell ref="AC70:AE70"/>
    <mergeCell ref="B68:D68"/>
    <mergeCell ref="E68:G68"/>
    <mergeCell ref="AC79:AE79"/>
    <mergeCell ref="AC80:AE80"/>
    <mergeCell ref="B78:D78"/>
    <mergeCell ref="E78:G78"/>
    <mergeCell ref="H66:I66"/>
    <mergeCell ref="J66:R66"/>
    <mergeCell ref="T66:AA66"/>
    <mergeCell ref="AC76:AE76"/>
    <mergeCell ref="B77:D77"/>
    <mergeCell ref="T77:AA77"/>
    <mergeCell ref="AC68:AE68"/>
    <mergeCell ref="E77:G77"/>
    <mergeCell ref="H77:I77"/>
    <mergeCell ref="J77:R77"/>
    <mergeCell ref="T68:AA68"/>
    <mergeCell ref="H70:I70"/>
    <mergeCell ref="J70:R70"/>
    <mergeCell ref="T70:AA70"/>
    <mergeCell ref="B74:D74"/>
    <mergeCell ref="E74:G74"/>
    <mergeCell ref="H74:I74"/>
    <mergeCell ref="J74:R74"/>
    <mergeCell ref="T74:AA74"/>
    <mergeCell ref="AC74:AE74"/>
    <mergeCell ref="E76:G76"/>
    <mergeCell ref="H76:I76"/>
    <mergeCell ref="J76:R76"/>
    <mergeCell ref="J68:R68"/>
    <mergeCell ref="B64:D64"/>
    <mergeCell ref="E64:G64"/>
    <mergeCell ref="J75:R75"/>
    <mergeCell ref="T75:AA75"/>
    <mergeCell ref="H67:I67"/>
    <mergeCell ref="J67:R67"/>
    <mergeCell ref="T67:AA67"/>
    <mergeCell ref="B66:D66"/>
    <mergeCell ref="E66:G66"/>
    <mergeCell ref="J69:R69"/>
    <mergeCell ref="T69:AA69"/>
    <mergeCell ref="T76:AA76"/>
    <mergeCell ref="H71:I71"/>
    <mergeCell ref="J71:R71"/>
    <mergeCell ref="T71:AA71"/>
    <mergeCell ref="H82:I82"/>
    <mergeCell ref="J82:R82"/>
    <mergeCell ref="B79:D79"/>
    <mergeCell ref="E79:G79"/>
    <mergeCell ref="H79:I79"/>
    <mergeCell ref="J79:R79"/>
    <mergeCell ref="T79:AA79"/>
    <mergeCell ref="T82:AA82"/>
    <mergeCell ref="E80:G80"/>
    <mergeCell ref="H80:I80"/>
    <mergeCell ref="J80:R80"/>
    <mergeCell ref="T80:AA80"/>
    <mergeCell ref="J81:R81"/>
    <mergeCell ref="T81:AA81"/>
    <mergeCell ref="T87:AA87"/>
    <mergeCell ref="AC87:AE87"/>
    <mergeCell ref="B80:D80"/>
    <mergeCell ref="B58:D58"/>
    <mergeCell ref="E58:G58"/>
    <mergeCell ref="H58:I58"/>
    <mergeCell ref="J58:R58"/>
    <mergeCell ref="B81:D81"/>
    <mergeCell ref="E81:G81"/>
    <mergeCell ref="H81:I81"/>
    <mergeCell ref="H78:I78"/>
    <mergeCell ref="J78:R78"/>
    <mergeCell ref="T78:AA78"/>
    <mergeCell ref="AC78:AE78"/>
    <mergeCell ref="AC77:AE77"/>
    <mergeCell ref="B75:D75"/>
    <mergeCell ref="E75:G75"/>
    <mergeCell ref="H75:I75"/>
    <mergeCell ref="AC75:AE75"/>
    <mergeCell ref="B76:D76"/>
    <mergeCell ref="J86:R86"/>
    <mergeCell ref="T86:AA86"/>
    <mergeCell ref="B82:D82"/>
    <mergeCell ref="E82:G82"/>
    <mergeCell ref="B93:D93"/>
    <mergeCell ref="E93:G93"/>
    <mergeCell ref="AC100:AE100"/>
    <mergeCell ref="B102:D102"/>
    <mergeCell ref="E102:G102"/>
    <mergeCell ref="H102:I102"/>
    <mergeCell ref="J102:R102"/>
    <mergeCell ref="T102:AA102"/>
    <mergeCell ref="AC102:AE102"/>
    <mergeCell ref="B104:D104"/>
    <mergeCell ref="E104:G104"/>
    <mergeCell ref="H104:I104"/>
    <mergeCell ref="J104:R104"/>
    <mergeCell ref="T104:AA104"/>
    <mergeCell ref="AC104:AE104"/>
    <mergeCell ref="B105:D105"/>
    <mergeCell ref="E105:G105"/>
    <mergeCell ref="H105:I105"/>
    <mergeCell ref="J105:R105"/>
    <mergeCell ref="T105:AA105"/>
    <mergeCell ref="AC105:AE105"/>
    <mergeCell ref="AC36:AE36"/>
    <mergeCell ref="AC38:AE38"/>
    <mergeCell ref="AC39:AE39"/>
    <mergeCell ref="T40:AA40"/>
    <mergeCell ref="AC40:AE40"/>
    <mergeCell ref="B106:D106"/>
    <mergeCell ref="E106:G106"/>
    <mergeCell ref="H106:I106"/>
    <mergeCell ref="J106:R106"/>
    <mergeCell ref="T106:AA106"/>
    <mergeCell ref="B39:D39"/>
    <mergeCell ref="T47:AA47"/>
    <mergeCell ref="AC49:AE49"/>
    <mergeCell ref="AC51:AE51"/>
    <mergeCell ref="T39:AA39"/>
    <mergeCell ref="AC43:AE43"/>
    <mergeCell ref="T44:AA44"/>
    <mergeCell ref="B91:D91"/>
    <mergeCell ref="E91:G91"/>
    <mergeCell ref="H91:I91"/>
    <mergeCell ref="J91:R91"/>
    <mergeCell ref="T91:AA91"/>
    <mergeCell ref="T54:AA54"/>
    <mergeCell ref="B55:D55"/>
    <mergeCell ref="B107:D107"/>
    <mergeCell ref="E107:G107"/>
    <mergeCell ref="H107:I107"/>
    <mergeCell ref="H50:I50"/>
    <mergeCell ref="J50:R50"/>
    <mergeCell ref="T50:AA50"/>
    <mergeCell ref="AC50:AE50"/>
    <mergeCell ref="AC41:AE41"/>
    <mergeCell ref="AC48:AE48"/>
    <mergeCell ref="B51:D51"/>
    <mergeCell ref="E51:G51"/>
    <mergeCell ref="H51:I51"/>
    <mergeCell ref="J51:R51"/>
    <mergeCell ref="T51:AA51"/>
    <mergeCell ref="B41:D41"/>
    <mergeCell ref="E41:G41"/>
    <mergeCell ref="H41:I41"/>
    <mergeCell ref="J41:R41"/>
    <mergeCell ref="T41:AA41"/>
    <mergeCell ref="B49:D49"/>
    <mergeCell ref="E49:G49"/>
    <mergeCell ref="H49:I49"/>
    <mergeCell ref="J49:R49"/>
    <mergeCell ref="T49:AA49"/>
    <mergeCell ref="T28:AA28"/>
    <mergeCell ref="B27:D27"/>
    <mergeCell ref="E27:G27"/>
    <mergeCell ref="H27:I27"/>
    <mergeCell ref="J27:R27"/>
    <mergeCell ref="T27:AA27"/>
    <mergeCell ref="H37:I37"/>
    <mergeCell ref="J37:R37"/>
    <mergeCell ref="H36:I36"/>
    <mergeCell ref="J36:R36"/>
    <mergeCell ref="T36:AA36"/>
    <mergeCell ref="B34:D34"/>
    <mergeCell ref="E34:G34"/>
    <mergeCell ref="H34:I34"/>
    <mergeCell ref="J34:R34"/>
    <mergeCell ref="T34:AA34"/>
    <mergeCell ref="H29:I29"/>
    <mergeCell ref="J29:R29"/>
    <mergeCell ref="B11:D11"/>
    <mergeCell ref="E11:G11"/>
    <mergeCell ref="H11:I11"/>
    <mergeCell ref="J11:R11"/>
    <mergeCell ref="T11:AA11"/>
    <mergeCell ref="B20:D20"/>
    <mergeCell ref="E20:G20"/>
    <mergeCell ref="H20:I20"/>
    <mergeCell ref="J20:R20"/>
    <mergeCell ref="T20:AA20"/>
    <mergeCell ref="E14:G14"/>
    <mergeCell ref="H14:I14"/>
    <mergeCell ref="J14:R14"/>
    <mergeCell ref="H13:I13"/>
    <mergeCell ref="T14:AA14"/>
    <mergeCell ref="B14:D15"/>
    <mergeCell ref="T15:AA15"/>
    <mergeCell ref="B12:D12"/>
    <mergeCell ref="E12:G12"/>
    <mergeCell ref="H12:I12"/>
    <mergeCell ref="J12:R12"/>
    <mergeCell ref="T12:AA12"/>
    <mergeCell ref="B13:D13"/>
    <mergeCell ref="E13:G13"/>
    <mergeCell ref="B17:D17"/>
    <mergeCell ref="E17:G17"/>
    <mergeCell ref="H17:I17"/>
    <mergeCell ref="J17:R17"/>
    <mergeCell ref="T17:AA17"/>
    <mergeCell ref="E15:G15"/>
    <mergeCell ref="H15:I15"/>
    <mergeCell ref="J15:R15"/>
    <mergeCell ref="AC34:AE34"/>
    <mergeCell ref="T22:AA22"/>
    <mergeCell ref="B18:D18"/>
    <mergeCell ref="E18:G18"/>
    <mergeCell ref="H18:I18"/>
    <mergeCell ref="J18:S18"/>
    <mergeCell ref="T18:AA18"/>
    <mergeCell ref="T19:AA19"/>
    <mergeCell ref="T21:AA21"/>
    <mergeCell ref="B26:D26"/>
    <mergeCell ref="E26:G26"/>
    <mergeCell ref="H26:I26"/>
    <mergeCell ref="J26:R26"/>
    <mergeCell ref="T26:AA26"/>
    <mergeCell ref="B28:D28"/>
    <mergeCell ref="E28:G28"/>
    <mergeCell ref="T42:AA42"/>
    <mergeCell ref="B67:D67"/>
    <mergeCell ref="E67:G67"/>
    <mergeCell ref="E55:G55"/>
    <mergeCell ref="B37:D37"/>
    <mergeCell ref="E37:G37"/>
    <mergeCell ref="H55:I55"/>
    <mergeCell ref="J55:R55"/>
    <mergeCell ref="T55:AA55"/>
    <mergeCell ref="B52:D52"/>
    <mergeCell ref="E52:G52"/>
    <mergeCell ref="J52:R52"/>
    <mergeCell ref="T52:AA52"/>
    <mergeCell ref="B53:D53"/>
    <mergeCell ref="E53:G53"/>
    <mergeCell ref="B62:D62"/>
    <mergeCell ref="E62:G62"/>
    <mergeCell ref="H62:I62"/>
    <mergeCell ref="J62:R62"/>
    <mergeCell ref="T62:AA62"/>
    <mergeCell ref="B38:D38"/>
    <mergeCell ref="B40:D40"/>
    <mergeCell ref="E40:G40"/>
    <mergeCell ref="H40:I40"/>
    <mergeCell ref="B92:D92"/>
    <mergeCell ref="E92:G92"/>
    <mergeCell ref="H92:I92"/>
    <mergeCell ref="J92:R92"/>
    <mergeCell ref="T92:AA92"/>
    <mergeCell ref="AC54:AE54"/>
    <mergeCell ref="AC55:AE55"/>
    <mergeCell ref="AC52:AE52"/>
    <mergeCell ref="H53:I53"/>
    <mergeCell ref="J53:R53"/>
    <mergeCell ref="T53:AA53"/>
    <mergeCell ref="AC53:AE53"/>
    <mergeCell ref="B54:D54"/>
    <mergeCell ref="E54:G54"/>
    <mergeCell ref="H54:I54"/>
    <mergeCell ref="J54:R54"/>
    <mergeCell ref="B63:D63"/>
    <mergeCell ref="E63:G63"/>
    <mergeCell ref="H63:I63"/>
    <mergeCell ref="J63:R63"/>
    <mergeCell ref="T63:AA63"/>
    <mergeCell ref="AC91:AE91"/>
    <mergeCell ref="H87:I87"/>
    <mergeCell ref="J87:R87"/>
  </mergeCells>
  <conditionalFormatting sqref="S108">
    <cfRule type="expression" dxfId="1275" priority="3133">
      <formula>SEARCH("Sign on",$J108)</formula>
    </cfRule>
    <cfRule type="expression" dxfId="1274" priority="3274">
      <formula>SEARCH("Briefing",$J108)</formula>
    </cfRule>
    <cfRule type="expression" dxfId="1273" priority="3275">
      <formula>SEARCH("Team Principal",$J108)</formula>
    </cfRule>
    <cfRule type="expression" dxfId="1272" priority="3276">
      <formula>SEARCH("Interview",$J108)</formula>
    </cfRule>
    <cfRule type="expression" dxfId="1271" priority="3277">
      <formula>SEARCH("Media",$J108)</formula>
    </cfRule>
    <cfRule type="expression" dxfId="1270" priority="3278">
      <formula>SEARCH("Picture",$J108)</formula>
    </cfRule>
    <cfRule type="expression" dxfId="1269" priority="3279">
      <formula>SEARCH("Press",$J108)</formula>
    </cfRule>
    <cfRule type="expression" dxfId="1268" priority="3280">
      <formula>SEARCH("Practice Session",$J108)</formula>
    </cfRule>
    <cfRule type="expression" dxfId="1267" priority="3281">
      <formula>SEARCH("Race",$J108)</formula>
    </cfRule>
    <cfRule type="expression" dxfId="1266" priority="3282">
      <formula>SEARCH("Qualifying",$J108)</formula>
    </cfRule>
    <cfRule type="expression" dxfId="1265" priority="3283">
      <formula>SEARCH("Driver Arrival", $J108)</formula>
    </cfRule>
    <cfRule type="expression" dxfId="1264" priority="3284">
      <formula>SEARCH("DB", $J108)</formula>
    </cfRule>
    <cfRule type="expression" dxfId="1263" priority="3285">
      <formula>SEARCH(" PM",$J108)</formula>
    </cfRule>
    <cfRule type="expression" dxfId="1262" priority="3286">
      <formula>SEARCH("Meeting",$J108)</formula>
    </cfRule>
    <cfRule type="expression" dxfId="1261" priority="3287">
      <formula>OR($J108="Breakfast",$J108="Lunch",$J108="Dinner")</formula>
    </cfRule>
  </conditionalFormatting>
  <conditionalFormatting sqref="B109:I109 T109:AA109">
    <cfRule type="expression" dxfId="1260" priority="3260">
      <formula>SEARCH("Sign on",$J109)</formula>
    </cfRule>
    <cfRule type="expression" dxfId="1259" priority="3261">
      <formula>SEARCH("Briefing",$J109)</formula>
    </cfRule>
    <cfRule type="expression" dxfId="1258" priority="3262">
      <formula>SEARCH("Team Principal",$J109)</formula>
    </cfRule>
    <cfRule type="expression" dxfId="1257" priority="3263">
      <formula>SEARCH("Media",$J109)</formula>
    </cfRule>
    <cfRule type="expression" dxfId="1256" priority="3264">
      <formula>SEARCH("Picture",$J109)</formula>
    </cfRule>
    <cfRule type="expression" dxfId="1255" priority="3265">
      <formula>SEARCH("Press",$J109)</formula>
    </cfRule>
    <cfRule type="expression" dxfId="1254" priority="3266">
      <formula>SEARCH("Practice Session",$J109)</formula>
    </cfRule>
    <cfRule type="expression" dxfId="1253" priority="3267">
      <formula>SEARCH("Race",$J109)</formula>
    </cfRule>
    <cfRule type="expression" dxfId="1252" priority="3268">
      <formula>SEARCH("Qualifying",$J109)</formula>
    </cfRule>
    <cfRule type="expression" dxfId="1251" priority="3269">
      <formula>SEARCH("Driver Arrival", $J109)</formula>
    </cfRule>
    <cfRule type="expression" dxfId="1250" priority="3270">
      <formula>SEARCH("DB", $J109)</formula>
    </cfRule>
    <cfRule type="expression" dxfId="1249" priority="3271">
      <formula>SEARCH(" PM",$J109)</formula>
    </cfRule>
    <cfRule type="expression" dxfId="1248" priority="3272">
      <formula>SEARCH("Meeting",$J109)</formula>
    </cfRule>
    <cfRule type="expression" dxfId="1247" priority="3273">
      <formula>OR($J109="Breakfast",$J109="Lunch",$J109="Dinner")</formula>
    </cfRule>
  </conditionalFormatting>
  <conditionalFormatting sqref="B111:AA111 B113:AA122 E112:AA112">
    <cfRule type="expression" dxfId="1246" priority="3218">
      <formula>SEARCH("Sign on",$J111)</formula>
    </cfRule>
    <cfRule type="expression" dxfId="1245" priority="3219">
      <formula>SEARCH("Briefing",$J111)</formula>
    </cfRule>
    <cfRule type="expression" dxfId="1244" priority="3220">
      <formula>SEARCH("Team Principal",$J111)</formula>
    </cfRule>
    <cfRule type="expression" dxfId="1243" priority="3221">
      <formula>SEARCH("Media",$J111)</formula>
    </cfRule>
    <cfRule type="expression" dxfId="1242" priority="3222">
      <formula>SEARCH("Picture",$J111)</formula>
    </cfRule>
    <cfRule type="expression" dxfId="1241" priority="3223">
      <formula>SEARCH("Press",$J111)</formula>
    </cfRule>
    <cfRule type="expression" dxfId="1240" priority="3224">
      <formula>SEARCH("Practice Session",$J111)</formula>
    </cfRule>
    <cfRule type="expression" dxfId="1239" priority="3225">
      <formula>SEARCH("Race",$J111)</formula>
    </cfRule>
    <cfRule type="expression" dxfId="1238" priority="3226">
      <formula>SEARCH("Qualifying",$J111)</formula>
    </cfRule>
    <cfRule type="expression" dxfId="1237" priority="3227">
      <formula>SEARCH("Driver Arrival", $J111)</formula>
    </cfRule>
    <cfRule type="expression" dxfId="1236" priority="3228">
      <formula>SEARCH("DB", $J111)</formula>
    </cfRule>
    <cfRule type="expression" dxfId="1235" priority="3229">
      <formula>SEARCH(" PM",$J111)</formula>
    </cfRule>
    <cfRule type="expression" dxfId="1234" priority="3230">
      <formula>SEARCH("Meeting",$J111)</formula>
    </cfRule>
    <cfRule type="expression" dxfId="1233" priority="3231">
      <formula>OR($J111="Breakfast",$J111="Lunch",$J111="Dinner")</formula>
    </cfRule>
  </conditionalFormatting>
  <conditionalFormatting sqref="B123:AA123">
    <cfRule type="expression" dxfId="1232" priority="3060">
      <formula>SEARCH("Sign on",$J123)</formula>
    </cfRule>
    <cfRule type="expression" dxfId="1231" priority="3061">
      <formula>SEARCH("Briefing",$J123)</formula>
    </cfRule>
    <cfRule type="expression" dxfId="1230" priority="3062">
      <formula>SEARCH("Team Principal",$J123)</formula>
    </cfRule>
    <cfRule type="expression" dxfId="1229" priority="3063">
      <formula>SEARCH("Media",$J123)</formula>
    </cfRule>
    <cfRule type="expression" dxfId="1228" priority="3064">
      <formula>SEARCH("Picture",$J123)</formula>
    </cfRule>
    <cfRule type="expression" dxfId="1227" priority="3065">
      <formula>SEARCH("Press",$J123)</formula>
    </cfRule>
    <cfRule type="expression" dxfId="1226" priority="3066">
      <formula>SEARCH("Practice Session",$J123)</formula>
    </cfRule>
    <cfRule type="expression" dxfId="1225" priority="3067">
      <formula>SEARCH("Race",$J123)</formula>
    </cfRule>
    <cfRule type="expression" dxfId="1224" priority="3068">
      <formula>SEARCH("Qualifying",$J123)</formula>
    </cfRule>
    <cfRule type="expression" dxfId="1223" priority="3069">
      <formula>SEARCH("Driver Arrival", $J123)</formula>
    </cfRule>
    <cfRule type="expression" dxfId="1222" priority="3070">
      <formula>SEARCH("DB", $J123)</formula>
    </cfRule>
    <cfRule type="expression" dxfId="1221" priority="3071">
      <formula>SEARCH(" PM",$J123)</formula>
    </cfRule>
    <cfRule type="expression" dxfId="1220" priority="3072">
      <formula>SEARCH("Meeting",$J123)</formula>
    </cfRule>
    <cfRule type="expression" dxfId="1219" priority="3073">
      <formula>OR($J123="Breakfast",$J123="Lunch",$J123="Dinner")</formula>
    </cfRule>
  </conditionalFormatting>
  <conditionalFormatting sqref="B124:AA124">
    <cfRule type="expression" dxfId="1218" priority="3046">
      <formula>SEARCH("Sign on",$J124)</formula>
    </cfRule>
    <cfRule type="expression" dxfId="1217" priority="3047">
      <formula>SEARCH("Briefing",$J124)</formula>
    </cfRule>
    <cfRule type="expression" dxfId="1216" priority="3048">
      <formula>SEARCH("Team Principal",$J124)</formula>
    </cfRule>
    <cfRule type="expression" dxfId="1215" priority="3049">
      <formula>SEARCH("Media",$J124)</formula>
    </cfRule>
    <cfRule type="expression" dxfId="1214" priority="3050">
      <formula>SEARCH("Picture",$J124)</formula>
    </cfRule>
    <cfRule type="expression" dxfId="1213" priority="3051">
      <formula>SEARCH("Press",$J124)</formula>
    </cfRule>
    <cfRule type="expression" dxfId="1212" priority="3052">
      <formula>SEARCH("Practice Session",$J124)</formula>
    </cfRule>
    <cfRule type="expression" dxfId="1211" priority="3053">
      <formula>SEARCH("Race",$J124)</formula>
    </cfRule>
    <cfRule type="expression" dxfId="1210" priority="3054">
      <formula>SEARCH("Qualifying",$J124)</formula>
    </cfRule>
    <cfRule type="expression" dxfId="1209" priority="3055">
      <formula>SEARCH("Driver Arrival", $J124)</formula>
    </cfRule>
    <cfRule type="expression" dxfId="1208" priority="3056">
      <formula>SEARCH("DB", $J124)</formula>
    </cfRule>
    <cfRule type="expression" dxfId="1207" priority="3057">
      <formula>SEARCH(" PM",$J124)</formula>
    </cfRule>
    <cfRule type="expression" dxfId="1206" priority="3058">
      <formula>SEARCH("Meeting",$J124)</formula>
    </cfRule>
    <cfRule type="expression" dxfId="1205" priority="3059">
      <formula>OR($J124="Breakfast",$J124="Lunch",$J124="Dinner")</formula>
    </cfRule>
  </conditionalFormatting>
  <conditionalFormatting sqref="B125:AA125">
    <cfRule type="expression" dxfId="1204" priority="3032">
      <formula>SEARCH("Sign on",$J125)</formula>
    </cfRule>
    <cfRule type="expression" dxfId="1203" priority="3033">
      <formula>SEARCH("Briefing",$J125)</formula>
    </cfRule>
    <cfRule type="expression" dxfId="1202" priority="3034">
      <formula>SEARCH("Team Principal",$J125)</formula>
    </cfRule>
    <cfRule type="expression" dxfId="1201" priority="3035">
      <formula>SEARCH("Media",$J125)</formula>
    </cfRule>
    <cfRule type="expression" dxfId="1200" priority="3036">
      <formula>SEARCH("Picture",$J125)</formula>
    </cfRule>
    <cfRule type="expression" dxfId="1199" priority="3037">
      <formula>SEARCH("Press",$J125)</formula>
    </cfRule>
    <cfRule type="expression" dxfId="1198" priority="3038">
      <formula>SEARCH("Practice Session",$J125)</formula>
    </cfRule>
    <cfRule type="expression" dxfId="1197" priority="3039">
      <formula>SEARCH("Race",$J125)</formula>
    </cfRule>
    <cfRule type="expression" dxfId="1196" priority="3040">
      <formula>SEARCH("Qualifying",$J125)</formula>
    </cfRule>
    <cfRule type="expression" dxfId="1195" priority="3041">
      <formula>SEARCH("Driver Arrival", $J125)</formula>
    </cfRule>
    <cfRule type="expression" dxfId="1194" priority="3042">
      <formula>SEARCH("DB", $J125)</formula>
    </cfRule>
    <cfRule type="expression" dxfId="1193" priority="3043">
      <formula>SEARCH(" PM",$J125)</formula>
    </cfRule>
    <cfRule type="expression" dxfId="1192" priority="3044">
      <formula>SEARCH("Meeting",$J125)</formula>
    </cfRule>
    <cfRule type="expression" dxfId="1191" priority="3045">
      <formula>OR($J125="Breakfast",$J125="Lunch",$J125="Dinner")</formula>
    </cfRule>
  </conditionalFormatting>
  <conditionalFormatting sqref="J83:R83 T83:AA83">
    <cfRule type="expression" dxfId="1190" priority="2372">
      <formula>SEARCH("Sign on",$J83)</formula>
    </cfRule>
    <cfRule type="expression" dxfId="1189" priority="2373">
      <formula>SEARCH("Briefing",$J83)</formula>
    </cfRule>
    <cfRule type="expression" dxfId="1188" priority="2374">
      <formula>SEARCH("Team Principal",$J83)</formula>
    </cfRule>
    <cfRule type="expression" dxfId="1187" priority="2375">
      <formula>SEARCH("Interview",$J83)</formula>
    </cfRule>
    <cfRule type="expression" dxfId="1186" priority="2376">
      <formula>SEARCH("Media",$J83)</formula>
    </cfRule>
    <cfRule type="expression" dxfId="1185" priority="2377">
      <formula>SEARCH("Picture",$J83)</formula>
    </cfRule>
    <cfRule type="expression" dxfId="1184" priority="2378">
      <formula>SEARCH("Press",$J83)</formula>
    </cfRule>
    <cfRule type="expression" dxfId="1183" priority="2379">
      <formula>SEARCH("Practice Session",$J83)</formula>
    </cfRule>
    <cfRule type="expression" dxfId="1182" priority="2380">
      <formula>SEARCH("Race",$J83)</formula>
    </cfRule>
    <cfRule type="expression" dxfId="1181" priority="2381">
      <formula>SEARCH("Qualifying",$J83)</formula>
    </cfRule>
    <cfRule type="expression" dxfId="1180" priority="2382">
      <formula>SEARCH("Driver Arrival", $J83)</formula>
    </cfRule>
    <cfRule type="expression" dxfId="1179" priority="2383">
      <formula>SEARCH("DB", $J83)</formula>
    </cfRule>
    <cfRule type="expression" dxfId="1178" priority="2384">
      <formula>SEARCH(" PM",$J83)</formula>
    </cfRule>
    <cfRule type="expression" dxfId="1177" priority="2385">
      <formula>SEARCH("Meeting",$J83)</formula>
    </cfRule>
    <cfRule type="expression" dxfId="1176" priority="2386">
      <formula>OR($J83="Breakfast",$J83="Lunch",$J83="Dinner")</formula>
    </cfRule>
  </conditionalFormatting>
  <conditionalFormatting sqref="B71:AA71">
    <cfRule type="expression" dxfId="1175" priority="2327">
      <formula>SEARCH("Sign on",$J71)</formula>
    </cfRule>
    <cfRule type="expression" dxfId="1174" priority="2328">
      <formula>SEARCH("Briefing",$J71)</formula>
    </cfRule>
    <cfRule type="expression" dxfId="1173" priority="2329">
      <formula>SEARCH("Team Principal",$J71)</formula>
    </cfRule>
    <cfRule type="expression" dxfId="1172" priority="2330">
      <formula>SEARCH("Interview",$J71)</formula>
    </cfRule>
    <cfRule type="expression" dxfId="1171" priority="2331">
      <formula>SEARCH("Media",$J71)</formula>
    </cfRule>
    <cfRule type="expression" dxfId="1170" priority="2332">
      <formula>SEARCH("Picture",$J71)</formula>
    </cfRule>
    <cfRule type="expression" dxfId="1169" priority="2333">
      <formula>SEARCH("Press",$J71)</formula>
    </cfRule>
    <cfRule type="expression" dxfId="1168" priority="2334">
      <formula>SEARCH("Practice Session",$J71)</formula>
    </cfRule>
    <cfRule type="expression" dxfId="1167" priority="2335">
      <formula>SEARCH("Race",$J71)</formula>
    </cfRule>
    <cfRule type="expression" dxfId="1166" priority="2336">
      <formula>SEARCH("Qualifying",$J71)</formula>
    </cfRule>
    <cfRule type="expression" dxfId="1165" priority="2337">
      <formula>SEARCH("Driver Arrival", $J71)</formula>
    </cfRule>
    <cfRule type="expression" dxfId="1164" priority="2338">
      <formula>SEARCH("DB", $J71)</formula>
    </cfRule>
    <cfRule type="expression" dxfId="1163" priority="2339">
      <formula>SEARCH(" PM",$J71)</formula>
    </cfRule>
    <cfRule type="expression" dxfId="1162" priority="2340">
      <formula>SEARCH("Meeting",$J71)</formula>
    </cfRule>
    <cfRule type="expression" dxfId="1161" priority="2341">
      <formula>OR($J71="Breakfast",$J71="Lunch",$J71="Dinner")</formula>
    </cfRule>
  </conditionalFormatting>
  <conditionalFormatting sqref="S83">
    <cfRule type="expression" dxfId="1160" priority="2222">
      <formula>SEARCH("Sign on",$J83)</formula>
    </cfRule>
    <cfRule type="expression" dxfId="1159" priority="2223">
      <formula>SEARCH("Briefing",$J83)</formula>
    </cfRule>
    <cfRule type="expression" dxfId="1158" priority="2224">
      <formula>SEARCH("Team Principal",$J83)</formula>
    </cfRule>
    <cfRule type="expression" dxfId="1157" priority="2225">
      <formula>SEARCH("Interview",$J83)</formula>
    </cfRule>
    <cfRule type="expression" dxfId="1156" priority="2226">
      <formula>SEARCH("Media",$J83)</formula>
    </cfRule>
    <cfRule type="expression" dxfId="1155" priority="2227">
      <formula>SEARCH("Picture",$J83)</formula>
    </cfRule>
    <cfRule type="expression" dxfId="1154" priority="2228">
      <formula>SEARCH("Press",$J83)</formula>
    </cfRule>
    <cfRule type="expression" dxfId="1153" priority="2229">
      <formula>SEARCH("Practice Session",$J83)</formula>
    </cfRule>
    <cfRule type="expression" dxfId="1152" priority="2230">
      <formula>SEARCH("Race",$J83)</formula>
    </cfRule>
    <cfRule type="expression" dxfId="1151" priority="2231">
      <formula>SEARCH("Qualifying",$J83)</formula>
    </cfRule>
    <cfRule type="expression" dxfId="1150" priority="2232">
      <formula>SEARCH("Driver Arrival", $J83)</formula>
    </cfRule>
    <cfRule type="expression" dxfId="1149" priority="2233">
      <formula>SEARCH("DB", $J83)</formula>
    </cfRule>
    <cfRule type="expression" dxfId="1148" priority="2234">
      <formula>SEARCH(" PM",$J83)</formula>
    </cfRule>
    <cfRule type="expression" dxfId="1147" priority="2235">
      <formula>SEARCH("Meeting",$J83)</formula>
    </cfRule>
    <cfRule type="expression" dxfId="1146" priority="2236">
      <formula>OR($J83="Breakfast",$J83="Lunch",$J83="Dinner")</formula>
    </cfRule>
  </conditionalFormatting>
  <conditionalFormatting sqref="B83:I83">
    <cfRule type="expression" dxfId="1145" priority="2207">
      <formula>SEARCH("Sign on",$J83)</formula>
    </cfRule>
    <cfRule type="expression" dxfId="1144" priority="2208">
      <formula>SEARCH("Briefing",$J83)</formula>
    </cfRule>
    <cfRule type="expression" dxfId="1143" priority="2209">
      <formula>SEARCH("Team Principal",$J83)</formula>
    </cfRule>
    <cfRule type="expression" dxfId="1142" priority="2210">
      <formula>SEARCH("Interview",$J83)</formula>
    </cfRule>
    <cfRule type="expression" dxfId="1141" priority="2211">
      <formula>SEARCH("Media",$J83)</formula>
    </cfRule>
    <cfRule type="expression" dxfId="1140" priority="2212">
      <formula>SEARCH("Picture",$J83)</formula>
    </cfRule>
    <cfRule type="expression" dxfId="1139" priority="2213">
      <formula>SEARCH("Press",$J83)</formula>
    </cfRule>
    <cfRule type="expression" dxfId="1138" priority="2214">
      <formula>SEARCH("Practice Session",$J83)</formula>
    </cfRule>
    <cfRule type="expression" dxfId="1137" priority="2215">
      <formula>SEARCH("Race",$J83)</formula>
    </cfRule>
    <cfRule type="expression" dxfId="1136" priority="2216">
      <formula>SEARCH("Qualifying",$J83)</formula>
    </cfRule>
    <cfRule type="expression" dxfId="1135" priority="2217">
      <formula>SEARCH("Driver Arrival", $J83)</formula>
    </cfRule>
    <cfRule type="expression" dxfId="1134" priority="2218">
      <formula>SEARCH("DB", $J83)</formula>
    </cfRule>
    <cfRule type="expression" dxfId="1133" priority="2219">
      <formula>SEARCH(" PM",$J83)</formula>
    </cfRule>
    <cfRule type="expression" dxfId="1132" priority="2220">
      <formula>SEARCH("Meeting",$J83)</formula>
    </cfRule>
    <cfRule type="expression" dxfId="1131" priority="2221">
      <formula>OR($J83="Breakfast",$J83="Lunch",$J83="Dinner")</formula>
    </cfRule>
  </conditionalFormatting>
  <conditionalFormatting sqref="B112:D112 B98:AA101 B90:AA90 B73:AA76 B48:AA51 B40:AA40 B63:AA65 B43:AA45 B68:AA70 B93:AA95 B36:D36 B61:AA61 B86:D86">
    <cfRule type="expression" dxfId="1130" priority="2177">
      <formula>OR($J36="Breakfast", $J36="Lunch", $J36="Dinner")</formula>
    </cfRule>
    <cfRule type="expression" dxfId="1129" priority="2178">
      <formula>SEARCH("Meeting",$J36)</formula>
    </cfRule>
    <cfRule type="expression" dxfId="1128" priority="2179">
      <formula>SEARCH(" PM",$J36)</formula>
    </cfRule>
    <cfRule type="expression" dxfId="1127" priority="2180">
      <formula>SEARCH("DB",$J36)</formula>
    </cfRule>
    <cfRule type="expression" dxfId="1126" priority="2181">
      <formula>SEARCH("Driver Arrival",$J36)</formula>
    </cfRule>
    <cfRule type="expression" dxfId="1125" priority="2182">
      <formula>SEARCH("Qualifying",$J36)</formula>
    </cfRule>
    <cfRule type="expression" dxfId="1124" priority="2183">
      <formula>SEARCH("Race",$J36)</formula>
    </cfRule>
    <cfRule type="expression" dxfId="1123" priority="2184">
      <formula>SEARCH("Practice Session",$J36)</formula>
    </cfRule>
    <cfRule type="expression" dxfId="1122" priority="2185">
      <formula>SEARCH("Press",$J36)</formula>
    </cfRule>
    <cfRule type="expression" dxfId="1121" priority="2186">
      <formula>SEARCH("Picture",$J36)</formula>
    </cfRule>
    <cfRule type="expression" dxfId="1120" priority="2187">
      <formula>SEARCH("Media",$J36)</formula>
    </cfRule>
    <cfRule type="expression" dxfId="1119" priority="2188">
      <formula>SEARCH("Interview",$J36)</formula>
    </cfRule>
    <cfRule type="expression" dxfId="1118" priority="2189">
      <formula>SEARCH("Team Principal",$J36)</formula>
    </cfRule>
    <cfRule type="expression" dxfId="1117" priority="2190">
      <formula>SEARCH("Briefing",$J36)</formula>
    </cfRule>
    <cfRule type="expression" dxfId="1116" priority="2191">
      <formula>SEARCH("Sign on",$J36)</formula>
    </cfRule>
  </conditionalFormatting>
  <conditionalFormatting sqref="B19:AA19">
    <cfRule type="expression" dxfId="1115" priority="2147">
      <formula>OR($J19="Breakfast", $J19="Lunch", $J19="Dinner")</formula>
    </cfRule>
    <cfRule type="expression" dxfId="1114" priority="2148">
      <formula>SEARCH("Meeting",$J19)</formula>
    </cfRule>
    <cfRule type="expression" dxfId="1113" priority="2149">
      <formula>SEARCH(" PM",$J19)</formula>
    </cfRule>
    <cfRule type="expression" dxfId="1112" priority="2150">
      <formula>SEARCH("DB",$J19)</formula>
    </cfRule>
    <cfRule type="expression" dxfId="1111" priority="2151">
      <formula>SEARCH("Driver Arrival",$J19)</formula>
    </cfRule>
    <cfRule type="expression" dxfId="1110" priority="2152">
      <formula>SEARCH("Qualifying",$J19)</formula>
    </cfRule>
    <cfRule type="expression" dxfId="1109" priority="2153">
      <formula>SEARCH("Race",$J19)</formula>
    </cfRule>
    <cfRule type="expression" dxfId="1108" priority="2154">
      <formula>SEARCH("Practice Session",$J19)</formula>
    </cfRule>
    <cfRule type="expression" dxfId="1107" priority="2155">
      <formula>SEARCH("Press",$J19)</formula>
    </cfRule>
    <cfRule type="expression" dxfId="1106" priority="2156">
      <formula>SEARCH("Picture",$J19)</formula>
    </cfRule>
    <cfRule type="expression" dxfId="1105" priority="2157">
      <formula>SEARCH("Media",$J19)</formula>
    </cfRule>
    <cfRule type="expression" dxfId="1104" priority="2158">
      <formula>SEARCH("Interview",$J19)</formula>
    </cfRule>
    <cfRule type="expression" dxfId="1103" priority="2159">
      <formula>SEARCH("Team Principal",$J19)</formula>
    </cfRule>
    <cfRule type="expression" dxfId="1102" priority="2160">
      <formula>SEARCH("Briefing",$J19)</formula>
    </cfRule>
    <cfRule type="expression" dxfId="1101" priority="2161">
      <formula>SEARCH("Sign on",$J19)</formula>
    </cfRule>
  </conditionalFormatting>
  <conditionalFormatting sqref="B60:AA60">
    <cfRule type="expression" dxfId="1100" priority="2117">
      <formula>OR($J60="Breakfast", $J60="Lunch", $J60="Dinner")</formula>
    </cfRule>
    <cfRule type="expression" dxfId="1099" priority="2118">
      <formula>SEARCH("Meeting",$J60)</formula>
    </cfRule>
    <cfRule type="expression" dxfId="1098" priority="2119">
      <formula>SEARCH(" PM",$J60)</formula>
    </cfRule>
    <cfRule type="expression" dxfId="1097" priority="2120">
      <formula>SEARCH("DB",$J60)</formula>
    </cfRule>
    <cfRule type="expression" dxfId="1096" priority="2121">
      <formula>SEARCH("Driver Arrival",$J60)</formula>
    </cfRule>
    <cfRule type="expression" dxfId="1095" priority="2122">
      <formula>SEARCH("Qualifying",$J60)</formula>
    </cfRule>
    <cfRule type="expression" dxfId="1094" priority="2123">
      <formula>SEARCH("Race",$J60)</formula>
    </cfRule>
    <cfRule type="expression" dxfId="1093" priority="2124">
      <formula>SEARCH("Practice Session",$J60)</formula>
    </cfRule>
    <cfRule type="expression" dxfId="1092" priority="2125">
      <formula>SEARCH("Press",$J60)</formula>
    </cfRule>
    <cfRule type="expression" dxfId="1091" priority="2126">
      <formula>SEARCH("Picture",$J60)</formula>
    </cfRule>
    <cfRule type="expression" dxfId="1090" priority="2127">
      <formula>SEARCH("Media",$J60)</formula>
    </cfRule>
    <cfRule type="expression" dxfId="1089" priority="2128">
      <formula>SEARCH("Interview",$J60)</formula>
    </cfRule>
    <cfRule type="expression" dxfId="1088" priority="2129">
      <formula>SEARCH("Team Principal",$J60)</formula>
    </cfRule>
    <cfRule type="expression" dxfId="1087" priority="2130">
      <formula>SEARCH("Briefing",$J60)</formula>
    </cfRule>
    <cfRule type="expression" dxfId="1086" priority="2131">
      <formula>SEARCH("Sign on",$J60)</formula>
    </cfRule>
  </conditionalFormatting>
  <conditionalFormatting sqref="B85:AA85">
    <cfRule type="expression" dxfId="1085" priority="2102">
      <formula>OR($J85="Breakfast", $J85="Lunch", $J85="Dinner")</formula>
    </cfRule>
    <cfRule type="expression" dxfId="1084" priority="2103">
      <formula>SEARCH("Meeting",$J85)</formula>
    </cfRule>
    <cfRule type="expression" dxfId="1083" priority="2104">
      <formula>SEARCH(" PM",$J85)</formula>
    </cfRule>
    <cfRule type="expression" dxfId="1082" priority="2105">
      <formula>SEARCH("DB",$J85)</formula>
    </cfRule>
    <cfRule type="expression" dxfId="1081" priority="2106">
      <formula>SEARCH("Driver Arrival",$J85)</formula>
    </cfRule>
    <cfRule type="expression" dxfId="1080" priority="2107">
      <formula>SEARCH("Qualifying",$J85)</formula>
    </cfRule>
    <cfRule type="expression" dxfId="1079" priority="2108">
      <formula>SEARCH("Race",$J85)</formula>
    </cfRule>
    <cfRule type="expression" dxfId="1078" priority="2109">
      <formula>SEARCH("Practice Session",$J85)</formula>
    </cfRule>
    <cfRule type="expression" dxfId="1077" priority="2110">
      <formula>SEARCH("Press",$J85)</formula>
    </cfRule>
    <cfRule type="expression" dxfId="1076" priority="2111">
      <formula>SEARCH("Picture",$J85)</formula>
    </cfRule>
    <cfRule type="expression" dxfId="1075" priority="2112">
      <formula>SEARCH("Media",$J85)</formula>
    </cfRule>
    <cfRule type="expression" dxfId="1074" priority="2113">
      <formula>SEARCH("Interview",$J85)</formula>
    </cfRule>
    <cfRule type="expression" dxfId="1073" priority="2114">
      <formula>SEARCH("Team Principal",$J85)</formula>
    </cfRule>
    <cfRule type="expression" dxfId="1072" priority="2115">
      <formula>SEARCH("Briefing",$J85)</formula>
    </cfRule>
    <cfRule type="expression" dxfId="1071" priority="2116">
      <formula>SEARCH("Sign on",$J85)</formula>
    </cfRule>
  </conditionalFormatting>
  <conditionalFormatting sqref="B110:AA110">
    <cfRule type="expression" dxfId="1070" priority="2087">
      <formula>OR($J110="Breakfast", $J110="Lunch", $J110="Dinner")</formula>
    </cfRule>
    <cfRule type="expression" dxfId="1069" priority="2088">
      <formula>SEARCH("Meeting",$J110)</formula>
    </cfRule>
    <cfRule type="expression" dxfId="1068" priority="2089">
      <formula>SEARCH(" PM",$J110)</formula>
    </cfRule>
    <cfRule type="expression" dxfId="1067" priority="2090">
      <formula>SEARCH("DB",$J110)</formula>
    </cfRule>
    <cfRule type="expression" dxfId="1066" priority="2091">
      <formula>SEARCH("Driver Arrival",$J110)</formula>
    </cfRule>
    <cfRule type="expression" dxfId="1065" priority="2092">
      <formula>SEARCH("Qualifying",$J110)</formula>
    </cfRule>
    <cfRule type="expression" dxfId="1064" priority="2093">
      <formula>SEARCH("Race",$J110)</formula>
    </cfRule>
    <cfRule type="expression" dxfId="1063" priority="2094">
      <formula>SEARCH("Practice Session",$J110)</formula>
    </cfRule>
    <cfRule type="expression" dxfId="1062" priority="2095">
      <formula>SEARCH("Press",$J110)</formula>
    </cfRule>
    <cfRule type="expression" dxfId="1061" priority="2096">
      <formula>SEARCH("Picture",$J110)</formula>
    </cfRule>
    <cfRule type="expression" dxfId="1060" priority="2097">
      <formula>SEARCH("Media",$J110)</formula>
    </cfRule>
    <cfRule type="expression" dxfId="1059" priority="2098">
      <formula>SEARCH("Interview",$J110)</formula>
    </cfRule>
    <cfRule type="expression" dxfId="1058" priority="2099">
      <formula>SEARCH("Team Principal",$J110)</formula>
    </cfRule>
    <cfRule type="expression" dxfId="1057" priority="2100">
      <formula>SEARCH("Briefing",$J110)</formula>
    </cfRule>
    <cfRule type="expression" dxfId="1056" priority="2101">
      <formula>SEARCH("Sign on",$J110)</formula>
    </cfRule>
  </conditionalFormatting>
  <conditionalFormatting sqref="AG123">
    <cfRule type="expression" dxfId="1055" priority="1972">
      <formula>SEARCH("Sign on",$J123)</formula>
    </cfRule>
    <cfRule type="expression" dxfId="1054" priority="1973">
      <formula>SEARCH("Briefing",$J123)</formula>
    </cfRule>
    <cfRule type="expression" dxfId="1053" priority="1974">
      <formula>SEARCH("Team Principal",$J123)</formula>
    </cfRule>
    <cfRule type="expression" dxfId="1052" priority="1975">
      <formula>SEARCH("Media",$J123)</formula>
    </cfRule>
    <cfRule type="expression" dxfId="1051" priority="1976">
      <formula>SEARCH("Picture",$J123)</formula>
    </cfRule>
    <cfRule type="expression" dxfId="1050" priority="1977">
      <formula>SEARCH("Press",$J123)</formula>
    </cfRule>
    <cfRule type="expression" dxfId="1049" priority="1978">
      <formula>SEARCH("Practice Session",$J123)</formula>
    </cfRule>
    <cfRule type="expression" dxfId="1048" priority="1979">
      <formula>SEARCH("Race",$J123)</formula>
    </cfRule>
    <cfRule type="expression" dxfId="1047" priority="1980">
      <formula>SEARCH("Qualifying",$J123)</formula>
    </cfRule>
    <cfRule type="expression" dxfId="1046" priority="1981">
      <formula>SEARCH("Driver Arrival", $J123)</formula>
    </cfRule>
    <cfRule type="expression" dxfId="1045" priority="1982">
      <formula>SEARCH("DB", $J123)</formula>
    </cfRule>
    <cfRule type="expression" dxfId="1044" priority="1983">
      <formula>SEARCH(" PM",$J123)</formula>
    </cfRule>
    <cfRule type="expression" dxfId="1043" priority="1984">
      <formula>SEARCH("Meeting",$J123)</formula>
    </cfRule>
    <cfRule type="expression" dxfId="1042" priority="1985">
      <formula>OR($J123="Breakfast",$J123="Lunch",$J123="Dinner")</formula>
    </cfRule>
  </conditionalFormatting>
  <conditionalFormatting sqref="AG124">
    <cfRule type="expression" dxfId="1041" priority="1958">
      <formula>SEARCH("Sign on",$J124)</formula>
    </cfRule>
    <cfRule type="expression" dxfId="1040" priority="1959">
      <formula>SEARCH("Briefing",$J124)</formula>
    </cfRule>
    <cfRule type="expression" dxfId="1039" priority="1960">
      <formula>SEARCH("Team Principal",$J124)</formula>
    </cfRule>
    <cfRule type="expression" dxfId="1038" priority="1961">
      <formula>SEARCH("Media",$J124)</formula>
    </cfRule>
    <cfRule type="expression" dxfId="1037" priority="1962">
      <formula>SEARCH("Picture",$J124)</formula>
    </cfRule>
    <cfRule type="expression" dxfId="1036" priority="1963">
      <formula>SEARCH("Press",$J124)</formula>
    </cfRule>
    <cfRule type="expression" dxfId="1035" priority="1964">
      <formula>SEARCH("Practice Session",$J124)</formula>
    </cfRule>
    <cfRule type="expression" dxfId="1034" priority="1965">
      <formula>SEARCH("Race",$J124)</formula>
    </cfRule>
    <cfRule type="expression" dxfId="1033" priority="1966">
      <formula>SEARCH("Qualifying",$J124)</formula>
    </cfRule>
    <cfRule type="expression" dxfId="1032" priority="1967">
      <formula>SEARCH("Driver Arrival", $J124)</formula>
    </cfRule>
    <cfRule type="expression" dxfId="1031" priority="1968">
      <formula>SEARCH("DB", $J124)</formula>
    </cfRule>
    <cfRule type="expression" dxfId="1030" priority="1969">
      <formula>SEARCH(" PM",$J124)</formula>
    </cfRule>
    <cfRule type="expression" dxfId="1029" priority="1970">
      <formula>SEARCH("Meeting",$J124)</formula>
    </cfRule>
    <cfRule type="expression" dxfId="1028" priority="1971">
      <formula>OR($J124="Breakfast",$J124="Lunch",$J124="Dinner")</formula>
    </cfRule>
  </conditionalFormatting>
  <conditionalFormatting sqref="AG125">
    <cfRule type="expression" dxfId="1027" priority="1944">
      <formula>SEARCH("Sign on",$J125)</formula>
    </cfRule>
    <cfRule type="expression" dxfId="1026" priority="1945">
      <formula>SEARCH("Briefing",$J125)</formula>
    </cfRule>
    <cfRule type="expression" dxfId="1025" priority="1946">
      <formula>SEARCH("Team Principal",$J125)</formula>
    </cfRule>
    <cfRule type="expression" dxfId="1024" priority="1947">
      <formula>SEARCH("Media",$J125)</formula>
    </cfRule>
    <cfRule type="expression" dxfId="1023" priority="1948">
      <formula>SEARCH("Picture",$J125)</formula>
    </cfRule>
    <cfRule type="expression" dxfId="1022" priority="1949">
      <formula>SEARCH("Press",$J125)</formula>
    </cfRule>
    <cfRule type="expression" dxfId="1021" priority="1950">
      <formula>SEARCH("Practice Session",$J125)</formula>
    </cfRule>
    <cfRule type="expression" dxfId="1020" priority="1951">
      <formula>SEARCH("Race",$J125)</formula>
    </cfRule>
    <cfRule type="expression" dxfId="1019" priority="1952">
      <formula>SEARCH("Qualifying",$J125)</formula>
    </cfRule>
    <cfRule type="expression" dxfId="1018" priority="1953">
      <formula>SEARCH("Driver Arrival", $J125)</formula>
    </cfRule>
    <cfRule type="expression" dxfId="1017" priority="1954">
      <formula>SEARCH("DB", $J125)</formula>
    </cfRule>
    <cfRule type="expression" dxfId="1016" priority="1955">
      <formula>SEARCH(" PM",$J125)</formula>
    </cfRule>
    <cfRule type="expression" dxfId="1015" priority="1956">
      <formula>SEARCH("Meeting",$J125)</formula>
    </cfRule>
    <cfRule type="expression" dxfId="1014" priority="1957">
      <formula>OR($J125="Breakfast",$J125="Lunch",$J125="Dinner")</formula>
    </cfRule>
  </conditionalFormatting>
  <conditionalFormatting sqref="AG111">
    <cfRule type="expression" dxfId="1013" priority="1915">
      <formula>SEARCH("Sign on",$J111)</formula>
    </cfRule>
    <cfRule type="expression" dxfId="1012" priority="1916">
      <formula>SEARCH("Briefing",$J111)</formula>
    </cfRule>
    <cfRule type="expression" dxfId="1011" priority="1917">
      <formula>SEARCH("Team Principal",$J111)</formula>
    </cfRule>
    <cfRule type="expression" dxfId="1010" priority="1918">
      <formula>SEARCH("Media",$J111)</formula>
    </cfRule>
    <cfRule type="expression" dxfId="1009" priority="1919">
      <formula>SEARCH("Picture",$J111)</formula>
    </cfRule>
    <cfRule type="expression" dxfId="1008" priority="1920">
      <formula>SEARCH("Press",$J111)</formula>
    </cfRule>
    <cfRule type="expression" dxfId="1007" priority="1921">
      <formula>SEARCH("Practice Session",$J111)</formula>
    </cfRule>
    <cfRule type="expression" dxfId="1006" priority="1922">
      <formula>SEARCH("Race",$J111)</formula>
    </cfRule>
    <cfRule type="expression" dxfId="1005" priority="1923">
      <formula>SEARCH("Qualifying",$J111)</formula>
    </cfRule>
    <cfRule type="expression" dxfId="1004" priority="1924">
      <formula>SEARCH("Driver Arrival", $J111)</formula>
    </cfRule>
    <cfRule type="expression" dxfId="1003" priority="1925">
      <formula>SEARCH("DB", $J111)</formula>
    </cfRule>
    <cfRule type="expression" dxfId="1002" priority="1926">
      <formula>SEARCH(" PM",$J111)</formula>
    </cfRule>
    <cfRule type="expression" dxfId="1001" priority="1927">
      <formula>SEARCH("Meeting",$J111)</formula>
    </cfRule>
    <cfRule type="expression" dxfId="1000" priority="1928">
      <formula>OR($J111="Breakfast",$J111="Lunch",$J111="Dinner")</formula>
    </cfRule>
  </conditionalFormatting>
  <conditionalFormatting sqref="AG110">
    <cfRule type="expression" dxfId="999" priority="1900">
      <formula>OR($J110="Breakfast", $J110="Lunch", $J110="Dinner")</formula>
    </cfRule>
    <cfRule type="expression" dxfId="998" priority="1901">
      <formula>SEARCH("Meeting",$J110)</formula>
    </cfRule>
    <cfRule type="expression" dxfId="997" priority="1902">
      <formula>SEARCH(" PM",$J110)</formula>
    </cfRule>
    <cfRule type="expression" dxfId="996" priority="1903">
      <formula>SEARCH("DB",$J110)</formula>
    </cfRule>
    <cfRule type="expression" dxfId="995" priority="1904">
      <formula>SEARCH("Driver Arrival",$J110)</formula>
    </cfRule>
    <cfRule type="expression" dxfId="994" priority="1905">
      <formula>SEARCH("Qualifying",$J110)</formula>
    </cfRule>
    <cfRule type="expression" dxfId="993" priority="1906">
      <formula>SEARCH("Race",$J110)</formula>
    </cfRule>
    <cfRule type="expression" dxfId="992" priority="1907">
      <formula>SEARCH("Practice Session",$J110)</formula>
    </cfRule>
    <cfRule type="expression" dxfId="991" priority="1908">
      <formula>SEARCH("Press",$J110)</formula>
    </cfRule>
    <cfRule type="expression" dxfId="990" priority="1909">
      <formula>SEARCH("Picture",$J110)</formula>
    </cfRule>
    <cfRule type="expression" dxfId="989" priority="1910">
      <formula>SEARCH("Media",$J110)</formula>
    </cfRule>
    <cfRule type="expression" dxfId="988" priority="1911">
      <formula>SEARCH("Interview",$J110)</formula>
    </cfRule>
    <cfRule type="expression" dxfId="987" priority="1912">
      <formula>SEARCH("Team Principal",$J110)</formula>
    </cfRule>
    <cfRule type="expression" dxfId="986" priority="1913">
      <formula>SEARCH("Briefing",$J110)</formula>
    </cfRule>
    <cfRule type="expression" dxfId="985" priority="1914">
      <formula>SEARCH("Sign on",$J110)</formula>
    </cfRule>
  </conditionalFormatting>
  <conditionalFormatting sqref="AG85">
    <cfRule type="expression" dxfId="984" priority="1871">
      <formula>OR($J85="Breakfast", $J85="Lunch", $J85="Dinner")</formula>
    </cfRule>
    <cfRule type="expression" dxfId="983" priority="1872">
      <formula>SEARCH("Meeting",$J85)</formula>
    </cfRule>
    <cfRule type="expression" dxfId="982" priority="1873">
      <formula>SEARCH(" PM",$J85)</formula>
    </cfRule>
    <cfRule type="expression" dxfId="981" priority="1874">
      <formula>SEARCH("DB",$J85)</formula>
    </cfRule>
    <cfRule type="expression" dxfId="980" priority="1875">
      <formula>SEARCH("Driver Arrival",$J85)</formula>
    </cfRule>
    <cfRule type="expression" dxfId="979" priority="1876">
      <formula>SEARCH("Qualifying",$J85)</formula>
    </cfRule>
    <cfRule type="expression" dxfId="978" priority="1877">
      <formula>SEARCH("Race",$J85)</formula>
    </cfRule>
    <cfRule type="expression" dxfId="977" priority="1878">
      <formula>SEARCH("Practice Session",$J85)</formula>
    </cfRule>
    <cfRule type="expression" dxfId="976" priority="1879">
      <formula>SEARCH("Press",$J85)</formula>
    </cfRule>
    <cfRule type="expression" dxfId="975" priority="1880">
      <formula>SEARCH("Picture",$J85)</formula>
    </cfRule>
    <cfRule type="expression" dxfId="974" priority="1881">
      <formula>SEARCH("Media",$J85)</formula>
    </cfRule>
    <cfRule type="expression" dxfId="973" priority="1882">
      <formula>SEARCH("Interview",$J85)</formula>
    </cfRule>
    <cfRule type="expression" dxfId="972" priority="1883">
      <formula>SEARCH("Team Principal",$J85)</formula>
    </cfRule>
    <cfRule type="expression" dxfId="971" priority="1884">
      <formula>SEARCH("Briefing",$J85)</formula>
    </cfRule>
    <cfRule type="expression" dxfId="970" priority="1885">
      <formula>SEARCH("Sign on",$J85)</formula>
    </cfRule>
  </conditionalFormatting>
  <conditionalFormatting sqref="AG60">
    <cfRule type="expression" dxfId="969" priority="1842">
      <formula>OR($J60="Breakfast", $J60="Lunch", $J60="Dinner")</formula>
    </cfRule>
    <cfRule type="expression" dxfId="968" priority="1843">
      <formula>SEARCH("Meeting",$J60)</formula>
    </cfRule>
    <cfRule type="expression" dxfId="967" priority="1844">
      <formula>SEARCH(" PM",$J60)</formula>
    </cfRule>
    <cfRule type="expression" dxfId="966" priority="1845">
      <formula>SEARCH("DB",$J60)</formula>
    </cfRule>
    <cfRule type="expression" dxfId="965" priority="1846">
      <formula>SEARCH("Driver Arrival",$J60)</formula>
    </cfRule>
    <cfRule type="expression" dxfId="964" priority="1847">
      <formula>SEARCH("Qualifying",$J60)</formula>
    </cfRule>
    <cfRule type="expression" dxfId="963" priority="1848">
      <formula>SEARCH("Race",$J60)</formula>
    </cfRule>
    <cfRule type="expression" dxfId="962" priority="1849">
      <formula>SEARCH("Practice Session",$J60)</formula>
    </cfRule>
    <cfRule type="expression" dxfId="961" priority="1850">
      <formula>SEARCH("Press",$J60)</formula>
    </cfRule>
    <cfRule type="expression" dxfId="960" priority="1851">
      <formula>SEARCH("Picture",$J60)</formula>
    </cfRule>
    <cfRule type="expression" dxfId="959" priority="1852">
      <formula>SEARCH("Media",$J60)</formula>
    </cfRule>
    <cfRule type="expression" dxfId="958" priority="1853">
      <formula>SEARCH("Interview",$J60)</formula>
    </cfRule>
    <cfRule type="expression" dxfId="957" priority="1854">
      <formula>SEARCH("Team Principal",$J60)</formula>
    </cfRule>
    <cfRule type="expression" dxfId="956" priority="1855">
      <formula>SEARCH("Briefing",$J60)</formula>
    </cfRule>
    <cfRule type="expression" dxfId="955" priority="1856">
      <formula>SEARCH("Sign on",$J60)</formula>
    </cfRule>
  </conditionalFormatting>
  <conditionalFormatting sqref="AG19">
    <cfRule type="expression" dxfId="954" priority="1726">
      <formula>OR($J19="Breakfast", $J19="Lunch", $J19="Dinner")</formula>
    </cfRule>
    <cfRule type="expression" dxfId="953" priority="1727">
      <formula>SEARCH("Meeting",$J19)</formula>
    </cfRule>
    <cfRule type="expression" dxfId="952" priority="1728">
      <formula>SEARCH(" PM",$J19)</formula>
    </cfRule>
    <cfRule type="expression" dxfId="951" priority="1729">
      <formula>SEARCH("DB",$J19)</formula>
    </cfRule>
    <cfRule type="expression" dxfId="950" priority="1730">
      <formula>SEARCH("Driver Arrival",$J19)</formula>
    </cfRule>
    <cfRule type="expression" dxfId="949" priority="1731">
      <formula>SEARCH("Qualifying",$J19)</formula>
    </cfRule>
    <cfRule type="expression" dxfId="948" priority="1732">
      <formula>SEARCH("Race",$J19)</formula>
    </cfRule>
    <cfRule type="expression" dxfId="947" priority="1733">
      <formula>SEARCH("Practice Session",$J19)</formula>
    </cfRule>
    <cfRule type="expression" dxfId="946" priority="1734">
      <formula>SEARCH("Press",$J19)</formula>
    </cfRule>
    <cfRule type="expression" dxfId="945" priority="1735">
      <formula>SEARCH("Picture",$J19)</formula>
    </cfRule>
    <cfRule type="expression" dxfId="944" priority="1736">
      <formula>SEARCH("Media",$J19)</formula>
    </cfRule>
    <cfRule type="expression" dxfId="943" priority="1737">
      <formula>SEARCH("Interview",$J19)</formula>
    </cfRule>
    <cfRule type="expression" dxfId="942" priority="1738">
      <formula>SEARCH("Team Principal",$J19)</formula>
    </cfRule>
    <cfRule type="expression" dxfId="941" priority="1739">
      <formula>SEARCH("Briefing",$J19)</formula>
    </cfRule>
    <cfRule type="expression" dxfId="940" priority="1740">
      <formula>SEARCH("Sign on",$J19)</formula>
    </cfRule>
  </conditionalFormatting>
  <conditionalFormatting sqref="B72:S72">
    <cfRule type="expression" dxfId="939" priority="1381">
      <formula>SEARCH("Sign on",$J72)</formula>
    </cfRule>
    <cfRule type="expression" dxfId="938" priority="1382">
      <formula>SEARCH("Briefing",$J72)</formula>
    </cfRule>
    <cfRule type="expression" dxfId="937" priority="1383">
      <formula>SEARCH("Team Principal",$J72)</formula>
    </cfRule>
    <cfRule type="expression" dxfId="936" priority="1384">
      <formula>SEARCH("Interview",$J72)</formula>
    </cfRule>
    <cfRule type="expression" dxfId="935" priority="1385">
      <formula>SEARCH("Media",$J72)</formula>
    </cfRule>
    <cfRule type="expression" dxfId="934" priority="1386">
      <formula>SEARCH("Picture",$J72)</formula>
    </cfRule>
    <cfRule type="expression" dxfId="933" priority="1387">
      <formula>SEARCH("Press",$J72)</formula>
    </cfRule>
    <cfRule type="expression" dxfId="932" priority="1388">
      <formula>SEARCH("Practice Session",$J72)</formula>
    </cfRule>
    <cfRule type="expression" dxfId="931" priority="1389">
      <formula>SEARCH("Race",$J72)</formula>
    </cfRule>
    <cfRule type="expression" dxfId="930" priority="1390">
      <formula>SEARCH("Qualifying",$J72)</formula>
    </cfRule>
    <cfRule type="expression" dxfId="929" priority="1391">
      <formula>SEARCH("Driver Arrival", $J72)</formula>
    </cfRule>
    <cfRule type="expression" dxfId="928" priority="1392">
      <formula>SEARCH("DB", $J72)</formula>
    </cfRule>
    <cfRule type="expression" dxfId="927" priority="1393">
      <formula>SEARCH(" PM",$J72)</formula>
    </cfRule>
    <cfRule type="expression" dxfId="926" priority="1394">
      <formula>SEARCH("Meeting",$J72)</formula>
    </cfRule>
    <cfRule type="expression" dxfId="925" priority="1395">
      <formula>OR($J72="Breakfast",$J72="Lunch",$J72="Dinner")</formula>
    </cfRule>
  </conditionalFormatting>
  <conditionalFormatting sqref="T72:AA72">
    <cfRule type="expression" dxfId="924" priority="1366">
      <formula>SEARCH("Sign on",$J72)</formula>
    </cfRule>
    <cfRule type="expression" dxfId="923" priority="1367">
      <formula>SEARCH("Briefing",$J72)</formula>
    </cfRule>
    <cfRule type="expression" dxfId="922" priority="1368">
      <formula>SEARCH("Team Principal",$J72)</formula>
    </cfRule>
    <cfRule type="expression" dxfId="921" priority="1369">
      <formula>SEARCH("Interview",$J72)</formula>
    </cfRule>
    <cfRule type="expression" dxfId="920" priority="1370">
      <formula>SEARCH("Media",$J72)</formula>
    </cfRule>
    <cfRule type="expression" dxfId="919" priority="1371">
      <formula>SEARCH("Picture",$J72)</formula>
    </cfRule>
    <cfRule type="expression" dxfId="918" priority="1372">
      <formula>SEARCH("Press",$J72)</formula>
    </cfRule>
    <cfRule type="expression" dxfId="917" priority="1373">
      <formula>SEARCH("Practice Session",$J72)</formula>
    </cfRule>
    <cfRule type="expression" dxfId="916" priority="1374">
      <formula>SEARCH("Race",$J72)</formula>
    </cfRule>
    <cfRule type="expression" dxfId="915" priority="1375">
      <formula>SEARCH("Qualifying",$J72)</formula>
    </cfRule>
    <cfRule type="expression" dxfId="914" priority="1376">
      <formula>SEARCH("Driver Arrival", $J72)</formula>
    </cfRule>
    <cfRule type="expression" dxfId="913" priority="1377">
      <formula>SEARCH("DB", $J72)</formula>
    </cfRule>
    <cfRule type="expression" dxfId="912" priority="1378">
      <formula>SEARCH(" PM",$J72)</formula>
    </cfRule>
    <cfRule type="expression" dxfId="911" priority="1379">
      <formula>SEARCH("Meeting",$J72)</formula>
    </cfRule>
    <cfRule type="expression" dxfId="910" priority="1380">
      <formula>OR($J72="Breakfast",$J72="Lunch",$J72="Dinner")</formula>
    </cfRule>
  </conditionalFormatting>
  <conditionalFormatting sqref="B10:AA10">
    <cfRule type="expression" dxfId="909" priority="1216">
      <formula>OR($J10="Breakfast", $J10="Lunch", $J10="Dinner")</formula>
    </cfRule>
    <cfRule type="expression" dxfId="908" priority="1217">
      <formula>SEARCH("Meeting",$J10)</formula>
    </cfRule>
    <cfRule type="expression" dxfId="907" priority="1218">
      <formula>SEARCH(" PM",$J10)</formula>
    </cfRule>
    <cfRule type="expression" dxfId="906" priority="1219">
      <formula>SEARCH("DB",$J10)</formula>
    </cfRule>
    <cfRule type="expression" dxfId="905" priority="1220">
      <formula>SEARCH("Driver Arrival",$J10)</formula>
    </cfRule>
    <cfRule type="expression" dxfId="904" priority="1221">
      <formula>SEARCH("Qualifying",$J10)</formula>
    </cfRule>
    <cfRule type="expression" dxfId="903" priority="1222">
      <formula>SEARCH("Race",$J10)</formula>
    </cfRule>
    <cfRule type="expression" dxfId="902" priority="1223">
      <formula>SEARCH("Practice Session",$J10)</formula>
    </cfRule>
    <cfRule type="expression" dxfId="901" priority="1224">
      <formula>SEARCH("Press",$J10)</formula>
    </cfRule>
    <cfRule type="expression" dxfId="900" priority="1225">
      <formula>SEARCH("Picture",$J10)</formula>
    </cfRule>
    <cfRule type="expression" dxfId="899" priority="1226">
      <formula>SEARCH("Media",$J10)</formula>
    </cfRule>
    <cfRule type="expression" dxfId="898" priority="1227">
      <formula>SEARCH("Interview",$J10)</formula>
    </cfRule>
    <cfRule type="expression" dxfId="897" priority="1228">
      <formula>SEARCH("Team Principal",$J10)</formula>
    </cfRule>
    <cfRule type="expression" dxfId="896" priority="1229">
      <formula>SEARCH("Briefing",$J10)</formula>
    </cfRule>
    <cfRule type="expression" dxfId="895" priority="1230">
      <formula>SEARCH("Sign on",$J10)</formula>
    </cfRule>
  </conditionalFormatting>
  <conditionalFormatting sqref="AG10">
    <cfRule type="expression" dxfId="894" priority="1201">
      <formula>OR($J10="Breakfast", $J10="Lunch", $J10="Dinner")</formula>
    </cfRule>
    <cfRule type="expression" dxfId="893" priority="1202">
      <formula>SEARCH("Meeting",$J10)</formula>
    </cfRule>
    <cfRule type="expression" dxfId="892" priority="1203">
      <formula>SEARCH(" PM",$J10)</formula>
    </cfRule>
    <cfRule type="expression" dxfId="891" priority="1204">
      <formula>SEARCH("DB",$J10)</formula>
    </cfRule>
    <cfRule type="expression" dxfId="890" priority="1205">
      <formula>SEARCH("Driver Arrival",$J10)</formula>
    </cfRule>
    <cfRule type="expression" dxfId="889" priority="1206">
      <formula>SEARCH("Qualifying",$J10)</formula>
    </cfRule>
    <cfRule type="expression" dxfId="888" priority="1207">
      <formula>SEARCH("Race",$J10)</formula>
    </cfRule>
    <cfRule type="expression" dxfId="887" priority="1208">
      <formula>SEARCH("Practice Session",$J10)</formula>
    </cfRule>
    <cfRule type="expression" dxfId="886" priority="1209">
      <formula>SEARCH("Press",$J10)</formula>
    </cfRule>
    <cfRule type="expression" dxfId="885" priority="1210">
      <formula>SEARCH("Picture",$J10)</formula>
    </cfRule>
    <cfRule type="expression" dxfId="884" priority="1211">
      <formula>SEARCH("Media",$J10)</formula>
    </cfRule>
    <cfRule type="expression" dxfId="883" priority="1212">
      <formula>SEARCH("Interview",$J10)</formula>
    </cfRule>
    <cfRule type="expression" dxfId="882" priority="1213">
      <formula>SEARCH("Team Principal",$J10)</formula>
    </cfRule>
    <cfRule type="expression" dxfId="881" priority="1214">
      <formula>SEARCH("Briefing",$J10)</formula>
    </cfRule>
    <cfRule type="expression" dxfId="880" priority="1215">
      <formula>SEARCH("Sign on",$J10)</formula>
    </cfRule>
  </conditionalFormatting>
  <conditionalFormatting sqref="B81:AA81">
    <cfRule type="expression" dxfId="879" priority="1096">
      <formula>SEARCH("Sign on",$J81)</formula>
    </cfRule>
    <cfRule type="expression" dxfId="878" priority="1097">
      <formula>SEARCH("Briefing",$J81)</formula>
    </cfRule>
    <cfRule type="expression" dxfId="877" priority="1098">
      <formula>SEARCH("Team Principal",$J81)</formula>
    </cfRule>
    <cfRule type="expression" dxfId="876" priority="1099">
      <formula>SEARCH("Interview",$J81)</formula>
    </cfRule>
    <cfRule type="expression" dxfId="875" priority="1100">
      <formula>SEARCH("Media",$J81)</formula>
    </cfRule>
    <cfRule type="expression" dxfId="874" priority="1101">
      <formula>SEARCH("Picture",$J81)</formula>
    </cfRule>
    <cfRule type="expression" dxfId="873" priority="1102">
      <formula>SEARCH("Press",$J81)</formula>
    </cfRule>
    <cfRule type="expression" dxfId="872" priority="1103">
      <formula>SEARCH("Practice Session",$J81)</formula>
    </cfRule>
    <cfRule type="expression" dxfId="871" priority="1104">
      <formula>SEARCH("Race",$J81)</formula>
    </cfRule>
    <cfRule type="expression" dxfId="870" priority="1105">
      <formula>SEARCH("Qualifying",$J81)</formula>
    </cfRule>
    <cfRule type="expression" dxfId="869" priority="1106">
      <formula>SEARCH("Driver Arrival", $J81)</formula>
    </cfRule>
    <cfRule type="expression" dxfId="868" priority="1107">
      <formula>SEARCH("DB", $J81)</formula>
    </cfRule>
    <cfRule type="expression" dxfId="867" priority="1108">
      <formula>SEARCH(" PM",$J81)</formula>
    </cfRule>
    <cfRule type="expression" dxfId="866" priority="1109">
      <formula>SEARCH("Meeting",$J81)</formula>
    </cfRule>
    <cfRule type="expression" dxfId="865" priority="1110">
      <formula>OR($J81="Breakfast",$J81="Lunch",$J81="Dinner")</formula>
    </cfRule>
  </conditionalFormatting>
  <conditionalFormatting sqref="B78:AA80">
    <cfRule type="expression" dxfId="864" priority="1081">
      <formula>OR($J78="Breakfast", $J78="Lunch", $J78="Dinner")</formula>
    </cfRule>
    <cfRule type="expression" dxfId="863" priority="1082">
      <formula>SEARCH("Meeting",$J78)</formula>
    </cfRule>
    <cfRule type="expression" dxfId="862" priority="1083">
      <formula>SEARCH(" PM",$J78)</formula>
    </cfRule>
    <cfRule type="expression" dxfId="861" priority="1084">
      <formula>SEARCH("DB",$J78)</formula>
    </cfRule>
    <cfRule type="expression" dxfId="860" priority="1085">
      <formula>SEARCH("Driver Arrival",$J78)</formula>
    </cfRule>
    <cfRule type="expression" dxfId="859" priority="1086">
      <formula>SEARCH("Qualifying",$J78)</formula>
    </cfRule>
    <cfRule type="expression" dxfId="858" priority="1087">
      <formula>SEARCH("Race",$J78)</formula>
    </cfRule>
    <cfRule type="expression" dxfId="857" priority="1088">
      <formula>SEARCH("Practice Session",$J78)</formula>
    </cfRule>
    <cfRule type="expression" dxfId="856" priority="1089">
      <formula>SEARCH("Press",$J78)</formula>
    </cfRule>
    <cfRule type="expression" dxfId="855" priority="1090">
      <formula>SEARCH("Picture",$J78)</formula>
    </cfRule>
    <cfRule type="expression" dxfId="854" priority="1091">
      <formula>SEARCH("Media",$J78)</formula>
    </cfRule>
    <cfRule type="expression" dxfId="853" priority="1092">
      <formula>SEARCH("Interview",$J78)</formula>
    </cfRule>
    <cfRule type="expression" dxfId="852" priority="1093">
      <formula>SEARCH("Team Principal",$J78)</formula>
    </cfRule>
    <cfRule type="expression" dxfId="851" priority="1094">
      <formula>SEARCH("Briefing",$J78)</formula>
    </cfRule>
    <cfRule type="expression" dxfId="850" priority="1095">
      <formula>SEARCH("Sign on",$J78)</formula>
    </cfRule>
  </conditionalFormatting>
  <conditionalFormatting sqref="B82:S82">
    <cfRule type="expression" dxfId="849" priority="1066">
      <formula>SEARCH("Sign on",$J82)</formula>
    </cfRule>
    <cfRule type="expression" dxfId="848" priority="1067">
      <formula>SEARCH("Briefing",$J82)</formula>
    </cfRule>
    <cfRule type="expression" dxfId="847" priority="1068">
      <formula>SEARCH("Team Principal",$J82)</formula>
    </cfRule>
    <cfRule type="expression" dxfId="846" priority="1069">
      <formula>SEARCH("Interview",$J82)</formula>
    </cfRule>
    <cfRule type="expression" dxfId="845" priority="1070">
      <formula>SEARCH("Media",$J82)</formula>
    </cfRule>
    <cfRule type="expression" dxfId="844" priority="1071">
      <formula>SEARCH("Picture",$J82)</formula>
    </cfRule>
    <cfRule type="expression" dxfId="843" priority="1072">
      <formula>SEARCH("Press",$J82)</formula>
    </cfRule>
    <cfRule type="expression" dxfId="842" priority="1073">
      <formula>SEARCH("Practice Session",$J82)</formula>
    </cfRule>
    <cfRule type="expression" dxfId="841" priority="1074">
      <formula>SEARCH("Race",$J82)</formula>
    </cfRule>
    <cfRule type="expression" dxfId="840" priority="1075">
      <formula>SEARCH("Qualifying",$J82)</formula>
    </cfRule>
    <cfRule type="expression" dxfId="839" priority="1076">
      <formula>SEARCH("Driver Arrival", $J82)</formula>
    </cfRule>
    <cfRule type="expression" dxfId="838" priority="1077">
      <formula>SEARCH("DB", $J82)</formula>
    </cfRule>
    <cfRule type="expression" dxfId="837" priority="1078">
      <formula>SEARCH(" PM",$J82)</formula>
    </cfRule>
    <cfRule type="expression" dxfId="836" priority="1079">
      <formula>SEARCH("Meeting",$J82)</formula>
    </cfRule>
    <cfRule type="expression" dxfId="835" priority="1080">
      <formula>OR($J82="Breakfast",$J82="Lunch",$J82="Dinner")</formula>
    </cfRule>
  </conditionalFormatting>
  <conditionalFormatting sqref="T82:AA82">
    <cfRule type="expression" dxfId="834" priority="1051">
      <formula>SEARCH("Sign on",$J82)</formula>
    </cfRule>
    <cfRule type="expression" dxfId="833" priority="1052">
      <formula>SEARCH("Briefing",$J82)</formula>
    </cfRule>
    <cfRule type="expression" dxfId="832" priority="1053">
      <formula>SEARCH("Team Principal",$J82)</formula>
    </cfRule>
    <cfRule type="expression" dxfId="831" priority="1054">
      <formula>SEARCH("Interview",$J82)</formula>
    </cfRule>
    <cfRule type="expression" dxfId="830" priority="1055">
      <formula>SEARCH("Media",$J82)</formula>
    </cfRule>
    <cfRule type="expression" dxfId="829" priority="1056">
      <formula>SEARCH("Picture",$J82)</formula>
    </cfRule>
    <cfRule type="expression" dxfId="828" priority="1057">
      <formula>SEARCH("Press",$J82)</formula>
    </cfRule>
    <cfRule type="expression" dxfId="827" priority="1058">
      <formula>SEARCH("Practice Session",$J82)</formula>
    </cfRule>
    <cfRule type="expression" dxfId="826" priority="1059">
      <formula>SEARCH("Race",$J82)</formula>
    </cfRule>
    <cfRule type="expression" dxfId="825" priority="1060">
      <formula>SEARCH("Qualifying",$J82)</formula>
    </cfRule>
    <cfRule type="expression" dxfId="824" priority="1061">
      <formula>SEARCH("Driver Arrival", $J82)</formula>
    </cfRule>
    <cfRule type="expression" dxfId="823" priority="1062">
      <formula>SEARCH("DB", $J82)</formula>
    </cfRule>
    <cfRule type="expression" dxfId="822" priority="1063">
      <formula>SEARCH(" PM",$J82)</formula>
    </cfRule>
    <cfRule type="expression" dxfId="821" priority="1064">
      <formula>SEARCH("Meeting",$J82)</formula>
    </cfRule>
    <cfRule type="expression" dxfId="820" priority="1065">
      <formula>OR($J82="Breakfast",$J82="Lunch",$J82="Dinner")</formula>
    </cfRule>
  </conditionalFormatting>
  <conditionalFormatting sqref="B77:S77">
    <cfRule type="expression" dxfId="819" priority="1006">
      <formula>SEARCH("Sign on",$J77)</formula>
    </cfRule>
    <cfRule type="expression" dxfId="818" priority="1007">
      <formula>SEARCH("Briefing",$J77)</formula>
    </cfRule>
    <cfRule type="expression" dxfId="817" priority="1008">
      <formula>SEARCH("Team Principal",$J77)</formula>
    </cfRule>
    <cfRule type="expression" dxfId="816" priority="1009">
      <formula>SEARCH("Interview",$J77)</formula>
    </cfRule>
    <cfRule type="expression" dxfId="815" priority="1010">
      <formula>SEARCH("Media",$J77)</formula>
    </cfRule>
    <cfRule type="expression" dxfId="814" priority="1011">
      <formula>SEARCH("Picture",$J77)</formula>
    </cfRule>
    <cfRule type="expression" dxfId="813" priority="1012">
      <formula>SEARCH("Press",$J77)</formula>
    </cfRule>
    <cfRule type="expression" dxfId="812" priority="1013">
      <formula>SEARCH("Practice Session",$J77)</formula>
    </cfRule>
    <cfRule type="expression" dxfId="811" priority="1014">
      <formula>SEARCH("Race",$J77)</formula>
    </cfRule>
    <cfRule type="expression" dxfId="810" priority="1015">
      <formula>SEARCH("Qualifying",$J77)</formula>
    </cfRule>
    <cfRule type="expression" dxfId="809" priority="1016">
      <formula>SEARCH("Driver Arrival", $J77)</formula>
    </cfRule>
    <cfRule type="expression" dxfId="808" priority="1017">
      <formula>SEARCH("DB", $J77)</formula>
    </cfRule>
    <cfRule type="expression" dxfId="807" priority="1018">
      <formula>SEARCH(" PM",$J77)</formula>
    </cfRule>
    <cfRule type="expression" dxfId="806" priority="1019">
      <formula>SEARCH("Meeting",$J77)</formula>
    </cfRule>
    <cfRule type="expression" dxfId="805" priority="1020">
      <formula>OR($J77="Breakfast",$J77="Lunch",$J77="Dinner")</formula>
    </cfRule>
  </conditionalFormatting>
  <conditionalFormatting sqref="T77:AA77">
    <cfRule type="expression" dxfId="804" priority="991">
      <formula>SEARCH("Sign on",$J77)</formula>
    </cfRule>
    <cfRule type="expression" dxfId="803" priority="992">
      <formula>SEARCH("Briefing",$J77)</formula>
    </cfRule>
    <cfRule type="expression" dxfId="802" priority="993">
      <formula>SEARCH("Team Principal",$J77)</formula>
    </cfRule>
    <cfRule type="expression" dxfId="801" priority="994">
      <formula>SEARCH("Interview",$J77)</formula>
    </cfRule>
    <cfRule type="expression" dxfId="800" priority="995">
      <formula>SEARCH("Media",$J77)</formula>
    </cfRule>
    <cfRule type="expression" dxfId="799" priority="996">
      <formula>SEARCH("Picture",$J77)</formula>
    </cfRule>
    <cfRule type="expression" dxfId="798" priority="997">
      <formula>SEARCH("Press",$J77)</formula>
    </cfRule>
    <cfRule type="expression" dxfId="797" priority="998">
      <formula>SEARCH("Practice Session",$J77)</formula>
    </cfRule>
    <cfRule type="expression" dxfId="796" priority="999">
      <formula>SEARCH("Race",$J77)</formula>
    </cfRule>
    <cfRule type="expression" dxfId="795" priority="1000">
      <formula>SEARCH("Qualifying",$J77)</formula>
    </cfRule>
    <cfRule type="expression" dxfId="794" priority="1001">
      <formula>SEARCH("Driver Arrival", $J77)</formula>
    </cfRule>
    <cfRule type="expression" dxfId="793" priority="1002">
      <formula>SEARCH("DB", $J77)</formula>
    </cfRule>
    <cfRule type="expression" dxfId="792" priority="1003">
      <formula>SEARCH(" PM",$J77)</formula>
    </cfRule>
    <cfRule type="expression" dxfId="791" priority="1004">
      <formula>SEARCH("Meeting",$J77)</formula>
    </cfRule>
    <cfRule type="expression" dxfId="790" priority="1005">
      <formula>OR($J77="Breakfast",$J77="Lunch",$J77="Dinner")</formula>
    </cfRule>
  </conditionalFormatting>
  <conditionalFormatting sqref="J108:R108 T108:AA108">
    <cfRule type="expression" dxfId="789" priority="946">
      <formula>SEARCH("Sign on",$J108)</formula>
    </cfRule>
    <cfRule type="expression" dxfId="788" priority="947">
      <formula>SEARCH("Briefing",$J108)</formula>
    </cfRule>
    <cfRule type="expression" dxfId="787" priority="948">
      <formula>SEARCH("Team Principal",$J108)</formula>
    </cfRule>
    <cfRule type="expression" dxfId="786" priority="949">
      <formula>SEARCH("Interview",$J108)</formula>
    </cfRule>
    <cfRule type="expression" dxfId="785" priority="950">
      <formula>SEARCH("Media",$J108)</formula>
    </cfRule>
    <cfRule type="expression" dxfId="784" priority="951">
      <formula>SEARCH("Picture",$J108)</formula>
    </cfRule>
    <cfRule type="expression" dxfId="783" priority="952">
      <formula>SEARCH("Press",$J108)</formula>
    </cfRule>
    <cfRule type="expression" dxfId="782" priority="953">
      <formula>SEARCH("Practice Session",$J108)</formula>
    </cfRule>
    <cfRule type="expression" dxfId="781" priority="954">
      <formula>SEARCH("Race",$J108)</formula>
    </cfRule>
    <cfRule type="expression" dxfId="780" priority="955">
      <formula>SEARCH("Qualifying",$J108)</formula>
    </cfRule>
    <cfRule type="expression" dxfId="779" priority="956">
      <formula>SEARCH("Driver Arrival", $J108)</formula>
    </cfRule>
    <cfRule type="expression" dxfId="778" priority="957">
      <formula>SEARCH("DB", $J108)</formula>
    </cfRule>
    <cfRule type="expression" dxfId="777" priority="958">
      <formula>SEARCH(" PM",$J108)</formula>
    </cfRule>
    <cfRule type="expression" dxfId="776" priority="959">
      <formula>SEARCH("Meeting",$J108)</formula>
    </cfRule>
    <cfRule type="expression" dxfId="775" priority="960">
      <formula>OR($J108="Breakfast",$J108="Lunch",$J108="Dinner")</formula>
    </cfRule>
  </conditionalFormatting>
  <conditionalFormatting sqref="B96:AA96">
    <cfRule type="expression" dxfId="774" priority="931">
      <formula>SEARCH("Sign on",$J96)</formula>
    </cfRule>
    <cfRule type="expression" dxfId="773" priority="932">
      <formula>SEARCH("Briefing",$J96)</formula>
    </cfRule>
    <cfRule type="expression" dxfId="772" priority="933">
      <formula>SEARCH("Team Principal",$J96)</formula>
    </cfRule>
    <cfRule type="expression" dxfId="771" priority="934">
      <formula>SEARCH("Interview",$J96)</formula>
    </cfRule>
    <cfRule type="expression" dxfId="770" priority="935">
      <formula>SEARCH("Media",$J96)</formula>
    </cfRule>
    <cfRule type="expression" dxfId="769" priority="936">
      <formula>SEARCH("Picture",$J96)</formula>
    </cfRule>
    <cfRule type="expression" dxfId="768" priority="937">
      <formula>SEARCH("Press",$J96)</formula>
    </cfRule>
    <cfRule type="expression" dxfId="767" priority="938">
      <formula>SEARCH("Practice Session",$J96)</formula>
    </cfRule>
    <cfRule type="expression" dxfId="766" priority="939">
      <formula>SEARCH("Race",$J96)</formula>
    </cfRule>
    <cfRule type="expression" dxfId="765" priority="940">
      <formula>SEARCH("Qualifying",$J96)</formula>
    </cfRule>
    <cfRule type="expression" dxfId="764" priority="941">
      <formula>SEARCH("Driver Arrival", $J96)</formula>
    </cfRule>
    <cfRule type="expression" dxfId="763" priority="942">
      <formula>SEARCH("DB", $J96)</formula>
    </cfRule>
    <cfRule type="expression" dxfId="762" priority="943">
      <formula>SEARCH(" PM",$J96)</formula>
    </cfRule>
    <cfRule type="expression" dxfId="761" priority="944">
      <formula>SEARCH("Meeting",$J96)</formula>
    </cfRule>
    <cfRule type="expression" dxfId="760" priority="945">
      <formula>OR($J96="Breakfast",$J96="Lunch",$J96="Dinner")</formula>
    </cfRule>
  </conditionalFormatting>
  <conditionalFormatting sqref="B108:I108">
    <cfRule type="expression" dxfId="759" priority="886">
      <formula>SEARCH("Sign on",$J108)</formula>
    </cfRule>
    <cfRule type="expression" dxfId="758" priority="887">
      <formula>SEARCH("Briefing",$J108)</formula>
    </cfRule>
    <cfRule type="expression" dxfId="757" priority="888">
      <formula>SEARCH("Team Principal",$J108)</formula>
    </cfRule>
    <cfRule type="expression" dxfId="756" priority="889">
      <formula>SEARCH("Interview",$J108)</formula>
    </cfRule>
    <cfRule type="expression" dxfId="755" priority="890">
      <formula>SEARCH("Media",$J108)</formula>
    </cfRule>
    <cfRule type="expression" dxfId="754" priority="891">
      <formula>SEARCH("Picture",$J108)</formula>
    </cfRule>
    <cfRule type="expression" dxfId="753" priority="892">
      <formula>SEARCH("Press",$J108)</formula>
    </cfRule>
    <cfRule type="expression" dxfId="752" priority="893">
      <formula>SEARCH("Practice Session",$J108)</formula>
    </cfRule>
    <cfRule type="expression" dxfId="751" priority="894">
      <formula>SEARCH("Race",$J108)</formula>
    </cfRule>
    <cfRule type="expression" dxfId="750" priority="895">
      <formula>SEARCH("Qualifying",$J108)</formula>
    </cfRule>
    <cfRule type="expression" dxfId="749" priority="896">
      <formula>SEARCH("Driver Arrival", $J108)</formula>
    </cfRule>
    <cfRule type="expression" dxfId="748" priority="897">
      <formula>SEARCH("DB", $J108)</formula>
    </cfRule>
    <cfRule type="expression" dxfId="747" priority="898">
      <formula>SEARCH(" PM",$J108)</formula>
    </cfRule>
    <cfRule type="expression" dxfId="746" priority="899">
      <formula>SEARCH("Meeting",$J108)</formula>
    </cfRule>
    <cfRule type="expression" dxfId="745" priority="900">
      <formula>OR($J108="Breakfast",$J108="Lunch",$J108="Dinner")</formula>
    </cfRule>
  </conditionalFormatting>
  <conditionalFormatting sqref="E86:AA86 B88:AA89">
    <cfRule type="expression" dxfId="744" priority="871">
      <formula>OR($J86="Breakfast", $J86="Lunch", $J86="Dinner")</formula>
    </cfRule>
    <cfRule type="expression" dxfId="743" priority="872">
      <formula>SEARCH("Meeting",$J86)</formula>
    </cfRule>
    <cfRule type="expression" dxfId="742" priority="873">
      <formula>SEARCH(" PM",$J86)</formula>
    </cfRule>
    <cfRule type="expression" dxfId="741" priority="874">
      <formula>SEARCH("DB",$J86)</formula>
    </cfRule>
    <cfRule type="expression" dxfId="740" priority="875">
      <formula>SEARCH("Driver Arrival",$J86)</formula>
    </cfRule>
    <cfRule type="expression" dxfId="739" priority="876">
      <formula>SEARCH("Qualifying",$J86)</formula>
    </cfRule>
    <cfRule type="expression" dxfId="738" priority="877">
      <formula>SEARCH("Race",$J86)</formula>
    </cfRule>
    <cfRule type="expression" dxfId="737" priority="878">
      <formula>SEARCH("Practice Session",$J86)</formula>
    </cfRule>
    <cfRule type="expression" dxfId="736" priority="879">
      <formula>SEARCH("Press",$J86)</formula>
    </cfRule>
    <cfRule type="expression" dxfId="735" priority="880">
      <formula>SEARCH("Picture",$J86)</formula>
    </cfRule>
    <cfRule type="expression" dxfId="734" priority="881">
      <formula>SEARCH("Media",$J86)</formula>
    </cfRule>
    <cfRule type="expression" dxfId="733" priority="882">
      <formula>SEARCH("Interview",$J86)</formula>
    </cfRule>
    <cfRule type="expression" dxfId="732" priority="883">
      <formula>SEARCH("Team Principal",$J86)</formula>
    </cfRule>
    <cfRule type="expression" dxfId="731" priority="884">
      <formula>SEARCH("Briefing",$J86)</formula>
    </cfRule>
    <cfRule type="expression" dxfId="730" priority="885">
      <formula>SEARCH("Sign on",$J86)</formula>
    </cfRule>
  </conditionalFormatting>
  <conditionalFormatting sqref="B97:S97">
    <cfRule type="expression" dxfId="729" priority="856">
      <formula>SEARCH("Sign on",$J97)</formula>
    </cfRule>
    <cfRule type="expression" dxfId="728" priority="857">
      <formula>SEARCH("Briefing",$J97)</formula>
    </cfRule>
    <cfRule type="expression" dxfId="727" priority="858">
      <formula>SEARCH("Team Principal",$J97)</formula>
    </cfRule>
    <cfRule type="expression" dxfId="726" priority="859">
      <formula>SEARCH("Interview",$J97)</formula>
    </cfRule>
    <cfRule type="expression" dxfId="725" priority="860">
      <formula>SEARCH("Media",$J97)</formula>
    </cfRule>
    <cfRule type="expression" dxfId="724" priority="861">
      <formula>SEARCH("Picture",$J97)</formula>
    </cfRule>
    <cfRule type="expression" dxfId="723" priority="862">
      <formula>SEARCH("Press",$J97)</formula>
    </cfRule>
    <cfRule type="expression" dxfId="722" priority="863">
      <formula>SEARCH("Practice Session",$J97)</formula>
    </cfRule>
    <cfRule type="expression" dxfId="721" priority="864">
      <formula>SEARCH("Race",$J97)</formula>
    </cfRule>
    <cfRule type="expression" dxfId="720" priority="865">
      <formula>SEARCH("Qualifying",$J97)</formula>
    </cfRule>
    <cfRule type="expression" dxfId="719" priority="866">
      <formula>SEARCH("Driver Arrival", $J97)</formula>
    </cfRule>
    <cfRule type="expression" dxfId="718" priority="867">
      <formula>SEARCH("DB", $J97)</formula>
    </cfRule>
    <cfRule type="expression" dxfId="717" priority="868">
      <formula>SEARCH(" PM",$J97)</formula>
    </cfRule>
    <cfRule type="expression" dxfId="716" priority="869">
      <formula>SEARCH("Meeting",$J97)</formula>
    </cfRule>
    <cfRule type="expression" dxfId="715" priority="870">
      <formula>OR($J97="Breakfast",$J97="Lunch",$J97="Dinner")</formula>
    </cfRule>
  </conditionalFormatting>
  <conditionalFormatting sqref="T97:AA97">
    <cfRule type="expression" dxfId="714" priority="841">
      <formula>SEARCH("Sign on",$J97)</formula>
    </cfRule>
    <cfRule type="expression" dxfId="713" priority="842">
      <formula>SEARCH("Briefing",$J97)</formula>
    </cfRule>
    <cfRule type="expression" dxfId="712" priority="843">
      <formula>SEARCH("Team Principal",$J97)</formula>
    </cfRule>
    <cfRule type="expression" dxfId="711" priority="844">
      <formula>SEARCH("Interview",$J97)</formula>
    </cfRule>
    <cfRule type="expression" dxfId="710" priority="845">
      <formula>SEARCH("Media",$J97)</formula>
    </cfRule>
    <cfRule type="expression" dxfId="709" priority="846">
      <formula>SEARCH("Picture",$J97)</formula>
    </cfRule>
    <cfRule type="expression" dxfId="708" priority="847">
      <formula>SEARCH("Press",$J97)</formula>
    </cfRule>
    <cfRule type="expression" dxfId="707" priority="848">
      <formula>SEARCH("Practice Session",$J97)</formula>
    </cfRule>
    <cfRule type="expression" dxfId="706" priority="849">
      <formula>SEARCH("Race",$J97)</formula>
    </cfRule>
    <cfRule type="expression" dxfId="705" priority="850">
      <formula>SEARCH("Qualifying",$J97)</formula>
    </cfRule>
    <cfRule type="expression" dxfId="704" priority="851">
      <formula>SEARCH("Driver Arrival", $J97)</formula>
    </cfRule>
    <cfRule type="expression" dxfId="703" priority="852">
      <formula>SEARCH("DB", $J97)</formula>
    </cfRule>
    <cfRule type="expression" dxfId="702" priority="853">
      <formula>SEARCH(" PM",$J97)</formula>
    </cfRule>
    <cfRule type="expression" dxfId="701" priority="854">
      <formula>SEARCH("Meeting",$J97)</formula>
    </cfRule>
    <cfRule type="expression" dxfId="700" priority="855">
      <formula>OR($J97="Breakfast",$J97="Lunch",$J97="Dinner")</formula>
    </cfRule>
  </conditionalFormatting>
  <conditionalFormatting sqref="B106:AA106">
    <cfRule type="expression" dxfId="699" priority="766">
      <formula>SEARCH("Sign on",$J106)</formula>
    </cfRule>
    <cfRule type="expression" dxfId="698" priority="767">
      <formula>SEARCH("Briefing",$J106)</formula>
    </cfRule>
    <cfRule type="expression" dxfId="697" priority="768">
      <formula>SEARCH("Team Principal",$J106)</formula>
    </cfRule>
    <cfRule type="expression" dxfId="696" priority="769">
      <formula>SEARCH("Interview",$J106)</formula>
    </cfRule>
    <cfRule type="expression" dxfId="695" priority="770">
      <formula>SEARCH("Media",$J106)</formula>
    </cfRule>
    <cfRule type="expression" dxfId="694" priority="771">
      <formula>SEARCH("Picture",$J106)</formula>
    </cfRule>
    <cfRule type="expression" dxfId="693" priority="772">
      <formula>SEARCH("Press",$J106)</formula>
    </cfRule>
    <cfRule type="expression" dxfId="692" priority="773">
      <formula>SEARCH("Practice Session",$J106)</formula>
    </cfRule>
    <cfRule type="expression" dxfId="691" priority="774">
      <formula>SEARCH("Race",$J106)</formula>
    </cfRule>
    <cfRule type="expression" dxfId="690" priority="775">
      <formula>SEARCH("Qualifying",$J106)</formula>
    </cfRule>
    <cfRule type="expression" dxfId="689" priority="776">
      <formula>SEARCH("Driver Arrival", $J106)</formula>
    </cfRule>
    <cfRule type="expression" dxfId="688" priority="777">
      <formula>SEARCH("DB", $J106)</formula>
    </cfRule>
    <cfRule type="expression" dxfId="687" priority="778">
      <formula>SEARCH(" PM",$J106)</formula>
    </cfRule>
    <cfRule type="expression" dxfId="686" priority="779">
      <formula>SEARCH("Meeting",$J106)</formula>
    </cfRule>
    <cfRule type="expression" dxfId="685" priority="780">
      <formula>OR($J106="Breakfast",$J106="Lunch",$J106="Dinner")</formula>
    </cfRule>
  </conditionalFormatting>
  <conditionalFormatting sqref="B103:AA105">
    <cfRule type="expression" dxfId="684" priority="751">
      <formula>OR($J103="Breakfast", $J103="Lunch", $J103="Dinner")</formula>
    </cfRule>
    <cfRule type="expression" dxfId="683" priority="752">
      <formula>SEARCH("Meeting",$J103)</formula>
    </cfRule>
    <cfRule type="expression" dxfId="682" priority="753">
      <formula>SEARCH(" PM",$J103)</formula>
    </cfRule>
    <cfRule type="expression" dxfId="681" priority="754">
      <formula>SEARCH("DB",$J103)</formula>
    </cfRule>
    <cfRule type="expression" dxfId="680" priority="755">
      <formula>SEARCH("Driver Arrival",$J103)</formula>
    </cfRule>
    <cfRule type="expression" dxfId="679" priority="756">
      <formula>SEARCH("Qualifying",$J103)</formula>
    </cfRule>
    <cfRule type="expression" dxfId="678" priority="757">
      <formula>SEARCH("Race",$J103)</formula>
    </cfRule>
    <cfRule type="expression" dxfId="677" priority="758">
      <formula>SEARCH("Practice Session",$J103)</formula>
    </cfRule>
    <cfRule type="expression" dxfId="676" priority="759">
      <formula>SEARCH("Press",$J103)</formula>
    </cfRule>
    <cfRule type="expression" dxfId="675" priority="760">
      <formula>SEARCH("Picture",$J103)</formula>
    </cfRule>
    <cfRule type="expression" dxfId="674" priority="761">
      <formula>SEARCH("Media",$J103)</formula>
    </cfRule>
    <cfRule type="expression" dxfId="673" priority="762">
      <formula>SEARCH("Interview",$J103)</formula>
    </cfRule>
    <cfRule type="expression" dxfId="672" priority="763">
      <formula>SEARCH("Team Principal",$J103)</formula>
    </cfRule>
    <cfRule type="expression" dxfId="671" priority="764">
      <formula>SEARCH("Briefing",$J103)</formula>
    </cfRule>
    <cfRule type="expression" dxfId="670" priority="765">
      <formula>SEARCH("Sign on",$J103)</formula>
    </cfRule>
  </conditionalFormatting>
  <conditionalFormatting sqref="B107:S107">
    <cfRule type="expression" dxfId="669" priority="736">
      <formula>SEARCH("Sign on",$J107)</formula>
    </cfRule>
    <cfRule type="expression" dxfId="668" priority="737">
      <formula>SEARCH("Briefing",$J107)</formula>
    </cfRule>
    <cfRule type="expression" dxfId="667" priority="738">
      <formula>SEARCH("Team Principal",$J107)</formula>
    </cfRule>
    <cfRule type="expression" dxfId="666" priority="739">
      <formula>SEARCH("Interview",$J107)</formula>
    </cfRule>
    <cfRule type="expression" dxfId="665" priority="740">
      <formula>SEARCH("Media",$J107)</formula>
    </cfRule>
    <cfRule type="expression" dxfId="664" priority="741">
      <formula>SEARCH("Picture",$J107)</formula>
    </cfRule>
    <cfRule type="expression" dxfId="663" priority="742">
      <formula>SEARCH("Press",$J107)</formula>
    </cfRule>
    <cfRule type="expression" dxfId="662" priority="743">
      <formula>SEARCH("Practice Session",$J107)</formula>
    </cfRule>
    <cfRule type="expression" dxfId="661" priority="744">
      <formula>SEARCH("Race",$J107)</formula>
    </cfRule>
    <cfRule type="expression" dxfId="660" priority="745">
      <formula>SEARCH("Qualifying",$J107)</formula>
    </cfRule>
    <cfRule type="expression" dxfId="659" priority="746">
      <formula>SEARCH("Driver Arrival", $J107)</formula>
    </cfRule>
    <cfRule type="expression" dxfId="658" priority="747">
      <formula>SEARCH("DB", $J107)</formula>
    </cfRule>
    <cfRule type="expression" dxfId="657" priority="748">
      <formula>SEARCH(" PM",$J107)</formula>
    </cfRule>
    <cfRule type="expression" dxfId="656" priority="749">
      <formula>SEARCH("Meeting",$J107)</formula>
    </cfRule>
    <cfRule type="expression" dxfId="655" priority="750">
      <formula>OR($J107="Breakfast",$J107="Lunch",$J107="Dinner")</formula>
    </cfRule>
  </conditionalFormatting>
  <conditionalFormatting sqref="T107:AA107">
    <cfRule type="expression" dxfId="654" priority="721">
      <formula>SEARCH("Sign on",$J107)</formula>
    </cfRule>
    <cfRule type="expression" dxfId="653" priority="722">
      <formula>SEARCH("Briefing",$J107)</formula>
    </cfRule>
    <cfRule type="expression" dxfId="652" priority="723">
      <formula>SEARCH("Team Principal",$J107)</formula>
    </cfRule>
    <cfRule type="expression" dxfId="651" priority="724">
      <formula>SEARCH("Interview",$J107)</formula>
    </cfRule>
    <cfRule type="expression" dxfId="650" priority="725">
      <formula>SEARCH("Media",$J107)</formula>
    </cfRule>
    <cfRule type="expression" dxfId="649" priority="726">
      <formula>SEARCH("Picture",$J107)</formula>
    </cfRule>
    <cfRule type="expression" dxfId="648" priority="727">
      <formula>SEARCH("Press",$J107)</formula>
    </cfRule>
    <cfRule type="expression" dxfId="647" priority="728">
      <formula>SEARCH("Practice Session",$J107)</formula>
    </cfRule>
    <cfRule type="expression" dxfId="646" priority="729">
      <formula>SEARCH("Race",$J107)</formula>
    </cfRule>
    <cfRule type="expression" dxfId="645" priority="730">
      <formula>SEARCH("Qualifying",$J107)</formula>
    </cfRule>
    <cfRule type="expression" dxfId="644" priority="731">
      <formula>SEARCH("Driver Arrival", $J107)</formula>
    </cfRule>
    <cfRule type="expression" dxfId="643" priority="732">
      <formula>SEARCH("DB", $J107)</formula>
    </cfRule>
    <cfRule type="expression" dxfId="642" priority="733">
      <formula>SEARCH(" PM",$J107)</formula>
    </cfRule>
    <cfRule type="expression" dxfId="641" priority="734">
      <formula>SEARCH("Meeting",$J107)</formula>
    </cfRule>
    <cfRule type="expression" dxfId="640" priority="735">
      <formula>OR($J107="Breakfast",$J107="Lunch",$J107="Dinner")</formula>
    </cfRule>
  </conditionalFormatting>
  <conditionalFormatting sqref="B102:S102">
    <cfRule type="expression" dxfId="639" priority="706">
      <formula>SEARCH("Sign on",$J102)</formula>
    </cfRule>
    <cfRule type="expression" dxfId="638" priority="707">
      <formula>SEARCH("Briefing",$J102)</formula>
    </cfRule>
    <cfRule type="expression" dxfId="637" priority="708">
      <formula>SEARCH("Team Principal",$J102)</formula>
    </cfRule>
    <cfRule type="expression" dxfId="636" priority="709">
      <formula>SEARCH("Interview",$J102)</formula>
    </cfRule>
    <cfRule type="expression" dxfId="635" priority="710">
      <formula>SEARCH("Media",$J102)</formula>
    </cfRule>
    <cfRule type="expression" dxfId="634" priority="711">
      <formula>SEARCH("Picture",$J102)</formula>
    </cfRule>
    <cfRule type="expression" dxfId="633" priority="712">
      <formula>SEARCH("Press",$J102)</formula>
    </cfRule>
    <cfRule type="expression" dxfId="632" priority="713">
      <formula>SEARCH("Practice Session",$J102)</formula>
    </cfRule>
    <cfRule type="expression" dxfId="631" priority="714">
      <formula>SEARCH("Race",$J102)</formula>
    </cfRule>
    <cfRule type="expression" dxfId="630" priority="715">
      <formula>SEARCH("Qualifying",$J102)</formula>
    </cfRule>
    <cfRule type="expression" dxfId="629" priority="716">
      <formula>SEARCH("Driver Arrival", $J102)</formula>
    </cfRule>
    <cfRule type="expression" dxfId="628" priority="717">
      <formula>SEARCH("DB", $J102)</formula>
    </cfRule>
    <cfRule type="expression" dxfId="627" priority="718">
      <formula>SEARCH(" PM",$J102)</formula>
    </cfRule>
    <cfRule type="expression" dxfId="626" priority="719">
      <formula>SEARCH("Meeting",$J102)</formula>
    </cfRule>
    <cfRule type="expression" dxfId="625" priority="720">
      <formula>OR($J102="Breakfast",$J102="Lunch",$J102="Dinner")</formula>
    </cfRule>
  </conditionalFormatting>
  <conditionalFormatting sqref="T102:AA102">
    <cfRule type="expression" dxfId="624" priority="691">
      <formula>SEARCH("Sign on",$J102)</formula>
    </cfRule>
    <cfRule type="expression" dxfId="623" priority="692">
      <formula>SEARCH("Briefing",$J102)</formula>
    </cfRule>
    <cfRule type="expression" dxfId="622" priority="693">
      <formula>SEARCH("Team Principal",$J102)</formula>
    </cfRule>
    <cfRule type="expression" dxfId="621" priority="694">
      <formula>SEARCH("Interview",$J102)</formula>
    </cfRule>
    <cfRule type="expression" dxfId="620" priority="695">
      <formula>SEARCH("Media",$J102)</formula>
    </cfRule>
    <cfRule type="expression" dxfId="619" priority="696">
      <formula>SEARCH("Picture",$J102)</formula>
    </cfRule>
    <cfRule type="expression" dxfId="618" priority="697">
      <formula>SEARCH("Press",$J102)</formula>
    </cfRule>
    <cfRule type="expression" dxfId="617" priority="698">
      <formula>SEARCH("Practice Session",$J102)</formula>
    </cfRule>
    <cfRule type="expression" dxfId="616" priority="699">
      <formula>SEARCH("Race",$J102)</formula>
    </cfRule>
    <cfRule type="expression" dxfId="615" priority="700">
      <formula>SEARCH("Qualifying",$J102)</formula>
    </cfRule>
    <cfRule type="expression" dxfId="614" priority="701">
      <formula>SEARCH("Driver Arrival", $J102)</formula>
    </cfRule>
    <cfRule type="expression" dxfId="613" priority="702">
      <formula>SEARCH("DB", $J102)</formula>
    </cfRule>
    <cfRule type="expression" dxfId="612" priority="703">
      <formula>SEARCH(" PM",$J102)</formula>
    </cfRule>
    <cfRule type="expression" dxfId="611" priority="704">
      <formula>SEARCH("Meeting",$J102)</formula>
    </cfRule>
    <cfRule type="expression" dxfId="610" priority="705">
      <formula>OR($J102="Breakfast",$J102="Lunch",$J102="Dinner")</formula>
    </cfRule>
  </conditionalFormatting>
  <conditionalFormatting sqref="B35:AA35">
    <cfRule type="expression" dxfId="609" priority="661">
      <formula>SEARCH("Sign on",$J35)</formula>
    </cfRule>
    <cfRule type="expression" dxfId="608" priority="662">
      <formula>SEARCH("Briefing",$J35)</formula>
    </cfRule>
    <cfRule type="expression" dxfId="607" priority="663">
      <formula>SEARCH("Team Principal",$J35)</formula>
    </cfRule>
    <cfRule type="expression" dxfId="606" priority="664">
      <formula>SEARCH("Interview",$J35)</formula>
    </cfRule>
    <cfRule type="expression" dxfId="605" priority="665">
      <formula>SEARCH("Media",$J35)</formula>
    </cfRule>
    <cfRule type="expression" dxfId="604" priority="666">
      <formula>SEARCH("Picture",$J35)</formula>
    </cfRule>
    <cfRule type="expression" dxfId="603" priority="667">
      <formula>SEARCH("Press",$J35)</formula>
    </cfRule>
    <cfRule type="expression" dxfId="602" priority="668">
      <formula>SEARCH("Practice Session",$J35)</formula>
    </cfRule>
    <cfRule type="expression" dxfId="601" priority="669">
      <formula>SEARCH("Race",$J35)</formula>
    </cfRule>
    <cfRule type="expression" dxfId="600" priority="670">
      <formula>SEARCH("Qualifying",$J35)</formula>
    </cfRule>
    <cfRule type="expression" dxfId="599" priority="671">
      <formula>SEARCH("Driver Arrival", $J35)</formula>
    </cfRule>
    <cfRule type="expression" dxfId="598" priority="672">
      <formula>SEARCH("DB", $J35)</formula>
    </cfRule>
    <cfRule type="expression" dxfId="597" priority="673">
      <formula>SEARCH(" PM",$J35)</formula>
    </cfRule>
    <cfRule type="expression" dxfId="596" priority="674">
      <formula>SEARCH("Meeting",$J35)</formula>
    </cfRule>
    <cfRule type="expression" dxfId="595" priority="675">
      <formula>OR($J35="Breakfast",$J35="Lunch",$J35="Dinner")</formula>
    </cfRule>
  </conditionalFormatting>
  <conditionalFormatting sqref="J58:R58 T58:AA58">
    <cfRule type="expression" dxfId="594" priority="646">
      <formula>SEARCH("Sign on",$J58)</formula>
    </cfRule>
    <cfRule type="expression" dxfId="593" priority="647">
      <formula>SEARCH("Briefing",$J58)</formula>
    </cfRule>
    <cfRule type="expression" dxfId="592" priority="648">
      <formula>SEARCH("Team Principal",$J58)</formula>
    </cfRule>
    <cfRule type="expression" dxfId="591" priority="649">
      <formula>SEARCH("Interview",$J58)</formula>
    </cfRule>
    <cfRule type="expression" dxfId="590" priority="650">
      <formula>SEARCH("Media",$J58)</formula>
    </cfRule>
    <cfRule type="expression" dxfId="589" priority="651">
      <formula>SEARCH("Picture",$J58)</formula>
    </cfRule>
    <cfRule type="expression" dxfId="588" priority="652">
      <formula>SEARCH("Press",$J58)</formula>
    </cfRule>
    <cfRule type="expression" dxfId="587" priority="653">
      <formula>SEARCH("Practice Session",$J58)</formula>
    </cfRule>
    <cfRule type="expression" dxfId="586" priority="654">
      <formula>SEARCH("Race",$J58)</formula>
    </cfRule>
    <cfRule type="expression" dxfId="585" priority="655">
      <formula>SEARCH("Qualifying",$J58)</formula>
    </cfRule>
    <cfRule type="expression" dxfId="584" priority="656">
      <formula>SEARCH("Driver Arrival", $J58)</formula>
    </cfRule>
    <cfRule type="expression" dxfId="583" priority="657">
      <formula>SEARCH("DB", $J58)</formula>
    </cfRule>
    <cfRule type="expression" dxfId="582" priority="658">
      <formula>SEARCH(" PM",$J58)</formula>
    </cfRule>
    <cfRule type="expression" dxfId="581" priority="659">
      <formula>SEARCH("Meeting",$J58)</formula>
    </cfRule>
    <cfRule type="expression" dxfId="580" priority="660">
      <formula>OR($J58="Breakfast",$J58="Lunch",$J58="Dinner")</formula>
    </cfRule>
  </conditionalFormatting>
  <conditionalFormatting sqref="B46:AA46">
    <cfRule type="expression" dxfId="579" priority="631">
      <formula>SEARCH("Sign on",$J46)</formula>
    </cfRule>
    <cfRule type="expression" dxfId="578" priority="632">
      <formula>SEARCH("Briefing",$J46)</formula>
    </cfRule>
    <cfRule type="expression" dxfId="577" priority="633">
      <formula>SEARCH("Team Principal",$J46)</formula>
    </cfRule>
    <cfRule type="expression" dxfId="576" priority="634">
      <formula>SEARCH("Interview",$J46)</formula>
    </cfRule>
    <cfRule type="expression" dxfId="575" priority="635">
      <formula>SEARCH("Media",$J46)</formula>
    </cfRule>
    <cfRule type="expression" dxfId="574" priority="636">
      <formula>SEARCH("Picture",$J46)</formula>
    </cfRule>
    <cfRule type="expression" dxfId="573" priority="637">
      <formula>SEARCH("Press",$J46)</formula>
    </cfRule>
    <cfRule type="expression" dxfId="572" priority="638">
      <formula>SEARCH("Practice Session",$J46)</formula>
    </cfRule>
    <cfRule type="expression" dxfId="571" priority="639">
      <formula>SEARCH("Race",$J46)</formula>
    </cfRule>
    <cfRule type="expression" dxfId="570" priority="640">
      <formula>SEARCH("Qualifying",$J46)</formula>
    </cfRule>
    <cfRule type="expression" dxfId="569" priority="641">
      <formula>SEARCH("Driver Arrival", $J46)</formula>
    </cfRule>
    <cfRule type="expression" dxfId="568" priority="642">
      <formula>SEARCH("DB", $J46)</formula>
    </cfRule>
    <cfRule type="expression" dxfId="567" priority="643">
      <formula>SEARCH(" PM",$J46)</formula>
    </cfRule>
    <cfRule type="expression" dxfId="566" priority="644">
      <formula>SEARCH("Meeting",$J46)</formula>
    </cfRule>
    <cfRule type="expression" dxfId="565" priority="645">
      <formula>OR($J46="Breakfast",$J46="Lunch",$J46="Dinner")</formula>
    </cfRule>
  </conditionalFormatting>
  <conditionalFormatting sqref="S58">
    <cfRule type="expression" dxfId="564" priority="601">
      <formula>SEARCH("Sign on",$J58)</formula>
    </cfRule>
    <cfRule type="expression" dxfId="563" priority="602">
      <formula>SEARCH("Briefing",$J58)</formula>
    </cfRule>
    <cfRule type="expression" dxfId="562" priority="603">
      <formula>SEARCH("Team Principal",$J58)</formula>
    </cfRule>
    <cfRule type="expression" dxfId="561" priority="604">
      <formula>SEARCH("Interview",$J58)</formula>
    </cfRule>
    <cfRule type="expression" dxfId="560" priority="605">
      <formula>SEARCH("Media",$J58)</formula>
    </cfRule>
    <cfRule type="expression" dxfId="559" priority="606">
      <formula>SEARCH("Picture",$J58)</formula>
    </cfRule>
    <cfRule type="expression" dxfId="558" priority="607">
      <formula>SEARCH("Press",$J58)</formula>
    </cfRule>
    <cfRule type="expression" dxfId="557" priority="608">
      <formula>SEARCH("Practice Session",$J58)</formula>
    </cfRule>
    <cfRule type="expression" dxfId="556" priority="609">
      <formula>SEARCH("Race",$J58)</formula>
    </cfRule>
    <cfRule type="expression" dxfId="555" priority="610">
      <formula>SEARCH("Qualifying",$J58)</formula>
    </cfRule>
    <cfRule type="expression" dxfId="554" priority="611">
      <formula>SEARCH("Driver Arrival", $J58)</formula>
    </cfRule>
    <cfRule type="expression" dxfId="553" priority="612">
      <formula>SEARCH("DB", $J58)</formula>
    </cfRule>
    <cfRule type="expression" dxfId="552" priority="613">
      <formula>SEARCH(" PM",$J58)</formula>
    </cfRule>
    <cfRule type="expression" dxfId="551" priority="614">
      <formula>SEARCH("Meeting",$J58)</formula>
    </cfRule>
    <cfRule type="expression" dxfId="550" priority="615">
      <formula>OR($J58="Breakfast",$J58="Lunch",$J58="Dinner")</formula>
    </cfRule>
  </conditionalFormatting>
  <conditionalFormatting sqref="B58:I58">
    <cfRule type="expression" dxfId="549" priority="586">
      <formula>SEARCH("Sign on",$J58)</formula>
    </cfRule>
    <cfRule type="expression" dxfId="548" priority="587">
      <formula>SEARCH("Briefing",$J58)</formula>
    </cfRule>
    <cfRule type="expression" dxfId="547" priority="588">
      <formula>SEARCH("Team Principal",$J58)</formula>
    </cfRule>
    <cfRule type="expression" dxfId="546" priority="589">
      <formula>SEARCH("Interview",$J58)</formula>
    </cfRule>
    <cfRule type="expression" dxfId="545" priority="590">
      <formula>SEARCH("Media",$J58)</formula>
    </cfRule>
    <cfRule type="expression" dxfId="544" priority="591">
      <formula>SEARCH("Picture",$J58)</formula>
    </cfRule>
    <cfRule type="expression" dxfId="543" priority="592">
      <formula>SEARCH("Press",$J58)</formula>
    </cfRule>
    <cfRule type="expression" dxfId="542" priority="593">
      <formula>SEARCH("Practice Session",$J58)</formula>
    </cfRule>
    <cfRule type="expression" dxfId="541" priority="594">
      <formula>SEARCH("Race",$J58)</formula>
    </cfRule>
    <cfRule type="expression" dxfId="540" priority="595">
      <formula>SEARCH("Qualifying",$J58)</formula>
    </cfRule>
    <cfRule type="expression" dxfId="539" priority="596">
      <formula>SEARCH("Driver Arrival", $J58)</formula>
    </cfRule>
    <cfRule type="expression" dxfId="538" priority="597">
      <formula>SEARCH("DB", $J58)</formula>
    </cfRule>
    <cfRule type="expression" dxfId="537" priority="598">
      <formula>SEARCH(" PM",$J58)</formula>
    </cfRule>
    <cfRule type="expression" dxfId="536" priority="599">
      <formula>SEARCH("Meeting",$J58)</formula>
    </cfRule>
    <cfRule type="expression" dxfId="535" priority="600">
      <formula>OR($J58="Breakfast",$J58="Lunch",$J58="Dinner")</formula>
    </cfRule>
  </conditionalFormatting>
  <conditionalFormatting sqref="E36:AA36 B38:AA39">
    <cfRule type="expression" dxfId="534" priority="571">
      <formula>OR($J36="Breakfast", $J36="Lunch", $J36="Dinner")</formula>
    </cfRule>
    <cfRule type="expression" dxfId="533" priority="572">
      <formula>SEARCH("Meeting",$J36)</formula>
    </cfRule>
    <cfRule type="expression" dxfId="532" priority="573">
      <formula>SEARCH(" PM",$J36)</formula>
    </cfRule>
    <cfRule type="expression" dxfId="531" priority="574">
      <formula>SEARCH("DB",$J36)</formula>
    </cfRule>
    <cfRule type="expression" dxfId="530" priority="575">
      <formula>SEARCH("Driver Arrival",$J36)</formula>
    </cfRule>
    <cfRule type="expression" dxfId="529" priority="576">
      <formula>SEARCH("Qualifying",$J36)</formula>
    </cfRule>
    <cfRule type="expression" dxfId="528" priority="577">
      <formula>SEARCH("Race",$J36)</formula>
    </cfRule>
    <cfRule type="expression" dxfId="527" priority="578">
      <formula>SEARCH("Practice Session",$J36)</formula>
    </cfRule>
    <cfRule type="expression" dxfId="526" priority="579">
      <formula>SEARCH("Press",$J36)</formula>
    </cfRule>
    <cfRule type="expression" dxfId="525" priority="580">
      <formula>SEARCH("Picture",$J36)</formula>
    </cfRule>
    <cfRule type="expression" dxfId="524" priority="581">
      <formula>SEARCH("Media",$J36)</formula>
    </cfRule>
    <cfRule type="expression" dxfId="523" priority="582">
      <formula>SEARCH("Interview",$J36)</formula>
    </cfRule>
    <cfRule type="expression" dxfId="522" priority="583">
      <formula>SEARCH("Team Principal",$J36)</formula>
    </cfRule>
    <cfRule type="expression" dxfId="521" priority="584">
      <formula>SEARCH("Briefing",$J36)</formula>
    </cfRule>
    <cfRule type="expression" dxfId="520" priority="585">
      <formula>SEARCH("Sign on",$J36)</formula>
    </cfRule>
  </conditionalFormatting>
  <conditionalFormatting sqref="B47:S47">
    <cfRule type="expression" dxfId="519" priority="556">
      <formula>SEARCH("Sign on",$J47)</formula>
    </cfRule>
    <cfRule type="expression" dxfId="518" priority="557">
      <formula>SEARCH("Briefing",$J47)</formula>
    </cfRule>
    <cfRule type="expression" dxfId="517" priority="558">
      <formula>SEARCH("Team Principal",$J47)</formula>
    </cfRule>
    <cfRule type="expression" dxfId="516" priority="559">
      <formula>SEARCH("Interview",$J47)</formula>
    </cfRule>
    <cfRule type="expression" dxfId="515" priority="560">
      <formula>SEARCH("Media",$J47)</formula>
    </cfRule>
    <cfRule type="expression" dxfId="514" priority="561">
      <formula>SEARCH("Picture",$J47)</formula>
    </cfRule>
    <cfRule type="expression" dxfId="513" priority="562">
      <formula>SEARCH("Press",$J47)</formula>
    </cfRule>
    <cfRule type="expression" dxfId="512" priority="563">
      <formula>SEARCH("Practice Session",$J47)</formula>
    </cfRule>
    <cfRule type="expression" dxfId="511" priority="564">
      <formula>SEARCH("Race",$J47)</formula>
    </cfRule>
    <cfRule type="expression" dxfId="510" priority="565">
      <formula>SEARCH("Qualifying",$J47)</formula>
    </cfRule>
    <cfRule type="expression" dxfId="509" priority="566">
      <formula>SEARCH("Driver Arrival", $J47)</formula>
    </cfRule>
    <cfRule type="expression" dxfId="508" priority="567">
      <formula>SEARCH("DB", $J47)</formula>
    </cfRule>
    <cfRule type="expression" dxfId="507" priority="568">
      <formula>SEARCH(" PM",$J47)</formula>
    </cfRule>
    <cfRule type="expression" dxfId="506" priority="569">
      <formula>SEARCH("Meeting",$J47)</formula>
    </cfRule>
    <cfRule type="expression" dxfId="505" priority="570">
      <formula>OR($J47="Breakfast",$J47="Lunch",$J47="Dinner")</formula>
    </cfRule>
  </conditionalFormatting>
  <conditionalFormatting sqref="T47:AA47">
    <cfRule type="expression" dxfId="504" priority="541">
      <formula>SEARCH("Sign on",$J47)</formula>
    </cfRule>
    <cfRule type="expression" dxfId="503" priority="542">
      <formula>SEARCH("Briefing",$J47)</formula>
    </cfRule>
    <cfRule type="expression" dxfId="502" priority="543">
      <formula>SEARCH("Team Principal",$J47)</formula>
    </cfRule>
    <cfRule type="expression" dxfId="501" priority="544">
      <formula>SEARCH("Interview",$J47)</formula>
    </cfRule>
    <cfRule type="expression" dxfId="500" priority="545">
      <formula>SEARCH("Media",$J47)</formula>
    </cfRule>
    <cfRule type="expression" dxfId="499" priority="546">
      <formula>SEARCH("Picture",$J47)</formula>
    </cfRule>
    <cfRule type="expression" dxfId="498" priority="547">
      <formula>SEARCH("Press",$J47)</formula>
    </cfRule>
    <cfRule type="expression" dxfId="497" priority="548">
      <formula>SEARCH("Practice Session",$J47)</formula>
    </cfRule>
    <cfRule type="expression" dxfId="496" priority="549">
      <formula>SEARCH("Race",$J47)</formula>
    </cfRule>
    <cfRule type="expression" dxfId="495" priority="550">
      <formula>SEARCH("Qualifying",$J47)</formula>
    </cfRule>
    <cfRule type="expression" dxfId="494" priority="551">
      <formula>SEARCH("Driver Arrival", $J47)</formula>
    </cfRule>
    <cfRule type="expression" dxfId="493" priority="552">
      <formula>SEARCH("DB", $J47)</formula>
    </cfRule>
    <cfRule type="expression" dxfId="492" priority="553">
      <formula>SEARCH(" PM",$J47)</formula>
    </cfRule>
    <cfRule type="expression" dxfId="491" priority="554">
      <formula>SEARCH("Meeting",$J47)</formula>
    </cfRule>
    <cfRule type="expression" dxfId="490" priority="555">
      <formula>OR($J47="Breakfast",$J47="Lunch",$J47="Dinner")</formula>
    </cfRule>
  </conditionalFormatting>
  <conditionalFormatting sqref="B56:AA56">
    <cfRule type="expression" dxfId="489" priority="466">
      <formula>SEARCH("Sign on",$J56)</formula>
    </cfRule>
    <cfRule type="expression" dxfId="488" priority="467">
      <formula>SEARCH("Briefing",$J56)</formula>
    </cfRule>
    <cfRule type="expression" dxfId="487" priority="468">
      <formula>SEARCH("Team Principal",$J56)</formula>
    </cfRule>
    <cfRule type="expression" dxfId="486" priority="469">
      <formula>SEARCH("Interview",$J56)</formula>
    </cfRule>
    <cfRule type="expression" dxfId="485" priority="470">
      <formula>SEARCH("Media",$J56)</formula>
    </cfRule>
    <cfRule type="expression" dxfId="484" priority="471">
      <formula>SEARCH("Picture",$J56)</formula>
    </cfRule>
    <cfRule type="expression" dxfId="483" priority="472">
      <formula>SEARCH("Press",$J56)</formula>
    </cfRule>
    <cfRule type="expression" dxfId="482" priority="473">
      <formula>SEARCH("Practice Session",$J56)</formula>
    </cfRule>
    <cfRule type="expression" dxfId="481" priority="474">
      <formula>SEARCH("Race",$J56)</formula>
    </cfRule>
    <cfRule type="expression" dxfId="480" priority="475">
      <formula>SEARCH("Qualifying",$J56)</formula>
    </cfRule>
    <cfRule type="expression" dxfId="479" priority="476">
      <formula>SEARCH("Driver Arrival", $J56)</formula>
    </cfRule>
    <cfRule type="expression" dxfId="478" priority="477">
      <formula>SEARCH("DB", $J56)</formula>
    </cfRule>
    <cfRule type="expression" dxfId="477" priority="478">
      <formula>SEARCH(" PM",$J56)</formula>
    </cfRule>
    <cfRule type="expression" dxfId="476" priority="479">
      <formula>SEARCH("Meeting",$J56)</formula>
    </cfRule>
    <cfRule type="expression" dxfId="475" priority="480">
      <formula>OR($J56="Breakfast",$J56="Lunch",$J56="Dinner")</formula>
    </cfRule>
  </conditionalFormatting>
  <conditionalFormatting sqref="B53:AA55">
    <cfRule type="expression" dxfId="474" priority="451">
      <formula>OR($J53="Breakfast", $J53="Lunch", $J53="Dinner")</formula>
    </cfRule>
    <cfRule type="expression" dxfId="473" priority="452">
      <formula>SEARCH("Meeting",$J53)</formula>
    </cfRule>
    <cfRule type="expression" dxfId="472" priority="453">
      <formula>SEARCH(" PM",$J53)</formula>
    </cfRule>
    <cfRule type="expression" dxfId="471" priority="454">
      <formula>SEARCH("DB",$J53)</formula>
    </cfRule>
    <cfRule type="expression" dxfId="470" priority="455">
      <formula>SEARCH("Driver Arrival",$J53)</formula>
    </cfRule>
    <cfRule type="expression" dxfId="469" priority="456">
      <formula>SEARCH("Qualifying",$J53)</formula>
    </cfRule>
    <cfRule type="expression" dxfId="468" priority="457">
      <formula>SEARCH("Race",$J53)</formula>
    </cfRule>
    <cfRule type="expression" dxfId="467" priority="458">
      <formula>SEARCH("Practice Session",$J53)</formula>
    </cfRule>
    <cfRule type="expression" dxfId="466" priority="459">
      <formula>SEARCH("Press",$J53)</formula>
    </cfRule>
    <cfRule type="expression" dxfId="465" priority="460">
      <formula>SEARCH("Picture",$J53)</formula>
    </cfRule>
    <cfRule type="expression" dxfId="464" priority="461">
      <formula>SEARCH("Media",$J53)</formula>
    </cfRule>
    <cfRule type="expression" dxfId="463" priority="462">
      <formula>SEARCH("Interview",$J53)</formula>
    </cfRule>
    <cfRule type="expression" dxfId="462" priority="463">
      <formula>SEARCH("Team Principal",$J53)</formula>
    </cfRule>
    <cfRule type="expression" dxfId="461" priority="464">
      <formula>SEARCH("Briefing",$J53)</formula>
    </cfRule>
    <cfRule type="expression" dxfId="460" priority="465">
      <formula>SEARCH("Sign on",$J53)</formula>
    </cfRule>
  </conditionalFormatting>
  <conditionalFormatting sqref="B57:S57">
    <cfRule type="expression" dxfId="459" priority="436">
      <formula>SEARCH("Sign on",$J57)</formula>
    </cfRule>
    <cfRule type="expression" dxfId="458" priority="437">
      <formula>SEARCH("Briefing",$J57)</formula>
    </cfRule>
    <cfRule type="expression" dxfId="457" priority="438">
      <formula>SEARCH("Team Principal",$J57)</formula>
    </cfRule>
    <cfRule type="expression" dxfId="456" priority="439">
      <formula>SEARCH("Interview",$J57)</formula>
    </cfRule>
    <cfRule type="expression" dxfId="455" priority="440">
      <formula>SEARCH("Media",$J57)</formula>
    </cfRule>
    <cfRule type="expression" dxfId="454" priority="441">
      <formula>SEARCH("Picture",$J57)</formula>
    </cfRule>
    <cfRule type="expression" dxfId="453" priority="442">
      <formula>SEARCH("Press",$J57)</formula>
    </cfRule>
    <cfRule type="expression" dxfId="452" priority="443">
      <formula>SEARCH("Practice Session",$J57)</formula>
    </cfRule>
    <cfRule type="expression" dxfId="451" priority="444">
      <formula>SEARCH("Race",$J57)</formula>
    </cfRule>
    <cfRule type="expression" dxfId="450" priority="445">
      <formula>SEARCH("Qualifying",$J57)</formula>
    </cfRule>
    <cfRule type="expression" dxfId="449" priority="446">
      <formula>SEARCH("Driver Arrival", $J57)</formula>
    </cfRule>
    <cfRule type="expression" dxfId="448" priority="447">
      <formula>SEARCH("DB", $J57)</formula>
    </cfRule>
    <cfRule type="expression" dxfId="447" priority="448">
      <formula>SEARCH(" PM",$J57)</formula>
    </cfRule>
    <cfRule type="expression" dxfId="446" priority="449">
      <formula>SEARCH("Meeting",$J57)</formula>
    </cfRule>
    <cfRule type="expression" dxfId="445" priority="450">
      <formula>OR($J57="Breakfast",$J57="Lunch",$J57="Dinner")</formula>
    </cfRule>
  </conditionalFormatting>
  <conditionalFormatting sqref="T57:AA57">
    <cfRule type="expression" dxfId="444" priority="421">
      <formula>SEARCH("Sign on",$J57)</formula>
    </cfRule>
    <cfRule type="expression" dxfId="443" priority="422">
      <formula>SEARCH("Briefing",$J57)</formula>
    </cfRule>
    <cfRule type="expression" dxfId="442" priority="423">
      <formula>SEARCH("Team Principal",$J57)</formula>
    </cfRule>
    <cfRule type="expression" dxfId="441" priority="424">
      <formula>SEARCH("Interview",$J57)</formula>
    </cfRule>
    <cfRule type="expression" dxfId="440" priority="425">
      <formula>SEARCH("Media",$J57)</formula>
    </cfRule>
    <cfRule type="expression" dxfId="439" priority="426">
      <formula>SEARCH("Picture",$J57)</formula>
    </cfRule>
    <cfRule type="expression" dxfId="438" priority="427">
      <formula>SEARCH("Press",$J57)</formula>
    </cfRule>
    <cfRule type="expression" dxfId="437" priority="428">
      <formula>SEARCH("Practice Session",$J57)</formula>
    </cfRule>
    <cfRule type="expression" dxfId="436" priority="429">
      <formula>SEARCH("Race",$J57)</formula>
    </cfRule>
    <cfRule type="expression" dxfId="435" priority="430">
      <formula>SEARCH("Qualifying",$J57)</formula>
    </cfRule>
    <cfRule type="expression" dxfId="434" priority="431">
      <formula>SEARCH("Driver Arrival", $J57)</formula>
    </cfRule>
    <cfRule type="expression" dxfId="433" priority="432">
      <formula>SEARCH("DB", $J57)</formula>
    </cfRule>
    <cfRule type="expression" dxfId="432" priority="433">
      <formula>SEARCH(" PM",$J57)</formula>
    </cfRule>
    <cfRule type="expression" dxfId="431" priority="434">
      <formula>SEARCH("Meeting",$J57)</formula>
    </cfRule>
    <cfRule type="expression" dxfId="430" priority="435">
      <formula>OR($J57="Breakfast",$J57="Lunch",$J57="Dinner")</formula>
    </cfRule>
  </conditionalFormatting>
  <conditionalFormatting sqref="B52:S52">
    <cfRule type="expression" dxfId="429" priority="406">
      <formula>SEARCH("Sign on",$J52)</formula>
    </cfRule>
    <cfRule type="expression" dxfId="428" priority="407">
      <formula>SEARCH("Briefing",$J52)</formula>
    </cfRule>
    <cfRule type="expression" dxfId="427" priority="408">
      <formula>SEARCH("Team Principal",$J52)</formula>
    </cfRule>
    <cfRule type="expression" dxfId="426" priority="409">
      <formula>SEARCH("Interview",$J52)</formula>
    </cfRule>
    <cfRule type="expression" dxfId="425" priority="410">
      <formula>SEARCH("Media",$J52)</formula>
    </cfRule>
    <cfRule type="expression" dxfId="424" priority="411">
      <formula>SEARCH("Picture",$J52)</formula>
    </cfRule>
    <cfRule type="expression" dxfId="423" priority="412">
      <formula>SEARCH("Press",$J52)</formula>
    </cfRule>
    <cfRule type="expression" dxfId="422" priority="413">
      <formula>SEARCH("Practice Session",$J52)</formula>
    </cfRule>
    <cfRule type="expression" dxfId="421" priority="414">
      <formula>SEARCH("Race",$J52)</formula>
    </cfRule>
    <cfRule type="expression" dxfId="420" priority="415">
      <formula>SEARCH("Qualifying",$J52)</formula>
    </cfRule>
    <cfRule type="expression" dxfId="419" priority="416">
      <formula>SEARCH("Driver Arrival", $J52)</formula>
    </cfRule>
    <cfRule type="expression" dxfId="418" priority="417">
      <formula>SEARCH("DB", $J52)</formula>
    </cfRule>
    <cfRule type="expression" dxfId="417" priority="418">
      <formula>SEARCH(" PM",$J52)</formula>
    </cfRule>
    <cfRule type="expression" dxfId="416" priority="419">
      <formula>SEARCH("Meeting",$J52)</formula>
    </cfRule>
    <cfRule type="expression" dxfId="415" priority="420">
      <formula>OR($J52="Breakfast",$J52="Lunch",$J52="Dinner")</formula>
    </cfRule>
  </conditionalFormatting>
  <conditionalFormatting sqref="T52:AA52">
    <cfRule type="expression" dxfId="414" priority="391">
      <formula>SEARCH("Sign on",$J52)</formula>
    </cfRule>
    <cfRule type="expression" dxfId="413" priority="392">
      <formula>SEARCH("Briefing",$J52)</formula>
    </cfRule>
    <cfRule type="expression" dxfId="412" priority="393">
      <formula>SEARCH("Team Principal",$J52)</formula>
    </cfRule>
    <cfRule type="expression" dxfId="411" priority="394">
      <formula>SEARCH("Interview",$J52)</formula>
    </cfRule>
    <cfRule type="expression" dxfId="410" priority="395">
      <formula>SEARCH("Media",$J52)</formula>
    </cfRule>
    <cfRule type="expression" dxfId="409" priority="396">
      <formula>SEARCH("Picture",$J52)</formula>
    </cfRule>
    <cfRule type="expression" dxfId="408" priority="397">
      <formula>SEARCH("Press",$J52)</formula>
    </cfRule>
    <cfRule type="expression" dxfId="407" priority="398">
      <formula>SEARCH("Practice Session",$J52)</formula>
    </cfRule>
    <cfRule type="expression" dxfId="406" priority="399">
      <formula>SEARCH("Race",$J52)</formula>
    </cfRule>
    <cfRule type="expression" dxfId="405" priority="400">
      <formula>SEARCH("Qualifying",$J52)</formula>
    </cfRule>
    <cfRule type="expression" dxfId="404" priority="401">
      <formula>SEARCH("Driver Arrival", $J52)</formula>
    </cfRule>
    <cfRule type="expression" dxfId="403" priority="402">
      <formula>SEARCH("DB", $J52)</formula>
    </cfRule>
    <cfRule type="expression" dxfId="402" priority="403">
      <formula>SEARCH(" PM",$J52)</formula>
    </cfRule>
    <cfRule type="expression" dxfId="401" priority="404">
      <formula>SEARCH("Meeting",$J52)</formula>
    </cfRule>
    <cfRule type="expression" dxfId="400" priority="405">
      <formula>OR($J52="Breakfast",$J52="Lunch",$J52="Dinner")</formula>
    </cfRule>
  </conditionalFormatting>
  <conditionalFormatting sqref="B33:AA33">
    <cfRule type="expression" dxfId="399" priority="376">
      <formula>SEARCH("Sign on",$J33)</formula>
    </cfRule>
    <cfRule type="expression" dxfId="398" priority="377">
      <formula>SEARCH("Briefing",$J33)</formula>
    </cfRule>
    <cfRule type="expression" dxfId="397" priority="378">
      <formula>SEARCH("Team Principal",$J33)</formula>
    </cfRule>
    <cfRule type="expression" dxfId="396" priority="379">
      <formula>SEARCH("Interview",$J33)</formula>
    </cfRule>
    <cfRule type="expression" dxfId="395" priority="380">
      <formula>SEARCH("Media",$J33)</formula>
    </cfRule>
    <cfRule type="expression" dxfId="394" priority="381">
      <formula>SEARCH("Picture",$J33)</formula>
    </cfRule>
    <cfRule type="expression" dxfId="393" priority="382">
      <formula>SEARCH("Press",$J33)</formula>
    </cfRule>
    <cfRule type="expression" dxfId="392" priority="383">
      <formula>SEARCH("Practice Session",$J33)</formula>
    </cfRule>
    <cfRule type="expression" dxfId="391" priority="384">
      <formula>SEARCH("Race",$J33)</formula>
    </cfRule>
    <cfRule type="expression" dxfId="390" priority="385">
      <formula>SEARCH("Qualifying",$J33)</formula>
    </cfRule>
    <cfRule type="expression" dxfId="389" priority="386">
      <formula>SEARCH("Driver Arrival", $J33)</formula>
    </cfRule>
    <cfRule type="expression" dxfId="388" priority="387">
      <formula>SEARCH("DB", $J33)</formula>
    </cfRule>
    <cfRule type="expression" dxfId="387" priority="388">
      <formula>SEARCH(" PM",$J33)</formula>
    </cfRule>
    <cfRule type="expression" dxfId="386" priority="389">
      <formula>SEARCH("Meeting",$J33)</formula>
    </cfRule>
    <cfRule type="expression" dxfId="385" priority="390">
      <formula>OR($J33="Breakfast",$J33="Lunch",$J33="Dinner")</formula>
    </cfRule>
  </conditionalFormatting>
  <conditionalFormatting sqref="B32:AA32">
    <cfRule type="expression" dxfId="384" priority="361">
      <formula>OR($J32="Breakfast", $J32="Lunch", $J32="Dinner")</formula>
    </cfRule>
    <cfRule type="expression" dxfId="383" priority="362">
      <formula>SEARCH("Meeting",$J32)</formula>
    </cfRule>
    <cfRule type="expression" dxfId="382" priority="363">
      <formula>SEARCH(" PM",$J32)</formula>
    </cfRule>
    <cfRule type="expression" dxfId="381" priority="364">
      <formula>SEARCH("DB",$J32)</formula>
    </cfRule>
    <cfRule type="expression" dxfId="380" priority="365">
      <formula>SEARCH("Driver Arrival",$J32)</formula>
    </cfRule>
    <cfRule type="expression" dxfId="379" priority="366">
      <formula>SEARCH("Qualifying",$J32)</formula>
    </cfRule>
    <cfRule type="expression" dxfId="378" priority="367">
      <formula>SEARCH("Race",$J32)</formula>
    </cfRule>
    <cfRule type="expression" dxfId="377" priority="368">
      <formula>SEARCH("Practice Session",$J32)</formula>
    </cfRule>
    <cfRule type="expression" dxfId="376" priority="369">
      <formula>SEARCH("Press",$J32)</formula>
    </cfRule>
    <cfRule type="expression" dxfId="375" priority="370">
      <formula>SEARCH("Picture",$J32)</formula>
    </cfRule>
    <cfRule type="expression" dxfId="374" priority="371">
      <formula>SEARCH("Media",$J32)</formula>
    </cfRule>
    <cfRule type="expression" dxfId="373" priority="372">
      <formula>SEARCH("Interview",$J32)</formula>
    </cfRule>
    <cfRule type="expression" dxfId="372" priority="373">
      <formula>SEARCH("Team Principal",$J32)</formula>
    </cfRule>
    <cfRule type="expression" dxfId="371" priority="374">
      <formula>SEARCH("Briefing",$J32)</formula>
    </cfRule>
    <cfRule type="expression" dxfId="370" priority="375">
      <formula>SEARCH("Sign on",$J32)</formula>
    </cfRule>
  </conditionalFormatting>
  <conditionalFormatting sqref="AG32">
    <cfRule type="expression" dxfId="369" priority="346">
      <formula>OR($J32="Breakfast", $J32="Lunch", $J32="Dinner")</formula>
    </cfRule>
    <cfRule type="expression" dxfId="368" priority="347">
      <formula>SEARCH("Meeting",$J32)</formula>
    </cfRule>
    <cfRule type="expression" dxfId="367" priority="348">
      <formula>SEARCH(" PM",$J32)</formula>
    </cfRule>
    <cfRule type="expression" dxfId="366" priority="349">
      <formula>SEARCH("DB",$J32)</formula>
    </cfRule>
    <cfRule type="expression" dxfId="365" priority="350">
      <formula>SEARCH("Driver Arrival",$J32)</formula>
    </cfRule>
    <cfRule type="expression" dxfId="364" priority="351">
      <formula>SEARCH("Qualifying",$J32)</formula>
    </cfRule>
    <cfRule type="expression" dxfId="363" priority="352">
      <formula>SEARCH("Race",$J32)</formula>
    </cfRule>
    <cfRule type="expression" dxfId="362" priority="353">
      <formula>SEARCH("Practice Session",$J32)</formula>
    </cfRule>
    <cfRule type="expression" dxfId="361" priority="354">
      <formula>SEARCH("Press",$J32)</formula>
    </cfRule>
    <cfRule type="expression" dxfId="360" priority="355">
      <formula>SEARCH("Picture",$J32)</formula>
    </cfRule>
    <cfRule type="expression" dxfId="359" priority="356">
      <formula>SEARCH("Media",$J32)</formula>
    </cfRule>
    <cfRule type="expression" dxfId="358" priority="357">
      <formula>SEARCH("Interview",$J32)</formula>
    </cfRule>
    <cfRule type="expression" dxfId="357" priority="358">
      <formula>SEARCH("Team Principal",$J32)</formula>
    </cfRule>
    <cfRule type="expression" dxfId="356" priority="359">
      <formula>SEARCH("Briefing",$J32)</formula>
    </cfRule>
    <cfRule type="expression" dxfId="355" priority="360">
      <formula>SEARCH("Sign on",$J32)</formula>
    </cfRule>
  </conditionalFormatting>
  <conditionalFormatting sqref="B26:AA26">
    <cfRule type="expression" dxfId="354" priority="331">
      <formula>SEARCH("Sign on",$J26)</formula>
    </cfRule>
    <cfRule type="expression" dxfId="353" priority="332">
      <formula>SEARCH("Briefing",$J26)</formula>
    </cfRule>
    <cfRule type="expression" dxfId="352" priority="333">
      <formula>SEARCH("Team Principal",$J26)</formula>
    </cfRule>
    <cfRule type="expression" dxfId="351" priority="334">
      <formula>SEARCH("Interview",$J26)</formula>
    </cfRule>
    <cfRule type="expression" dxfId="350" priority="335">
      <formula>SEARCH("Media",$J26)</formula>
    </cfRule>
    <cfRule type="expression" dxfId="349" priority="336">
      <formula>SEARCH("Picture",$J26)</formula>
    </cfRule>
    <cfRule type="expression" dxfId="348" priority="337">
      <formula>SEARCH("Press",$J26)</formula>
    </cfRule>
    <cfRule type="expression" dxfId="347" priority="338">
      <formula>SEARCH("Practice Session",$J26)</formula>
    </cfRule>
    <cfRule type="expression" dxfId="346" priority="339">
      <formula>SEARCH("Race",$J26)</formula>
    </cfRule>
    <cfRule type="expression" dxfId="345" priority="340">
      <formula>SEARCH("Qualifying",$J26)</formula>
    </cfRule>
    <cfRule type="expression" dxfId="344" priority="341">
      <formula>SEARCH("Driver Arrival", $J26)</formula>
    </cfRule>
    <cfRule type="expression" dxfId="343" priority="342">
      <formula>SEARCH("DB", $J26)</formula>
    </cfRule>
    <cfRule type="expression" dxfId="342" priority="343">
      <formula>SEARCH(" PM",$J26)</formula>
    </cfRule>
    <cfRule type="expression" dxfId="341" priority="344">
      <formula>SEARCH("Meeting",$J26)</formula>
    </cfRule>
    <cfRule type="expression" dxfId="340" priority="345">
      <formula>OR($J26="Breakfast",$J26="Lunch",$J26="Dinner")</formula>
    </cfRule>
  </conditionalFormatting>
  <conditionalFormatting sqref="B37:R37 T37:AA37">
    <cfRule type="expression" dxfId="339" priority="286">
      <formula>SEARCH("Sign on",$J37)</formula>
    </cfRule>
    <cfRule type="expression" dxfId="338" priority="287">
      <formula>SEARCH("Briefing",$J37)</formula>
    </cfRule>
    <cfRule type="expression" dxfId="337" priority="288">
      <formula>SEARCH("Team Principal",$J37)</formula>
    </cfRule>
    <cfRule type="expression" dxfId="336" priority="289">
      <formula>SEARCH("Interview",$J37)</formula>
    </cfRule>
    <cfRule type="expression" dxfId="335" priority="290">
      <formula>SEARCH("Media",$J37)</formula>
    </cfRule>
    <cfRule type="expression" dxfId="334" priority="291">
      <formula>SEARCH("Picture",$J37)</formula>
    </cfRule>
    <cfRule type="expression" dxfId="333" priority="292">
      <formula>SEARCH("Press",$J37)</formula>
    </cfRule>
    <cfRule type="expression" dxfId="332" priority="293">
      <formula>SEARCH("Practice Session",$J37)</formula>
    </cfRule>
    <cfRule type="expression" dxfId="331" priority="294">
      <formula>SEARCH("Race",$J37)</formula>
    </cfRule>
    <cfRule type="expression" dxfId="330" priority="295">
      <formula>SEARCH("Qualifying",$J37)</formula>
    </cfRule>
    <cfRule type="expression" dxfId="329" priority="296">
      <formula>SEARCH("Driver Arrival", $J37)</formula>
    </cfRule>
    <cfRule type="expression" dxfId="328" priority="297">
      <formula>SEARCH("DB", $J37)</formula>
    </cfRule>
    <cfRule type="expression" dxfId="327" priority="298">
      <formula>SEARCH(" PM",$J37)</formula>
    </cfRule>
    <cfRule type="expression" dxfId="326" priority="299">
      <formula>SEARCH("Meeting",$J37)</formula>
    </cfRule>
    <cfRule type="expression" dxfId="325" priority="300">
      <formula>OR($J37="Breakfast",$J37="Lunch",$J37="Dinner")</formula>
    </cfRule>
  </conditionalFormatting>
  <conditionalFormatting sqref="S37">
    <cfRule type="expression" dxfId="324" priority="271">
      <formula>SEARCH("Sign on",$J37)</formula>
    </cfRule>
    <cfRule type="expression" dxfId="323" priority="272">
      <formula>SEARCH("Briefing",$J37)</formula>
    </cfRule>
    <cfRule type="expression" dxfId="322" priority="273">
      <formula>SEARCH("Team Principal",$J37)</formula>
    </cfRule>
    <cfRule type="expression" dxfId="321" priority="274">
      <formula>SEARCH("Interview",$J37)</formula>
    </cfRule>
    <cfRule type="expression" dxfId="320" priority="275">
      <formula>SEARCH("Media",$J37)</formula>
    </cfRule>
    <cfRule type="expression" dxfId="319" priority="276">
      <formula>SEARCH("Picture",$J37)</formula>
    </cfRule>
    <cfRule type="expression" dxfId="318" priority="277">
      <formula>SEARCH("Press",$J37)</formula>
    </cfRule>
    <cfRule type="expression" dxfId="317" priority="278">
      <formula>SEARCH("Practice Session",$J37)</formula>
    </cfRule>
    <cfRule type="expression" dxfId="316" priority="279">
      <formula>SEARCH("Race",$J37)</formula>
    </cfRule>
    <cfRule type="expression" dxfId="315" priority="280">
      <formula>SEARCH("Qualifying",$J37)</formula>
    </cfRule>
    <cfRule type="expression" dxfId="314" priority="281">
      <formula>SEARCH("Driver Arrival", $J37)</formula>
    </cfRule>
    <cfRule type="expression" dxfId="313" priority="282">
      <formula>SEARCH("DB", $J37)</formula>
    </cfRule>
    <cfRule type="expression" dxfId="312" priority="283">
      <formula>SEARCH(" PM",$J37)</formula>
    </cfRule>
    <cfRule type="expression" dxfId="311" priority="284">
      <formula>SEARCH("Meeting",$J37)</formula>
    </cfRule>
    <cfRule type="expression" dxfId="310" priority="285">
      <formula>OR($J37="Breakfast",$J37="Lunch",$J37="Dinner")</formula>
    </cfRule>
  </conditionalFormatting>
  <conditionalFormatting sqref="B62:R62 T62:AA62">
    <cfRule type="expression" dxfId="309" priority="256">
      <formula>SEARCH("Sign on",$J62)</formula>
    </cfRule>
    <cfRule type="expression" dxfId="308" priority="257">
      <formula>SEARCH("Briefing",$J62)</formula>
    </cfRule>
    <cfRule type="expression" dxfId="307" priority="258">
      <formula>SEARCH("Team Principal",$J62)</formula>
    </cfRule>
    <cfRule type="expression" dxfId="306" priority="259">
      <formula>SEARCH("Interview",$J62)</formula>
    </cfRule>
    <cfRule type="expression" dxfId="305" priority="260">
      <formula>SEARCH("Media",$J62)</formula>
    </cfRule>
    <cfRule type="expression" dxfId="304" priority="261">
      <formula>SEARCH("Picture",$J62)</formula>
    </cfRule>
    <cfRule type="expression" dxfId="303" priority="262">
      <formula>SEARCH("Press",$J62)</formula>
    </cfRule>
    <cfRule type="expression" dxfId="302" priority="263">
      <formula>SEARCH("Practice Session",$J62)</formula>
    </cfRule>
    <cfRule type="expression" dxfId="301" priority="264">
      <formula>SEARCH("Race",$J62)</formula>
    </cfRule>
    <cfRule type="expression" dxfId="300" priority="265">
      <formula>SEARCH("Qualifying",$J62)</formula>
    </cfRule>
    <cfRule type="expression" dxfId="299" priority="266">
      <formula>SEARCH("Driver Arrival", $J62)</formula>
    </cfRule>
    <cfRule type="expression" dxfId="298" priority="267">
      <formula>SEARCH("DB", $J62)</formula>
    </cfRule>
    <cfRule type="expression" dxfId="297" priority="268">
      <formula>SEARCH(" PM",$J62)</formula>
    </cfRule>
    <cfRule type="expression" dxfId="296" priority="269">
      <formula>SEARCH("Meeting",$J62)</formula>
    </cfRule>
    <cfRule type="expression" dxfId="295" priority="270">
      <formula>OR($J62="Breakfast",$J62="Lunch",$J62="Dinner")</formula>
    </cfRule>
  </conditionalFormatting>
  <conditionalFormatting sqref="S62">
    <cfRule type="expression" dxfId="294" priority="241">
      <formula>SEARCH("Sign on",$J62)</formula>
    </cfRule>
    <cfRule type="expression" dxfId="293" priority="242">
      <formula>SEARCH("Briefing",$J62)</formula>
    </cfRule>
    <cfRule type="expression" dxfId="292" priority="243">
      <formula>SEARCH("Team Principal",$J62)</formula>
    </cfRule>
    <cfRule type="expression" dxfId="291" priority="244">
      <formula>SEARCH("Interview",$J62)</formula>
    </cfRule>
    <cfRule type="expression" dxfId="290" priority="245">
      <formula>SEARCH("Media",$J62)</formula>
    </cfRule>
    <cfRule type="expression" dxfId="289" priority="246">
      <formula>SEARCH("Picture",$J62)</formula>
    </cfRule>
    <cfRule type="expression" dxfId="288" priority="247">
      <formula>SEARCH("Press",$J62)</formula>
    </cfRule>
    <cfRule type="expression" dxfId="287" priority="248">
      <formula>SEARCH("Practice Session",$J62)</formula>
    </cfRule>
    <cfRule type="expression" dxfId="286" priority="249">
      <formula>SEARCH("Race",$J62)</formula>
    </cfRule>
    <cfRule type="expression" dxfId="285" priority="250">
      <formula>SEARCH("Qualifying",$J62)</formula>
    </cfRule>
    <cfRule type="expression" dxfId="284" priority="251">
      <formula>SEARCH("Driver Arrival", $J62)</formula>
    </cfRule>
    <cfRule type="expression" dxfId="283" priority="252">
      <formula>SEARCH("DB", $J62)</formula>
    </cfRule>
    <cfRule type="expression" dxfId="282" priority="253">
      <formula>SEARCH(" PM",$J62)</formula>
    </cfRule>
    <cfRule type="expression" dxfId="281" priority="254">
      <formula>SEARCH("Meeting",$J62)</formula>
    </cfRule>
    <cfRule type="expression" dxfId="280" priority="255">
      <formula>OR($J62="Breakfast",$J62="Lunch",$J62="Dinner")</formula>
    </cfRule>
  </conditionalFormatting>
  <conditionalFormatting sqref="B87:R87 T87:AA87">
    <cfRule type="expression" dxfId="279" priority="226">
      <formula>SEARCH("Sign on",$J87)</formula>
    </cfRule>
    <cfRule type="expression" dxfId="278" priority="227">
      <formula>SEARCH("Briefing",$J87)</formula>
    </cfRule>
    <cfRule type="expression" dxfId="277" priority="228">
      <formula>SEARCH("Team Principal",$J87)</formula>
    </cfRule>
    <cfRule type="expression" dxfId="276" priority="229">
      <formula>SEARCH("Interview",$J87)</formula>
    </cfRule>
    <cfRule type="expression" dxfId="275" priority="230">
      <formula>SEARCH("Media",$J87)</formula>
    </cfRule>
    <cfRule type="expression" dxfId="274" priority="231">
      <formula>SEARCH("Picture",$J87)</formula>
    </cfRule>
    <cfRule type="expression" dxfId="273" priority="232">
      <formula>SEARCH("Press",$J87)</formula>
    </cfRule>
    <cfRule type="expression" dxfId="272" priority="233">
      <formula>SEARCH("Practice Session",$J87)</formula>
    </cfRule>
    <cfRule type="expression" dxfId="271" priority="234">
      <formula>SEARCH("Race",$J87)</formula>
    </cfRule>
    <cfRule type="expression" dxfId="270" priority="235">
      <formula>SEARCH("Qualifying",$J87)</formula>
    </cfRule>
    <cfRule type="expression" dxfId="269" priority="236">
      <formula>SEARCH("Driver Arrival", $J87)</formula>
    </cfRule>
    <cfRule type="expression" dxfId="268" priority="237">
      <formula>SEARCH("DB", $J87)</formula>
    </cfRule>
    <cfRule type="expression" dxfId="267" priority="238">
      <formula>SEARCH(" PM",$J87)</formula>
    </cfRule>
    <cfRule type="expression" dxfId="266" priority="239">
      <formula>SEARCH("Meeting",$J87)</formula>
    </cfRule>
    <cfRule type="expression" dxfId="265" priority="240">
      <formula>OR($J87="Breakfast",$J87="Lunch",$J87="Dinner")</formula>
    </cfRule>
  </conditionalFormatting>
  <conditionalFormatting sqref="S87">
    <cfRule type="expression" dxfId="264" priority="211">
      <formula>SEARCH("Sign on",$J87)</formula>
    </cfRule>
    <cfRule type="expression" dxfId="263" priority="212">
      <formula>SEARCH("Briefing",$J87)</formula>
    </cfRule>
    <cfRule type="expression" dxfId="262" priority="213">
      <formula>SEARCH("Team Principal",$J87)</formula>
    </cfRule>
    <cfRule type="expression" dxfId="261" priority="214">
      <formula>SEARCH("Interview",$J87)</formula>
    </cfRule>
    <cfRule type="expression" dxfId="260" priority="215">
      <formula>SEARCH("Media",$J87)</formula>
    </cfRule>
    <cfRule type="expression" dxfId="259" priority="216">
      <formula>SEARCH("Picture",$J87)</formula>
    </cfRule>
    <cfRule type="expression" dxfId="258" priority="217">
      <formula>SEARCH("Press",$J87)</formula>
    </cfRule>
    <cfRule type="expression" dxfId="257" priority="218">
      <formula>SEARCH("Practice Session",$J87)</formula>
    </cfRule>
    <cfRule type="expression" dxfId="256" priority="219">
      <formula>SEARCH("Race",$J87)</formula>
    </cfRule>
    <cfRule type="expression" dxfId="255" priority="220">
      <formula>SEARCH("Qualifying",$J87)</formula>
    </cfRule>
    <cfRule type="expression" dxfId="254" priority="221">
      <formula>SEARCH("Driver Arrival", $J87)</formula>
    </cfRule>
    <cfRule type="expression" dxfId="253" priority="222">
      <formula>SEARCH("DB", $J87)</formula>
    </cfRule>
    <cfRule type="expression" dxfId="252" priority="223">
      <formula>SEARCH(" PM",$J87)</formula>
    </cfRule>
    <cfRule type="expression" dxfId="251" priority="224">
      <formula>SEARCH("Meeting",$J87)</formula>
    </cfRule>
    <cfRule type="expression" dxfId="250" priority="225">
      <formula>OR($J87="Breakfast",$J87="Lunch",$J87="Dinner")</formula>
    </cfRule>
  </conditionalFormatting>
  <conditionalFormatting sqref="H23:I23">
    <cfRule type="expression" dxfId="249" priority="196">
      <formula>OR($J23="Breakfast", $J23="Lunch", $J23="Dinner")</formula>
    </cfRule>
    <cfRule type="expression" dxfId="248" priority="197">
      <formula>SEARCH("Meeting",$J23)</formula>
    </cfRule>
    <cfRule type="expression" dxfId="247" priority="198">
      <formula>SEARCH(" PM",$J23)</formula>
    </cfRule>
    <cfRule type="expression" dxfId="246" priority="199">
      <formula>SEARCH("DB",$J23)</formula>
    </cfRule>
    <cfRule type="expression" dxfId="245" priority="200">
      <formula>SEARCH("Driver Arrival",$J23)</formula>
    </cfRule>
    <cfRule type="expression" dxfId="244" priority="201">
      <formula>SEARCH("Qualifying",$J23)</formula>
    </cfRule>
    <cfRule type="expression" dxfId="243" priority="202">
      <formula>SEARCH("Race",$J23)</formula>
    </cfRule>
    <cfRule type="expression" dxfId="242" priority="203">
      <formula>SEARCH("Practice Session",$J23)</formula>
    </cfRule>
    <cfRule type="expression" dxfId="241" priority="204">
      <formula>SEARCH("Press",$J23)</formula>
    </cfRule>
    <cfRule type="expression" dxfId="240" priority="205">
      <formula>SEARCH("Picture",$J23)</formula>
    </cfRule>
    <cfRule type="expression" dxfId="239" priority="206">
      <formula>SEARCH("Media",$J23)</formula>
    </cfRule>
    <cfRule type="expression" dxfId="238" priority="207">
      <formula>SEARCH("Interview",$J23)</formula>
    </cfRule>
    <cfRule type="expression" dxfId="237" priority="208">
      <formula>SEARCH("Team Principal",$J23)</formula>
    </cfRule>
    <cfRule type="expression" dxfId="236" priority="209">
      <formula>SEARCH("Briefing",$J23)</formula>
    </cfRule>
    <cfRule type="expression" dxfId="235" priority="210">
      <formula>SEARCH("Sign on",$J23)</formula>
    </cfRule>
  </conditionalFormatting>
  <conditionalFormatting sqref="B23:G23 J23:AA23">
    <cfRule type="expression" dxfId="234" priority="181">
      <formula>OR($J23="Breakfast", $J23="Lunch", $J23="Dinner")</formula>
    </cfRule>
    <cfRule type="expression" dxfId="233" priority="182">
      <formula>SEARCH("Meeting",$J23)</formula>
    </cfRule>
    <cfRule type="expression" dxfId="232" priority="183">
      <formula>SEARCH(" PM",$J23)</formula>
    </cfRule>
    <cfRule type="expression" dxfId="231" priority="184">
      <formula>SEARCH("DB",$J23)</formula>
    </cfRule>
    <cfRule type="expression" dxfId="230" priority="185">
      <formula>SEARCH("Driver Arrival",$J23)</formula>
    </cfRule>
    <cfRule type="expression" dxfId="229" priority="186">
      <formula>SEARCH("Qualifying",$J23)</formula>
    </cfRule>
    <cfRule type="expression" dxfId="228" priority="187">
      <formula>SEARCH("Race",$J23)</formula>
    </cfRule>
    <cfRule type="expression" dxfId="227" priority="188">
      <formula>SEARCH("Practice Session",$J23)</formula>
    </cfRule>
    <cfRule type="expression" dxfId="226" priority="189">
      <formula>SEARCH("Press",$J23)</formula>
    </cfRule>
    <cfRule type="expression" dxfId="225" priority="190">
      <formula>SEARCH("Picture",$J23)</formula>
    </cfRule>
    <cfRule type="expression" dxfId="224" priority="191">
      <formula>SEARCH("Media",$J23)</formula>
    </cfRule>
    <cfRule type="expression" dxfId="223" priority="192">
      <formula>SEARCH("Interview",$J23)</formula>
    </cfRule>
    <cfRule type="expression" dxfId="222" priority="193">
      <formula>SEARCH("Team Principal",$J23)</formula>
    </cfRule>
    <cfRule type="expression" dxfId="221" priority="194">
      <formula>SEARCH("Briefing",$J23)</formula>
    </cfRule>
    <cfRule type="expression" dxfId="220" priority="195">
      <formula>SEARCH("Sign on",$J23)</formula>
    </cfRule>
  </conditionalFormatting>
  <conditionalFormatting sqref="B24:AA24">
    <cfRule type="expression" dxfId="219" priority="166">
      <formula>SEARCH("Sign on",$J24)</formula>
    </cfRule>
    <cfRule type="expression" dxfId="218" priority="167">
      <formula>SEARCH("Briefing",$J24)</formula>
    </cfRule>
    <cfRule type="expression" dxfId="217" priority="168">
      <formula>SEARCH("Team Principal",$J24)</formula>
    </cfRule>
    <cfRule type="expression" dxfId="216" priority="169">
      <formula>SEARCH("Interview",$J24)</formula>
    </cfRule>
    <cfRule type="expression" dxfId="215" priority="170">
      <formula>SEARCH("Media",$J24)</formula>
    </cfRule>
    <cfRule type="expression" dxfId="214" priority="171">
      <formula>SEARCH("Picture",$J24)</formula>
    </cfRule>
    <cfRule type="expression" dxfId="213" priority="172">
      <formula>SEARCH("Press",$J24)</formula>
    </cfRule>
    <cfRule type="expression" dxfId="212" priority="173">
      <formula>SEARCH("Practice Session",$J24)</formula>
    </cfRule>
    <cfRule type="expression" dxfId="211" priority="174">
      <formula>SEARCH("Race",$J24)</formula>
    </cfRule>
    <cfRule type="expression" dxfId="210" priority="175">
      <formula>SEARCH("Qualifying",$J24)</formula>
    </cfRule>
    <cfRule type="expression" dxfId="209" priority="176">
      <formula>SEARCH("Driver Arrival", $J24)</formula>
    </cfRule>
    <cfRule type="expression" dxfId="208" priority="177">
      <formula>SEARCH("DB", $J24)</formula>
    </cfRule>
    <cfRule type="expression" dxfId="207" priority="178">
      <formula>SEARCH(" PM",$J24)</formula>
    </cfRule>
    <cfRule type="expression" dxfId="206" priority="179">
      <formula>SEARCH("Meeting",$J24)</formula>
    </cfRule>
    <cfRule type="expression" dxfId="205" priority="180">
      <formula>OR($J24="Breakfast",$J24="Lunch",$J24="Dinner")</formula>
    </cfRule>
  </conditionalFormatting>
  <conditionalFormatting sqref="B41:R41 T41:AA41">
    <cfRule type="expression" dxfId="204" priority="151">
      <formula>SEARCH("Sign on",$J41)</formula>
    </cfRule>
    <cfRule type="expression" dxfId="203" priority="152">
      <formula>SEARCH("Briefing",$J41)</formula>
    </cfRule>
    <cfRule type="expression" dxfId="202" priority="153">
      <formula>SEARCH("Team Principal",$J41)</formula>
    </cfRule>
    <cfRule type="expression" dxfId="201" priority="154">
      <formula>SEARCH("Interview",$J41)</formula>
    </cfRule>
    <cfRule type="expression" dxfId="200" priority="155">
      <formula>SEARCH("Media",$J41)</formula>
    </cfRule>
    <cfRule type="expression" dxfId="199" priority="156">
      <formula>SEARCH("Picture",$J41)</formula>
    </cfRule>
    <cfRule type="expression" dxfId="198" priority="157">
      <formula>SEARCH("Press",$J41)</formula>
    </cfRule>
    <cfRule type="expression" dxfId="197" priority="158">
      <formula>SEARCH("Practice Session",$J41)</formula>
    </cfRule>
    <cfRule type="expression" dxfId="196" priority="159">
      <formula>SEARCH("Race",$J41)</formula>
    </cfRule>
    <cfRule type="expression" dxfId="195" priority="160">
      <formula>SEARCH("Qualifying",$J41)</formula>
    </cfRule>
    <cfRule type="expression" dxfId="194" priority="161">
      <formula>SEARCH("Driver Arrival", $J41)</formula>
    </cfRule>
    <cfRule type="expression" dxfId="193" priority="162">
      <formula>SEARCH("DB", $J41)</formula>
    </cfRule>
    <cfRule type="expression" dxfId="192" priority="163">
      <formula>SEARCH(" PM",$J41)</formula>
    </cfRule>
    <cfRule type="expression" dxfId="191" priority="164">
      <formula>SEARCH("Meeting",$J41)</formula>
    </cfRule>
    <cfRule type="expression" dxfId="190" priority="165">
      <formula>OR($J41="Breakfast",$J41="Lunch",$J41="Dinner")</formula>
    </cfRule>
  </conditionalFormatting>
  <conditionalFormatting sqref="S41">
    <cfRule type="expression" dxfId="189" priority="136">
      <formula>SEARCH("Sign on",$J41)</formula>
    </cfRule>
    <cfRule type="expression" dxfId="188" priority="137">
      <formula>SEARCH("Briefing",$J41)</formula>
    </cfRule>
    <cfRule type="expression" dxfId="187" priority="138">
      <formula>SEARCH("Team Principal",$J41)</formula>
    </cfRule>
    <cfRule type="expression" dxfId="186" priority="139">
      <formula>SEARCH("Interview",$J41)</formula>
    </cfRule>
    <cfRule type="expression" dxfId="185" priority="140">
      <formula>SEARCH("Media",$J41)</formula>
    </cfRule>
    <cfRule type="expression" dxfId="184" priority="141">
      <formula>SEARCH("Picture",$J41)</formula>
    </cfRule>
    <cfRule type="expression" dxfId="183" priority="142">
      <formula>SEARCH("Press",$J41)</formula>
    </cfRule>
    <cfRule type="expression" dxfId="182" priority="143">
      <formula>SEARCH("Practice Session",$J41)</formula>
    </cfRule>
    <cfRule type="expression" dxfId="181" priority="144">
      <formula>SEARCH("Race",$J41)</formula>
    </cfRule>
    <cfRule type="expression" dxfId="180" priority="145">
      <formula>SEARCH("Qualifying",$J41)</formula>
    </cfRule>
    <cfRule type="expression" dxfId="179" priority="146">
      <formula>SEARCH("Driver Arrival", $J41)</formula>
    </cfRule>
    <cfRule type="expression" dxfId="178" priority="147">
      <formula>SEARCH("DB", $J41)</formula>
    </cfRule>
    <cfRule type="expression" dxfId="177" priority="148">
      <formula>SEARCH(" PM",$J41)</formula>
    </cfRule>
    <cfRule type="expression" dxfId="176" priority="149">
      <formula>SEARCH("Meeting",$J41)</formula>
    </cfRule>
    <cfRule type="expression" dxfId="175" priority="150">
      <formula>OR($J41="Breakfast",$J41="Lunch",$J41="Dinner")</formula>
    </cfRule>
  </conditionalFormatting>
  <conditionalFormatting sqref="B66:R66 T66:AA66">
    <cfRule type="expression" dxfId="174" priority="121">
      <formula>SEARCH("Sign on",$J66)</formula>
    </cfRule>
    <cfRule type="expression" dxfId="173" priority="122">
      <formula>SEARCH("Briefing",$J66)</formula>
    </cfRule>
    <cfRule type="expression" dxfId="172" priority="123">
      <formula>SEARCH("Team Principal",$J66)</formula>
    </cfRule>
    <cfRule type="expression" dxfId="171" priority="124">
      <formula>SEARCH("Interview",$J66)</formula>
    </cfRule>
    <cfRule type="expression" dxfId="170" priority="125">
      <formula>SEARCH("Media",$J66)</formula>
    </cfRule>
    <cfRule type="expression" dxfId="169" priority="126">
      <formula>SEARCH("Picture",$J66)</formula>
    </cfRule>
    <cfRule type="expression" dxfId="168" priority="127">
      <formula>SEARCH("Press",$J66)</formula>
    </cfRule>
    <cfRule type="expression" dxfId="167" priority="128">
      <formula>SEARCH("Practice Session",$J66)</formula>
    </cfRule>
    <cfRule type="expression" dxfId="166" priority="129">
      <formula>SEARCH("Race",$J66)</formula>
    </cfRule>
    <cfRule type="expression" dxfId="165" priority="130">
      <formula>SEARCH("Qualifying",$J66)</formula>
    </cfRule>
    <cfRule type="expression" dxfId="164" priority="131">
      <formula>SEARCH("Driver Arrival", $J66)</formula>
    </cfRule>
    <cfRule type="expression" dxfId="163" priority="132">
      <formula>SEARCH("DB", $J66)</formula>
    </cfRule>
    <cfRule type="expression" dxfId="162" priority="133">
      <formula>SEARCH(" PM",$J66)</formula>
    </cfRule>
    <cfRule type="expression" dxfId="161" priority="134">
      <formula>SEARCH("Meeting",$J66)</formula>
    </cfRule>
    <cfRule type="expression" dxfId="160" priority="135">
      <formula>OR($J66="Breakfast",$J66="Lunch",$J66="Dinner")</formula>
    </cfRule>
  </conditionalFormatting>
  <conditionalFormatting sqref="S66">
    <cfRule type="expression" dxfId="159" priority="106">
      <formula>SEARCH("Sign on",$J66)</formula>
    </cfRule>
    <cfRule type="expression" dxfId="158" priority="107">
      <formula>SEARCH("Briefing",$J66)</formula>
    </cfRule>
    <cfRule type="expression" dxfId="157" priority="108">
      <formula>SEARCH("Team Principal",$J66)</formula>
    </cfRule>
    <cfRule type="expression" dxfId="156" priority="109">
      <formula>SEARCH("Interview",$J66)</formula>
    </cfRule>
    <cfRule type="expression" dxfId="155" priority="110">
      <formula>SEARCH("Media",$J66)</formula>
    </cfRule>
    <cfRule type="expression" dxfId="154" priority="111">
      <formula>SEARCH("Picture",$J66)</formula>
    </cfRule>
    <cfRule type="expression" dxfId="153" priority="112">
      <formula>SEARCH("Press",$J66)</formula>
    </cfRule>
    <cfRule type="expression" dxfId="152" priority="113">
      <formula>SEARCH("Practice Session",$J66)</formula>
    </cfRule>
    <cfRule type="expression" dxfId="151" priority="114">
      <formula>SEARCH("Race",$J66)</formula>
    </cfRule>
    <cfRule type="expression" dxfId="150" priority="115">
      <formula>SEARCH("Qualifying",$J66)</formula>
    </cfRule>
    <cfRule type="expression" dxfId="149" priority="116">
      <formula>SEARCH("Driver Arrival", $J66)</formula>
    </cfRule>
    <cfRule type="expression" dxfId="148" priority="117">
      <formula>SEARCH("DB", $J66)</formula>
    </cfRule>
    <cfRule type="expression" dxfId="147" priority="118">
      <formula>SEARCH(" PM",$J66)</formula>
    </cfRule>
    <cfRule type="expression" dxfId="146" priority="119">
      <formula>SEARCH("Meeting",$J66)</formula>
    </cfRule>
    <cfRule type="expression" dxfId="145" priority="120">
      <formula>OR($J66="Breakfast",$J66="Lunch",$J66="Dinner")</formula>
    </cfRule>
  </conditionalFormatting>
  <conditionalFormatting sqref="B91:R91 T91:AA91">
    <cfRule type="expression" dxfId="144" priority="91">
      <formula>SEARCH("Sign on",$J91)</formula>
    </cfRule>
    <cfRule type="expression" dxfId="143" priority="92">
      <formula>SEARCH("Briefing",$J91)</formula>
    </cfRule>
    <cfRule type="expression" dxfId="142" priority="93">
      <formula>SEARCH("Team Principal",$J91)</formula>
    </cfRule>
    <cfRule type="expression" dxfId="141" priority="94">
      <formula>SEARCH("Interview",$J91)</formula>
    </cfRule>
    <cfRule type="expression" dxfId="140" priority="95">
      <formula>SEARCH("Media",$J91)</formula>
    </cfRule>
    <cfRule type="expression" dxfId="139" priority="96">
      <formula>SEARCH("Picture",$J91)</formula>
    </cfRule>
    <cfRule type="expression" dxfId="138" priority="97">
      <formula>SEARCH("Press",$J91)</formula>
    </cfRule>
    <cfRule type="expression" dxfId="137" priority="98">
      <formula>SEARCH("Practice Session",$J91)</formula>
    </cfRule>
    <cfRule type="expression" dxfId="136" priority="99">
      <formula>SEARCH("Race",$J91)</formula>
    </cfRule>
    <cfRule type="expression" dxfId="135" priority="100">
      <formula>SEARCH("Qualifying",$J91)</formula>
    </cfRule>
    <cfRule type="expression" dxfId="134" priority="101">
      <formula>SEARCH("Driver Arrival", $J91)</formula>
    </cfRule>
    <cfRule type="expression" dxfId="133" priority="102">
      <formula>SEARCH("DB", $J91)</formula>
    </cfRule>
    <cfRule type="expression" dxfId="132" priority="103">
      <formula>SEARCH(" PM",$J91)</formula>
    </cfRule>
    <cfRule type="expression" dxfId="131" priority="104">
      <formula>SEARCH("Meeting",$J91)</formula>
    </cfRule>
    <cfRule type="expression" dxfId="130" priority="105">
      <formula>OR($J91="Breakfast",$J91="Lunch",$J91="Dinner")</formula>
    </cfRule>
  </conditionalFormatting>
  <conditionalFormatting sqref="S91">
    <cfRule type="expression" dxfId="129" priority="76">
      <formula>SEARCH("Sign on",$J91)</formula>
    </cfRule>
    <cfRule type="expression" dxfId="128" priority="77">
      <formula>SEARCH("Briefing",$J91)</formula>
    </cfRule>
    <cfRule type="expression" dxfId="127" priority="78">
      <formula>SEARCH("Team Principal",$J91)</formula>
    </cfRule>
    <cfRule type="expression" dxfId="126" priority="79">
      <formula>SEARCH("Interview",$J91)</formula>
    </cfRule>
    <cfRule type="expression" dxfId="125" priority="80">
      <formula>SEARCH("Media",$J91)</formula>
    </cfRule>
    <cfRule type="expression" dxfId="124" priority="81">
      <formula>SEARCH("Picture",$J91)</formula>
    </cfRule>
    <cfRule type="expression" dxfId="123" priority="82">
      <formula>SEARCH("Press",$J91)</formula>
    </cfRule>
    <cfRule type="expression" dxfId="122" priority="83">
      <formula>SEARCH("Practice Session",$J91)</formula>
    </cfRule>
    <cfRule type="expression" dxfId="121" priority="84">
      <formula>SEARCH("Race",$J91)</formula>
    </cfRule>
    <cfRule type="expression" dxfId="120" priority="85">
      <formula>SEARCH("Qualifying",$J91)</formula>
    </cfRule>
    <cfRule type="expression" dxfId="119" priority="86">
      <formula>SEARCH("Driver Arrival", $J91)</formula>
    </cfRule>
    <cfRule type="expression" dxfId="118" priority="87">
      <formula>SEARCH("DB", $J91)</formula>
    </cfRule>
    <cfRule type="expression" dxfId="117" priority="88">
      <formula>SEARCH(" PM",$J91)</formula>
    </cfRule>
    <cfRule type="expression" dxfId="116" priority="89">
      <formula>SEARCH("Meeting",$J91)</formula>
    </cfRule>
    <cfRule type="expression" dxfId="115" priority="90">
      <formula>OR($J91="Breakfast",$J91="Lunch",$J91="Dinner")</formula>
    </cfRule>
  </conditionalFormatting>
  <conditionalFormatting sqref="B42:AA42">
    <cfRule type="expression" dxfId="114" priority="61">
      <formula>SEARCH("Sign on",$J42)</formula>
    </cfRule>
    <cfRule type="expression" dxfId="113" priority="62">
      <formula>SEARCH("Briefing",$J42)</formula>
    </cfRule>
    <cfRule type="expression" dxfId="112" priority="63">
      <formula>SEARCH("Team Principal",$J42)</formula>
    </cfRule>
    <cfRule type="expression" dxfId="111" priority="64">
      <formula>SEARCH("Interview",$J42)</formula>
    </cfRule>
    <cfRule type="expression" dxfId="110" priority="65">
      <formula>SEARCH("Media",$J42)</formula>
    </cfRule>
    <cfRule type="expression" dxfId="109" priority="66">
      <formula>SEARCH("Picture",$J42)</formula>
    </cfRule>
    <cfRule type="expression" dxfId="108" priority="67">
      <formula>SEARCH("Press",$J42)</formula>
    </cfRule>
    <cfRule type="expression" dxfId="107" priority="68">
      <formula>SEARCH("Practice Session",$J42)</formula>
    </cfRule>
    <cfRule type="expression" dxfId="106" priority="69">
      <formula>SEARCH("Race",$J42)</formula>
    </cfRule>
    <cfRule type="expression" dxfId="105" priority="70">
      <formula>SEARCH("Qualifying",$J42)</formula>
    </cfRule>
    <cfRule type="expression" dxfId="104" priority="71">
      <formula>SEARCH("Driver Arrival", $J42)</formula>
    </cfRule>
    <cfRule type="expression" dxfId="103" priority="72">
      <formula>SEARCH("DB", $J42)</formula>
    </cfRule>
    <cfRule type="expression" dxfId="102" priority="73">
      <formula>SEARCH(" PM",$J42)</formula>
    </cfRule>
    <cfRule type="expression" dxfId="101" priority="74">
      <formula>SEARCH("Meeting",$J42)</formula>
    </cfRule>
    <cfRule type="expression" dxfId="100" priority="75">
      <formula>OR($J42="Breakfast",$J42="Lunch",$J42="Dinner")</formula>
    </cfRule>
  </conditionalFormatting>
  <conditionalFormatting sqref="B67:AA67">
    <cfRule type="expression" dxfId="99" priority="46">
      <formula>SEARCH("Sign on",$J67)</formula>
    </cfRule>
    <cfRule type="expression" dxfId="98" priority="47">
      <formula>SEARCH("Briefing",$J67)</formula>
    </cfRule>
    <cfRule type="expression" dxfId="97" priority="48">
      <formula>SEARCH("Team Principal",$J67)</formula>
    </cfRule>
    <cfRule type="expression" dxfId="96" priority="49">
      <formula>SEARCH("Interview",$J67)</formula>
    </cfRule>
    <cfRule type="expression" dxfId="95" priority="50">
      <formula>SEARCH("Media",$J67)</formula>
    </cfRule>
    <cfRule type="expression" dxfId="94" priority="51">
      <formula>SEARCH("Picture",$J67)</formula>
    </cfRule>
    <cfRule type="expression" dxfId="93" priority="52">
      <formula>SEARCH("Press",$J67)</formula>
    </cfRule>
    <cfRule type="expression" dxfId="92" priority="53">
      <formula>SEARCH("Practice Session",$J67)</formula>
    </cfRule>
    <cfRule type="expression" dxfId="91" priority="54">
      <formula>SEARCH("Race",$J67)</formula>
    </cfRule>
    <cfRule type="expression" dxfId="90" priority="55">
      <formula>SEARCH("Qualifying",$J67)</formula>
    </cfRule>
    <cfRule type="expression" dxfId="89" priority="56">
      <formula>SEARCH("Driver Arrival", $J67)</formula>
    </cfRule>
    <cfRule type="expression" dxfId="88" priority="57">
      <formula>SEARCH("DB", $J67)</formula>
    </cfRule>
    <cfRule type="expression" dxfId="87" priority="58">
      <formula>SEARCH(" PM",$J67)</formula>
    </cfRule>
    <cfRule type="expression" dxfId="86" priority="59">
      <formula>SEARCH("Meeting",$J67)</formula>
    </cfRule>
    <cfRule type="expression" dxfId="85" priority="60">
      <formula>OR($J67="Breakfast",$J67="Lunch",$J67="Dinner")</formula>
    </cfRule>
  </conditionalFormatting>
  <conditionalFormatting sqref="B92:AA92">
    <cfRule type="expression" dxfId="84" priority="31">
      <formula>SEARCH("Sign on",$J92)</formula>
    </cfRule>
    <cfRule type="expression" dxfId="83" priority="32">
      <formula>SEARCH("Briefing",$J92)</formula>
    </cfRule>
    <cfRule type="expression" dxfId="82" priority="33">
      <formula>SEARCH("Team Principal",$J92)</formula>
    </cfRule>
    <cfRule type="expression" dxfId="81" priority="34">
      <formula>SEARCH("Interview",$J92)</formula>
    </cfRule>
    <cfRule type="expression" dxfId="80" priority="35">
      <formula>SEARCH("Media",$J92)</formula>
    </cfRule>
    <cfRule type="expression" dxfId="79" priority="36">
      <formula>SEARCH("Picture",$J92)</formula>
    </cfRule>
    <cfRule type="expression" dxfId="78" priority="37">
      <formula>SEARCH("Press",$J92)</formula>
    </cfRule>
    <cfRule type="expression" dxfId="77" priority="38">
      <formula>SEARCH("Practice Session",$J92)</formula>
    </cfRule>
    <cfRule type="expression" dxfId="76" priority="39">
      <formula>SEARCH("Race",$J92)</formula>
    </cfRule>
    <cfRule type="expression" dxfId="75" priority="40">
      <formula>SEARCH("Qualifying",$J92)</formula>
    </cfRule>
    <cfRule type="expression" dxfId="74" priority="41">
      <formula>SEARCH("Driver Arrival", $J92)</formula>
    </cfRule>
    <cfRule type="expression" dxfId="73" priority="42">
      <formula>SEARCH("DB", $J92)</formula>
    </cfRule>
    <cfRule type="expression" dxfId="72" priority="43">
      <formula>SEARCH(" PM",$J92)</formula>
    </cfRule>
    <cfRule type="expression" dxfId="71" priority="44">
      <formula>SEARCH("Meeting",$J92)</formula>
    </cfRule>
    <cfRule type="expression" dxfId="70" priority="45">
      <formula>OR($J92="Breakfast",$J92="Lunch",$J92="Dinner")</formula>
    </cfRule>
  </conditionalFormatting>
  <conditionalFormatting sqref="B34:D34">
    <cfRule type="expression" dxfId="69" priority="16">
      <formula>OR($J34="Breakfast", $J34="Lunch", $J34="Dinner")</formula>
    </cfRule>
    <cfRule type="expression" dxfId="68" priority="17">
      <formula>SEARCH("Meeting",$J34)</formula>
    </cfRule>
    <cfRule type="expression" dxfId="67" priority="18">
      <formula>SEARCH(" PM",$J34)</formula>
    </cfRule>
    <cfRule type="expression" dxfId="66" priority="19">
      <formula>SEARCH("DB",$J34)</formula>
    </cfRule>
    <cfRule type="expression" dxfId="65" priority="20">
      <formula>SEARCH("Driver Arrival",$J34)</formula>
    </cfRule>
    <cfRule type="expression" dxfId="64" priority="21">
      <formula>SEARCH("Qualifying",$J34)</formula>
    </cfRule>
    <cfRule type="expression" dxfId="63" priority="22">
      <formula>SEARCH("Race",$J34)</formula>
    </cfRule>
    <cfRule type="expression" dxfId="62" priority="23">
      <formula>SEARCH("Practice Session",$J34)</formula>
    </cfRule>
    <cfRule type="expression" dxfId="61" priority="24">
      <formula>SEARCH("Press",$J34)</formula>
    </cfRule>
    <cfRule type="expression" dxfId="60" priority="25">
      <formula>SEARCH("Picture",$J34)</formula>
    </cfRule>
    <cfRule type="expression" dxfId="59" priority="26">
      <formula>SEARCH("Media",$J34)</formula>
    </cfRule>
    <cfRule type="expression" dxfId="58" priority="27">
      <formula>SEARCH("Interview",$J34)</formula>
    </cfRule>
    <cfRule type="expression" dxfId="57" priority="28">
      <formula>SEARCH("Team Principal",$J34)</formula>
    </cfRule>
    <cfRule type="expression" dxfId="56" priority="29">
      <formula>SEARCH("Briefing",$J34)</formula>
    </cfRule>
    <cfRule type="expression" dxfId="55" priority="30">
      <formula>SEARCH("Sign on",$J34)</formula>
    </cfRule>
  </conditionalFormatting>
  <conditionalFormatting sqref="E34:AA34">
    <cfRule type="expression" dxfId="54" priority="1">
      <formula>OR($J34="Breakfast", $J34="Lunch", $J34="Dinner")</formula>
    </cfRule>
    <cfRule type="expression" dxfId="53" priority="2">
      <formula>SEARCH("Meeting",$J34)</formula>
    </cfRule>
    <cfRule type="expression" dxfId="52" priority="3">
      <formula>SEARCH(" PM",$J34)</formula>
    </cfRule>
    <cfRule type="expression" dxfId="51" priority="4">
      <formula>SEARCH("DB",$J34)</formula>
    </cfRule>
    <cfRule type="expression" dxfId="50" priority="5">
      <formula>SEARCH("Driver Arrival",$J34)</formula>
    </cfRule>
    <cfRule type="expression" dxfId="49" priority="6">
      <formula>SEARCH("Qualifying",$J34)</formula>
    </cfRule>
    <cfRule type="expression" dxfId="48" priority="7">
      <formula>SEARCH("Race",$J34)</formula>
    </cfRule>
    <cfRule type="expression" dxfId="47" priority="8">
      <formula>SEARCH("Practice Session",$J34)</formula>
    </cfRule>
    <cfRule type="expression" dxfId="46" priority="9">
      <formula>SEARCH("Press",$J34)</formula>
    </cfRule>
    <cfRule type="expression" dxfId="45" priority="10">
      <formula>SEARCH("Picture",$J34)</formula>
    </cfRule>
    <cfRule type="expression" dxfId="44" priority="11">
      <formula>SEARCH("Media",$J34)</formula>
    </cfRule>
    <cfRule type="expression" dxfId="43" priority="12">
      <formula>SEARCH("Interview",$J34)</formula>
    </cfRule>
    <cfRule type="expression" dxfId="42" priority="13">
      <formula>SEARCH("Team Principal",$J34)</formula>
    </cfRule>
    <cfRule type="expression" dxfId="41" priority="14">
      <formula>SEARCH("Briefing",$J34)</formula>
    </cfRule>
    <cfRule type="expression" dxfId="40" priority="15">
      <formula>SEARCH("Sign on",$J34)</formula>
    </cfRule>
  </conditionalFormatting>
  <dataValidations count="2">
    <dataValidation type="list" allowBlank="1" showInputMessage="1" showErrorMessage="1" sqref="AG111:AG125 AG11:AG17 AG20:AG30 AG33:AG58 AG61:AG83 AG86:AG108" xr:uid="{4F809471-81DF-4ADB-8968-B581198B67C5}">
      <formula1>"x"</formula1>
    </dataValidation>
    <dataValidation type="list" allowBlank="1" showDropDown="1" showInputMessage="1" showErrorMessage="1" sqref="AC23 AC73:AD76 AC78:AD80 AC98:AD101 AC103:AD105 AC48:AD51 AC53:AD55 AC43:AD45 AC68:AD70 AC38:AD40 AC63:AD65 AC88:AD90 AC93:AD95 AC34:AD34 AC36:AD36 AC61:AD61 AC86:AD86" xr:uid="{21A7966C-2FEB-3E49-A2C0-7F6865EC2DC8}">
      <formula1>$AI$1:$AI$2</formula1>
    </dataValidation>
  </dataValidations>
  <pageMargins left="0.23622047244094491" right="0.23622047244094491" top="0.39370078740157483" bottom="0.39370078740157483" header="0.31496062992125984" footer="0.31496062992125984"/>
  <pageSetup paperSize="9" scale="3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20C3-FD7D-4401-B4B9-A2447B3945B1}">
  <sheetPr codeName="Sheet15">
    <tabColor rgb="FFFFFF00"/>
  </sheetPr>
  <dimension ref="A1:AB67"/>
  <sheetViews>
    <sheetView showGridLines="0" topLeftCell="A6" zoomScale="76" workbookViewId="0">
      <selection activeCell="F35" sqref="F35"/>
    </sheetView>
  </sheetViews>
  <sheetFormatPr defaultColWidth="8.7109375" defaultRowHeight="14.45"/>
  <cols>
    <col min="2" max="2" width="31.140625" customWidth="1"/>
    <col min="3" max="3" width="4.7109375" customWidth="1"/>
    <col min="4" max="4" width="25.42578125" bestFit="1" customWidth="1"/>
    <col min="5" max="5" width="4.7109375" customWidth="1"/>
    <col min="6" max="6" width="39.28515625" style="64" customWidth="1"/>
    <col min="7" max="7" width="7.140625" hidden="1" customWidth="1"/>
    <col min="8" max="8" width="5.7109375" hidden="1" customWidth="1"/>
    <col min="9" max="9" width="3" hidden="1" customWidth="1"/>
    <col min="10" max="10" width="38.7109375" customWidth="1"/>
    <col min="11" max="12" width="8.7109375" hidden="1" customWidth="1"/>
    <col min="13" max="13" width="38.7109375" customWidth="1"/>
    <col min="14" max="15" width="8.7109375" hidden="1" customWidth="1"/>
    <col min="16" max="16" width="41.42578125" bestFit="1" customWidth="1"/>
    <col min="17" max="18" width="8.7109375" hidden="1" customWidth="1"/>
    <col min="19" max="19" width="42.140625" bestFit="1" customWidth="1"/>
    <col min="20" max="21" width="8.7109375" hidden="1" customWidth="1"/>
    <col min="22" max="22" width="39.42578125" bestFit="1" customWidth="1"/>
    <col min="23" max="24" width="8.7109375" hidden="1" customWidth="1"/>
    <col min="25" max="25" width="40" bestFit="1" customWidth="1"/>
    <col min="26" max="27" width="8.7109375" hidden="1" customWidth="1"/>
    <col min="28" max="28" width="37.28515625" bestFit="1" customWidth="1"/>
  </cols>
  <sheetData>
    <row r="1" spans="1:28" ht="16.899999999999999">
      <c r="A1" s="1178" t="s">
        <v>347</v>
      </c>
      <c r="B1" s="82" t="s">
        <v>414</v>
      </c>
      <c r="D1" s="135" t="s">
        <v>203</v>
      </c>
      <c r="F1" s="135" t="s">
        <v>415</v>
      </c>
      <c r="G1">
        <f>IF(B1&lt;&gt;"",1,0)</f>
        <v>1</v>
      </c>
      <c r="H1">
        <f>MIN(H2:H67)</f>
        <v>13</v>
      </c>
      <c r="J1" s="86" t="s">
        <v>416</v>
      </c>
      <c r="K1">
        <f>MIN(K2:K6)</f>
        <v>1</v>
      </c>
      <c r="M1" s="86" t="s">
        <v>417</v>
      </c>
      <c r="N1">
        <f>MIN(N2:N8)</f>
        <v>2</v>
      </c>
      <c r="P1" s="86" t="s">
        <v>418</v>
      </c>
      <c r="Q1">
        <f>MIN(Q2:Q24)</f>
        <v>1</v>
      </c>
      <c r="S1" s="86" t="s">
        <v>419</v>
      </c>
      <c r="T1">
        <f>MIN(T2:T7)</f>
        <v>1</v>
      </c>
      <c r="V1" s="86" t="s">
        <v>420</v>
      </c>
      <c r="W1">
        <f>MIN(W2:W13)</f>
        <v>1</v>
      </c>
      <c r="Y1" s="86" t="s">
        <v>421</v>
      </c>
      <c r="Z1">
        <f>MIN(Z2:Z11)</f>
        <v>1</v>
      </c>
      <c r="AB1" s="86" t="s">
        <v>422</v>
      </c>
    </row>
    <row r="2" spans="1:28">
      <c r="A2" s="1178"/>
      <c r="B2" s="83" t="s">
        <v>52</v>
      </c>
      <c r="C2" s="83"/>
      <c r="D2" s="173" t="s">
        <v>423</v>
      </c>
      <c r="E2" s="170"/>
      <c r="F2" s="171" t="str">
        <f t="shared" ref="F2:F31" si="0">IFERROR(INDEX($B$1:$B$67,MATCH(ROW()-1,$G$1:$G$67,0)),"")</f>
        <v>Rafael Villagomez</v>
      </c>
      <c r="G2">
        <f t="shared" ref="G2:G33" si="1">G1+IF(B2&lt;&gt;"",1,0)</f>
        <v>2</v>
      </c>
      <c r="H2">
        <f>IF(F2="","",COUNTIF(all,"&lt;="&amp;Personel!$F2))</f>
        <v>44</v>
      </c>
      <c r="I2">
        <f>IF(H2="","",H2-$H$1+1)</f>
        <v>32</v>
      </c>
      <c r="J2" s="82" t="str">
        <f>IF(I2="","",INDEX($F$2:$F$67,MATCH(ROWS($I$2:I2),$I$2:$I$67,0)))</f>
        <v>Amber Kouwen</v>
      </c>
      <c r="K2">
        <f t="shared" ref="K2:K7" si="2">IF(B1="","",COUNTIF(Driver,"&lt;="&amp;B1))</f>
        <v>5</v>
      </c>
      <c r="L2">
        <f t="shared" ref="L2:L5" si="3">IF(K2="","",K2-$K$1+1)</f>
        <v>5</v>
      </c>
      <c r="M2" s="82" t="str">
        <f>IF(L2="","",INDEX($B$1:$B$6,MATCH(ROWS($L$2:L2),$L$2:$L$6,0)))</f>
        <v>Bruno Del Pino</v>
      </c>
      <c r="N2">
        <f t="shared" ref="N2:N11" si="4">IF(B7="","",COUNTIF(Engineer,"&lt;="&amp;B7))</f>
        <v>8</v>
      </c>
      <c r="O2" s="170">
        <f>IF(N2="","",N2-$N$1+1)</f>
        <v>7</v>
      </c>
      <c r="P2" s="83" t="str">
        <f>IF(O2="","",INDEX($B$7:$B$16,MATCH(ROWS($O$2:O2),$O$2:$O$8,0)))</f>
        <v>Carlo Ruffo</v>
      </c>
      <c r="Q2">
        <f t="shared" ref="Q2:Q24" si="5">IF(B17="","",COUNTIF(Mechanic,"&lt;="&amp;B17))</f>
        <v>5</v>
      </c>
      <c r="R2">
        <f>IF(Q2="","",Q2-$Q$1+1)</f>
        <v>5</v>
      </c>
      <c r="S2" s="82" t="str">
        <f>IF(R2="","",INDEX($B$17:$B$39,MATCH(ROWS($R$2:R2),$R$2:$R$24,0)))</f>
        <v>Atte Ahonen</v>
      </c>
      <c r="T2" t="str">
        <f t="shared" ref="T2:T7" si="6">IF(B40="","",COUNTIF(B40:B46,"&lt;="&amp;B40))</f>
        <v/>
      </c>
      <c r="U2" t="str">
        <f t="shared" ref="U2:U7" si="7">IF(T2="","",T2-$T$1+1)</f>
        <v/>
      </c>
      <c r="V2" s="82" t="str">
        <f>IF(U2="","",INDEX($B$40:$B$46,MATCH(ROWS($U$2:U2),$U$2:$U$7,0)))</f>
        <v/>
      </c>
      <c r="W2">
        <f t="shared" ref="W2:W13" si="8">IF(B47="","",COUNTIF(Manager,"&lt;="&amp;B47))</f>
        <v>7</v>
      </c>
      <c r="X2">
        <f>IF(W2="","",W2-$W$1+1)</f>
        <v>7</v>
      </c>
      <c r="Y2" s="82" t="str">
        <f>IF(X2="","",INDEX($B$47:$B$58,MATCH(ROWS($X$2:X2),$X$2:$X$13,0)))</f>
        <v>Amber Kouwen</v>
      </c>
      <c r="Z2">
        <f t="shared" ref="Z2:Z10" si="9">IF(B59="","",COUNTIF(Other,"&lt;="&amp;B59))</f>
        <v>4</v>
      </c>
      <c r="AA2">
        <f>IF(Z2="","",Z2-$Z$1+1)</f>
        <v>4</v>
      </c>
      <c r="AB2" s="82" t="str">
        <f>IF(AA2="","",INDEX($B$59:$B$67,MATCH(ROWS($AA$2:AA2),$AA$2:$AA$11,0)))</f>
        <v>Jose Balbiani</v>
      </c>
    </row>
    <row r="3" spans="1:28">
      <c r="A3" s="1178"/>
      <c r="B3" s="83" t="s">
        <v>424</v>
      </c>
      <c r="C3" s="83"/>
      <c r="D3" s="173" t="s">
        <v>425</v>
      </c>
      <c r="E3" s="170"/>
      <c r="F3" s="171"/>
      <c r="G3">
        <f t="shared" si="1"/>
        <v>3</v>
      </c>
      <c r="H3" t="str">
        <f>IF(F3="","",COUNTIF(all,"&lt;="&amp;Personel!$F3))</f>
        <v/>
      </c>
      <c r="I3" t="str">
        <f t="shared" ref="I3:I66" si="10">IF(H3="","",H3-$H$1+1)</f>
        <v/>
      </c>
      <c r="J3" s="83" t="str">
        <f>IF(I3="","",INDEX($F$2:$F$67,MATCH(ROWS($I$2:I3),$I$2:$I$67,0)))</f>
        <v/>
      </c>
      <c r="K3">
        <f t="shared" si="2"/>
        <v>4</v>
      </c>
      <c r="L3">
        <f t="shared" si="3"/>
        <v>4</v>
      </c>
      <c r="M3" s="83" t="str">
        <f>IF(L3="","",INDEX($B$1:$B$6,MATCH(ROWS($L$2:L3),$L$2:$L$6,0)))</f>
        <v>Enzo Deligny</v>
      </c>
      <c r="N3">
        <f t="shared" si="4"/>
        <v>6</v>
      </c>
      <c r="O3" s="170">
        <f t="shared" ref="O3:O11" si="11">IF(N3="","",N3-$N$1+1)</f>
        <v>5</v>
      </c>
      <c r="P3" s="83" t="str">
        <f>IF(O3="","",INDEX($B$7:$B$16,MATCH(ROWS($O$2:O3),$O$2:$O$8,0)))</f>
        <v>Daniel Blackledge</v>
      </c>
      <c r="Q3">
        <f t="shared" si="5"/>
        <v>2</v>
      </c>
      <c r="R3">
        <f t="shared" ref="R3:R24" si="12">IF(Q3="","",Q3-$Q$1+1)</f>
        <v>2</v>
      </c>
      <c r="S3" s="83" t="str">
        <f>IF(R3="","",INDEX($B$17:$B$39,MATCH(ROWS($R$2:R3),$R$2:$R$24,0)))</f>
        <v>Fran Fernandez</v>
      </c>
      <c r="T3">
        <f t="shared" si="6"/>
        <v>3</v>
      </c>
      <c r="U3">
        <f t="shared" si="7"/>
        <v>3</v>
      </c>
      <c r="V3" s="83"/>
      <c r="W3">
        <f t="shared" si="8"/>
        <v>5</v>
      </c>
      <c r="X3">
        <f t="shared" ref="X3:X12" si="13">IF(W3="","",W3-$W$1+1)</f>
        <v>5</v>
      </c>
      <c r="Y3" s="83" t="str">
        <f>IF(X3="","",INDEX($B$47:$B$58,MATCH(ROWS($X$2:X3),$X$2:$X$13,0)))</f>
        <v>Anneleen Walch</v>
      </c>
      <c r="Z3">
        <f t="shared" si="9"/>
        <v>5</v>
      </c>
      <c r="AA3">
        <f t="shared" ref="AA3:AA10" si="14">IF(Z3="","",Z3-$Z$1+1)</f>
        <v>5</v>
      </c>
      <c r="AB3" s="83" t="str">
        <f>IF(AA3="","",INDEX($B$59:$B$67,MATCH(ROWS($AA$2:AA3),$AA$2:$AA$11,0)))</f>
        <v>Luke Selby</v>
      </c>
    </row>
    <row r="4" spans="1:28">
      <c r="A4" s="1178"/>
      <c r="B4" s="83" t="s">
        <v>426</v>
      </c>
      <c r="C4" s="83"/>
      <c r="D4" s="83"/>
      <c r="E4" s="170"/>
      <c r="F4" s="171"/>
      <c r="G4">
        <f t="shared" si="1"/>
        <v>4</v>
      </c>
      <c r="H4" t="str">
        <f>IF(F4="","",COUNTIF(all,"&lt;="&amp;Personel!$F4))</f>
        <v/>
      </c>
      <c r="I4" t="str">
        <f t="shared" si="10"/>
        <v/>
      </c>
      <c r="J4" s="83" t="str">
        <f>IF(I4="","",INDEX($F$2:$F$67,MATCH(ROWS($I$2:I4),$I$2:$I$67,0)))</f>
        <v/>
      </c>
      <c r="K4">
        <f t="shared" si="2"/>
        <v>3</v>
      </c>
      <c r="L4">
        <f t="shared" si="3"/>
        <v>3</v>
      </c>
      <c r="M4" s="83" t="str">
        <f>IF(L4="","",INDEX($B$1:$B$6,MATCH(ROWS($L$2:L4),$L$2:$L$6,0)))</f>
        <v>Hiyu Yamakoshi</v>
      </c>
      <c r="N4">
        <f t="shared" si="4"/>
        <v>2</v>
      </c>
      <c r="O4" s="170">
        <f t="shared" si="11"/>
        <v>1</v>
      </c>
      <c r="P4" s="83"/>
      <c r="Q4">
        <f t="shared" si="5"/>
        <v>1</v>
      </c>
      <c r="R4">
        <f t="shared" si="12"/>
        <v>1</v>
      </c>
      <c r="S4" s="83" t="str">
        <f>IF(R4="","",INDEX($B$17:$B$39,MATCH(ROWS($R$2:R4),$R$2:$R$24,0)))</f>
        <v>Javier Davila Bello</v>
      </c>
      <c r="T4">
        <f t="shared" si="6"/>
        <v>1</v>
      </c>
      <c r="U4">
        <f t="shared" si="7"/>
        <v>1</v>
      </c>
      <c r="V4" s="83"/>
      <c r="W4">
        <f t="shared" si="8"/>
        <v>9</v>
      </c>
      <c r="X4">
        <f t="shared" si="13"/>
        <v>9</v>
      </c>
      <c r="Y4" s="83" t="str">
        <f>IF(X4="","",INDEX($B$47:$B$58,MATCH(ROWS($X$2:X4),$X$2:$X$13,0)))</f>
        <v>Brad Joyce</v>
      </c>
      <c r="Z4">
        <f t="shared" si="9"/>
        <v>2</v>
      </c>
      <c r="AA4">
        <f t="shared" si="14"/>
        <v>2</v>
      </c>
      <c r="AB4" s="83" t="str">
        <f>IF(AA4="","",INDEX($B$59:$B$67,MATCH(ROWS($AA$2:AA4),$AA$2:$AA$11,0)))</f>
        <v>Martin Varrone</v>
      </c>
    </row>
    <row r="5" spans="1:28">
      <c r="A5" s="1178"/>
      <c r="B5" s="83" t="s">
        <v>427</v>
      </c>
      <c r="C5" s="83"/>
      <c r="D5" s="83"/>
      <c r="E5" s="170"/>
      <c r="F5" s="171"/>
      <c r="G5">
        <f t="shared" si="1"/>
        <v>5</v>
      </c>
      <c r="H5" t="str">
        <f>IF(F5="","",COUNTIF(all,"&lt;="&amp;Personel!$F5))</f>
        <v/>
      </c>
      <c r="I5" t="str">
        <f t="shared" si="10"/>
        <v/>
      </c>
      <c r="J5" s="83" t="str">
        <f>IF(I5="","",INDEX($F$2:$F$67,MATCH(ROWS($I$2:I5),$I$2:$I$67,0)))</f>
        <v/>
      </c>
      <c r="K5">
        <f t="shared" si="2"/>
        <v>2</v>
      </c>
      <c r="L5">
        <f t="shared" si="3"/>
        <v>2</v>
      </c>
      <c r="M5" s="83" t="str">
        <f>IF(L5="","",INDEX($B$1:$B$6,MATCH(ROWS($L$2:L5),$L$2:$L$6,0)))</f>
        <v>Nico Varrone</v>
      </c>
      <c r="N5">
        <f t="shared" si="4"/>
        <v>7</v>
      </c>
      <c r="O5" s="170">
        <f t="shared" si="11"/>
        <v>6</v>
      </c>
      <c r="P5" s="83" t="str">
        <f>IF(O5="","",INDEX($B$7:$B$16,MATCH(ROWS($O$2:O5),$O$2:$O$8,0)))</f>
        <v>Maarten van der Poel</v>
      </c>
      <c r="Q5">
        <f t="shared" si="5"/>
        <v>10</v>
      </c>
      <c r="R5">
        <f t="shared" si="12"/>
        <v>10</v>
      </c>
      <c r="S5" s="83" t="str">
        <f>IF(R5="","",INDEX($B$17:$B$39,MATCH(ROWS($R$2:R5),$R$2:$R$24,0)))</f>
        <v>Karel Bobisud</v>
      </c>
      <c r="T5" t="str">
        <f t="shared" si="6"/>
        <v/>
      </c>
      <c r="U5" t="str">
        <f t="shared" si="7"/>
        <v/>
      </c>
      <c r="V5" s="83" t="str">
        <f>IF(U5="","",INDEX($B$40:$B$46,MATCH(ROWS($U$2:U5),$U$2:$U$7,0)))</f>
        <v/>
      </c>
      <c r="W5">
        <f t="shared" si="8"/>
        <v>8</v>
      </c>
      <c r="X5">
        <f t="shared" si="13"/>
        <v>8</v>
      </c>
      <c r="Y5" s="83" t="str">
        <f>IF(X5="","",INDEX($B$47:$B$58,MATCH(ROWS($X$2:X5),$X$2:$X$13,0)))</f>
        <v>Francisco Freitas</v>
      </c>
      <c r="Z5">
        <f t="shared" si="9"/>
        <v>1</v>
      </c>
      <c r="AA5">
        <f t="shared" si="14"/>
        <v>1</v>
      </c>
      <c r="AB5" s="83" t="str">
        <f>IF(AA5="","",INDEX($B$59:$B$67,MATCH(ROWS($AA$2:AA5),$AA$2:$AA$11,0)))</f>
        <v>Pieter Belmans</v>
      </c>
    </row>
    <row r="6" spans="1:28">
      <c r="A6" s="1179"/>
      <c r="B6" s="85"/>
      <c r="C6" s="83"/>
      <c r="D6" s="85"/>
      <c r="E6" s="170"/>
      <c r="F6" s="171"/>
      <c r="G6">
        <f t="shared" si="1"/>
        <v>5</v>
      </c>
      <c r="H6" t="str">
        <f>IF(F6="","",COUNTIF(all,"&lt;="&amp;Personel!$F6))</f>
        <v/>
      </c>
      <c r="I6" t="str">
        <f t="shared" si="10"/>
        <v/>
      </c>
      <c r="J6" s="83" t="str">
        <f>IF(I6="","",INDEX($F$2:$F$67,MATCH(ROWS($I$2:I6),$I$2:$I$67,0)))</f>
        <v/>
      </c>
      <c r="K6">
        <f t="shared" si="2"/>
        <v>1</v>
      </c>
      <c r="L6">
        <f t="shared" ref="L6:L7" si="15">IF(K6="","",K6-$K$1+1)</f>
        <v>1</v>
      </c>
      <c r="M6" s="83" t="str">
        <f>IF(L6="","",INDEX($B$1:$B$6,MATCH(ROWS($L$2:L6),$L$2:$L$6,0)))</f>
        <v>Rafael Villagomez</v>
      </c>
      <c r="N6">
        <f t="shared" si="4"/>
        <v>5</v>
      </c>
      <c r="O6" s="170">
        <f t="shared" si="11"/>
        <v>4</v>
      </c>
      <c r="P6" s="83" t="str">
        <f>IF(O6="","",INDEX($B$7:$B$16,MATCH(ROWS($O$2:O6),$O$2:$O$8,0)))</f>
        <v>Marc Giannone</v>
      </c>
      <c r="Q6">
        <f t="shared" si="5"/>
        <v>4</v>
      </c>
      <c r="R6">
        <f t="shared" si="12"/>
        <v>4</v>
      </c>
      <c r="S6" s="83" t="str">
        <f>IF(R6="","",INDEX($B$17:$B$39,MATCH(ROWS($R$2:R6),$R$2:$R$24,0)))</f>
        <v>Mike Könst</v>
      </c>
      <c r="T6" t="str">
        <f t="shared" si="6"/>
        <v/>
      </c>
      <c r="U6" t="str">
        <f t="shared" si="7"/>
        <v/>
      </c>
      <c r="V6" s="83"/>
      <c r="W6">
        <f t="shared" si="8"/>
        <v>4</v>
      </c>
      <c r="X6">
        <f t="shared" si="13"/>
        <v>4</v>
      </c>
      <c r="Y6" s="83" t="str">
        <f>IF(X6="","",INDEX($B$47:$B$58,MATCH(ROWS($X$2:X6),$X$2:$X$13,0)))</f>
        <v>Frits van Amersfoort</v>
      </c>
      <c r="Z6">
        <f t="shared" si="9"/>
        <v>3</v>
      </c>
      <c r="AA6">
        <f t="shared" si="14"/>
        <v>3</v>
      </c>
      <c r="AB6" s="83" t="str">
        <f>IF(AA6="","",INDEX($B$59:$B$67,MATCH(ROWS($AA$2:AA6),$AA$2:$AA$11,0)))</f>
        <v>Tom Claessen</v>
      </c>
    </row>
    <row r="7" spans="1:28" ht="15" customHeight="1">
      <c r="A7" s="1177" t="s">
        <v>428</v>
      </c>
      <c r="B7" s="82" t="s">
        <v>39</v>
      </c>
      <c r="E7" s="170"/>
      <c r="F7" s="171" t="str">
        <f t="shared" si="0"/>
        <v>Peter van Leeuwen</v>
      </c>
      <c r="G7">
        <f t="shared" si="1"/>
        <v>6</v>
      </c>
      <c r="H7">
        <f>IF(F7="","",COUNTIF(all,"&lt;="&amp;Personel!$F7))</f>
        <v>42</v>
      </c>
      <c r="I7">
        <f t="shared" si="10"/>
        <v>30</v>
      </c>
      <c r="J7" s="83" t="str">
        <f>IF(I7="","",INDEX($F$2:$F$67,MATCH(ROWS($I$2:I7),$I$2:$I$67,0)))</f>
        <v>Carlo Ruffo</v>
      </c>
      <c r="K7" t="str">
        <f t="shared" si="2"/>
        <v/>
      </c>
      <c r="L7" t="str">
        <f t="shared" si="15"/>
        <v/>
      </c>
      <c r="M7" s="85" t="str">
        <f>IF(L7="","",INDEX($B$1:$B$6,MATCH(ROWS($L$2:L7),$L$2:$L$6,0)))</f>
        <v/>
      </c>
      <c r="N7">
        <f t="shared" si="4"/>
        <v>3</v>
      </c>
      <c r="O7" s="170">
        <f t="shared" si="11"/>
        <v>2</v>
      </c>
      <c r="P7" s="83" t="str">
        <f>IF(O7="","",INDEX($B$7:$B$16,MATCH(ROWS($O$2:O7),$O$2:$O$8,0)))</f>
        <v>Pavel Gellner</v>
      </c>
      <c r="Q7">
        <f t="shared" si="5"/>
        <v>6</v>
      </c>
      <c r="R7">
        <f t="shared" si="12"/>
        <v>6</v>
      </c>
      <c r="S7" s="83" t="str">
        <f>IF(R7="","",INDEX($B$17:$B$39,MATCH(ROWS($R$2:R7),$R$2:$R$24,0)))</f>
        <v>Nick Toetenel</v>
      </c>
      <c r="T7" t="str">
        <f t="shared" si="6"/>
        <v/>
      </c>
      <c r="U7" t="str">
        <f t="shared" si="7"/>
        <v/>
      </c>
      <c r="V7" s="83" t="str">
        <f>IF(U7="","",INDEX($B$40:$B$46,MATCH(ROWS($U$2:U7),$U$2:$U$7,0)))</f>
        <v/>
      </c>
      <c r="W7">
        <f t="shared" si="8"/>
        <v>3</v>
      </c>
      <c r="X7">
        <f t="shared" si="13"/>
        <v>3</v>
      </c>
      <c r="Y7" s="83" t="str">
        <f>IF(X7="","",INDEX($B$47:$B$58,MATCH(ROWS($X$2:X7),$X$2:$X$13,0)))</f>
        <v>Jessica Rona</v>
      </c>
      <c r="Z7" t="str">
        <f t="shared" si="9"/>
        <v/>
      </c>
      <c r="AA7" t="str">
        <f t="shared" si="14"/>
        <v/>
      </c>
      <c r="AB7" s="83" t="str">
        <f>IF(AA7="","",INDEX($B$59:$B$67,MATCH(ROWS($AA$2:AA7),$AA$2:$AA$11,0)))</f>
        <v/>
      </c>
    </row>
    <row r="8" spans="1:28">
      <c r="A8" s="1178"/>
      <c r="B8" s="83" t="s">
        <v>40</v>
      </c>
      <c r="E8" s="170"/>
      <c r="F8" s="171" t="s">
        <v>133</v>
      </c>
      <c r="G8">
        <f t="shared" si="1"/>
        <v>7</v>
      </c>
      <c r="H8">
        <f>IF(F8="","",COUNTIF(all,"&lt;="&amp;Personel!$F8))</f>
        <v>22</v>
      </c>
      <c r="I8">
        <f t="shared" si="10"/>
        <v>10</v>
      </c>
      <c r="J8" s="83" t="str">
        <f>IF(I8="","",INDEX($F$2:$F$67,MATCH(ROWS($I$2:I8),$I$2:$I$67,0)))</f>
        <v>Christophe Wijnen</v>
      </c>
      <c r="N8">
        <f t="shared" si="4"/>
        <v>9</v>
      </c>
      <c r="O8" s="170">
        <f t="shared" si="11"/>
        <v>8</v>
      </c>
      <c r="P8" s="83" t="str">
        <f>IF(O8="","",INDEX($B$7:$B$16,MATCH(ROWS($O$2:O8),$O$2:$O$8,0)))</f>
        <v>Peter van Leeuwen</v>
      </c>
      <c r="Q8">
        <f t="shared" si="5"/>
        <v>11</v>
      </c>
      <c r="R8">
        <f t="shared" si="12"/>
        <v>11</v>
      </c>
      <c r="S8" s="83" t="str">
        <f>IF(R8="","",INDEX($B$17:$B$39,MATCH(ROWS($R$2:R8),$R$2:$R$24,0)))</f>
        <v>Niek van der Weijden</v>
      </c>
      <c r="T8" t="str">
        <f t="shared" ref="T8" si="16">IF(B46="","",COUNTIF(B46:B52,"&lt;="&amp;B46))</f>
        <v/>
      </c>
      <c r="U8" t="str">
        <f t="shared" ref="U8" si="17">IF(T8="","",T8-$T$1+1)</f>
        <v/>
      </c>
      <c r="V8" s="85"/>
      <c r="W8">
        <f t="shared" si="8"/>
        <v>2</v>
      </c>
      <c r="X8">
        <f t="shared" si="13"/>
        <v>2</v>
      </c>
      <c r="Y8" s="83" t="str">
        <f>IF(X8="","",INDEX($B$47:$B$58,MATCH(ROWS($X$2:X8),$X$2:$X$13,0)))</f>
        <v>Klaudija Jakaj</v>
      </c>
      <c r="Z8" t="str">
        <f t="shared" si="9"/>
        <v/>
      </c>
      <c r="AA8" t="str">
        <f t="shared" si="14"/>
        <v/>
      </c>
      <c r="AB8" s="83" t="str">
        <f>IF(AA8="","",INDEX($B$59:$B$67,MATCH(ROWS($AA$2:AA8),$AA$2:$AA$11,0)))</f>
        <v/>
      </c>
    </row>
    <row r="9" spans="1:28">
      <c r="A9" s="1178"/>
      <c r="B9" s="83" t="s">
        <v>41</v>
      </c>
      <c r="E9" s="170"/>
      <c r="F9" s="171" t="str">
        <f t="shared" si="0"/>
        <v>Carlo Ruffo</v>
      </c>
      <c r="G9">
        <f t="shared" si="1"/>
        <v>8</v>
      </c>
      <c r="H9">
        <f>IF(F9="","",COUNTIF(all,"&lt;="&amp;Personel!$F9))</f>
        <v>18</v>
      </c>
      <c r="I9">
        <f t="shared" si="10"/>
        <v>6</v>
      </c>
      <c r="J9" s="83" t="str">
        <f>IF(I9="","",INDEX($F$2:$F$67,MATCH(ROWS($I$2:I9),$I$2:$I$67,0)))</f>
        <v>Damian Besselsen</v>
      </c>
      <c r="N9">
        <f t="shared" si="4"/>
        <v>10</v>
      </c>
      <c r="O9" s="170">
        <f t="shared" si="11"/>
        <v>9</v>
      </c>
      <c r="P9" s="83" t="str">
        <f>IF(O9="","",INDEX($B$7:$B$16,MATCH(ROWS($O$2:O9),$O$2:$O$8,0)))</f>
        <v>Rick Janse</v>
      </c>
      <c r="Q9">
        <f t="shared" si="5"/>
        <v>12</v>
      </c>
      <c r="R9">
        <f t="shared" si="12"/>
        <v>12</v>
      </c>
      <c r="S9" s="83" t="str">
        <f>IF(R9="","",INDEX($B$17:$B$39,MATCH(ROWS($R$2:R9),$R$2:$R$24,0)))</f>
        <v>Oscar Torla Centelles</v>
      </c>
      <c r="W9">
        <f t="shared" si="8"/>
        <v>6</v>
      </c>
      <c r="X9">
        <f t="shared" si="13"/>
        <v>6</v>
      </c>
      <c r="Y9" s="83" t="str">
        <f>IF(X9="","",INDEX($B$47:$B$58,MATCH(ROWS($X$2:X9),$X$2:$X$13,0)))</f>
        <v>Nathalie Perlee</v>
      </c>
      <c r="Z9" t="str">
        <f t="shared" si="9"/>
        <v/>
      </c>
      <c r="AA9" t="str">
        <f t="shared" si="14"/>
        <v/>
      </c>
      <c r="AB9" s="83" t="str">
        <f>IF(AA9="","",INDEX($B$59:$B$67,MATCH(ROWS($AA$2:AA9),$AA$2:$AA$11,0)))</f>
        <v/>
      </c>
    </row>
    <row r="10" spans="1:28">
      <c r="A10" s="1178"/>
      <c r="B10" s="83" t="s">
        <v>47</v>
      </c>
      <c r="E10" s="170"/>
      <c r="F10" s="171" t="str">
        <f t="shared" si="0"/>
        <v>Pavel Gellner</v>
      </c>
      <c r="G10">
        <f t="shared" si="1"/>
        <v>9</v>
      </c>
      <c r="H10">
        <f>IF(F10="","",COUNTIF(all,"&lt;="&amp;Personel!$F10))</f>
        <v>41</v>
      </c>
      <c r="I10">
        <f t="shared" si="10"/>
        <v>29</v>
      </c>
      <c r="J10" s="83" t="str">
        <f>IF(I10="","",INDEX($F$2:$F$67,MATCH(ROWS($I$2:I10),$I$2:$I$67,0)))</f>
        <v>Daniel Blackledge</v>
      </c>
      <c r="N10">
        <f t="shared" si="4"/>
        <v>4</v>
      </c>
      <c r="O10" s="170">
        <f t="shared" si="11"/>
        <v>3</v>
      </c>
      <c r="P10" s="83"/>
      <c r="Q10">
        <f t="shared" si="5"/>
        <v>7</v>
      </c>
      <c r="R10">
        <f t="shared" si="12"/>
        <v>7</v>
      </c>
      <c r="S10" s="83" t="str">
        <f>IF(R10="","",INDEX($B$17:$B$39,MATCH(ROWS($R$2:R10),$R$2:$R$24,0)))</f>
        <v>Patrik Larsson</v>
      </c>
      <c r="W10">
        <f t="shared" si="8"/>
        <v>1</v>
      </c>
      <c r="X10">
        <f t="shared" si="13"/>
        <v>1</v>
      </c>
      <c r="Y10" s="83" t="str">
        <f>IF(X10="","",INDEX($B$47:$B$58,MATCH(ROWS($X$2:X10),$X$2:$X$13,0)))</f>
        <v>Rob Niessink</v>
      </c>
      <c r="Z10" t="str">
        <f t="shared" si="9"/>
        <v/>
      </c>
      <c r="AA10" t="str">
        <f t="shared" si="14"/>
        <v/>
      </c>
      <c r="AB10" s="85" t="str">
        <f>IF(AA10="","",INDEX($B$59:$B$67,MATCH(ROWS($AA$2:AA10),$AA$2:$AA$11,0)))</f>
        <v/>
      </c>
    </row>
    <row r="11" spans="1:28">
      <c r="A11" s="1178"/>
      <c r="B11" s="83" t="s">
        <v>42</v>
      </c>
      <c r="E11" s="170"/>
      <c r="F11" s="171" t="str">
        <f t="shared" si="0"/>
        <v>Maarten van der Poel</v>
      </c>
      <c r="G11">
        <f t="shared" si="1"/>
        <v>10</v>
      </c>
      <c r="H11">
        <f>IF(F11="","",COUNTIF(all,"&lt;="&amp;Personel!$F11))</f>
        <v>32</v>
      </c>
      <c r="I11">
        <f t="shared" si="10"/>
        <v>20</v>
      </c>
      <c r="J11" s="83" t="str">
        <f>IF(I11="","",INDEX($F$2:$F$67,MATCH(ROWS($I$2:I11),$I$2:$I$67,0)))</f>
        <v>Felix van Delft</v>
      </c>
      <c r="N11">
        <f t="shared" si="4"/>
        <v>1</v>
      </c>
      <c r="O11" s="170">
        <f t="shared" si="11"/>
        <v>0</v>
      </c>
      <c r="P11" s="85"/>
      <c r="Q11">
        <f t="shared" si="5"/>
        <v>3</v>
      </c>
      <c r="R11">
        <f t="shared" si="12"/>
        <v>3</v>
      </c>
      <c r="S11" s="83" t="str">
        <f>IF(R11="","",INDEX($B$17:$B$39,MATCH(ROWS($R$2:R11),$R$2:$R$24,0)))</f>
        <v>Paul Sicard</v>
      </c>
      <c r="W11">
        <f t="shared" si="8"/>
        <v>10</v>
      </c>
      <c r="X11">
        <f t="shared" si="13"/>
        <v>10</v>
      </c>
      <c r="Y11" s="83" t="str">
        <f>IF(X11="","",INDEX($B$47:$B$58,MATCH(ROWS($X$2:X11),$X$2:$X$13,0)))</f>
        <v>Robin van den Berg</v>
      </c>
    </row>
    <row r="12" spans="1:28">
      <c r="A12" s="1178"/>
      <c r="B12" s="83" t="s">
        <v>135</v>
      </c>
      <c r="E12" s="170"/>
      <c r="F12" s="171" t="str">
        <f t="shared" si="0"/>
        <v>Daniel Blackledge</v>
      </c>
      <c r="G12">
        <f t="shared" si="1"/>
        <v>11</v>
      </c>
      <c r="H12">
        <f>IF(F12="","",COUNTIF(all,"&lt;="&amp;Personel!$F12))</f>
        <v>21</v>
      </c>
      <c r="I12">
        <f t="shared" si="10"/>
        <v>9</v>
      </c>
      <c r="J12" s="83" t="str">
        <f>IF(I12="","",INDEX($F$2:$F$67,MATCH(ROWS($I$2:I12),$I$2:$I$67,0)))</f>
        <v>Fran Fernandez</v>
      </c>
      <c r="Q12">
        <f t="shared" si="5"/>
        <v>9</v>
      </c>
      <c r="R12">
        <f t="shared" si="12"/>
        <v>9</v>
      </c>
      <c r="S12" s="83" t="str">
        <f>IF(R12="","",INDEX($B$17:$B$39,MATCH(ROWS($R$2:R12),$R$2:$R$24,0)))</f>
        <v>Roberto Quintas Alvarez</v>
      </c>
      <c r="W12" t="str">
        <f t="shared" si="8"/>
        <v/>
      </c>
      <c r="X12" t="str">
        <f t="shared" si="13"/>
        <v/>
      </c>
      <c r="Y12" s="83" t="str">
        <f>IF(X12="","",INDEX($B$47:$B$58,MATCH(ROWS($X$2:X12),$X$2:$X$13,0)))</f>
        <v/>
      </c>
    </row>
    <row r="13" spans="1:28">
      <c r="A13" s="1178"/>
      <c r="B13" s="83" t="s">
        <v>429</v>
      </c>
      <c r="E13" s="170"/>
      <c r="F13" s="171" t="str">
        <f t="shared" si="0"/>
        <v>Rick Janse</v>
      </c>
      <c r="G13">
        <f t="shared" si="1"/>
        <v>12</v>
      </c>
      <c r="H13">
        <f>IF(F13="","",COUNTIF(all,"&lt;="&amp;Personel!$F13))</f>
        <v>45</v>
      </c>
      <c r="I13">
        <f t="shared" si="10"/>
        <v>33</v>
      </c>
      <c r="J13" s="83" t="str">
        <f>IF(I13="","",INDEX($F$2:$F$67,MATCH(ROWS($I$2:I13),$I$2:$I$67,0)))</f>
        <v>Francisco Freitas</v>
      </c>
      <c r="Q13">
        <f t="shared" si="5"/>
        <v>13</v>
      </c>
      <c r="R13">
        <f t="shared" si="12"/>
        <v>13</v>
      </c>
      <c r="S13" s="83" t="str">
        <f>IF(R13="","",INDEX($B$17:$B$39,MATCH(ROWS($R$2:R13),$R$2:$R$24,0)))</f>
        <v>Ties Verrijt</v>
      </c>
      <c r="W13" t="str">
        <f t="shared" si="8"/>
        <v/>
      </c>
      <c r="X13" t="str">
        <f>IF(W13="","",W13-$W$1+1)</f>
        <v/>
      </c>
      <c r="Y13" s="85" t="str">
        <f>IF(X13="","",INDEX($B$47:$B$58,MATCH(ROWS($X$2:X13),$X$2:$X$13,0)))</f>
        <v/>
      </c>
    </row>
    <row r="14" spans="1:28">
      <c r="A14" s="1178"/>
      <c r="B14" s="83" t="s">
        <v>117</v>
      </c>
      <c r="E14" s="170"/>
      <c r="F14" s="171" t="str">
        <f t="shared" si="0"/>
        <v>Roel Van De Voorde</v>
      </c>
      <c r="G14">
        <f t="shared" si="1"/>
        <v>13</v>
      </c>
      <c r="H14">
        <f>IF(F14="","",COUNTIF(all,"&lt;="&amp;Personel!$F14))</f>
        <v>50</v>
      </c>
      <c r="I14">
        <f t="shared" si="10"/>
        <v>38</v>
      </c>
      <c r="J14" s="83" t="str">
        <f>IF(I14="","",INDEX($F$2:$F$67,MATCH(ROWS($I$2:I14),$I$2:$I$67,0)))</f>
        <v>Javier Davila Bello</v>
      </c>
      <c r="Q14">
        <f t="shared" si="5"/>
        <v>8</v>
      </c>
      <c r="R14">
        <f t="shared" si="12"/>
        <v>8</v>
      </c>
      <c r="S14" s="83" t="str">
        <f>IF(R14="","",INDEX($B$17:$B$39,MATCH(ROWS($R$2:R14),$R$2:$R$24,0)))</f>
        <v>Tomas Kohler</v>
      </c>
    </row>
    <row r="15" spans="1:28">
      <c r="A15" s="1178"/>
      <c r="B15" s="83" t="s">
        <v>132</v>
      </c>
      <c r="E15" s="170"/>
      <c r="F15" s="171" t="str">
        <f t="shared" si="0"/>
        <v>Keyvan Yaghmai</v>
      </c>
      <c r="G15">
        <f t="shared" si="1"/>
        <v>14</v>
      </c>
      <c r="H15">
        <f>IF(F15="","",COUNTIF(all,"&lt;="&amp;Personel!$F15))</f>
        <v>30</v>
      </c>
      <c r="I15">
        <f t="shared" si="10"/>
        <v>18</v>
      </c>
      <c r="J15" s="83" t="str">
        <f>IF(I15="","",INDEX($F$2:$F$67,MATCH(ROWS($I$2:I15),$I$2:$I$67,0)))</f>
        <v>Jessica Rona</v>
      </c>
      <c r="Q15" t="str">
        <f t="shared" si="5"/>
        <v/>
      </c>
      <c r="R15" t="str">
        <f t="shared" si="12"/>
        <v/>
      </c>
      <c r="S15" s="83" t="str">
        <f>IF(R15="","",INDEX($B$17:$B$39,MATCH(ROWS($R$2:R15),$R$2:$R$24,0)))</f>
        <v/>
      </c>
    </row>
    <row r="16" spans="1:28">
      <c r="A16" s="1179"/>
      <c r="B16" s="83" t="s">
        <v>136</v>
      </c>
      <c r="E16" s="170"/>
      <c r="F16" s="171" t="str">
        <f t="shared" si="0"/>
        <v>Ashley Blewett</v>
      </c>
      <c r="G16">
        <f t="shared" si="1"/>
        <v>15</v>
      </c>
      <c r="H16">
        <f>IF(F16="","",COUNTIF(all,"&lt;="&amp;Personel!$F16))</f>
        <v>15</v>
      </c>
      <c r="I16">
        <f t="shared" si="10"/>
        <v>3</v>
      </c>
      <c r="J16" s="83" t="str">
        <f>IF(I16="","",INDEX($F$2:$F$67,MATCH(ROWS($I$2:I16),$I$2:$I$67,0)))</f>
        <v>Jose Balbiani</v>
      </c>
      <c r="Q16" t="str">
        <f t="shared" si="5"/>
        <v/>
      </c>
      <c r="R16" t="str">
        <f t="shared" si="12"/>
        <v/>
      </c>
      <c r="S16" s="83" t="str">
        <f>IF(R16="","",INDEX($B$17:$B$39,MATCH(ROWS($R$2:R16),$R$2:$R$24,0)))</f>
        <v/>
      </c>
    </row>
    <row r="17" spans="1:19" ht="15" customHeight="1">
      <c r="A17" s="1177" t="s">
        <v>243</v>
      </c>
      <c r="B17" s="82" t="s">
        <v>82</v>
      </c>
      <c r="E17" s="170"/>
      <c r="F17" s="171" t="str">
        <f t="shared" si="0"/>
        <v>Mike Könst</v>
      </c>
      <c r="G17">
        <f t="shared" si="1"/>
        <v>16</v>
      </c>
      <c r="H17">
        <f>IF(F17="","",COUNTIF(all,"&lt;="&amp;Personel!$F17))</f>
        <v>35</v>
      </c>
      <c r="I17">
        <f t="shared" si="10"/>
        <v>23</v>
      </c>
      <c r="J17" s="83" t="str">
        <f>IF(I17="","",INDEX($F$2:$F$67,MATCH(ROWS($I$2:I17),$I$2:$I$67,0)))</f>
        <v>Karel Bobisud</v>
      </c>
      <c r="Q17" t="str">
        <f t="shared" si="5"/>
        <v/>
      </c>
      <c r="R17" t="str">
        <f t="shared" si="12"/>
        <v/>
      </c>
      <c r="S17" s="83" t="str">
        <f>IF(R17="","",INDEX($B$17:$B$39,MATCH(ROWS($R$2:R17),$R$2:$R$24,0)))</f>
        <v/>
      </c>
    </row>
    <row r="18" spans="1:19">
      <c r="A18" s="1178"/>
      <c r="B18" s="83" t="s">
        <v>46</v>
      </c>
      <c r="E18" s="170"/>
      <c r="F18" s="171" t="str">
        <f t="shared" si="0"/>
        <v>Fran Fernandez</v>
      </c>
      <c r="G18">
        <f t="shared" si="1"/>
        <v>17</v>
      </c>
      <c r="H18">
        <f>IF(F18="","",COUNTIF(all,"&lt;="&amp;Personel!$F18))</f>
        <v>23</v>
      </c>
      <c r="I18">
        <f t="shared" si="10"/>
        <v>11</v>
      </c>
      <c r="J18" s="83" t="str">
        <f>IF(I18="","",INDEX($F$2:$F$67,MATCH(ROWS($I$2:I18),$I$2:$I$67,0)))</f>
        <v>Keiran Breaden Boyce</v>
      </c>
      <c r="Q18" t="str">
        <f t="shared" si="5"/>
        <v/>
      </c>
      <c r="R18" t="str">
        <f t="shared" si="12"/>
        <v/>
      </c>
      <c r="S18" s="83" t="str">
        <f>IF(R18="","",INDEX($B$17:$B$39,MATCH(ROWS($R$2:R18),$R$2:$R$24,0)))</f>
        <v/>
      </c>
    </row>
    <row r="19" spans="1:19">
      <c r="A19" s="1178"/>
      <c r="B19" s="83" t="s">
        <v>49</v>
      </c>
      <c r="E19" s="170"/>
      <c r="F19" s="171" t="str">
        <f t="shared" si="0"/>
        <v>Atte Ahonen</v>
      </c>
      <c r="G19">
        <f t="shared" si="1"/>
        <v>18</v>
      </c>
      <c r="H19">
        <f>IF(F19="","",COUNTIF(all,"&lt;="&amp;Personel!$F19))</f>
        <v>16</v>
      </c>
      <c r="I19">
        <f t="shared" si="10"/>
        <v>4</v>
      </c>
      <c r="J19" s="83" t="str">
        <f>IF(I19="","",INDEX($F$2:$F$67,MATCH(ROWS($I$2:I19),$I$2:$I$67,0)))</f>
        <v>Keyvan Yaghmai</v>
      </c>
      <c r="Q19" t="str">
        <f t="shared" si="5"/>
        <v/>
      </c>
      <c r="R19" t="str">
        <f t="shared" si="12"/>
        <v/>
      </c>
      <c r="S19" s="83" t="str">
        <f>IF(R19="","",INDEX($B$17:$B$39,MATCH(ROWS($R$2:R19),$R$2:$R$24,0)))</f>
        <v/>
      </c>
    </row>
    <row r="20" spans="1:19">
      <c r="A20" s="1178"/>
      <c r="B20" s="83" t="s">
        <v>48</v>
      </c>
      <c r="E20" s="170"/>
      <c r="F20" s="171" t="str">
        <f t="shared" si="0"/>
        <v>Paul Sicard</v>
      </c>
      <c r="G20">
        <f t="shared" si="1"/>
        <v>19</v>
      </c>
      <c r="H20">
        <f>IF(F20="","",COUNTIF(all,"&lt;="&amp;Personel!$F20))</f>
        <v>40</v>
      </c>
      <c r="I20">
        <f t="shared" si="10"/>
        <v>28</v>
      </c>
      <c r="J20" s="83" t="str">
        <f>IF(I20="","",INDEX($F$2:$F$67,MATCH(ROWS($I$2:I20),$I$2:$I$67,0)))</f>
        <v>Klaudija Jakaj</v>
      </c>
      <c r="Q20" t="str">
        <f t="shared" si="5"/>
        <v/>
      </c>
      <c r="R20" t="str">
        <f>IF(Q20="","",Q20-$Q$1+1)</f>
        <v/>
      </c>
      <c r="S20" s="83" t="str">
        <f>IF(R20="","",INDEX($B$17:$B$39,MATCH(ROWS($R$2:R20),$R$2:$R$24,0)))</f>
        <v/>
      </c>
    </row>
    <row r="21" spans="1:19">
      <c r="A21" s="1178"/>
      <c r="B21" s="83" t="s">
        <v>45</v>
      </c>
      <c r="E21" s="170"/>
      <c r="F21" s="171" t="str">
        <f t="shared" si="0"/>
        <v>Karel Bobisud</v>
      </c>
      <c r="G21">
        <f t="shared" si="1"/>
        <v>20</v>
      </c>
      <c r="H21">
        <f>IF(F21="","",COUNTIF(all,"&lt;="&amp;Personel!$F21))</f>
        <v>28</v>
      </c>
      <c r="I21">
        <f t="shared" si="10"/>
        <v>16</v>
      </c>
      <c r="J21" s="83" t="str">
        <f>IF(I21="","",INDEX($F$2:$F$67,MATCH(ROWS($I$2:I21),$I$2:$I$67,0)))</f>
        <v>Maarten van der Poel</v>
      </c>
      <c r="Q21" t="str">
        <f t="shared" si="5"/>
        <v/>
      </c>
      <c r="R21" t="str">
        <f t="shared" si="12"/>
        <v/>
      </c>
      <c r="S21" s="83" t="str">
        <f>IF(R21="","",INDEX($B$17:$B$39,MATCH(ROWS($R$2:R21),$R$2:$R$24,0)))</f>
        <v/>
      </c>
    </row>
    <row r="22" spans="1:19">
      <c r="A22" s="1178"/>
      <c r="B22" s="83" t="s">
        <v>50</v>
      </c>
      <c r="E22" s="170"/>
      <c r="F22" s="171" t="str">
        <f t="shared" si="0"/>
        <v>Nick Toetenel</v>
      </c>
      <c r="G22">
        <f t="shared" si="1"/>
        <v>21</v>
      </c>
      <c r="H22">
        <f>IF(F22="","",COUNTIF(all,"&lt;="&amp;Personel!$F22))</f>
        <v>36</v>
      </c>
      <c r="I22">
        <f t="shared" si="10"/>
        <v>24</v>
      </c>
      <c r="J22" s="83" t="str">
        <f>IF(I22="","",INDEX($F$2:$F$67,MATCH(ROWS($I$2:I22),$I$2:$I$67,0)))</f>
        <v>Marc Giannone</v>
      </c>
      <c r="Q22" t="str">
        <f t="shared" si="5"/>
        <v/>
      </c>
      <c r="R22" t="str">
        <f t="shared" si="12"/>
        <v/>
      </c>
      <c r="S22" s="83" t="str">
        <f>IF(R22="","",INDEX($B$17:$B$39,MATCH(ROWS($R$2:R22),$R$2:$R$24,0)))</f>
        <v/>
      </c>
    </row>
    <row r="23" spans="1:19">
      <c r="A23" s="1178"/>
      <c r="B23" s="83" t="s">
        <v>51</v>
      </c>
      <c r="E23" s="170"/>
      <c r="F23" s="171" t="str">
        <f t="shared" si="0"/>
        <v>Roberto Quintas Alvarez</v>
      </c>
      <c r="G23">
        <f t="shared" si="1"/>
        <v>22</v>
      </c>
      <c r="H23">
        <f>IF(F23="","",COUNTIF(all,"&lt;="&amp;Personel!$F23))</f>
        <v>46</v>
      </c>
      <c r="I23">
        <f t="shared" si="10"/>
        <v>34</v>
      </c>
      <c r="J23" s="83" t="str">
        <f>IF(I23="","",INDEX($F$2:$F$67,MATCH(ROWS($I$2:I23),$I$2:$I$67,0)))</f>
        <v>Martin Varrone</v>
      </c>
      <c r="Q23" t="str">
        <f t="shared" si="5"/>
        <v/>
      </c>
      <c r="R23" t="str">
        <f t="shared" si="12"/>
        <v/>
      </c>
      <c r="S23" s="83" t="str">
        <f>IF(R23="","",INDEX($B$17:$B$39,MATCH(ROWS($R$2:R23),$R$2:$R$24,0)))</f>
        <v/>
      </c>
    </row>
    <row r="24" spans="1:19">
      <c r="A24" s="1178"/>
      <c r="B24" s="83" t="s">
        <v>129</v>
      </c>
      <c r="E24" s="170"/>
      <c r="F24" s="171" t="str">
        <f t="shared" si="0"/>
        <v>Ties Verrijt</v>
      </c>
      <c r="G24">
        <f t="shared" si="1"/>
        <v>23</v>
      </c>
      <c r="H24">
        <f>IF(F24="","",COUNTIF(all,"&lt;="&amp;Personel!$F24))</f>
        <v>52</v>
      </c>
      <c r="I24">
        <f t="shared" si="10"/>
        <v>40</v>
      </c>
      <c r="J24" s="83" t="str">
        <f>IF(I24="","",INDEX($F$2:$F$67,MATCH(ROWS($I$2:I24),$I$2:$I$67,0)))</f>
        <v>Mike Könst</v>
      </c>
      <c r="Q24" t="str">
        <f t="shared" si="5"/>
        <v/>
      </c>
      <c r="R24" t="str">
        <f t="shared" si="12"/>
        <v/>
      </c>
      <c r="S24" s="85" t="str">
        <f>IF(R24="","",INDEX($B$17:$B$39,MATCH(ROWS($R$2:R24),$R$2:$R$24,0)))</f>
        <v/>
      </c>
    </row>
    <row r="25" spans="1:19">
      <c r="A25" s="1178"/>
      <c r="B25" s="83" t="s">
        <v>430</v>
      </c>
      <c r="E25" s="170"/>
      <c r="F25" s="171" t="str">
        <f t="shared" si="0"/>
        <v>Niek van der Weijden</v>
      </c>
      <c r="G25">
        <f t="shared" si="1"/>
        <v>24</v>
      </c>
      <c r="H25">
        <f>IF(F25="","",COUNTIF(all,"&lt;="&amp;Personel!$F25))</f>
        <v>37</v>
      </c>
      <c r="I25">
        <f t="shared" si="10"/>
        <v>25</v>
      </c>
      <c r="J25" s="83" t="str">
        <f>IF(I25="","",INDEX($F$2:$F$67,MATCH(ROWS($I$2:I25),$I$2:$I$67,0)))</f>
        <v>Nick Toetenel</v>
      </c>
    </row>
    <row r="26" spans="1:19">
      <c r="A26" s="1178"/>
      <c r="B26" s="83" t="s">
        <v>143</v>
      </c>
      <c r="E26" s="170"/>
      <c r="F26" s="171" t="str">
        <f t="shared" si="0"/>
        <v>Javier Davila Bello</v>
      </c>
      <c r="G26">
        <f t="shared" si="1"/>
        <v>25</v>
      </c>
      <c r="H26">
        <f>IF(F26="","",COUNTIF(all,"&lt;="&amp;Personel!$F26))</f>
        <v>25</v>
      </c>
      <c r="I26">
        <f t="shared" si="10"/>
        <v>13</v>
      </c>
      <c r="J26" s="83" t="str">
        <f>IF(I26="","",INDEX($F$2:$F$67,MATCH(ROWS($I$2:I26),$I$2:$I$67,0)))</f>
        <v>Niek van der Weijden</v>
      </c>
    </row>
    <row r="27" spans="1:19">
      <c r="A27" s="1178"/>
      <c r="B27" s="83" t="s">
        <v>431</v>
      </c>
      <c r="E27" s="170"/>
      <c r="F27" s="171" t="str">
        <f t="shared" si="0"/>
        <v>Patrik Larsson</v>
      </c>
      <c r="G27">
        <f t="shared" si="1"/>
        <v>26</v>
      </c>
      <c r="H27">
        <f>IF(F27="","",COUNTIF(all,"&lt;="&amp;Personel!$F27))</f>
        <v>39</v>
      </c>
      <c r="I27">
        <f t="shared" si="10"/>
        <v>27</v>
      </c>
      <c r="J27" s="83" t="str">
        <f>IF(I27="","",INDEX($F$2:$F$67,MATCH(ROWS($I$2:I27),$I$2:$I$67,0)))</f>
        <v>Oscar Torla Centelles</v>
      </c>
    </row>
    <row r="28" spans="1:19">
      <c r="A28" s="1178"/>
      <c r="B28" s="83" t="s">
        <v>432</v>
      </c>
      <c r="E28" s="170"/>
      <c r="F28" s="171" t="str">
        <f t="shared" si="0"/>
        <v>Tomas Kohler</v>
      </c>
      <c r="G28">
        <f t="shared" si="1"/>
        <v>27</v>
      </c>
      <c r="H28">
        <f>IF(F28="","",COUNTIF(all,"&lt;="&amp;Personel!$F28))</f>
        <v>54</v>
      </c>
      <c r="I28">
        <f t="shared" si="10"/>
        <v>42</v>
      </c>
      <c r="J28" s="83" t="str">
        <f>IF(I28="","",INDEX($F$2:$F$67,MATCH(ROWS($I$2:I28),$I$2:$I$67,0)))</f>
        <v>Patrik Larsson</v>
      </c>
    </row>
    <row r="29" spans="1:19">
      <c r="A29" s="1178"/>
      <c r="B29" s="83" t="s">
        <v>144</v>
      </c>
      <c r="E29" s="170"/>
      <c r="F29" s="171" t="str">
        <f t="shared" si="0"/>
        <v>Oscar Torla Centelles</v>
      </c>
      <c r="G29">
        <f t="shared" si="1"/>
        <v>28</v>
      </c>
      <c r="H29">
        <f>IF(F29="","",COUNTIF(all,"&lt;="&amp;Personel!$F29))</f>
        <v>38</v>
      </c>
      <c r="I29">
        <f t="shared" si="10"/>
        <v>26</v>
      </c>
      <c r="J29" s="83" t="str">
        <f>IF(I29="","",INDEX($F$2:$F$67,MATCH(ROWS($I$2:I29),$I$2:$I$67,0)))</f>
        <v>Paul Sicard</v>
      </c>
    </row>
    <row r="30" spans="1:19">
      <c r="A30" s="1178"/>
      <c r="B30" s="83"/>
      <c r="E30" s="170"/>
      <c r="F30" s="171" t="s">
        <v>40</v>
      </c>
      <c r="G30">
        <f t="shared" si="1"/>
        <v>28</v>
      </c>
      <c r="H30">
        <f>IF(F30="","",COUNTIF(all,"&lt;="&amp;Personel!$F30))</f>
        <v>33</v>
      </c>
      <c r="I30">
        <f t="shared" si="10"/>
        <v>21</v>
      </c>
      <c r="J30" s="83" t="str">
        <f>IF(I30="","",INDEX($F$2:$F$67,MATCH(ROWS($I$2:I30),$I$2:$I$67,0)))</f>
        <v>Pavel Gellner</v>
      </c>
    </row>
    <row r="31" spans="1:19">
      <c r="A31" s="1178"/>
      <c r="B31" s="83"/>
      <c r="E31" s="170"/>
      <c r="F31" s="171" t="str">
        <f t="shared" si="0"/>
        <v>Damian Besselsen</v>
      </c>
      <c r="G31">
        <f t="shared" si="1"/>
        <v>28</v>
      </c>
      <c r="H31">
        <f>IF(F31="","",COUNTIF(all,"&lt;="&amp;Personel!$F31))</f>
        <v>20</v>
      </c>
      <c r="I31">
        <f t="shared" si="10"/>
        <v>8</v>
      </c>
      <c r="J31" s="83" t="s">
        <v>433</v>
      </c>
    </row>
    <row r="32" spans="1:19">
      <c r="A32" s="1178"/>
      <c r="B32" s="83"/>
      <c r="E32" s="170"/>
      <c r="F32" s="171" t="s">
        <v>37</v>
      </c>
      <c r="G32">
        <f t="shared" si="1"/>
        <v>28</v>
      </c>
      <c r="H32">
        <f>IF(F32="","",COUNTIF(all,"&lt;="&amp;Personel!$F32))</f>
        <v>26</v>
      </c>
      <c r="I32">
        <f t="shared" si="10"/>
        <v>14</v>
      </c>
      <c r="J32" s="83" t="str">
        <f>IF(I32="","",INDEX($F$2:$F$67,MATCH(ROWS($I$2:I32),$I$2:$I$67,0)))</f>
        <v>Pieter Belmans</v>
      </c>
    </row>
    <row r="33" spans="1:10">
      <c r="A33" s="1178"/>
      <c r="B33" s="83"/>
      <c r="E33" s="170"/>
      <c r="F33" s="171" t="s">
        <v>434</v>
      </c>
      <c r="G33">
        <f t="shared" si="1"/>
        <v>28</v>
      </c>
      <c r="H33">
        <f>IF(F33="","",COUNTIF(all,"&lt;="&amp;Personel!$F33))</f>
        <v>31</v>
      </c>
      <c r="I33">
        <f t="shared" si="10"/>
        <v>19</v>
      </c>
      <c r="J33" s="83" t="str">
        <f>IF(I33="","",INDEX($F$2:$F$67,MATCH(ROWS($I$2:I33),$I$2:$I$67,0)))</f>
        <v>Rafael Villagomez</v>
      </c>
    </row>
    <row r="34" spans="1:10">
      <c r="A34" s="1178"/>
      <c r="B34" s="83"/>
      <c r="E34" s="170"/>
      <c r="F34" s="171" t="s">
        <v>44</v>
      </c>
      <c r="G34">
        <f t="shared" ref="G34:G67" si="18">G33+IF(B34&lt;&gt;"",1,0)</f>
        <v>28</v>
      </c>
      <c r="H34">
        <f>IF(F34="","",COUNTIF(all,"&lt;="&amp;Personel!$F34))</f>
        <v>29</v>
      </c>
      <c r="I34">
        <f t="shared" si="10"/>
        <v>17</v>
      </c>
      <c r="J34" s="83" t="str">
        <f>IF(I34="","",INDEX($F$2:$F$67,MATCH(ROWS($I$2:I34),$I$2:$I$67,0)))</f>
        <v>Rick Janse</v>
      </c>
    </row>
    <row r="35" spans="1:10">
      <c r="A35" s="1178"/>
      <c r="B35" s="83"/>
      <c r="E35" s="170"/>
      <c r="F35" s="171"/>
      <c r="G35">
        <f t="shared" si="18"/>
        <v>28</v>
      </c>
      <c r="H35" t="str">
        <f>IF(F35="","",COUNTIF(all,"&lt;="&amp;Personel!$F35))</f>
        <v/>
      </c>
      <c r="I35" t="str">
        <f t="shared" si="10"/>
        <v/>
      </c>
      <c r="J35" s="83" t="str">
        <f>IF(I35="","",INDEX($F$2:$F$67,MATCH(ROWS($I$2:I35),$I$2:$I$67,0)))</f>
        <v/>
      </c>
    </row>
    <row r="36" spans="1:10">
      <c r="A36" s="1178"/>
      <c r="B36" s="83"/>
      <c r="E36" s="170"/>
      <c r="F36" s="171" t="str">
        <f t="shared" ref="F36:F67" si="19">IFERROR(INDEX($B$1:$B$67,MATCH(ROW()-1,$G$1:$G$67,0)),"")</f>
        <v>Francisco Freitas</v>
      </c>
      <c r="G36">
        <f t="shared" si="18"/>
        <v>28</v>
      </c>
      <c r="H36">
        <f>IF(F36="","",COUNTIF(all,"&lt;="&amp;Personel!$F36))</f>
        <v>24</v>
      </c>
      <c r="I36">
        <f t="shared" si="10"/>
        <v>12</v>
      </c>
      <c r="J36" s="83"/>
    </row>
    <row r="37" spans="1:10">
      <c r="A37" s="1178"/>
      <c r="B37" s="83"/>
      <c r="E37" s="170"/>
      <c r="F37" s="171" t="str">
        <f t="shared" si="19"/>
        <v>Brad Joyce</v>
      </c>
      <c r="G37">
        <f t="shared" si="18"/>
        <v>28</v>
      </c>
      <c r="H37">
        <f>IF(F37="","",COUNTIF(all,"&lt;="&amp;Personel!$F37))</f>
        <v>17</v>
      </c>
      <c r="I37">
        <f t="shared" si="10"/>
        <v>5</v>
      </c>
      <c r="J37" s="83" t="e">
        <f>IF(I37="","",INDEX($F$2:$F$67,MATCH(ROWS($I$2:I37),$I$2:$I$67,0)))</f>
        <v>#N/A</v>
      </c>
    </row>
    <row r="38" spans="1:10">
      <c r="A38" s="1178"/>
      <c r="B38" s="83"/>
      <c r="E38" s="170"/>
      <c r="F38" s="171" t="str">
        <f t="shared" si="19"/>
        <v>Anneleen Walch</v>
      </c>
      <c r="G38">
        <f t="shared" si="18"/>
        <v>28</v>
      </c>
      <c r="H38">
        <f>IF(F38="","",COUNTIF(all,"&lt;="&amp;Personel!$F38))</f>
        <v>14</v>
      </c>
      <c r="I38">
        <f t="shared" si="10"/>
        <v>2</v>
      </c>
      <c r="J38" s="83" t="str">
        <f>IF(I38="","",INDEX($F$2:$F$67,MATCH(ROWS($I$2:I38),$I$2:$I$67,0)))</f>
        <v>Robin van den Berg</v>
      </c>
    </row>
    <row r="39" spans="1:10">
      <c r="A39" s="1179"/>
      <c r="B39" s="85"/>
      <c r="E39" s="170"/>
      <c r="F39" s="171"/>
      <c r="G39">
        <f t="shared" si="18"/>
        <v>28</v>
      </c>
      <c r="H39" t="str">
        <f>IF(F39="","",COUNTIF(all,"&lt;="&amp;Personel!$F39))</f>
        <v/>
      </c>
      <c r="I39" t="str">
        <f t="shared" si="10"/>
        <v/>
      </c>
      <c r="J39" s="83" t="str">
        <f>IF(I39="","",INDEX($F$2:$F$67,MATCH(ROWS($I$2:I39),$I$2:$I$67,0)))</f>
        <v/>
      </c>
    </row>
    <row r="40" spans="1:10" ht="15" customHeight="1">
      <c r="A40" s="1177" t="s">
        <v>435</v>
      </c>
      <c r="B40" s="83"/>
      <c r="E40" s="170"/>
      <c r="F40" s="171" t="str">
        <f t="shared" si="19"/>
        <v>Amber Kouwen</v>
      </c>
      <c r="G40">
        <f t="shared" si="18"/>
        <v>28</v>
      </c>
      <c r="H40">
        <f>IF(F40="","",COUNTIF(all,"&lt;="&amp;Personel!$F40))</f>
        <v>13</v>
      </c>
      <c r="I40">
        <f t="shared" si="10"/>
        <v>1</v>
      </c>
      <c r="J40" s="83" t="str">
        <f>IF(I40="","",INDEX($F$2:$F$67,MATCH(ROWS($I$2:I40),$I$2:$I$67,0)))</f>
        <v>TBC</v>
      </c>
    </row>
    <row r="41" spans="1:10">
      <c r="A41" s="1178"/>
      <c r="B41" s="83" t="s">
        <v>43</v>
      </c>
      <c r="E41" s="170"/>
      <c r="F41" s="171" t="str">
        <f t="shared" si="19"/>
        <v>Robin van den Berg</v>
      </c>
      <c r="G41">
        <f t="shared" si="18"/>
        <v>29</v>
      </c>
      <c r="H41">
        <f>IF(F41="","",COUNTIF(all,"&lt;="&amp;Personel!$F41))</f>
        <v>49</v>
      </c>
      <c r="I41">
        <f t="shared" si="10"/>
        <v>37</v>
      </c>
      <c r="J41" s="83" t="str">
        <f>IF(I41="","",INDEX($F$2:$F$67,MATCH(ROWS($I$2:I41),$I$2:$I$67,0)))</f>
        <v>Ties Verrijt</v>
      </c>
    </row>
    <row r="42" spans="1:10">
      <c r="A42" s="1178"/>
      <c r="B42" s="83" t="s">
        <v>130</v>
      </c>
      <c r="E42" s="170"/>
      <c r="F42" s="171" t="str">
        <f t="shared" si="19"/>
        <v>Pieter Belmans</v>
      </c>
      <c r="G42">
        <f t="shared" si="18"/>
        <v>30</v>
      </c>
      <c r="H42">
        <f>IF(F42="","",COUNTIF(all,"&lt;="&amp;Personel!$F42))</f>
        <v>43</v>
      </c>
      <c r="I42">
        <f t="shared" si="10"/>
        <v>31</v>
      </c>
      <c r="J42" s="83" t="str">
        <f>IF(I42="","",INDEX($F$2:$F$67,MATCH(ROWS($I$2:I42),$I$2:$I$67,0)))</f>
        <v>Tom Claessen</v>
      </c>
    </row>
    <row r="43" spans="1:10">
      <c r="A43" s="1178"/>
      <c r="B43" s="83"/>
      <c r="E43" s="170"/>
      <c r="F43" s="171" t="str">
        <f t="shared" si="19"/>
        <v>Tom Claessen</v>
      </c>
      <c r="G43">
        <f t="shared" si="18"/>
        <v>30</v>
      </c>
      <c r="H43">
        <f>IF(F43="","",COUNTIF(all,"&lt;="&amp;Personel!$F43))</f>
        <v>53</v>
      </c>
      <c r="I43">
        <f t="shared" si="10"/>
        <v>41</v>
      </c>
      <c r="J43" s="83"/>
    </row>
    <row r="44" spans="1:10">
      <c r="A44" s="1178"/>
      <c r="B44" s="83"/>
      <c r="E44" s="170"/>
      <c r="F44" s="171"/>
      <c r="G44">
        <f t="shared" si="18"/>
        <v>30</v>
      </c>
      <c r="H44" t="str">
        <f>IF(F44="","",COUNTIF(all,"&lt;="&amp;Personel!$F44))</f>
        <v/>
      </c>
      <c r="I44" t="str">
        <f t="shared" si="10"/>
        <v/>
      </c>
      <c r="J44" s="83"/>
    </row>
    <row r="45" spans="1:10">
      <c r="A45" s="1178"/>
      <c r="B45" s="83"/>
      <c r="E45" s="170"/>
      <c r="F45" s="171" t="str">
        <f t="shared" si="19"/>
        <v>Jose Balbiani</v>
      </c>
      <c r="G45">
        <f t="shared" si="18"/>
        <v>30</v>
      </c>
      <c r="H45">
        <f>IF(F45="","",COUNTIF(all,"&lt;="&amp;Personel!$F45))</f>
        <v>27</v>
      </c>
      <c r="I45">
        <f t="shared" si="10"/>
        <v>15</v>
      </c>
      <c r="J45" s="83"/>
    </row>
    <row r="46" spans="1:10">
      <c r="A46" s="1179"/>
      <c r="B46" s="85"/>
      <c r="E46" s="170"/>
      <c r="F46" s="171" t="str">
        <f t="shared" si="19"/>
        <v>Martin Varrone</v>
      </c>
      <c r="G46">
        <f t="shared" si="18"/>
        <v>30</v>
      </c>
      <c r="H46">
        <f>IF(F46="","",COUNTIF(all,"&lt;="&amp;Personel!$F46))</f>
        <v>34</v>
      </c>
      <c r="I46">
        <f t="shared" si="10"/>
        <v>22</v>
      </c>
      <c r="J46" s="83"/>
    </row>
    <row r="47" spans="1:10" ht="15" customHeight="1">
      <c r="A47" s="1177" t="s">
        <v>436</v>
      </c>
      <c r="B47" s="82" t="s">
        <v>434</v>
      </c>
      <c r="E47" s="170"/>
      <c r="F47" s="171" t="str">
        <f t="shared" si="19"/>
        <v/>
      </c>
      <c r="G47">
        <f t="shared" si="18"/>
        <v>31</v>
      </c>
      <c r="H47" t="str">
        <f>IF(F47="","",COUNTIF(all,"&lt;="&amp;Personel!$F47))</f>
        <v/>
      </c>
      <c r="I47" t="str">
        <f t="shared" si="10"/>
        <v/>
      </c>
      <c r="J47" s="83"/>
    </row>
    <row r="48" spans="1:10">
      <c r="A48" s="1178"/>
      <c r="B48" s="83" t="s">
        <v>437</v>
      </c>
      <c r="E48" s="170"/>
      <c r="F48" s="171" t="str">
        <f t="shared" si="19"/>
        <v/>
      </c>
      <c r="G48">
        <f t="shared" si="18"/>
        <v>32</v>
      </c>
      <c r="H48" t="str">
        <f>IF(F48="","",COUNTIF(all,"&lt;="&amp;Personel!$F48))</f>
        <v/>
      </c>
      <c r="I48" t="str">
        <f t="shared" si="10"/>
        <v/>
      </c>
      <c r="J48" s="83"/>
    </row>
    <row r="49" spans="1:10">
      <c r="A49" s="1178"/>
      <c r="B49" s="83" t="s">
        <v>438</v>
      </c>
      <c r="E49" s="170"/>
      <c r="F49" s="171"/>
      <c r="G49">
        <f t="shared" si="18"/>
        <v>33</v>
      </c>
      <c r="H49" t="str">
        <f>IF(F49="","",COUNTIF(all,"&lt;="&amp;Personel!$F49))</f>
        <v/>
      </c>
      <c r="I49" t="str">
        <f t="shared" si="10"/>
        <v/>
      </c>
      <c r="J49" s="83"/>
    </row>
    <row r="50" spans="1:10">
      <c r="A50" s="1178"/>
      <c r="B50" s="83" t="s">
        <v>439</v>
      </c>
      <c r="E50" s="170"/>
      <c r="F50" s="171" t="s">
        <v>43</v>
      </c>
      <c r="G50">
        <f t="shared" si="18"/>
        <v>34</v>
      </c>
      <c r="H50">
        <f>IF(F50="","",COUNTIF(all,"&lt;="&amp;Personel!$F50))</f>
        <v>49</v>
      </c>
      <c r="I50">
        <f t="shared" si="10"/>
        <v>37</v>
      </c>
      <c r="J50" s="83"/>
    </row>
    <row r="51" spans="1:10">
      <c r="A51" s="1178"/>
      <c r="B51" s="83" t="s">
        <v>440</v>
      </c>
      <c r="E51" s="170"/>
      <c r="F51" s="250" t="s">
        <v>53</v>
      </c>
      <c r="G51">
        <f t="shared" si="18"/>
        <v>35</v>
      </c>
      <c r="H51">
        <f>IF(F51="","",COUNTIF(all,"&lt;="&amp;Personel!$F51))</f>
        <v>51</v>
      </c>
      <c r="I51">
        <f t="shared" si="10"/>
        <v>39</v>
      </c>
      <c r="J51" s="83"/>
    </row>
    <row r="52" spans="1:10">
      <c r="A52" s="1178"/>
      <c r="B52" s="83" t="s">
        <v>103</v>
      </c>
      <c r="E52" s="170"/>
      <c r="F52" s="171"/>
      <c r="G52">
        <f t="shared" si="18"/>
        <v>36</v>
      </c>
      <c r="H52" t="str">
        <f>IF(F52="","",COUNTIF(all,"&lt;="&amp;Personel!$F52))</f>
        <v/>
      </c>
      <c r="I52" t="str">
        <f t="shared" si="10"/>
        <v/>
      </c>
      <c r="J52" s="83" t="str">
        <f>IF(I52="","",INDEX($F$2:$F$67,MATCH(ROWS($I$2:I52),$I$2:$I$67,0)))</f>
        <v/>
      </c>
    </row>
    <row r="53" spans="1:10">
      <c r="A53" s="1178"/>
      <c r="B53" s="83" t="s">
        <v>441</v>
      </c>
      <c r="E53" s="170"/>
      <c r="F53" s="171"/>
      <c r="G53">
        <f t="shared" si="18"/>
        <v>37</v>
      </c>
      <c r="H53" t="str">
        <f>IF(F53="","",COUNTIF(all,"&lt;="&amp;Personel!$F53))</f>
        <v/>
      </c>
      <c r="I53" t="str">
        <f t="shared" si="10"/>
        <v/>
      </c>
      <c r="J53" s="83"/>
    </row>
    <row r="54" spans="1:10">
      <c r="A54" s="1178"/>
      <c r="B54" s="83" t="s">
        <v>37</v>
      </c>
      <c r="E54" s="170"/>
      <c r="F54" s="171"/>
      <c r="G54">
        <f t="shared" si="18"/>
        <v>38</v>
      </c>
      <c r="H54" t="str">
        <f>IF(F54="","",COUNTIF(all,"&lt;="&amp;Personel!$F54))</f>
        <v/>
      </c>
      <c r="I54" t="str">
        <f t="shared" si="10"/>
        <v/>
      </c>
      <c r="J54" s="83"/>
    </row>
    <row r="55" spans="1:10">
      <c r="A55" s="1178"/>
      <c r="B55" s="83" t="s">
        <v>35</v>
      </c>
      <c r="E55" s="170"/>
      <c r="F55" s="171"/>
      <c r="G55">
        <f t="shared" si="18"/>
        <v>39</v>
      </c>
      <c r="H55" t="str">
        <f>IF(F55="","",COUNTIF(all,"&lt;="&amp;Personel!$F55))</f>
        <v/>
      </c>
      <c r="I55" t="str">
        <f t="shared" si="10"/>
        <v/>
      </c>
      <c r="J55" s="83"/>
    </row>
    <row r="56" spans="1:10">
      <c r="A56" s="1178"/>
      <c r="B56" s="83" t="s">
        <v>43</v>
      </c>
      <c r="E56" s="170"/>
      <c r="F56" s="171" t="s">
        <v>35</v>
      </c>
      <c r="G56">
        <f t="shared" si="18"/>
        <v>40</v>
      </c>
      <c r="H56">
        <f>IF(F56="","",COUNTIF(all,"&lt;="&amp;Personel!$F56))</f>
        <v>13</v>
      </c>
      <c r="I56">
        <f t="shared" si="10"/>
        <v>1</v>
      </c>
      <c r="J56" s="83"/>
    </row>
    <row r="57" spans="1:10">
      <c r="A57" s="1178"/>
      <c r="B57" s="83"/>
      <c r="E57" s="170"/>
      <c r="F57" s="171" t="s">
        <v>43</v>
      </c>
      <c r="G57">
        <f t="shared" si="18"/>
        <v>40</v>
      </c>
      <c r="H57">
        <f>IF(F57="","",COUNTIF(all,"&lt;="&amp;Personel!$F57))</f>
        <v>49</v>
      </c>
      <c r="I57">
        <f t="shared" si="10"/>
        <v>37</v>
      </c>
      <c r="J57" s="83"/>
    </row>
    <row r="58" spans="1:10">
      <c r="A58" s="1179"/>
      <c r="B58" s="85"/>
      <c r="E58" s="170"/>
      <c r="F58" s="171" t="s">
        <v>442</v>
      </c>
      <c r="G58">
        <f t="shared" si="18"/>
        <v>40</v>
      </c>
      <c r="H58">
        <f>IF(F58="","",COUNTIF(all,"&lt;="&amp;Personel!$F58))</f>
        <v>19</v>
      </c>
      <c r="I58">
        <f t="shared" si="10"/>
        <v>7</v>
      </c>
      <c r="J58" s="83"/>
    </row>
    <row r="59" spans="1:10" ht="15" customHeight="1">
      <c r="A59" s="1180" t="s">
        <v>443</v>
      </c>
      <c r="B59" s="83" t="s">
        <v>56</v>
      </c>
      <c r="E59" s="170"/>
      <c r="F59" s="171" t="str">
        <f t="shared" si="19"/>
        <v/>
      </c>
      <c r="G59">
        <f t="shared" si="18"/>
        <v>41</v>
      </c>
      <c r="H59" t="str">
        <f>IF(F59="","",COUNTIF(all,"&lt;="&amp;Personel!$F59))</f>
        <v/>
      </c>
      <c r="I59" t="str">
        <f t="shared" si="10"/>
        <v/>
      </c>
      <c r="J59" s="83"/>
    </row>
    <row r="60" spans="1:10">
      <c r="A60" s="1180"/>
      <c r="B60" s="83" t="s">
        <v>58</v>
      </c>
      <c r="E60" s="170"/>
      <c r="F60" s="171" t="str">
        <f t="shared" si="19"/>
        <v/>
      </c>
      <c r="G60">
        <f t="shared" si="18"/>
        <v>42</v>
      </c>
      <c r="H60" t="str">
        <f>IF(F60="","",COUNTIF(all,"&lt;="&amp;Personel!$F60))</f>
        <v/>
      </c>
      <c r="I60" t="str">
        <f t="shared" si="10"/>
        <v/>
      </c>
      <c r="J60" s="83" t="str">
        <f>IF(I60="","",INDEX($F$2:$F$67,MATCH(ROWS($I$2:I60),$I$2:$I$67,0)))</f>
        <v/>
      </c>
    </row>
    <row r="61" spans="1:10">
      <c r="A61" s="1180"/>
      <c r="B61" s="83" t="s">
        <v>57</v>
      </c>
      <c r="E61" s="170"/>
      <c r="F61" s="171" t="str">
        <f t="shared" si="19"/>
        <v/>
      </c>
      <c r="G61">
        <f t="shared" si="18"/>
        <v>43</v>
      </c>
      <c r="H61" t="str">
        <f>IF(F61="","",COUNTIF(all,"&lt;="&amp;Personel!$F61))</f>
        <v/>
      </c>
      <c r="I61" t="str">
        <f t="shared" si="10"/>
        <v/>
      </c>
      <c r="J61" s="83" t="str">
        <f>IF(I61="","",INDEX($F$2:$F$67,MATCH(ROWS($I$2:I61),$I$2:$I$67,0)))</f>
        <v/>
      </c>
    </row>
    <row r="62" spans="1:10">
      <c r="A62" s="1180"/>
      <c r="B62" s="83" t="s">
        <v>444</v>
      </c>
      <c r="E62" s="170"/>
      <c r="F62" s="171" t="str">
        <f t="shared" si="19"/>
        <v/>
      </c>
      <c r="G62">
        <f t="shared" si="18"/>
        <v>44</v>
      </c>
      <c r="H62" t="str">
        <f>IF(F62="","",COUNTIF(all,"&lt;="&amp;Personel!$F62))</f>
        <v/>
      </c>
      <c r="I62" t="str">
        <f t="shared" si="10"/>
        <v/>
      </c>
      <c r="J62" s="83" t="str">
        <f>IF(I62="","",INDEX($F$2:$F$67,MATCH(ROWS($I$2:I62),$I$2:$I$67,0)))</f>
        <v/>
      </c>
    </row>
    <row r="63" spans="1:10">
      <c r="A63" s="1180"/>
      <c r="B63" s="83" t="s">
        <v>54</v>
      </c>
      <c r="E63" s="170"/>
      <c r="F63" s="171" t="str">
        <f t="shared" si="19"/>
        <v/>
      </c>
      <c r="G63">
        <f t="shared" si="18"/>
        <v>45</v>
      </c>
      <c r="H63" t="str">
        <f>IF(F63="","",COUNTIF(all,"&lt;="&amp;Personel!$F63))</f>
        <v/>
      </c>
      <c r="I63" t="str">
        <f t="shared" si="10"/>
        <v/>
      </c>
      <c r="J63" s="83" t="str">
        <f>IF(I63="","",INDEX($F$2:$F$67,MATCH(ROWS($I$2:I63),$I$2:$I$67,0)))</f>
        <v/>
      </c>
    </row>
    <row r="64" spans="1:10">
      <c r="A64" s="1180"/>
      <c r="B64" s="83"/>
      <c r="E64" s="170"/>
      <c r="F64" s="171" t="str">
        <f t="shared" si="19"/>
        <v/>
      </c>
      <c r="G64">
        <f t="shared" si="18"/>
        <v>45</v>
      </c>
      <c r="H64" t="str">
        <f>IF(F64="","",COUNTIF(all,"&lt;="&amp;Personel!$F64))</f>
        <v/>
      </c>
      <c r="I64" t="str">
        <f t="shared" si="10"/>
        <v/>
      </c>
      <c r="J64" s="83" t="str">
        <f>IF(I64="","",INDEX($F$2:$F$67,MATCH(ROWS($I$2:I64),$I$2:$I$67,0)))</f>
        <v/>
      </c>
    </row>
    <row r="65" spans="1:10">
      <c r="A65" s="1180"/>
      <c r="B65" s="84"/>
      <c r="E65" s="170"/>
      <c r="F65" s="171" t="str">
        <f t="shared" si="19"/>
        <v/>
      </c>
      <c r="G65">
        <f t="shared" si="18"/>
        <v>45</v>
      </c>
      <c r="H65" t="str">
        <f>IF(F65="","",COUNTIF(all,"&lt;="&amp;Personel!$F65))</f>
        <v/>
      </c>
      <c r="I65" t="str">
        <f t="shared" si="10"/>
        <v/>
      </c>
      <c r="J65" s="83" t="str">
        <f>IF(I65="","",INDEX($F$2:$F$67,MATCH(ROWS($I$2:I65),$I$2:$I$67,0)))</f>
        <v/>
      </c>
    </row>
    <row r="66" spans="1:10">
      <c r="A66" s="1180"/>
      <c r="B66" s="83"/>
      <c r="E66" s="170"/>
      <c r="F66" s="171" t="str">
        <f t="shared" si="19"/>
        <v/>
      </c>
      <c r="G66">
        <f t="shared" si="18"/>
        <v>45</v>
      </c>
      <c r="H66" t="str">
        <f>IF(F66="","",COUNTIF(all,"&lt;="&amp;Personel!$F66))</f>
        <v/>
      </c>
      <c r="I66" t="str">
        <f t="shared" si="10"/>
        <v/>
      </c>
      <c r="J66" s="83" t="str">
        <f>IF(I66="","",INDEX($F$2:$F$67,MATCH(ROWS($I$2:I66),$I$2:$I$67,0)))</f>
        <v/>
      </c>
    </row>
    <row r="67" spans="1:10">
      <c r="A67" s="1180"/>
      <c r="B67" s="85"/>
      <c r="E67" s="170"/>
      <c r="F67" s="172" t="str">
        <f t="shared" si="19"/>
        <v/>
      </c>
      <c r="G67">
        <f t="shared" si="18"/>
        <v>45</v>
      </c>
      <c r="H67" t="str">
        <f>IF(F67="","",COUNTIF(all,"&lt;="&amp;Personel!$F67))</f>
        <v/>
      </c>
      <c r="I67" t="str">
        <f>IF(H67="","",H67-$H$1+1)</f>
        <v/>
      </c>
      <c r="J67" s="85" t="str">
        <f>IF(I67="","",INDEX($F$2:$F$67,MATCH(ROWS($I$2:I67),$I$2:$I$67,0)))</f>
        <v/>
      </c>
    </row>
  </sheetData>
  <sortState xmlns:xlrd2="http://schemas.microsoft.com/office/spreadsheetml/2017/richdata2" ref="F2:F27">
    <sortCondition ref="F2:F27"/>
  </sortState>
  <mergeCells count="6">
    <mergeCell ref="A17:A39"/>
    <mergeCell ref="A40:A46"/>
    <mergeCell ref="A47:A58"/>
    <mergeCell ref="A59:A67"/>
    <mergeCell ref="A1:A6"/>
    <mergeCell ref="A7:A16"/>
  </mergeCells>
  <phoneticPr fontId="20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7B2D9-79B5-405C-B0FB-3FE1F6A1FC79}">
  <sheetPr codeName="Sheet13">
    <tabColor rgb="FFFFFF00"/>
  </sheetPr>
  <dimension ref="A1:N13"/>
  <sheetViews>
    <sheetView workbookViewId="0">
      <selection activeCell="S13" sqref="S13"/>
    </sheetView>
  </sheetViews>
  <sheetFormatPr defaultColWidth="8.7109375" defaultRowHeight="14.45"/>
  <cols>
    <col min="1" max="1" width="9.140625" style="49"/>
    <col min="2" max="2" width="10.7109375" style="46" bestFit="1" customWidth="1"/>
    <col min="3" max="3" width="11.42578125" style="46" bestFit="1" customWidth="1"/>
    <col min="4" max="4" width="9.140625" style="46"/>
    <col min="5" max="5" width="10.7109375" style="46" bestFit="1" customWidth="1"/>
    <col min="7" max="7" width="12.42578125" bestFit="1" customWidth="1"/>
    <col min="9" max="9" width="13.42578125" style="46" bestFit="1" customWidth="1"/>
    <col min="10" max="10" width="10.7109375" style="46" bestFit="1" customWidth="1"/>
    <col min="12" max="12" width="9.140625" style="49"/>
    <col min="13" max="13" width="16" style="49" bestFit="1" customWidth="1"/>
    <col min="14" max="14" width="13.42578125" style="49" bestFit="1" customWidth="1"/>
  </cols>
  <sheetData>
    <row r="1" spans="1:14">
      <c r="B1" s="46" t="s">
        <v>445</v>
      </c>
      <c r="C1" s="46" t="s">
        <v>446</v>
      </c>
      <c r="D1" s="46" t="s">
        <v>447</v>
      </c>
      <c r="E1" s="46" t="s">
        <v>448</v>
      </c>
      <c r="G1" s="46" t="s">
        <v>449</v>
      </c>
      <c r="I1" s="46" t="s">
        <v>450</v>
      </c>
      <c r="J1" s="46" t="s">
        <v>451</v>
      </c>
      <c r="M1" s="49" t="s">
        <v>452</v>
      </c>
      <c r="N1" s="49" t="s">
        <v>453</v>
      </c>
    </row>
    <row r="2" spans="1:14">
      <c r="A2" s="49" t="s">
        <v>454</v>
      </c>
      <c r="B2" s="48" t="str">
        <f>CONCATENATE('Event Info'!B3,"/",'Event Info'!C3,"/",'Event Info'!D3)</f>
        <v>6/3/2026</v>
      </c>
      <c r="C2" s="46" t="str">
        <f>LOOKUP(I2,$L$2:$L$13,$M$2:$M$13)</f>
        <v>Friday</v>
      </c>
      <c r="D2" s="47">
        <f>DAY(B2)</f>
        <v>6</v>
      </c>
      <c r="E2" s="46" t="str">
        <f>LOOKUP(J2,$L$2:$L$13,$N$2:$N$13)</f>
        <v>March</v>
      </c>
      <c r="G2" s="48" t="str">
        <f>CONCATENATE('Event Info'!B3,"-",'Event Info'!B4,"/",'Event Info'!C4,"/",'Event Info'!D4)</f>
        <v>6-8/3/2026</v>
      </c>
      <c r="I2" s="46">
        <f>WEEKDAY(B2,2)</f>
        <v>5</v>
      </c>
      <c r="J2" s="46">
        <f>MONTH(B2)</f>
        <v>3</v>
      </c>
      <c r="L2" s="49">
        <v>1</v>
      </c>
      <c r="M2" s="49" t="s">
        <v>455</v>
      </c>
      <c r="N2" s="49" t="s">
        <v>456</v>
      </c>
    </row>
    <row r="3" spans="1:14">
      <c r="A3" s="49" t="s">
        <v>457</v>
      </c>
      <c r="B3" s="48">
        <f>B2+1</f>
        <v>46088</v>
      </c>
      <c r="C3" s="46" t="str">
        <f t="shared" ref="C3:C9" si="0">LOOKUP(I3,$L$2:$L$13,$M$2:$M$13)</f>
        <v>Saturday</v>
      </c>
      <c r="D3" s="47">
        <f t="shared" ref="D3:D9" si="1">DAY(B3)</f>
        <v>7</v>
      </c>
      <c r="E3" s="46" t="str">
        <f t="shared" ref="E3:E9" si="2">LOOKUP(J3,$L$2:$L$13,$N$2:$N$13)</f>
        <v>March</v>
      </c>
      <c r="I3" s="46">
        <f t="shared" ref="I3:I9" si="3">WEEKDAY(B3,2)</f>
        <v>6</v>
      </c>
      <c r="J3" s="46">
        <f t="shared" ref="J3:J9" si="4">MONTH(B3)</f>
        <v>3</v>
      </c>
      <c r="L3" s="49">
        <v>2</v>
      </c>
      <c r="M3" s="49" t="s">
        <v>458</v>
      </c>
      <c r="N3" s="49" t="s">
        <v>459</v>
      </c>
    </row>
    <row r="4" spans="1:14">
      <c r="A4" s="49" t="s">
        <v>460</v>
      </c>
      <c r="B4" s="48">
        <f t="shared" ref="B4:B9" si="5">B3+1</f>
        <v>46089</v>
      </c>
      <c r="C4" s="46" t="str">
        <f t="shared" si="0"/>
        <v>Sunday</v>
      </c>
      <c r="D4" s="47">
        <f t="shared" si="1"/>
        <v>8</v>
      </c>
      <c r="E4" s="46" t="str">
        <f t="shared" si="2"/>
        <v>March</v>
      </c>
      <c r="I4" s="46">
        <f t="shared" si="3"/>
        <v>7</v>
      </c>
      <c r="J4" s="46">
        <f t="shared" si="4"/>
        <v>3</v>
      </c>
      <c r="L4" s="49">
        <v>3</v>
      </c>
      <c r="M4" s="49" t="s">
        <v>461</v>
      </c>
      <c r="N4" s="49" t="s">
        <v>462</v>
      </c>
    </row>
    <row r="5" spans="1:14">
      <c r="A5" s="49" t="s">
        <v>463</v>
      </c>
      <c r="B5" s="48">
        <f t="shared" si="5"/>
        <v>46090</v>
      </c>
      <c r="C5" s="46" t="str">
        <f t="shared" si="0"/>
        <v>Monday</v>
      </c>
      <c r="D5" s="47">
        <f t="shared" si="1"/>
        <v>9</v>
      </c>
      <c r="E5" s="46" t="str">
        <f t="shared" si="2"/>
        <v>March</v>
      </c>
      <c r="I5" s="46">
        <f t="shared" si="3"/>
        <v>1</v>
      </c>
      <c r="J5" s="46">
        <f t="shared" si="4"/>
        <v>3</v>
      </c>
      <c r="L5" s="49">
        <v>4</v>
      </c>
      <c r="M5" s="49" t="s">
        <v>464</v>
      </c>
      <c r="N5" s="49" t="s">
        <v>465</v>
      </c>
    </row>
    <row r="6" spans="1:14">
      <c r="A6" s="49" t="s">
        <v>466</v>
      </c>
      <c r="B6" s="48">
        <f t="shared" si="5"/>
        <v>46091</v>
      </c>
      <c r="C6" s="46" t="str">
        <f t="shared" si="0"/>
        <v>Tuesday</v>
      </c>
      <c r="D6" s="47">
        <f t="shared" si="1"/>
        <v>10</v>
      </c>
      <c r="E6" s="46" t="str">
        <f t="shared" si="2"/>
        <v>March</v>
      </c>
      <c r="I6" s="46">
        <f t="shared" si="3"/>
        <v>2</v>
      </c>
      <c r="J6" s="46">
        <f t="shared" si="4"/>
        <v>3</v>
      </c>
      <c r="L6" s="49">
        <v>5</v>
      </c>
      <c r="M6" s="49" t="s">
        <v>467</v>
      </c>
      <c r="N6" s="49" t="s">
        <v>468</v>
      </c>
    </row>
    <row r="7" spans="1:14">
      <c r="A7" s="49" t="s">
        <v>469</v>
      </c>
      <c r="B7" s="48">
        <f t="shared" si="5"/>
        <v>46092</v>
      </c>
      <c r="C7" s="46" t="str">
        <f t="shared" si="0"/>
        <v>Wednesday</v>
      </c>
      <c r="D7" s="47">
        <f t="shared" si="1"/>
        <v>11</v>
      </c>
      <c r="E7" s="46" t="str">
        <f t="shared" si="2"/>
        <v>March</v>
      </c>
      <c r="I7" s="46">
        <f t="shared" si="3"/>
        <v>3</v>
      </c>
      <c r="J7" s="46">
        <f t="shared" si="4"/>
        <v>3</v>
      </c>
      <c r="L7" s="49">
        <v>6</v>
      </c>
      <c r="M7" s="49" t="s">
        <v>470</v>
      </c>
      <c r="N7" s="49" t="s">
        <v>471</v>
      </c>
    </row>
    <row r="8" spans="1:14">
      <c r="A8" s="49" t="s">
        <v>472</v>
      </c>
      <c r="B8" s="48">
        <f t="shared" si="5"/>
        <v>46093</v>
      </c>
      <c r="C8" s="46" t="str">
        <f t="shared" si="0"/>
        <v>Thursday</v>
      </c>
      <c r="D8" s="47">
        <f t="shared" si="1"/>
        <v>12</v>
      </c>
      <c r="E8" s="46" t="str">
        <f t="shared" si="2"/>
        <v>March</v>
      </c>
      <c r="I8" s="46">
        <f t="shared" si="3"/>
        <v>4</v>
      </c>
      <c r="J8" s="46">
        <f t="shared" si="4"/>
        <v>3</v>
      </c>
      <c r="L8" s="49">
        <v>7</v>
      </c>
      <c r="M8" s="49" t="s">
        <v>473</v>
      </c>
      <c r="N8" s="49" t="s">
        <v>474</v>
      </c>
    </row>
    <row r="9" spans="1:14">
      <c r="A9" s="49" t="s">
        <v>475</v>
      </c>
      <c r="B9" s="48">
        <f t="shared" si="5"/>
        <v>46094</v>
      </c>
      <c r="C9" s="46" t="str">
        <f t="shared" si="0"/>
        <v>Friday</v>
      </c>
      <c r="D9" s="47">
        <f t="shared" si="1"/>
        <v>13</v>
      </c>
      <c r="E9" s="46" t="str">
        <f t="shared" si="2"/>
        <v>March</v>
      </c>
      <c r="I9" s="46">
        <f t="shared" si="3"/>
        <v>5</v>
      </c>
      <c r="J9" s="46">
        <f t="shared" si="4"/>
        <v>3</v>
      </c>
      <c r="L9" s="49">
        <v>8</v>
      </c>
      <c r="N9" s="49" t="s">
        <v>476</v>
      </c>
    </row>
    <row r="10" spans="1:14">
      <c r="L10" s="49">
        <v>9</v>
      </c>
      <c r="N10" s="49" t="s">
        <v>477</v>
      </c>
    </row>
    <row r="11" spans="1:14">
      <c r="L11" s="49">
        <v>10</v>
      </c>
      <c r="N11" s="49" t="s">
        <v>478</v>
      </c>
    </row>
    <row r="12" spans="1:14">
      <c r="L12" s="49">
        <v>11</v>
      </c>
      <c r="N12" s="49" t="s">
        <v>479</v>
      </c>
    </row>
    <row r="13" spans="1:14">
      <c r="L13" s="49">
        <v>12</v>
      </c>
      <c r="N13" s="49" t="s">
        <v>480</v>
      </c>
    </row>
  </sheetData>
  <phoneticPr fontId="2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3452-D477-44DF-B1D8-49900749E8BD}">
  <sheetPr codeName="Sheet14">
    <tabColor rgb="FFFFFF00"/>
  </sheetPr>
  <dimension ref="A1:AK107"/>
  <sheetViews>
    <sheetView topLeftCell="R18" zoomScaleNormal="100" workbookViewId="0">
      <selection activeCell="AC35" sqref="AC35"/>
    </sheetView>
  </sheetViews>
  <sheetFormatPr defaultColWidth="8.7109375" defaultRowHeight="14.45"/>
  <cols>
    <col min="1" max="1" width="25.7109375" customWidth="1"/>
    <col min="2" max="2" width="9.140625" customWidth="1"/>
    <col min="3" max="3" width="25.7109375" customWidth="1"/>
    <col min="4" max="4" width="9.140625" customWidth="1"/>
    <col min="5" max="5" width="25.7109375" customWidth="1"/>
    <col min="6" max="6" width="9.140625" customWidth="1"/>
    <col min="7" max="7" width="25.7109375" customWidth="1"/>
    <col min="8" max="8" width="9.140625" customWidth="1"/>
    <col min="9" max="9" width="25.7109375" customWidth="1"/>
    <col min="10" max="10" width="9.140625" customWidth="1"/>
    <col min="11" max="11" width="25.7109375" customWidth="1"/>
    <col min="12" max="12" width="9.140625" customWidth="1"/>
    <col min="13" max="13" width="25.7109375" customWidth="1"/>
    <col min="14" max="14" width="9.140625" customWidth="1"/>
    <col min="15" max="15" width="25.7109375" customWidth="1"/>
    <col min="16" max="16" width="9.140625" customWidth="1"/>
    <col min="17" max="17" width="25.7109375" customWidth="1"/>
    <col min="18" max="18" width="9.140625" customWidth="1"/>
    <col min="19" max="19" width="25.7109375" customWidth="1"/>
    <col min="20" max="20" width="9.140625" customWidth="1"/>
    <col min="21" max="21" width="25.7109375" customWidth="1"/>
    <col min="22" max="22" width="9.140625" customWidth="1"/>
    <col min="23" max="23" width="25.7109375" customWidth="1"/>
    <col min="24" max="24" width="9.140625" customWidth="1"/>
    <col min="25" max="25" width="25.7109375" customWidth="1"/>
    <col min="26" max="26" width="9.140625" customWidth="1"/>
    <col min="27" max="27" width="54.42578125" bestFit="1" customWidth="1"/>
    <col min="28" max="28" width="9.140625" customWidth="1"/>
    <col min="29" max="29" width="41.140625" bestFit="1" customWidth="1"/>
    <col min="30" max="30" width="27.7109375" bestFit="1" customWidth="1"/>
    <col min="31" max="32" width="25.7109375" customWidth="1"/>
    <col min="33" max="33" width="8.7109375" customWidth="1"/>
    <col min="34" max="36" width="25.7109375" customWidth="1"/>
    <col min="37" max="37" width="8.7109375" customWidth="1"/>
  </cols>
  <sheetData>
    <row r="1" spans="1:37" ht="20.45" thickBot="1">
      <c r="A1" s="1181" t="s">
        <v>481</v>
      </c>
      <c r="B1" s="1181"/>
      <c r="C1" s="65" t="s">
        <v>482</v>
      </c>
      <c r="D1" s="65"/>
      <c r="E1" s="65" t="s">
        <v>483</v>
      </c>
      <c r="F1" s="65"/>
      <c r="G1" s="65" t="s">
        <v>484</v>
      </c>
      <c r="H1" s="65"/>
      <c r="I1" s="65" t="s">
        <v>485</v>
      </c>
      <c r="J1" s="65"/>
      <c r="K1" s="65" t="s">
        <v>486</v>
      </c>
      <c r="L1" s="65"/>
      <c r="M1" s="65" t="s">
        <v>487</v>
      </c>
      <c r="N1" s="65"/>
      <c r="O1" s="65" t="s">
        <v>488</v>
      </c>
      <c r="P1" s="65"/>
      <c r="Q1" s="65" t="s">
        <v>489</v>
      </c>
      <c r="R1" s="65"/>
      <c r="S1" s="65" t="s">
        <v>490</v>
      </c>
      <c r="T1" s="65"/>
      <c r="U1" s="65" t="s">
        <v>491</v>
      </c>
      <c r="V1" s="65"/>
      <c r="W1" s="65" t="s">
        <v>492</v>
      </c>
      <c r="X1" s="65"/>
      <c r="Y1" s="65" t="s">
        <v>493</v>
      </c>
      <c r="Z1" s="65"/>
      <c r="AA1" s="65" t="s">
        <v>494</v>
      </c>
      <c r="AB1" s="65"/>
      <c r="AC1" s="65" t="s">
        <v>495</v>
      </c>
      <c r="AD1" s="65"/>
      <c r="AE1" s="1181"/>
      <c r="AF1" s="1181" t="s">
        <v>496</v>
      </c>
      <c r="AG1" s="124"/>
      <c r="AH1" s="124" t="s">
        <v>497</v>
      </c>
      <c r="AI1" s="124"/>
      <c r="AJ1" s="124" t="s">
        <v>498</v>
      </c>
      <c r="AK1" s="124"/>
    </row>
    <row r="2" spans="1:37">
      <c r="A2" t="s">
        <v>499</v>
      </c>
      <c r="C2" t="s">
        <v>500</v>
      </c>
      <c r="E2" t="s">
        <v>501</v>
      </c>
      <c r="G2" t="s">
        <v>502</v>
      </c>
      <c r="I2" s="18">
        <v>1</v>
      </c>
      <c r="K2" s="16" t="s">
        <v>503</v>
      </c>
      <c r="M2" s="16" t="s">
        <v>25</v>
      </c>
      <c r="O2" s="66">
        <v>971</v>
      </c>
      <c r="Q2" t="s">
        <v>504</v>
      </c>
      <c r="S2" t="s">
        <v>505</v>
      </c>
      <c r="U2" s="39" t="s">
        <v>506</v>
      </c>
      <c r="W2" t="s">
        <v>507</v>
      </c>
      <c r="Y2" t="s">
        <v>508</v>
      </c>
      <c r="AA2" s="42" t="s">
        <v>509</v>
      </c>
      <c r="AC2" s="42" t="s">
        <v>510</v>
      </c>
      <c r="AD2" t="s">
        <v>511</v>
      </c>
      <c r="AE2" t="s">
        <v>512</v>
      </c>
      <c r="AH2" t="s">
        <v>513</v>
      </c>
      <c r="AJ2" t="s">
        <v>67</v>
      </c>
    </row>
    <row r="3" spans="1:37">
      <c r="A3" t="s">
        <v>514</v>
      </c>
      <c r="C3" t="s">
        <v>515</v>
      </c>
      <c r="E3" t="s">
        <v>516</v>
      </c>
      <c r="G3" t="s">
        <v>517</v>
      </c>
      <c r="I3" s="18">
        <v>2</v>
      </c>
      <c r="K3" s="16" t="s">
        <v>518</v>
      </c>
      <c r="M3" s="17" t="s">
        <v>27</v>
      </c>
      <c r="O3" s="66">
        <v>972</v>
      </c>
      <c r="Q3" t="s">
        <v>60</v>
      </c>
      <c r="S3" t="s">
        <v>519</v>
      </c>
      <c r="U3" s="39" t="s">
        <v>165</v>
      </c>
      <c r="W3" t="s">
        <v>520</v>
      </c>
      <c r="Y3" t="s">
        <v>521</v>
      </c>
      <c r="AA3" t="s">
        <v>522</v>
      </c>
      <c r="AC3" t="s">
        <v>523</v>
      </c>
      <c r="AD3" t="s">
        <v>524</v>
      </c>
      <c r="AE3" t="s">
        <v>525</v>
      </c>
      <c r="AH3" t="s">
        <v>526</v>
      </c>
      <c r="AJ3" t="s">
        <v>527</v>
      </c>
    </row>
    <row r="4" spans="1:37">
      <c r="A4" t="s">
        <v>528</v>
      </c>
      <c r="C4" t="s">
        <v>4</v>
      </c>
      <c r="E4" t="s">
        <v>529</v>
      </c>
      <c r="G4" t="s">
        <v>530</v>
      </c>
      <c r="I4" s="18">
        <v>3</v>
      </c>
      <c r="K4" s="17" t="s">
        <v>531</v>
      </c>
      <c r="M4" s="17" t="s">
        <v>36</v>
      </c>
      <c r="O4" s="66">
        <v>974</v>
      </c>
      <c r="Q4" t="s">
        <v>532</v>
      </c>
      <c r="S4" t="s">
        <v>533</v>
      </c>
      <c r="U4" s="39" t="s">
        <v>534</v>
      </c>
      <c r="W4" t="s">
        <v>535</v>
      </c>
      <c r="Y4" t="s">
        <v>536</v>
      </c>
      <c r="AA4" t="s">
        <v>537</v>
      </c>
      <c r="AC4" t="s">
        <v>538</v>
      </c>
      <c r="AD4" t="s">
        <v>539</v>
      </c>
      <c r="AE4" t="s">
        <v>525</v>
      </c>
      <c r="AH4" t="s">
        <v>540</v>
      </c>
      <c r="AJ4" t="s">
        <v>541</v>
      </c>
    </row>
    <row r="5" spans="1:37">
      <c r="A5" t="s">
        <v>542</v>
      </c>
      <c r="C5" t="s">
        <v>543</v>
      </c>
      <c r="E5" t="s">
        <v>544</v>
      </c>
      <c r="G5" t="s">
        <v>545</v>
      </c>
      <c r="I5" s="18">
        <v>4</v>
      </c>
      <c r="K5" s="17"/>
      <c r="M5" s="17"/>
      <c r="O5" s="66">
        <v>975</v>
      </c>
      <c r="Q5" t="s">
        <v>546</v>
      </c>
      <c r="U5" s="39" t="s">
        <v>547</v>
      </c>
      <c r="Y5" t="s">
        <v>548</v>
      </c>
      <c r="AA5" t="s">
        <v>549</v>
      </c>
      <c r="AC5" t="s">
        <v>550</v>
      </c>
      <c r="AD5" t="s">
        <v>551</v>
      </c>
      <c r="AE5" t="s">
        <v>552</v>
      </c>
      <c r="AH5" t="s">
        <v>553</v>
      </c>
      <c r="AJ5" t="s">
        <v>554</v>
      </c>
    </row>
    <row r="6" spans="1:37">
      <c r="A6" t="s">
        <v>555</v>
      </c>
      <c r="C6" t="s">
        <v>556</v>
      </c>
      <c r="E6" t="s">
        <v>557</v>
      </c>
      <c r="G6" t="s">
        <v>558</v>
      </c>
      <c r="I6" s="18">
        <v>5</v>
      </c>
      <c r="K6" s="17"/>
      <c r="M6" s="17"/>
      <c r="O6" s="66" t="s">
        <v>559</v>
      </c>
      <c r="Q6" t="s">
        <v>137</v>
      </c>
      <c r="U6" s="39" t="s">
        <v>560</v>
      </c>
      <c r="Y6" t="s">
        <v>561</v>
      </c>
      <c r="AA6" s="41" t="s">
        <v>562</v>
      </c>
      <c r="AC6" t="s">
        <v>563</v>
      </c>
      <c r="AD6" t="s">
        <v>564</v>
      </c>
      <c r="AE6" t="s">
        <v>191</v>
      </c>
      <c r="AF6" s="61" t="s">
        <v>565</v>
      </c>
      <c r="AG6" s="61"/>
      <c r="AH6" t="s">
        <v>566</v>
      </c>
      <c r="AJ6" t="s">
        <v>89</v>
      </c>
    </row>
    <row r="7" spans="1:37">
      <c r="A7" t="s">
        <v>567</v>
      </c>
      <c r="C7" t="s">
        <v>568</v>
      </c>
      <c r="E7" t="s">
        <v>569</v>
      </c>
      <c r="G7" t="s">
        <v>570</v>
      </c>
      <c r="I7" s="18">
        <v>6</v>
      </c>
      <c r="K7" s="17"/>
      <c r="M7" s="17"/>
      <c r="O7" s="66" t="s">
        <v>571</v>
      </c>
      <c r="Q7" t="s">
        <v>572</v>
      </c>
      <c r="U7" s="39" t="s">
        <v>573</v>
      </c>
      <c r="AA7" t="s">
        <v>574</v>
      </c>
      <c r="AC7" s="42" t="s">
        <v>575</v>
      </c>
      <c r="AD7" s="42" t="s">
        <v>576</v>
      </c>
      <c r="AE7" t="s">
        <v>577</v>
      </c>
      <c r="AH7" t="s">
        <v>578</v>
      </c>
      <c r="AJ7" t="s">
        <v>579</v>
      </c>
    </row>
    <row r="8" spans="1:37">
      <c r="A8" t="s">
        <v>580</v>
      </c>
      <c r="C8" t="s">
        <v>581</v>
      </c>
      <c r="E8" t="s">
        <v>582</v>
      </c>
      <c r="G8" t="s">
        <v>583</v>
      </c>
      <c r="I8" s="18">
        <v>7</v>
      </c>
      <c r="K8" s="17"/>
      <c r="M8" s="17"/>
      <c r="O8" s="17" t="s">
        <v>584</v>
      </c>
      <c r="Q8" t="s">
        <v>585</v>
      </c>
      <c r="U8" s="39" t="s">
        <v>586</v>
      </c>
      <c r="AA8" s="42" t="s">
        <v>587</v>
      </c>
      <c r="AC8" t="s">
        <v>588</v>
      </c>
      <c r="AD8">
        <v>2100</v>
      </c>
      <c r="AE8" t="s">
        <v>589</v>
      </c>
      <c r="AH8" s="61"/>
      <c r="AI8" s="61"/>
      <c r="AJ8" s="61" t="s">
        <v>590</v>
      </c>
    </row>
    <row r="9" spans="1:37">
      <c r="A9" t="s">
        <v>591</v>
      </c>
      <c r="C9" t="s">
        <v>592</v>
      </c>
      <c r="E9" t="s">
        <v>593</v>
      </c>
      <c r="G9" t="s">
        <v>594</v>
      </c>
      <c r="I9" s="18">
        <v>8</v>
      </c>
      <c r="K9" s="17"/>
      <c r="M9" s="17"/>
      <c r="Q9" t="s">
        <v>595</v>
      </c>
      <c r="U9" s="39" t="s">
        <v>596</v>
      </c>
      <c r="AA9" t="s">
        <v>597</v>
      </c>
      <c r="AC9" t="s">
        <v>598</v>
      </c>
      <c r="AD9" t="s">
        <v>599</v>
      </c>
      <c r="AE9" t="s">
        <v>600</v>
      </c>
      <c r="AJ9" t="s">
        <v>601</v>
      </c>
    </row>
    <row r="10" spans="1:37">
      <c r="A10" t="s">
        <v>191</v>
      </c>
      <c r="E10" t="s">
        <v>602</v>
      </c>
      <c r="I10" s="18">
        <v>9</v>
      </c>
      <c r="K10" s="17"/>
      <c r="M10" s="17"/>
      <c r="Q10" t="s">
        <v>603</v>
      </c>
      <c r="U10" s="39" t="s">
        <v>604</v>
      </c>
      <c r="AA10" t="s">
        <v>605</v>
      </c>
      <c r="AC10" t="s">
        <v>606</v>
      </c>
      <c r="AD10" t="s">
        <v>607</v>
      </c>
      <c r="AE10" t="s">
        <v>525</v>
      </c>
      <c r="AJ10" t="s">
        <v>66</v>
      </c>
    </row>
    <row r="11" spans="1:37">
      <c r="A11" t="s">
        <v>608</v>
      </c>
      <c r="E11" t="s">
        <v>609</v>
      </c>
      <c r="I11" s="18">
        <v>10</v>
      </c>
      <c r="K11" s="17"/>
      <c r="M11" s="17"/>
      <c r="Q11" t="s">
        <v>610</v>
      </c>
      <c r="U11" s="39" t="s">
        <v>611</v>
      </c>
      <c r="AA11" s="40" t="s">
        <v>612</v>
      </c>
      <c r="AC11" t="s">
        <v>613</v>
      </c>
      <c r="AD11" t="s">
        <v>614</v>
      </c>
      <c r="AE11" t="s">
        <v>552</v>
      </c>
      <c r="AJ11" t="s">
        <v>615</v>
      </c>
    </row>
    <row r="12" spans="1:37">
      <c r="A12" t="s">
        <v>616</v>
      </c>
      <c r="E12" t="s">
        <v>617</v>
      </c>
      <c r="I12" s="18">
        <v>11</v>
      </c>
      <c r="K12" s="17"/>
      <c r="M12" s="17"/>
      <c r="Q12" t="s">
        <v>61</v>
      </c>
      <c r="U12" s="39" t="s">
        <v>618</v>
      </c>
      <c r="AA12" t="s">
        <v>619</v>
      </c>
      <c r="AC12" t="s">
        <v>620</v>
      </c>
      <c r="AD12" t="s">
        <v>621</v>
      </c>
      <c r="AE12" t="s">
        <v>525</v>
      </c>
      <c r="AJ12" t="s">
        <v>100</v>
      </c>
    </row>
    <row r="13" spans="1:37">
      <c r="A13" t="s">
        <v>622</v>
      </c>
      <c r="E13" t="s">
        <v>623</v>
      </c>
      <c r="I13" s="18">
        <v>12</v>
      </c>
      <c r="K13" s="17"/>
      <c r="M13" s="17"/>
      <c r="Q13" t="s">
        <v>105</v>
      </c>
      <c r="U13" s="39" t="s">
        <v>624</v>
      </c>
      <c r="AA13" t="s">
        <v>625</v>
      </c>
      <c r="AC13" t="s">
        <v>626</v>
      </c>
      <c r="AD13" t="s">
        <v>627</v>
      </c>
      <c r="AE13" t="s">
        <v>628</v>
      </c>
      <c r="AJ13" t="s">
        <v>629</v>
      </c>
    </row>
    <row r="14" spans="1:37">
      <c r="A14" t="s">
        <v>630</v>
      </c>
      <c r="E14" t="s">
        <v>631</v>
      </c>
      <c r="I14" s="18">
        <v>13</v>
      </c>
      <c r="K14" s="17"/>
      <c r="M14" s="17"/>
      <c r="Q14" t="s">
        <v>632</v>
      </c>
      <c r="U14" s="39" t="s">
        <v>633</v>
      </c>
      <c r="AA14" t="s">
        <v>634</v>
      </c>
      <c r="AC14" t="s">
        <v>635</v>
      </c>
      <c r="AD14" t="s">
        <v>636</v>
      </c>
      <c r="AE14" t="s">
        <v>637</v>
      </c>
      <c r="AJ14" t="s">
        <v>638</v>
      </c>
    </row>
    <row r="15" spans="1:37">
      <c r="A15" t="s">
        <v>639</v>
      </c>
      <c r="E15" t="s">
        <v>640</v>
      </c>
      <c r="I15" s="18">
        <v>14</v>
      </c>
      <c r="K15" s="17"/>
      <c r="M15" s="17"/>
      <c r="Q15" t="s">
        <v>641</v>
      </c>
      <c r="U15" s="39" t="s">
        <v>642</v>
      </c>
      <c r="AA15" t="s">
        <v>643</v>
      </c>
      <c r="AC15" t="s">
        <v>644</v>
      </c>
      <c r="AD15" t="s">
        <v>645</v>
      </c>
      <c r="AE15" t="s">
        <v>646</v>
      </c>
      <c r="AJ15" t="s">
        <v>106</v>
      </c>
    </row>
    <row r="16" spans="1:37">
      <c r="A16" t="s">
        <v>647</v>
      </c>
      <c r="E16" t="s">
        <v>648</v>
      </c>
      <c r="I16" s="18">
        <v>15</v>
      </c>
      <c r="Q16" t="s">
        <v>649</v>
      </c>
      <c r="U16" s="39" t="s">
        <v>650</v>
      </c>
      <c r="AA16" t="s">
        <v>651</v>
      </c>
      <c r="AC16" t="s">
        <v>652</v>
      </c>
      <c r="AD16" t="s">
        <v>653</v>
      </c>
      <c r="AE16" t="s">
        <v>646</v>
      </c>
      <c r="AJ16" t="s">
        <v>654</v>
      </c>
    </row>
    <row r="17" spans="1:36">
      <c r="A17" t="s">
        <v>655</v>
      </c>
      <c r="E17" t="s">
        <v>656</v>
      </c>
      <c r="I17" s="18">
        <v>16</v>
      </c>
      <c r="Q17" t="s">
        <v>657</v>
      </c>
      <c r="U17" s="39" t="s">
        <v>658</v>
      </c>
      <c r="AA17" t="s">
        <v>659</v>
      </c>
      <c r="AC17" t="s">
        <v>660</v>
      </c>
      <c r="AD17" t="s">
        <v>661</v>
      </c>
      <c r="AE17" t="s">
        <v>525</v>
      </c>
      <c r="AJ17" t="s">
        <v>662</v>
      </c>
    </row>
    <row r="18" spans="1:36">
      <c r="A18" t="s">
        <v>663</v>
      </c>
      <c r="E18" t="s">
        <v>664</v>
      </c>
      <c r="I18" s="18">
        <v>17</v>
      </c>
      <c r="Q18" t="s">
        <v>665</v>
      </c>
      <c r="U18" s="39" t="s">
        <v>666</v>
      </c>
      <c r="AA18" t="s">
        <v>667</v>
      </c>
      <c r="AC18" t="s">
        <v>668</v>
      </c>
      <c r="AD18" t="s">
        <v>669</v>
      </c>
      <c r="AE18" t="s">
        <v>525</v>
      </c>
      <c r="AJ18" t="s">
        <v>670</v>
      </c>
    </row>
    <row r="19" spans="1:36">
      <c r="A19" t="s">
        <v>671</v>
      </c>
      <c r="E19" t="s">
        <v>672</v>
      </c>
      <c r="I19" s="18">
        <v>18</v>
      </c>
      <c r="Q19" t="s">
        <v>673</v>
      </c>
      <c r="U19" s="39" t="s">
        <v>674</v>
      </c>
      <c r="AA19" s="42" t="s">
        <v>675</v>
      </c>
      <c r="AC19" s="42" t="s">
        <v>676</v>
      </c>
      <c r="AD19" t="s">
        <v>677</v>
      </c>
      <c r="AE19" t="s">
        <v>678</v>
      </c>
      <c r="AJ19" t="s">
        <v>679</v>
      </c>
    </row>
    <row r="20" spans="1:36">
      <c r="A20" t="s">
        <v>680</v>
      </c>
      <c r="E20" t="s">
        <v>681</v>
      </c>
      <c r="I20" s="18">
        <v>19</v>
      </c>
      <c r="Q20" t="s">
        <v>682</v>
      </c>
      <c r="U20" s="39" t="s">
        <v>683</v>
      </c>
      <c r="AA20" t="s">
        <v>684</v>
      </c>
      <c r="AC20" t="s">
        <v>685</v>
      </c>
      <c r="AD20" t="s">
        <v>686</v>
      </c>
      <c r="AE20" t="s">
        <v>687</v>
      </c>
      <c r="AJ20" t="s">
        <v>688</v>
      </c>
    </row>
    <row r="21" spans="1:36">
      <c r="A21" t="s">
        <v>689</v>
      </c>
      <c r="E21" t="s">
        <v>690</v>
      </c>
      <c r="I21" s="18">
        <v>20</v>
      </c>
      <c r="Q21" t="s">
        <v>691</v>
      </c>
      <c r="AA21" s="42" t="s">
        <v>692</v>
      </c>
      <c r="AC21" t="s">
        <v>693</v>
      </c>
      <c r="AD21" t="s">
        <v>694</v>
      </c>
      <c r="AE21" t="s">
        <v>695</v>
      </c>
      <c r="AJ21" t="s">
        <v>696</v>
      </c>
    </row>
    <row r="22" spans="1:36">
      <c r="A22" t="s">
        <v>697</v>
      </c>
      <c r="E22" t="s">
        <v>698</v>
      </c>
      <c r="I22" s="18">
        <v>21</v>
      </c>
      <c r="Q22" t="s">
        <v>699</v>
      </c>
      <c r="AA22" t="s">
        <v>700</v>
      </c>
      <c r="AC22" t="s">
        <v>701</v>
      </c>
      <c r="AD22" t="s">
        <v>702</v>
      </c>
      <c r="AE22" t="s">
        <v>600</v>
      </c>
      <c r="AJ22" t="s">
        <v>703</v>
      </c>
    </row>
    <row r="23" spans="1:36">
      <c r="A23" t="s">
        <v>704</v>
      </c>
      <c r="E23" t="s">
        <v>705</v>
      </c>
      <c r="I23" s="18">
        <v>22</v>
      </c>
      <c r="Q23" t="s">
        <v>706</v>
      </c>
      <c r="AA23" s="42" t="s">
        <v>707</v>
      </c>
      <c r="AC23" t="s">
        <v>708</v>
      </c>
      <c r="AD23" t="s">
        <v>709</v>
      </c>
      <c r="AE23" t="s">
        <v>710</v>
      </c>
      <c r="AJ23" t="s">
        <v>711</v>
      </c>
    </row>
    <row r="24" spans="1:36">
      <c r="A24" t="s">
        <v>712</v>
      </c>
      <c r="I24" s="18">
        <v>23</v>
      </c>
      <c r="Q24" t="s">
        <v>713</v>
      </c>
      <c r="AA24" s="40" t="s">
        <v>714</v>
      </c>
      <c r="AC24" t="s">
        <v>715</v>
      </c>
      <c r="AD24" t="s">
        <v>716</v>
      </c>
      <c r="AE24" t="s">
        <v>717</v>
      </c>
      <c r="AJ24" t="s">
        <v>718</v>
      </c>
    </row>
    <row r="25" spans="1:36">
      <c r="A25" t="s">
        <v>719</v>
      </c>
      <c r="I25" s="18">
        <v>24</v>
      </c>
      <c r="Q25" t="s">
        <v>720</v>
      </c>
      <c r="AA25" s="40" t="s">
        <v>721</v>
      </c>
      <c r="AC25" t="s">
        <v>722</v>
      </c>
      <c r="AD25" t="s">
        <v>723</v>
      </c>
      <c r="AE25" t="s">
        <v>191</v>
      </c>
      <c r="AF25" s="61" t="s">
        <v>724</v>
      </c>
      <c r="AJ25" t="s">
        <v>725</v>
      </c>
    </row>
    <row r="26" spans="1:36">
      <c r="A26" t="s">
        <v>726</v>
      </c>
      <c r="I26" s="18">
        <v>25</v>
      </c>
      <c r="Q26" t="s">
        <v>727</v>
      </c>
      <c r="AA26" t="s">
        <v>728</v>
      </c>
      <c r="AC26" t="s">
        <v>729</v>
      </c>
      <c r="AD26" t="s">
        <v>730</v>
      </c>
      <c r="AE26" t="s">
        <v>731</v>
      </c>
      <c r="AF26" t="s">
        <v>732</v>
      </c>
      <c r="AJ26" t="s">
        <v>733</v>
      </c>
    </row>
    <row r="27" spans="1:36">
      <c r="A27" t="s">
        <v>734</v>
      </c>
      <c r="I27" s="18">
        <v>26</v>
      </c>
      <c r="Q27" t="s">
        <v>735</v>
      </c>
      <c r="AA27" t="s">
        <v>736</v>
      </c>
      <c r="AC27" t="s">
        <v>737</v>
      </c>
      <c r="AD27" t="s">
        <v>738</v>
      </c>
      <c r="AE27" t="s">
        <v>678</v>
      </c>
      <c r="AF27" t="s">
        <v>739</v>
      </c>
      <c r="AJ27" t="s">
        <v>740</v>
      </c>
    </row>
    <row r="28" spans="1:36">
      <c r="A28" t="s">
        <v>741</v>
      </c>
      <c r="I28" s="18">
        <v>27</v>
      </c>
      <c r="Q28" t="s">
        <v>742</v>
      </c>
      <c r="AA28" t="s">
        <v>743</v>
      </c>
      <c r="AC28" t="s">
        <v>744</v>
      </c>
      <c r="AD28" t="s">
        <v>745</v>
      </c>
      <c r="AE28" t="s">
        <v>525</v>
      </c>
      <c r="AF28" t="s">
        <v>746</v>
      </c>
      <c r="AJ28" t="s">
        <v>747</v>
      </c>
    </row>
    <row r="29" spans="1:36">
      <c r="A29" t="s">
        <v>748</v>
      </c>
      <c r="I29" s="18">
        <v>28</v>
      </c>
      <c r="Q29" t="s">
        <v>749</v>
      </c>
      <c r="AA29" t="s">
        <v>750</v>
      </c>
      <c r="AC29" t="s">
        <v>751</v>
      </c>
      <c r="AD29" t="s">
        <v>752</v>
      </c>
      <c r="AE29" t="s">
        <v>695</v>
      </c>
      <c r="AJ29" t="s">
        <v>753</v>
      </c>
    </row>
    <row r="30" spans="1:36">
      <c r="A30" t="s">
        <v>754</v>
      </c>
      <c r="I30" s="18">
        <v>29</v>
      </c>
      <c r="Q30" t="s">
        <v>755</v>
      </c>
      <c r="AA30" t="s">
        <v>756</v>
      </c>
      <c r="AC30" t="s">
        <v>757</v>
      </c>
      <c r="AD30" t="s">
        <v>758</v>
      </c>
      <c r="AE30" t="s">
        <v>759</v>
      </c>
      <c r="AJ30" t="s">
        <v>138</v>
      </c>
    </row>
    <row r="31" spans="1:36">
      <c r="A31" t="s">
        <v>760</v>
      </c>
      <c r="I31" s="18">
        <v>30</v>
      </c>
      <c r="Q31" t="s">
        <v>761</v>
      </c>
      <c r="AA31" s="40" t="s">
        <v>762</v>
      </c>
      <c r="AC31" t="s">
        <v>763</v>
      </c>
      <c r="AD31" t="s">
        <v>764</v>
      </c>
      <c r="AJ31" t="s">
        <v>765</v>
      </c>
    </row>
    <row r="32" spans="1:36">
      <c r="A32" t="s">
        <v>766</v>
      </c>
      <c r="I32" s="18">
        <v>31</v>
      </c>
      <c r="Q32" t="s">
        <v>767</v>
      </c>
      <c r="AA32" t="s">
        <v>768</v>
      </c>
      <c r="AC32" t="s">
        <v>769</v>
      </c>
      <c r="AD32" t="s">
        <v>770</v>
      </c>
      <c r="AJ32" t="s">
        <v>65</v>
      </c>
    </row>
    <row r="33" spans="1:36">
      <c r="A33" t="s">
        <v>771</v>
      </c>
      <c r="I33" s="18">
        <v>32</v>
      </c>
      <c r="Q33" t="s">
        <v>767</v>
      </c>
      <c r="AA33" t="s">
        <v>772</v>
      </c>
      <c r="AC33" t="s">
        <v>773</v>
      </c>
      <c r="AD33" t="s">
        <v>774</v>
      </c>
      <c r="AE33" t="s">
        <v>731</v>
      </c>
      <c r="AF33" t="s">
        <v>775</v>
      </c>
      <c r="AJ33" t="s">
        <v>776</v>
      </c>
    </row>
    <row r="34" spans="1:36">
      <c r="A34" t="s">
        <v>777</v>
      </c>
      <c r="I34" s="18">
        <v>33</v>
      </c>
      <c r="Q34" t="s">
        <v>778</v>
      </c>
      <c r="AA34" t="s">
        <v>779</v>
      </c>
      <c r="AC34" t="s">
        <v>780</v>
      </c>
    </row>
    <row r="35" spans="1:36">
      <c r="A35" t="s">
        <v>781</v>
      </c>
      <c r="I35" s="18">
        <v>34</v>
      </c>
      <c r="Q35" t="s">
        <v>782</v>
      </c>
      <c r="AA35" t="s">
        <v>783</v>
      </c>
    </row>
    <row r="36" spans="1:36">
      <c r="A36" t="s">
        <v>784</v>
      </c>
      <c r="I36" s="18">
        <v>35</v>
      </c>
      <c r="Q36" t="s">
        <v>785</v>
      </c>
      <c r="AA36" t="s">
        <v>786</v>
      </c>
    </row>
    <row r="37" spans="1:36">
      <c r="A37" t="s">
        <v>787</v>
      </c>
      <c r="I37" s="18">
        <v>36</v>
      </c>
      <c r="Q37" t="s">
        <v>788</v>
      </c>
      <c r="AA37" t="s">
        <v>789</v>
      </c>
    </row>
    <row r="38" spans="1:36">
      <c r="A38" t="s">
        <v>790</v>
      </c>
      <c r="I38" s="18">
        <v>37</v>
      </c>
      <c r="Q38" t="s">
        <v>88</v>
      </c>
      <c r="AA38" t="s">
        <v>791</v>
      </c>
    </row>
    <row r="39" spans="1:36">
      <c r="A39" t="s">
        <v>792</v>
      </c>
      <c r="I39" s="18">
        <v>38</v>
      </c>
      <c r="Q39" t="s">
        <v>793</v>
      </c>
      <c r="AA39" t="s">
        <v>794</v>
      </c>
    </row>
    <row r="40" spans="1:36">
      <c r="A40" t="s">
        <v>795</v>
      </c>
      <c r="I40" s="18">
        <v>39</v>
      </c>
      <c r="Q40" t="s">
        <v>796</v>
      </c>
      <c r="AA40" t="s">
        <v>20</v>
      </c>
    </row>
    <row r="41" spans="1:36">
      <c r="A41" t="s">
        <v>797</v>
      </c>
      <c r="Q41" t="s">
        <v>85</v>
      </c>
    </row>
    <row r="42" spans="1:36">
      <c r="A42" t="s">
        <v>798</v>
      </c>
      <c r="Q42" t="s">
        <v>799</v>
      </c>
    </row>
    <row r="43" spans="1:36">
      <c r="A43" t="s">
        <v>800</v>
      </c>
      <c r="Q43" t="s">
        <v>801</v>
      </c>
    </row>
    <row r="44" spans="1:36">
      <c r="A44" t="s">
        <v>802</v>
      </c>
      <c r="Q44" t="s">
        <v>121</v>
      </c>
    </row>
    <row r="45" spans="1:36">
      <c r="A45" t="s">
        <v>803</v>
      </c>
      <c r="Q45" t="s">
        <v>804</v>
      </c>
    </row>
    <row r="46" spans="1:36">
      <c r="A46" t="s">
        <v>805</v>
      </c>
      <c r="Q46" t="s">
        <v>806</v>
      </c>
    </row>
    <row r="47" spans="1:36">
      <c r="A47" t="s">
        <v>807</v>
      </c>
      <c r="Q47" t="s">
        <v>808</v>
      </c>
    </row>
    <row r="48" spans="1:36">
      <c r="A48" t="s">
        <v>6</v>
      </c>
      <c r="Q48" t="s">
        <v>809</v>
      </c>
    </row>
    <row r="49" spans="1:17">
      <c r="A49" t="s">
        <v>810</v>
      </c>
      <c r="Q49" t="s">
        <v>811</v>
      </c>
    </row>
    <row r="50" spans="1:17">
      <c r="A50" t="s">
        <v>812</v>
      </c>
      <c r="Q50" t="s">
        <v>813</v>
      </c>
    </row>
    <row r="51" spans="1:17">
      <c r="A51" t="s">
        <v>814</v>
      </c>
      <c r="Q51" t="s">
        <v>84</v>
      </c>
    </row>
    <row r="52" spans="1:17">
      <c r="A52" t="s">
        <v>815</v>
      </c>
      <c r="Q52" t="s">
        <v>816</v>
      </c>
    </row>
    <row r="53" spans="1:17">
      <c r="A53" t="s">
        <v>817</v>
      </c>
      <c r="Q53" t="s">
        <v>818</v>
      </c>
    </row>
    <row r="54" spans="1:17">
      <c r="A54" t="s">
        <v>819</v>
      </c>
      <c r="Q54" t="s">
        <v>820</v>
      </c>
    </row>
    <row r="55" spans="1:17">
      <c r="A55" t="s">
        <v>821</v>
      </c>
      <c r="Q55" t="s">
        <v>822</v>
      </c>
    </row>
    <row r="56" spans="1:17">
      <c r="A56" t="s">
        <v>823</v>
      </c>
      <c r="Q56" t="s">
        <v>824</v>
      </c>
    </row>
    <row r="57" spans="1:17">
      <c r="A57" t="s">
        <v>825</v>
      </c>
      <c r="Q57" t="s">
        <v>826</v>
      </c>
    </row>
    <row r="58" spans="1:17">
      <c r="A58" t="s">
        <v>21</v>
      </c>
      <c r="Q58" t="s">
        <v>827</v>
      </c>
    </row>
    <row r="59" spans="1:17">
      <c r="A59" t="s">
        <v>828</v>
      </c>
      <c r="Q59" t="s">
        <v>829</v>
      </c>
    </row>
    <row r="60" spans="1:17">
      <c r="A60" t="s">
        <v>830</v>
      </c>
      <c r="Q60" t="s">
        <v>86</v>
      </c>
    </row>
    <row r="61" spans="1:17">
      <c r="A61" t="s">
        <v>831</v>
      </c>
      <c r="Q61" t="s">
        <v>832</v>
      </c>
    </row>
    <row r="62" spans="1:17">
      <c r="A62" t="s">
        <v>833</v>
      </c>
      <c r="Q62" t="s">
        <v>834</v>
      </c>
    </row>
    <row r="63" spans="1:17">
      <c r="A63" t="s">
        <v>835</v>
      </c>
      <c r="Q63" t="s">
        <v>836</v>
      </c>
    </row>
    <row r="64" spans="1:17">
      <c r="A64" t="s">
        <v>837</v>
      </c>
      <c r="Q64" t="s">
        <v>838</v>
      </c>
    </row>
    <row r="65" spans="1:17">
      <c r="A65" t="s">
        <v>839</v>
      </c>
      <c r="Q65" t="s">
        <v>840</v>
      </c>
    </row>
    <row r="66" spans="1:17">
      <c r="A66" t="s">
        <v>841</v>
      </c>
      <c r="Q66" t="s">
        <v>842</v>
      </c>
    </row>
    <row r="67" spans="1:17">
      <c r="A67" t="s">
        <v>843</v>
      </c>
      <c r="Q67" t="s">
        <v>87</v>
      </c>
    </row>
    <row r="68" spans="1:17">
      <c r="A68" t="s">
        <v>844</v>
      </c>
      <c r="Q68" t="s">
        <v>845</v>
      </c>
    </row>
    <row r="69" spans="1:17">
      <c r="A69" t="s">
        <v>846</v>
      </c>
      <c r="Q69" t="s">
        <v>62</v>
      </c>
    </row>
    <row r="70" spans="1:17">
      <c r="A70" t="s">
        <v>847</v>
      </c>
      <c r="Q70" t="s">
        <v>848</v>
      </c>
    </row>
    <row r="71" spans="1:17">
      <c r="A71" t="s">
        <v>849</v>
      </c>
      <c r="Q71" t="s">
        <v>850</v>
      </c>
    </row>
    <row r="72" spans="1:17">
      <c r="A72" t="s">
        <v>851</v>
      </c>
      <c r="Q72" t="s">
        <v>852</v>
      </c>
    </row>
    <row r="73" spans="1:17">
      <c r="A73" t="s">
        <v>853</v>
      </c>
      <c r="Q73" t="s">
        <v>854</v>
      </c>
    </row>
    <row r="74" spans="1:17">
      <c r="A74" t="s">
        <v>855</v>
      </c>
      <c r="Q74" t="s">
        <v>856</v>
      </c>
    </row>
    <row r="75" spans="1:17">
      <c r="A75" t="s">
        <v>857</v>
      </c>
      <c r="Q75" t="s">
        <v>858</v>
      </c>
    </row>
    <row r="76" spans="1:17">
      <c r="A76" t="s">
        <v>859</v>
      </c>
      <c r="Q76" t="s">
        <v>860</v>
      </c>
    </row>
    <row r="77" spans="1:17">
      <c r="A77" t="s">
        <v>861</v>
      </c>
      <c r="Q77" t="s">
        <v>862</v>
      </c>
    </row>
    <row r="78" spans="1:17">
      <c r="A78" t="s">
        <v>863</v>
      </c>
      <c r="Q78" t="s">
        <v>63</v>
      </c>
    </row>
    <row r="79" spans="1:17">
      <c r="A79" t="s">
        <v>864</v>
      </c>
    </row>
    <row r="80" spans="1:17">
      <c r="A80" t="s">
        <v>865</v>
      </c>
    </row>
    <row r="81" spans="1:1">
      <c r="A81" t="s">
        <v>866</v>
      </c>
    </row>
    <row r="82" spans="1:1">
      <c r="A82" t="s">
        <v>867</v>
      </c>
    </row>
    <row r="83" spans="1:1">
      <c r="A83" t="s">
        <v>868</v>
      </c>
    </row>
    <row r="84" spans="1:1">
      <c r="A84" t="s">
        <v>869</v>
      </c>
    </row>
    <row r="85" spans="1:1">
      <c r="A85" t="s">
        <v>870</v>
      </c>
    </row>
    <row r="86" spans="1:1">
      <c r="A86" t="s">
        <v>871</v>
      </c>
    </row>
    <row r="87" spans="1:1">
      <c r="A87" t="s">
        <v>872</v>
      </c>
    </row>
    <row r="88" spans="1:1">
      <c r="A88" t="s">
        <v>873</v>
      </c>
    </row>
    <row r="89" spans="1:1">
      <c r="A89" t="s">
        <v>874</v>
      </c>
    </row>
    <row r="90" spans="1:1">
      <c r="A90" t="s">
        <v>875</v>
      </c>
    </row>
    <row r="91" spans="1:1">
      <c r="A91" t="s">
        <v>876</v>
      </c>
    </row>
    <row r="92" spans="1:1">
      <c r="A92" t="s">
        <v>877</v>
      </c>
    </row>
    <row r="93" spans="1:1">
      <c r="A93" t="s">
        <v>878</v>
      </c>
    </row>
    <row r="94" spans="1:1">
      <c r="A94" t="s">
        <v>879</v>
      </c>
    </row>
    <row r="95" spans="1:1">
      <c r="A95" t="s">
        <v>880</v>
      </c>
    </row>
    <row r="96" spans="1:1">
      <c r="A96" t="s">
        <v>881</v>
      </c>
    </row>
    <row r="97" spans="1:1">
      <c r="A97" t="s">
        <v>882</v>
      </c>
    </row>
    <row r="98" spans="1:1">
      <c r="A98" t="s">
        <v>883</v>
      </c>
    </row>
    <row r="99" spans="1:1">
      <c r="A99" t="s">
        <v>884</v>
      </c>
    </row>
    <row r="100" spans="1:1">
      <c r="A100" t="s">
        <v>885</v>
      </c>
    </row>
    <row r="101" spans="1:1">
      <c r="A101" t="s">
        <v>886</v>
      </c>
    </row>
    <row r="102" spans="1:1">
      <c r="A102" t="s">
        <v>887</v>
      </c>
    </row>
    <row r="103" spans="1:1">
      <c r="A103" t="s">
        <v>888</v>
      </c>
    </row>
    <row r="104" spans="1:1">
      <c r="A104" t="s">
        <v>889</v>
      </c>
    </row>
    <row r="105" spans="1:1">
      <c r="A105" t="s">
        <v>890</v>
      </c>
    </row>
    <row r="106" spans="1:1">
      <c r="A106" t="s">
        <v>891</v>
      </c>
    </row>
    <row r="107" spans="1:1">
      <c r="A107" t="s">
        <v>21</v>
      </c>
    </row>
  </sheetData>
  <sortState xmlns:xlrd2="http://schemas.microsoft.com/office/spreadsheetml/2017/richdata2" ref="Q2:Q105">
    <sortCondition ref="Q42:Q105"/>
  </sortState>
  <mergeCells count="2">
    <mergeCell ref="A1:B1"/>
    <mergeCell ref="AE1:AF1"/>
  </mergeCells>
  <phoneticPr fontId="20" type="noConversion"/>
  <hyperlinks>
    <hyperlink ref="AF25" r:id="rId1" display="https://www.bing.com/ck/a?!&amp;&amp;p=704274c559abc4bdJmltdHM9MTY3MzQ4MTYwMCZpZ3VpZD0wZjdkMzIzZC04ZDU1LTYwZDItMmE5MS0yMGJkODk1NTZlMTYmaW5zaWQ9NTgzMw&amp;ptn=3&amp;hsh=3&amp;fclid=0f7d323d-8d55-60d2-2a91-20bd89556e16&amp;psq=RAMADA+BY+WYNDHAM+MANAMA+CITY+CENTRE&amp;u=a1dGVsOis5NzMxNzEwNDAwMA&amp;ntb=1" xr:uid="{D27103C0-5988-4C18-AD6A-49361FB70252}"/>
    <hyperlink ref="AC31" r:id="rId2" display="https://www.bing.com/ck/a?!&amp;&amp;p=13d16d800eab58dcJmltdHM9MTcyMDY1NjAwMCZpZ3VpZD0wMTE0ZDRiZi0zY2RhLTZjYjYtMDI5Ny1jMDM0M2Q5ZDZkZjgmaW5zaWQ9NTUzMw&amp;ptn=3&amp;ver=2&amp;hsh=3&amp;fclid=0114d4bf-3cda-6cb6-0297-c0343d9d6df8&amp;u=a1L21hcHM_Jm1lcGk9MTAxfn5Vbmtub3dufkFkZHJlc3NfTGluayZ0eT0xOCZxPSVDMyVCNCUyMENoJUMzJTk0bWklQzMlQThyZSZzcz15cGlkLllONzk5N3gxNTUxNTQ0NTE3MTM0NzczMDE1NSZwcG9pcz01MC4zOTQyNzE4NTA1ODU5NF81LjkyOTcxODk3MTI1MjQ0MV8lQzMlQjQlMjBDaCVDMyU5NG1pJUMzJUE4cmVfWU43OTk3eDE1NTE1NDQ1MTcxMzQ3NzMwMTU1fiZjcD01MC4zOTQyNzJ-NS45Mjk3MTkmdj0yJnNWPTEmRk9STT1NUFNSUEw&amp;ntb=1" xr:uid="{FF66D085-AC6A-4200-B69A-8B65B9C8E77D}"/>
  </hyperlinks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9463E-90C9-46F5-95F9-E16618E8FE82}">
  <sheetPr codeName="Sheet16">
    <tabColor rgb="FFFFFF00"/>
  </sheetPr>
  <dimension ref="A1:G8"/>
  <sheetViews>
    <sheetView workbookViewId="0">
      <selection activeCell="E20" sqref="E20"/>
    </sheetView>
  </sheetViews>
  <sheetFormatPr defaultColWidth="8.7109375" defaultRowHeight="14.45"/>
  <cols>
    <col min="1" max="1" width="21.140625" bestFit="1" customWidth="1"/>
    <col min="2" max="2" width="71.42578125" customWidth="1"/>
    <col min="3" max="3" width="22.7109375" bestFit="1" customWidth="1"/>
    <col min="4" max="4" width="20" bestFit="1" customWidth="1"/>
    <col min="5" max="5" width="45" customWidth="1"/>
  </cols>
  <sheetData>
    <row r="1" spans="1:7" ht="20.45" thickBot="1">
      <c r="A1" s="15" t="s">
        <v>892</v>
      </c>
      <c r="B1" s="15" t="s">
        <v>893</v>
      </c>
      <c r="C1" s="15" t="s">
        <v>894</v>
      </c>
      <c r="D1" s="15" t="s">
        <v>895</v>
      </c>
      <c r="E1" s="15"/>
      <c r="F1" s="15"/>
      <c r="G1" s="15"/>
    </row>
    <row r="2" spans="1:7" ht="15" thickTop="1">
      <c r="A2" t="s">
        <v>896</v>
      </c>
      <c r="B2" t="s">
        <v>897</v>
      </c>
      <c r="C2" t="s">
        <v>440</v>
      </c>
      <c r="D2" s="19">
        <v>43937</v>
      </c>
    </row>
    <row r="3" spans="1:7">
      <c r="A3" t="s">
        <v>898</v>
      </c>
      <c r="B3" t="s">
        <v>899</v>
      </c>
      <c r="C3" t="s">
        <v>440</v>
      </c>
      <c r="D3" s="19">
        <v>43943</v>
      </c>
    </row>
    <row r="4" spans="1:7">
      <c r="A4" t="s">
        <v>900</v>
      </c>
      <c r="B4" t="s">
        <v>901</v>
      </c>
      <c r="C4" t="s">
        <v>902</v>
      </c>
      <c r="D4" s="19">
        <v>44604</v>
      </c>
    </row>
    <row r="5" spans="1:7">
      <c r="A5" t="s">
        <v>903</v>
      </c>
      <c r="B5" t="s">
        <v>904</v>
      </c>
      <c r="C5" t="s">
        <v>905</v>
      </c>
      <c r="D5" s="19">
        <v>44635</v>
      </c>
    </row>
    <row r="6" spans="1:7">
      <c r="A6" t="s">
        <v>906</v>
      </c>
      <c r="B6" t="s">
        <v>907</v>
      </c>
      <c r="C6" t="s">
        <v>442</v>
      </c>
      <c r="D6" s="19">
        <v>44980</v>
      </c>
    </row>
    <row r="7" spans="1:7">
      <c r="A7" t="s">
        <v>908</v>
      </c>
      <c r="B7" t="s">
        <v>909</v>
      </c>
      <c r="C7" t="s">
        <v>442</v>
      </c>
      <c r="D7" s="19">
        <v>44999</v>
      </c>
    </row>
    <row r="8" spans="1:7">
      <c r="A8" t="s">
        <v>910</v>
      </c>
      <c r="B8" t="s">
        <v>911</v>
      </c>
      <c r="C8" t="s">
        <v>905</v>
      </c>
      <c r="D8" s="19">
        <v>45456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9A2BB-B3A0-4FDB-A02B-997E8BD9454F}">
  <sheetPr codeName="Sheet19"/>
  <dimension ref="A1:Q501"/>
  <sheetViews>
    <sheetView showGridLines="0" topLeftCell="A134" workbookViewId="0">
      <selection activeCell="C141" sqref="C141"/>
    </sheetView>
  </sheetViews>
  <sheetFormatPr defaultColWidth="8.7109375" defaultRowHeight="14.45"/>
  <cols>
    <col min="1" max="2" width="20.7109375" style="77" customWidth="1"/>
    <col min="3" max="3" width="23.7109375" customWidth="1"/>
    <col min="4" max="4" width="15.7109375" customWidth="1"/>
    <col min="5" max="5" width="9.7109375" customWidth="1"/>
    <col min="6" max="6" width="45.7109375" customWidth="1"/>
    <col min="7" max="7" width="9.7109375" customWidth="1"/>
    <col min="8" max="8" width="45.7109375" customWidth="1"/>
    <col min="9" max="9" width="3.7109375" customWidth="1"/>
    <col min="10" max="10" width="11.28515625" customWidth="1"/>
    <col min="13" max="13" width="9.140625" customWidth="1"/>
    <col min="15" max="15" width="10.28515625" customWidth="1"/>
    <col min="19" max="20" width="9.140625" customWidth="1"/>
  </cols>
  <sheetData>
    <row r="1" spans="1:17" ht="16.899999999999999">
      <c r="A1" s="90" t="s">
        <v>912</v>
      </c>
      <c r="B1" s="75" t="s">
        <v>913</v>
      </c>
      <c r="C1" s="73" t="s">
        <v>914</v>
      </c>
      <c r="D1" s="72" t="s">
        <v>915</v>
      </c>
      <c r="E1" s="78"/>
      <c r="F1" s="89" t="s">
        <v>916</v>
      </c>
      <c r="G1" s="78"/>
      <c r="H1" s="89" t="s">
        <v>917</v>
      </c>
      <c r="I1" s="91">
        <v>0</v>
      </c>
    </row>
    <row r="2" spans="1:17">
      <c r="A2" s="76" t="e" cm="1">
        <f t="array" ref="A2">IF(OR(INDEX(#REF!,ROW()+10)="START",INDEX(#REF!,ROW()+9)="",INDEX(#REF!,ROW()+9)="START",INDEX(#REF!,ROW()+9)="TBA",INDEX(#REF!,ROW()+9)="TBC"),"",INDEX(#REF!,ROW()+9)+'Date Calculators'!$B$2+E2)</f>
        <v>#REF!</v>
      </c>
      <c r="B2" s="76" t="e" cm="1">
        <f t="array" ref="B2">IF(OR(A2=""),"",IF(INDEX(#REF!,ROW()+9)="",IF(A3="",A2+$Q$10,A3),INDEX(#REF!,ROW()+9)+'Date Calculators'!$B$2+E2))</f>
        <v>#REF!</v>
      </c>
      <c r="C2" s="74" t="e" cm="1">
        <f t="array" ref="C2">IF(A2="","",INDEX(#REF!,ROW()+9))</f>
        <v>#REF!</v>
      </c>
      <c r="D2" s="74" t="str">
        <f>IFERROR(IF(A2="","",'Event Info'!$B$2),"")</f>
        <v/>
      </c>
      <c r="E2" t="e" cm="1">
        <f t="array" ref="E2">IF(INDEX(#REF!,ROW()+9)="START",E1+1,E1+0)</f>
        <v>#REF!</v>
      </c>
      <c r="F2" s="82" t="e">
        <f>IF(A2&lt;&gt;"",_xlfn.CONCAT(TEXT(A2,"yyyy-mm-dd"),"T",TEXT(A2,"hh:mm:ss"),'Event Info'!$B$5,",",," ",C2),"")</f>
        <v>#REF!</v>
      </c>
      <c r="G2" t="e">
        <f>IF(A2&lt;&gt;"",1,0)</f>
        <v>#REF!</v>
      </c>
      <c r="H2" s="93" t="str">
        <f>IFERROR(INDEX($F$2:$F$500,MATCH(ROW()-1,$G$2:$G$500,0)),"")</f>
        <v/>
      </c>
      <c r="I2" s="88">
        <v>0</v>
      </c>
    </row>
    <row r="3" spans="1:17">
      <c r="A3" s="76" t="e" cm="1">
        <f t="array" ref="A3">IF(OR(INDEX(#REF!,ROW()+10)="START",INDEX(#REF!,ROW()+9)="",INDEX(#REF!,ROW()+9)="START",INDEX(#REF!,ROW()+9)="TBA",INDEX(#REF!,ROW()+9)="TBC"),"",INDEX(#REF!,ROW()+9)+'Date Calculators'!$B$2+E3)</f>
        <v>#REF!</v>
      </c>
      <c r="B3" s="76" t="e" cm="1">
        <f t="array" ref="B3">IF(OR(A3=""),"",IF(INDEX(#REF!,ROW()+9)="",IF(A4="",A3+$Q$10,A4),INDEX(#REF!,ROW()+9)+'Date Calculators'!$B$2+E3))</f>
        <v>#REF!</v>
      </c>
      <c r="C3" s="74" t="e" cm="1">
        <f t="array" ref="C3">IF(A3="","",INDEX(#REF!,ROW()+9))</f>
        <v>#REF!</v>
      </c>
      <c r="D3" s="74" t="str">
        <f>IFERROR(IF(A3="","",'Event Info'!$B$2),"")</f>
        <v/>
      </c>
      <c r="E3" t="e" cm="1">
        <f t="array" ref="E3">IF(INDEX(#REF!,ROW()+9)="START",E2+1,E2+0)</f>
        <v>#REF!</v>
      </c>
      <c r="F3" s="82" t="e">
        <f>IF(A3&lt;&gt;"",_xlfn.CONCAT(TEXT(A3,"yyyy-mm-dd"),"T",TEXT(A3,"hh:mm:ss"),'Event Info'!$B$5,",",," ",C3),"")</f>
        <v>#REF!</v>
      </c>
      <c r="G3" t="e">
        <f t="shared" ref="G3:G66" si="0">G2+IF(A3&lt;&gt;"",1,0)</f>
        <v>#REF!</v>
      </c>
      <c r="H3" s="92" t="str">
        <f>IFERROR(INDEX($F$2:$F$500,MATCH(ROW()-1,$G$2:$G$500,0)),"")</f>
        <v/>
      </c>
      <c r="I3" s="88">
        <v>0</v>
      </c>
      <c r="N3" s="79"/>
    </row>
    <row r="4" spans="1:17" ht="16.899999999999999">
      <c r="A4" s="76" t="e" cm="1">
        <f t="array" ref="A4">IF(OR(INDEX(#REF!,ROW()+10)="START",INDEX(#REF!,ROW()+9)="",INDEX(#REF!,ROW()+9)="START",INDEX(#REF!,ROW()+9)="TBA",INDEX(#REF!,ROW()+9)="TBC"),"",INDEX(#REF!,ROW()+9)+'Date Calculators'!$B$2+E4)</f>
        <v>#REF!</v>
      </c>
      <c r="B4" s="76" t="e" cm="1">
        <f t="array" ref="B4">IF(OR(A4=""),"",IF(INDEX(#REF!,ROW()+9)="",IF(A5="",A4+$Q$10,A5),INDEX(#REF!,ROW()+9)+'Date Calculators'!$B$2+E4))</f>
        <v>#REF!</v>
      </c>
      <c r="C4" s="74" t="e" cm="1">
        <f t="array" ref="C4">IF(A4="","",INDEX(#REF!,ROW()+9))</f>
        <v>#REF!</v>
      </c>
      <c r="D4" s="74" t="str">
        <f>IFERROR(IF(A4="","",'Event Info'!$B$2),"")</f>
        <v/>
      </c>
      <c r="E4" t="e" cm="1">
        <f t="array" ref="E4">IF(INDEX(#REF!,ROW()+9)="START",E3+1,E3+0)</f>
        <v>#REF!</v>
      </c>
      <c r="F4" s="82" t="e">
        <f>IF(A4&lt;&gt;"",_xlfn.CONCAT(TEXT(A4,"yyyy-mm-dd"),"T",TEXT(A4,"hh:mm:ss"),'Event Info'!$B$5,",",," ",C4),"")</f>
        <v>#REF!</v>
      </c>
      <c r="G4" t="e">
        <f t="shared" si="0"/>
        <v>#REF!</v>
      </c>
      <c r="H4" s="92" t="str">
        <f t="shared" ref="H4:H67" si="1">IFERROR(INDEX($F$2:$F$500,MATCH(ROW()-1,$G$2:$G$500,0)),"")</f>
        <v/>
      </c>
      <c r="I4" s="91">
        <v>0</v>
      </c>
      <c r="K4" s="87"/>
      <c r="L4" s="87"/>
      <c r="M4" s="87"/>
      <c r="N4" s="87"/>
      <c r="O4" s="87"/>
      <c r="P4" s="87"/>
      <c r="Q4" s="87"/>
    </row>
    <row r="5" spans="1:17">
      <c r="A5" s="76" t="e" cm="1">
        <f t="array" ref="A5">IF(OR(INDEX(#REF!,ROW()+10)="START",INDEX(#REF!,ROW()+9)="",INDEX(#REF!,ROW()+9)="START",INDEX(#REF!,ROW()+9)="TBA",INDEX(#REF!,ROW()+9)="TBC"),"",INDEX(#REF!,ROW()+9)+'Date Calculators'!$B$2+E5)</f>
        <v>#REF!</v>
      </c>
      <c r="B5" s="76" t="e" cm="1">
        <f t="array" ref="B5">IF(OR(A5=""),"",IF(INDEX(#REF!,ROW()+9)="",IF(A6="",A5+$Q$10,A6),INDEX(#REF!,ROW()+9)+'Date Calculators'!$B$2+E5))</f>
        <v>#REF!</v>
      </c>
      <c r="C5" s="74" t="e" cm="1">
        <f t="array" ref="C5">IF(A5="","",INDEX(#REF!,ROW()+9))</f>
        <v>#REF!</v>
      </c>
      <c r="D5" s="74" t="str">
        <f>IFERROR(IF(A5="","",'Event Info'!$B$2),"")</f>
        <v/>
      </c>
      <c r="E5" t="e" cm="1">
        <f t="array" ref="E5">IF(INDEX(#REF!,ROW()+9)="START",E4+1,E4+0)</f>
        <v>#REF!</v>
      </c>
      <c r="F5" s="82" t="e">
        <f>IF(A5&lt;&gt;"",_xlfn.CONCAT(TEXT(A5,"yyyy-mm-dd"),"T",TEXT(A5,"hh:mm:ss"),'Event Info'!$B$5,",",," ",C5),"")</f>
        <v>#REF!</v>
      </c>
      <c r="G5" t="e">
        <f t="shared" si="0"/>
        <v>#REF!</v>
      </c>
      <c r="H5" s="92" t="str">
        <f t="shared" si="1"/>
        <v/>
      </c>
      <c r="I5" s="88">
        <v>0</v>
      </c>
      <c r="J5" s="81" t="s">
        <v>918</v>
      </c>
      <c r="K5" s="1189" t="s">
        <v>919</v>
      </c>
      <c r="L5" s="1190"/>
      <c r="M5" s="1190"/>
      <c r="N5" s="1190"/>
      <c r="O5" s="1190"/>
      <c r="P5" s="1190"/>
      <c r="Q5" s="1191"/>
    </row>
    <row r="6" spans="1:17">
      <c r="A6" s="76" t="e" cm="1">
        <f t="array" ref="A6">IF(OR(INDEX(#REF!,ROW()+10)="START",INDEX(#REF!,ROW()+9)="",INDEX(#REF!,ROW()+9)="START",INDEX(#REF!,ROW()+9)="TBA",INDEX(#REF!,ROW()+9)="TBC"),"",INDEX(#REF!,ROW()+9)+'Date Calculators'!$B$2+E6)</f>
        <v>#REF!</v>
      </c>
      <c r="B6" s="76" t="e" cm="1">
        <f t="array" ref="B6">IF(OR(A6=""),"",IF(INDEX(#REF!,ROW()+9)="",IF(A7="",A6+$Q$10,A7),INDEX(#REF!,ROW()+9)+'Date Calculators'!$B$2+E6))</f>
        <v>#REF!</v>
      </c>
      <c r="C6" s="74" t="e" cm="1">
        <f t="array" ref="C6">IF(A6="","",INDEX(#REF!,ROW()+9))</f>
        <v>#REF!</v>
      </c>
      <c r="D6" s="74" t="str">
        <f>IFERROR(IF(A6="","",'Event Info'!$B$2),"")</f>
        <v/>
      </c>
      <c r="E6" t="e" cm="1">
        <f t="array" ref="E6">IF(INDEX(#REF!,ROW()+9)="START",E5+1,E5+0)</f>
        <v>#REF!</v>
      </c>
      <c r="F6" s="82" t="e">
        <f>IF(A6&lt;&gt;"",_xlfn.CONCAT(TEXT(A6,"yyyy-mm-dd"),"T",TEXT(A6,"hh:mm:ss"),'Event Info'!$B$5,",",," ",C6),"")</f>
        <v>#REF!</v>
      </c>
      <c r="G6" t="e">
        <f t="shared" si="0"/>
        <v>#REF!</v>
      </c>
      <c r="H6" s="92" t="str">
        <f t="shared" si="1"/>
        <v/>
      </c>
      <c r="I6" s="88">
        <v>0</v>
      </c>
    </row>
    <row r="7" spans="1:17" ht="16.899999999999999">
      <c r="A7" s="76" t="e" cm="1">
        <f t="array" ref="A7">IF(OR(INDEX(#REF!,ROW()+10)="START",INDEX(#REF!,ROW()+9)="",INDEX(#REF!,ROW()+9)="START",INDEX(#REF!,ROW()+9)="TBA",INDEX(#REF!,ROW()+9)="TBC"),"",INDEX(#REF!,ROW()+9)+'Date Calculators'!$B$2+E7)</f>
        <v>#REF!</v>
      </c>
      <c r="B7" s="76" t="e" cm="1">
        <f t="array" ref="B7">IF(OR(A7=""),"",IF(INDEX(#REF!,ROW()+9)="",IF(A8="",A7+$Q$10,A8),INDEX(#REF!,ROW()+9)+'Date Calculators'!$B$2+E7))</f>
        <v>#REF!</v>
      </c>
      <c r="C7" s="74" t="e" cm="1">
        <f t="array" ref="C7">IF(A7="","",INDEX(#REF!,ROW()+9))</f>
        <v>#REF!</v>
      </c>
      <c r="D7" s="74" t="str">
        <f>IFERROR(IF(A7="","",'Event Info'!$B$2),"")</f>
        <v/>
      </c>
      <c r="E7" t="e" cm="1">
        <f t="array" ref="E7">IF(INDEX(#REF!,ROW()+9)="START",E6+1,E6+0)</f>
        <v>#REF!</v>
      </c>
      <c r="F7" s="82" t="e">
        <f>IF(A7&lt;&gt;"",_xlfn.CONCAT(TEXT(A7,"yyyy-mm-dd"),"T",TEXT(A7,"hh:mm:ss"),'Event Info'!$B$5,",",," ",C7),"")</f>
        <v>#REF!</v>
      </c>
      <c r="G7" t="e">
        <f t="shared" si="0"/>
        <v>#REF!</v>
      </c>
      <c r="H7" s="92" t="str">
        <f t="shared" si="1"/>
        <v/>
      </c>
      <c r="I7" s="91">
        <v>0</v>
      </c>
    </row>
    <row r="8" spans="1:17" ht="16.899999999999999">
      <c r="A8" s="76" t="e" cm="1">
        <f t="array" ref="A8">IF(OR(INDEX(#REF!,ROW()+10)="START",INDEX(#REF!,ROW()+9)="",INDEX(#REF!,ROW()+9)="START",INDEX(#REF!,ROW()+9)="TBA",INDEX(#REF!,ROW()+9)="TBC"),"",INDEX(#REF!,ROW()+9)+'Date Calculators'!$B$2+E8)</f>
        <v>#REF!</v>
      </c>
      <c r="B8" s="76" t="e" cm="1">
        <f t="array" ref="B8">IF(OR(A8=""),"",IF(INDEX(#REF!,ROW()+9)="",IF(A9="",A8+$Q$10,A9),INDEX(#REF!,ROW()+9)+'Date Calculators'!$B$2+E8))</f>
        <v>#REF!</v>
      </c>
      <c r="C8" s="74" t="e" cm="1">
        <f t="array" ref="C8">IF(A8="","",INDEX(#REF!,ROW()+9))</f>
        <v>#REF!</v>
      </c>
      <c r="D8" s="74" t="str">
        <f>IFERROR(IF(A8="","",'Event Info'!$B$2),"")</f>
        <v/>
      </c>
      <c r="E8" t="e" cm="1">
        <f t="array" ref="E8">IF(INDEX(#REF!,ROW()+9)="START",E7+1,E7+0)</f>
        <v>#REF!</v>
      </c>
      <c r="F8" s="82" t="e">
        <f>IF(A8&lt;&gt;"",_xlfn.CONCAT(TEXT(A8,"yyyy-mm-dd"),"T",TEXT(A8,"hh:mm:ss"),'Event Info'!$B$5,",",," ",C8),"")</f>
        <v>#REF!</v>
      </c>
      <c r="G8" t="e">
        <f t="shared" si="0"/>
        <v>#REF!</v>
      </c>
      <c r="H8" s="92" t="str">
        <f t="shared" si="1"/>
        <v/>
      </c>
      <c r="I8" s="88">
        <v>0</v>
      </c>
      <c r="J8" s="1197" t="s">
        <v>17</v>
      </c>
      <c r="K8" s="1197"/>
      <c r="L8" s="1197"/>
      <c r="M8" s="1197"/>
      <c r="N8" s="1197"/>
      <c r="O8" s="1197"/>
      <c r="P8" s="1197"/>
      <c r="Q8" s="1197"/>
    </row>
    <row r="9" spans="1:17">
      <c r="A9" s="76" t="e" cm="1">
        <f t="array" ref="A9">IF(OR(INDEX(#REF!,ROW()+10)="START",INDEX(#REF!,ROW()+9)="",INDEX(#REF!,ROW()+9)="START",INDEX(#REF!,ROW()+9)="TBA",INDEX(#REF!,ROW()+9)="TBC"),"",INDEX(#REF!,ROW()+9)+'Date Calculators'!$B$2+E9)</f>
        <v>#REF!</v>
      </c>
      <c r="B9" s="76" t="e" cm="1">
        <f t="array" ref="B9">IF(OR(A9=""),"",IF(INDEX(#REF!,ROW()+9)="",IF(A10="",A9+$Q$10,A10),INDEX(#REF!,ROW()+9)+'Date Calculators'!$B$2+E9))</f>
        <v>#REF!</v>
      </c>
      <c r="C9" s="74" t="e" cm="1">
        <f t="array" ref="C9">IF(A9="","",INDEX(#REF!,ROW()+9))</f>
        <v>#REF!</v>
      </c>
      <c r="D9" s="74" t="str">
        <f>IFERROR(IF(A9="","",'Event Info'!$B$2),"")</f>
        <v/>
      </c>
      <c r="E9" t="e" cm="1">
        <f t="array" ref="E9">IF(INDEX(#REF!,ROW()+9)="START",E8+1,E8+0)</f>
        <v>#REF!</v>
      </c>
      <c r="F9" s="82" t="e">
        <f>IF(A9&lt;&gt;"",_xlfn.CONCAT(TEXT(A9,"yyyy-mm-dd"),"T",TEXT(A9,"hh:mm:ss"),'Event Info'!$B$5,",",," ",C9),"")</f>
        <v>#REF!</v>
      </c>
      <c r="G9" t="e">
        <f t="shared" si="0"/>
        <v>#REF!</v>
      </c>
      <c r="H9" s="92" t="str">
        <f t="shared" si="1"/>
        <v/>
      </c>
      <c r="I9" s="88">
        <v>0</v>
      </c>
      <c r="J9" s="1192" t="s">
        <v>920</v>
      </c>
      <c r="K9" s="1193"/>
      <c r="L9" s="1193"/>
      <c r="M9" s="1193"/>
      <c r="N9" s="1193"/>
      <c r="O9" s="1193"/>
      <c r="P9" s="1193"/>
      <c r="Q9" s="1194"/>
    </row>
    <row r="10" spans="1:17" ht="16.899999999999999">
      <c r="A10" s="76" t="e" cm="1">
        <f t="array" ref="A10">IF(OR(INDEX(#REF!,ROW()+10)="START",INDEX(#REF!,ROW()+9)="",INDEX(#REF!,ROW()+9)="START",INDEX(#REF!,ROW()+9)="TBA",INDEX(#REF!,ROW()+9)="TBC"),"",INDEX(#REF!,ROW()+9)+'Date Calculators'!$B$2+E10)</f>
        <v>#REF!</v>
      </c>
      <c r="B10" s="76" t="e" cm="1">
        <f t="array" ref="B10">IF(OR(A10=""),"",IF(INDEX(#REF!,ROW()+9)="",IF(A11="",A10+$Q$10,A11),INDEX(#REF!,ROW()+9)+'Date Calculators'!$B$2+E10))</f>
        <v>#REF!</v>
      </c>
      <c r="C10" s="74" t="e" cm="1">
        <f t="array" ref="C10">IF(A10="","",INDEX(#REF!,ROW()+9))</f>
        <v>#REF!</v>
      </c>
      <c r="D10" s="74" t="str">
        <f>IFERROR(IF(A10="","",'Event Info'!$B$2),"")</f>
        <v/>
      </c>
      <c r="E10" t="e" cm="1">
        <f t="array" ref="E10">IF(INDEX(#REF!,ROW()+9)="START",E9+1,E9+0)</f>
        <v>#REF!</v>
      </c>
      <c r="F10" s="82" t="e">
        <f>IF(A10&lt;&gt;"",_xlfn.CONCAT(TEXT(A10,"yyyy-mm-dd"),"T",TEXT(A10,"hh:mm:ss"),'Event Info'!$B$5,",",," ",C10),"")</f>
        <v>#REF!</v>
      </c>
      <c r="G10" t="e">
        <f t="shared" si="0"/>
        <v>#REF!</v>
      </c>
      <c r="H10" s="92" t="str">
        <f t="shared" si="1"/>
        <v/>
      </c>
      <c r="I10" s="91">
        <v>0</v>
      </c>
      <c r="J10" s="1195" t="s">
        <v>921</v>
      </c>
      <c r="K10" s="1196"/>
      <c r="L10" s="1196"/>
      <c r="M10" s="1196"/>
      <c r="N10" s="1196"/>
      <c r="O10" s="1196"/>
      <c r="P10" s="1196"/>
      <c r="Q10" s="80">
        <v>0</v>
      </c>
    </row>
    <row r="11" spans="1:17">
      <c r="A11" s="76" t="e" cm="1">
        <f t="array" ref="A11">IF(OR(INDEX(#REF!,ROW()+10)="START",INDEX(#REF!,ROW()+9)="",INDEX(#REF!,ROW()+9)="START",INDEX(#REF!,ROW()+9)="TBA",INDEX(#REF!,ROW()+9)="TBC"),"",INDEX(#REF!,ROW()+9)+'Date Calculators'!$B$2+E11)</f>
        <v>#REF!</v>
      </c>
      <c r="B11" s="76" t="e" cm="1">
        <f t="array" ref="B11">IF(OR(A11=""),"",IF(INDEX(#REF!,ROW()+9)="",IF(A12="",A11+$Q$10,A12),INDEX(#REF!,ROW()+9)+'Date Calculators'!$B$2+E11))</f>
        <v>#REF!</v>
      </c>
      <c r="C11" s="74" t="e" cm="1">
        <f t="array" ref="C11">IF(A11="","",INDEX(#REF!,ROW()+9))</f>
        <v>#REF!</v>
      </c>
      <c r="D11" s="74" t="str">
        <f>IFERROR(IF(A11="","",'Event Info'!$B$2),"")</f>
        <v/>
      </c>
      <c r="E11" t="e" cm="1">
        <f t="array" ref="E11">IF(INDEX(#REF!,ROW()+9)="START",E10+1,E10+0)</f>
        <v>#REF!</v>
      </c>
      <c r="F11" s="82" t="e">
        <f>IF(A11&lt;&gt;"",_xlfn.CONCAT(TEXT(A11,"yyyy-mm-dd"),"T",TEXT(A11,"hh:mm:ss"),'Event Info'!$B$5,",",," ",C11),"")</f>
        <v>#REF!</v>
      </c>
      <c r="G11" t="e">
        <f t="shared" si="0"/>
        <v>#REF!</v>
      </c>
      <c r="H11" s="92" t="str">
        <f t="shared" si="1"/>
        <v/>
      </c>
      <c r="I11" s="88">
        <v>0</v>
      </c>
    </row>
    <row r="12" spans="1:17">
      <c r="A12" s="76" t="e" cm="1">
        <f t="array" ref="A12">IF(OR(INDEX(#REF!,ROW()+10)="START",INDEX(#REF!,ROW()+9)="",INDEX(#REF!,ROW()+9)="START",INDEX(#REF!,ROW()+9)="TBA",INDEX(#REF!,ROW()+9)="TBC"),"",INDEX(#REF!,ROW()+9)+'Date Calculators'!$B$2+E12)</f>
        <v>#REF!</v>
      </c>
      <c r="B12" s="76" t="e" cm="1">
        <f t="array" ref="B12">IF(OR(A12=""),"",IF(INDEX(#REF!,ROW()+9)="",IF(A13="",A12+$Q$10,A13),INDEX(#REF!,ROW()+9)+'Date Calculators'!$B$2+E12))</f>
        <v>#REF!</v>
      </c>
      <c r="C12" s="74" t="e" cm="1">
        <f t="array" ref="C12">IF(A12="","",INDEX(#REF!,ROW()+9))</f>
        <v>#REF!</v>
      </c>
      <c r="D12" s="74" t="str">
        <f>IFERROR(IF(A12="","",'Event Info'!$B$2),"")</f>
        <v/>
      </c>
      <c r="E12" t="e" cm="1">
        <f t="array" ref="E12">IF(INDEX(#REF!,ROW()+9)="START",E11+1,E11+0)</f>
        <v>#REF!</v>
      </c>
      <c r="F12" s="82" t="e">
        <f>IF(A12&lt;&gt;"",_xlfn.CONCAT(TEXT(A12,"yyyy-mm-dd"),"T",TEXT(A12,"hh:mm:ss"),'Event Info'!$B$5,",",," ",C12),"")</f>
        <v>#REF!</v>
      </c>
      <c r="G12" t="e">
        <f t="shared" si="0"/>
        <v>#REF!</v>
      </c>
      <c r="H12" s="92" t="str">
        <f t="shared" si="1"/>
        <v/>
      </c>
      <c r="I12" s="88">
        <v>0</v>
      </c>
    </row>
    <row r="13" spans="1:17" ht="16.899999999999999">
      <c r="A13" s="76" t="e" cm="1">
        <f t="array" ref="A13">IF(OR(INDEX(#REF!,ROW()+10)="START",INDEX(#REF!,ROW()+9)="",INDEX(#REF!,ROW()+9)="START",INDEX(#REF!,ROW()+9)="TBA",INDEX(#REF!,ROW()+9)="TBC"),"",INDEX(#REF!,ROW()+9)+'Date Calculators'!$B$2+E13)</f>
        <v>#REF!</v>
      </c>
      <c r="B13" s="76" t="e" cm="1">
        <f t="array" ref="B13">IF(OR(A13=""),"",IF(INDEX(#REF!,ROW()+9)="",IF(A14="",A13+$Q$10,A14),INDEX(#REF!,ROW()+9)+'Date Calculators'!$B$2+E13))</f>
        <v>#REF!</v>
      </c>
      <c r="C13" s="74" t="e" cm="1">
        <f t="array" ref="C13">IF(A13="","",INDEX(#REF!,ROW()+9))</f>
        <v>#REF!</v>
      </c>
      <c r="D13" s="74" t="str">
        <f>IFERROR(IF(A13="","",'Event Info'!$B$2),"")</f>
        <v/>
      </c>
      <c r="E13" t="e" cm="1">
        <f t="array" ref="E13">IF(INDEX(#REF!,ROW()+9)="START",E12+1,E12+0)</f>
        <v>#REF!</v>
      </c>
      <c r="F13" s="82" t="e">
        <f>IF(A13&lt;&gt;"",_xlfn.CONCAT(TEXT(A13,"yyyy-mm-dd"),"T",TEXT(A13,"hh:mm:ss"),'Event Info'!$B$5,",",," ",C13),"")</f>
        <v>#REF!</v>
      </c>
      <c r="G13" t="e">
        <f t="shared" si="0"/>
        <v>#REF!</v>
      </c>
      <c r="H13" s="92" t="str">
        <f t="shared" si="1"/>
        <v/>
      </c>
      <c r="I13" s="91">
        <v>0</v>
      </c>
    </row>
    <row r="14" spans="1:17">
      <c r="A14" s="76" t="e" cm="1">
        <f t="array" ref="A14">IF(OR(INDEX(#REF!,ROW()+10)="START",INDEX(#REF!,ROW()+9)="",INDEX(#REF!,ROW()+9)="START",INDEX(#REF!,ROW()+9)="TBA",INDEX(#REF!,ROW()+9)="TBC"),"",INDEX(#REF!,ROW()+9)+'Date Calculators'!$B$2+E14)</f>
        <v>#REF!</v>
      </c>
      <c r="B14" s="76" t="e" cm="1">
        <f t="array" ref="B14">IF(OR(A14=""),"",IF(INDEX(#REF!,ROW()+9)="",IF(A15="",A14+$Q$10,A15),INDEX(#REF!,ROW()+9)+'Date Calculators'!$B$2+E14))</f>
        <v>#REF!</v>
      </c>
      <c r="C14" s="74" t="e" cm="1">
        <f t="array" ref="C14">IF(A14="","",INDEX(#REF!,ROW()+9))</f>
        <v>#REF!</v>
      </c>
      <c r="D14" s="74" t="str">
        <f>IFERROR(IF(A14="","",'Event Info'!$B$2),"")</f>
        <v/>
      </c>
      <c r="E14" t="e" cm="1">
        <f t="array" ref="E14">IF(INDEX(#REF!,ROW()+9)="START",E13+1,E13+0)</f>
        <v>#REF!</v>
      </c>
      <c r="F14" s="82" t="e">
        <f>IF(A14&lt;&gt;"",_xlfn.CONCAT(TEXT(A14,"yyyy-mm-dd"),"T",TEXT(A14,"hh:mm:ss"),'Event Info'!$B$5,",",," ",C14),"")</f>
        <v>#REF!</v>
      </c>
      <c r="G14" t="e">
        <f t="shared" si="0"/>
        <v>#REF!</v>
      </c>
      <c r="H14" s="92" t="str">
        <f t="shared" si="1"/>
        <v/>
      </c>
      <c r="I14" s="88">
        <v>0</v>
      </c>
    </row>
    <row r="15" spans="1:17">
      <c r="A15" s="76" t="e" cm="1">
        <f t="array" ref="A15">IF(OR(INDEX(#REF!,ROW()+10)="START",INDEX(#REF!,ROW()+9)="",INDEX(#REF!,ROW()+9)="START",INDEX(#REF!,ROW()+9)="TBA",INDEX(#REF!,ROW()+9)="TBC"),"",INDEX(#REF!,ROW()+9)+'Date Calculators'!$B$2+E15)</f>
        <v>#REF!</v>
      </c>
      <c r="B15" s="76" t="e" cm="1">
        <f t="array" ref="B15">IF(OR(A15=""),"",IF(INDEX(#REF!,ROW()+9)="",IF(A16="",A15+$Q$10,A16),INDEX(#REF!,ROW()+9)+'Date Calculators'!$B$2+E15))</f>
        <v>#REF!</v>
      </c>
      <c r="C15" s="74" t="e" cm="1">
        <f t="array" ref="C15">IF(A15="","",INDEX(#REF!,ROW()+9))</f>
        <v>#REF!</v>
      </c>
      <c r="D15" s="74" t="str">
        <f>IFERROR(IF(A15="","",'Event Info'!$B$2),"")</f>
        <v/>
      </c>
      <c r="E15" t="e" cm="1">
        <f t="array" ref="E15">IF(INDEX(#REF!,ROW()+9)="START",E14+1,E14+0)</f>
        <v>#REF!</v>
      </c>
      <c r="F15" s="82" t="e">
        <f>IF(A15&lt;&gt;"",_xlfn.CONCAT(TEXT(A15,"yyyy-mm-dd"),"T",TEXT(A15,"hh:mm:ss"),'Event Info'!$B$5,",",," ",C15),"")</f>
        <v>#REF!</v>
      </c>
      <c r="G15" t="e">
        <f t="shared" si="0"/>
        <v>#REF!</v>
      </c>
      <c r="H15" s="92" t="str">
        <f t="shared" si="1"/>
        <v/>
      </c>
      <c r="I15" s="88">
        <v>0</v>
      </c>
      <c r="J15" s="1182" t="s">
        <v>922</v>
      </c>
      <c r="K15" s="1182"/>
      <c r="L15" s="1182"/>
      <c r="M15" s="1182"/>
      <c r="N15" s="1182"/>
      <c r="O15" s="1182"/>
      <c r="P15" s="1182"/>
      <c r="Q15" s="1182"/>
    </row>
    <row r="16" spans="1:17" ht="16.899999999999999">
      <c r="A16" s="76" t="e" cm="1">
        <f t="array" ref="A16">IF(OR(INDEX(#REF!,ROW()+10)="START",INDEX(#REF!,ROW()+9)="",INDEX(#REF!,ROW()+9)="START",INDEX(#REF!,ROW()+9)="TBA",INDEX(#REF!,ROW()+9)="TBC"),"",INDEX(#REF!,ROW()+9)+'Date Calculators'!$B$2+E16)</f>
        <v>#REF!</v>
      </c>
      <c r="B16" s="76" t="e" cm="1">
        <f t="array" ref="B16">IF(OR(A16=""),"",IF(INDEX(#REF!,ROW()+9)="",IF(A17="",A16+$Q$10,A17),INDEX(#REF!,ROW()+9)+'Date Calculators'!$B$2+E16))</f>
        <v>#REF!</v>
      </c>
      <c r="C16" s="74" t="e" cm="1">
        <f t="array" ref="C16">IF(A16="","",INDEX(#REF!,ROW()+9))</f>
        <v>#REF!</v>
      </c>
      <c r="D16" s="74" t="str">
        <f>IFERROR(IF(A16="","",'Event Info'!$B$2),"")</f>
        <v/>
      </c>
      <c r="E16" t="e" cm="1">
        <f t="array" ref="E16">IF(INDEX(#REF!,ROW()+9)="START",E15+1,E15+0)</f>
        <v>#REF!</v>
      </c>
      <c r="F16" s="82" t="e">
        <f>IF(A16&lt;&gt;"",_xlfn.CONCAT(TEXT(A16,"yyyy-mm-dd"),"T",TEXT(A16,"hh:mm:ss"),'Event Info'!$B$5,",",," ",C16),"")</f>
        <v>#REF!</v>
      </c>
      <c r="G16" t="e">
        <f t="shared" si="0"/>
        <v>#REF!</v>
      </c>
      <c r="H16" s="92" t="str">
        <f t="shared" si="1"/>
        <v/>
      </c>
      <c r="I16" s="91">
        <v>0</v>
      </c>
      <c r="J16" s="1183" t="s">
        <v>923</v>
      </c>
      <c r="K16" s="1184"/>
      <c r="L16" s="1184"/>
      <c r="M16" s="1184"/>
      <c r="N16" s="1184"/>
      <c r="O16" s="1184"/>
      <c r="P16" s="1184"/>
      <c r="Q16" s="1185"/>
    </row>
    <row r="17" spans="1:17">
      <c r="A17" s="76" t="e" cm="1">
        <f t="array" ref="A17">IF(OR(INDEX(#REF!,ROW()+10)="START",INDEX(#REF!,ROW()+9)="",INDEX(#REF!,ROW()+9)="START",INDEX(#REF!,ROW()+9)="TBA",INDEX(#REF!,ROW()+9)="TBC"),"",INDEX(#REF!,ROW()+9)+'Date Calculators'!$B$2+E17)</f>
        <v>#REF!</v>
      </c>
      <c r="B17" s="76" t="e" cm="1">
        <f t="array" ref="B17">IF(OR(A17=""),"",IF(INDEX(#REF!,ROW()+9)="",IF(A18="",A17+$Q$10,A18),INDEX(#REF!,ROW()+9)+'Date Calculators'!$B$2+E17))</f>
        <v>#REF!</v>
      </c>
      <c r="C17" s="74" t="e" cm="1">
        <f t="array" ref="C17">IF(A17="","",INDEX(#REF!,ROW()+9))</f>
        <v>#REF!</v>
      </c>
      <c r="D17" s="74" t="str">
        <f>IFERROR(IF(A17="","",'Event Info'!$B$2),"")</f>
        <v/>
      </c>
      <c r="E17" t="e" cm="1">
        <f t="array" ref="E17">IF(INDEX(#REF!,ROW()+9)="START",E16+1,E16+0)</f>
        <v>#REF!</v>
      </c>
      <c r="F17" s="82" t="e">
        <f>IF(A17&lt;&gt;"",_xlfn.CONCAT(TEXT(A17,"yyyy-mm-dd"),"T",TEXT(A17,"hh:mm:ss"),'Event Info'!$B$5,",",," ",C17),"")</f>
        <v>#REF!</v>
      </c>
      <c r="G17" t="e">
        <f t="shared" si="0"/>
        <v>#REF!</v>
      </c>
      <c r="H17" s="92" t="str">
        <f t="shared" si="1"/>
        <v/>
      </c>
      <c r="I17" s="88">
        <v>0</v>
      </c>
    </row>
    <row r="18" spans="1:17">
      <c r="A18" s="76" t="e" cm="1">
        <f t="array" ref="A18">IF(OR(INDEX(#REF!,ROW()+10)="START",INDEX(#REF!,ROW()+9)="",INDEX(#REF!,ROW()+9)="START",INDEX(#REF!,ROW()+9)="TBA",INDEX(#REF!,ROW()+9)="TBC"),"",INDEX(#REF!,ROW()+9)+'Date Calculators'!$B$2+E18)</f>
        <v>#REF!</v>
      </c>
      <c r="B18" s="76" t="e" cm="1">
        <f t="array" ref="B18">IF(OR(A18=""),"",IF(INDEX(#REF!,ROW()+9)="",IF(A19="",A18+$Q$10,A19),INDEX(#REF!,ROW()+9)+'Date Calculators'!$B$2+E18))</f>
        <v>#REF!</v>
      </c>
      <c r="C18" s="74" t="e" cm="1">
        <f t="array" ref="C18">IF(A18="","",INDEX(#REF!,ROW()+9))</f>
        <v>#REF!</v>
      </c>
      <c r="D18" s="74" t="str">
        <f>IFERROR(IF(A18="","",'Event Info'!$B$2),"")</f>
        <v/>
      </c>
      <c r="E18" t="e" cm="1">
        <f t="array" ref="E18">IF(INDEX(#REF!,ROW()+9)="START",E17+1,E17+0)</f>
        <v>#REF!</v>
      </c>
      <c r="F18" s="82" t="e">
        <f>IF(A18&lt;&gt;"",_xlfn.CONCAT(TEXT(A18,"yyyy-mm-dd"),"T",TEXT(A18,"hh:mm:ss"),'Event Info'!$B$5,",",," ",C18),"")</f>
        <v>#REF!</v>
      </c>
      <c r="G18" t="e">
        <f t="shared" si="0"/>
        <v>#REF!</v>
      </c>
      <c r="H18" s="92" t="str">
        <f t="shared" si="1"/>
        <v/>
      </c>
      <c r="I18" s="88">
        <v>0</v>
      </c>
    </row>
    <row r="19" spans="1:17" ht="16.899999999999999">
      <c r="A19" s="76" t="e" cm="1">
        <f t="array" ref="A19">IF(OR(INDEX(#REF!,ROW()+10)="START",INDEX(#REF!,ROW()+9)="",INDEX(#REF!,ROW()+9)="START",INDEX(#REF!,ROW()+9)="TBA",INDEX(#REF!,ROW()+9)="TBC"),"",INDEX(#REF!,ROW()+9)+'Date Calculators'!$B$2+E19)</f>
        <v>#REF!</v>
      </c>
      <c r="B19" s="76" t="e" cm="1">
        <f t="array" ref="B19">IF(OR(A19=""),"",IF(INDEX(#REF!,ROW()+9)="",IF(A20="",A19+$Q$10,A20),INDEX(#REF!,ROW()+9)+'Date Calculators'!$B$2+E19))</f>
        <v>#REF!</v>
      </c>
      <c r="C19" s="74" t="e" cm="1">
        <f t="array" ref="C19">IF(A19="","",INDEX(#REF!,ROW()+9))</f>
        <v>#REF!</v>
      </c>
      <c r="D19" s="74" t="str">
        <f>IFERROR(IF(A19="","",'Event Info'!$B$2),"")</f>
        <v/>
      </c>
      <c r="E19" t="e" cm="1">
        <f t="array" ref="E19">IF(INDEX(#REF!,ROW()+9)="START",E18+1,E18+0)</f>
        <v>#REF!</v>
      </c>
      <c r="F19" s="82" t="e">
        <f>IF(A19&lt;&gt;"",_xlfn.CONCAT(TEXT(A19,"yyyy-mm-dd"),"T",TEXT(A19,"hh:mm:ss"),'Event Info'!$B$5,",",," ",C19),"")</f>
        <v>#REF!</v>
      </c>
      <c r="G19" t="e">
        <f t="shared" si="0"/>
        <v>#REF!</v>
      </c>
      <c r="H19" s="92" t="str">
        <f t="shared" si="1"/>
        <v/>
      </c>
      <c r="I19" s="91">
        <v>0</v>
      </c>
      <c r="J19" s="1182" t="s">
        <v>924</v>
      </c>
      <c r="K19" s="1182"/>
      <c r="L19" s="1182"/>
      <c r="M19" s="1182"/>
      <c r="N19" s="1182"/>
      <c r="O19" s="1182"/>
      <c r="P19" s="1182"/>
      <c r="Q19" s="1182"/>
    </row>
    <row r="20" spans="1:17">
      <c r="A20" s="76" t="e" cm="1">
        <f t="array" ref="A20">IF(OR(INDEX(#REF!,ROW()+10)="START",INDEX(#REF!,ROW()+9)="",INDEX(#REF!,ROW()+9)="START",INDEX(#REF!,ROW()+9)="TBA",INDEX(#REF!,ROW()+9)="TBC"),"",INDEX(#REF!,ROW()+9)+'Date Calculators'!$B$2+E20)</f>
        <v>#REF!</v>
      </c>
      <c r="B20" s="76" t="e" cm="1">
        <f t="array" ref="B20">IF(OR(A20=""),"",IF(INDEX(#REF!,ROW()+9)="",IF(A21="",A20+$Q$10,A21),INDEX(#REF!,ROW()+9)+'Date Calculators'!$B$2+E20))</f>
        <v>#REF!</v>
      </c>
      <c r="C20" s="74" t="e" cm="1">
        <f t="array" ref="C20">IF(A20="","",INDEX(#REF!,ROW()+9))</f>
        <v>#REF!</v>
      </c>
      <c r="D20" s="74" t="str">
        <f>IFERROR(IF(A20="","",'Event Info'!$B$2),"")</f>
        <v/>
      </c>
      <c r="E20" t="e" cm="1">
        <f t="array" ref="E20">IF(INDEX(#REF!,ROW()+9)="START",E19+1,E19+0)</f>
        <v>#REF!</v>
      </c>
      <c r="F20" s="82" t="e">
        <f>IF(A20&lt;&gt;"",_xlfn.CONCAT(TEXT(A20,"yyyy-mm-dd"),"T",TEXT(A20,"hh:mm:ss"),'Event Info'!$B$5,",",," ",C20),"")</f>
        <v>#REF!</v>
      </c>
      <c r="G20" t="e">
        <f t="shared" si="0"/>
        <v>#REF!</v>
      </c>
      <c r="H20" s="92" t="str">
        <f t="shared" si="1"/>
        <v/>
      </c>
      <c r="I20" s="88">
        <v>0</v>
      </c>
      <c r="J20" s="1186" t="s">
        <v>553</v>
      </c>
      <c r="K20" s="1187"/>
      <c r="L20" s="1187"/>
      <c r="M20" s="1187"/>
      <c r="N20" s="1187"/>
      <c r="O20" s="1187"/>
      <c r="P20" s="1187"/>
      <c r="Q20" s="1188"/>
    </row>
    <row r="21" spans="1:17">
      <c r="A21" s="76" t="e" cm="1">
        <f t="array" ref="A21">IF(OR(INDEX(#REF!,ROW()+10)="START",INDEX(#REF!,ROW()+9)="",INDEX(#REF!,ROW()+9)="START",INDEX(#REF!,ROW()+9)="TBA",INDEX(#REF!,ROW()+9)="TBC"),"",INDEX(#REF!,ROW()+9)+'Date Calculators'!$B$2+E21)</f>
        <v>#REF!</v>
      </c>
      <c r="B21" s="76" t="e" cm="1">
        <f t="array" ref="B21">IF(OR(A21=""),"",IF(INDEX(#REF!,ROW()+9)="",IF(A22="",A21+$Q$10,A22),INDEX(#REF!,ROW()+9)+'Date Calculators'!$B$2+E21))</f>
        <v>#REF!</v>
      </c>
      <c r="C21" s="74" t="e" cm="1">
        <f t="array" ref="C21">IF(A21="","",INDEX(#REF!,ROW()+9))</f>
        <v>#REF!</v>
      </c>
      <c r="D21" s="74" t="str">
        <f>IFERROR(IF(A21="","",'Event Info'!$B$2),"")</f>
        <v/>
      </c>
      <c r="E21" t="e" cm="1">
        <f t="array" ref="E21">IF(INDEX(#REF!,ROW()+9)="START",E20+1,E20+0)</f>
        <v>#REF!</v>
      </c>
      <c r="F21" s="82" t="e">
        <f>IF(A21&lt;&gt;"",_xlfn.CONCAT(TEXT(A21,"yyyy-mm-dd"),"T",TEXT(A21,"hh:mm:ss"),'Event Info'!$B$5,",",," ",C21),"")</f>
        <v>#REF!</v>
      </c>
      <c r="G21" t="e">
        <f t="shared" si="0"/>
        <v>#REF!</v>
      </c>
      <c r="H21" s="92" t="str">
        <f t="shared" si="1"/>
        <v/>
      </c>
      <c r="I21" s="88">
        <v>0</v>
      </c>
    </row>
    <row r="22" spans="1:17" ht="16.899999999999999">
      <c r="A22" s="76" t="e" cm="1">
        <f t="array" ref="A22">IF(OR(INDEX(#REF!,ROW()+10)="START",INDEX(#REF!,ROW()+9)="",INDEX(#REF!,ROW()+9)="START",INDEX(#REF!,ROW()+9)="TBA",INDEX(#REF!,ROW()+9)="TBC"),"",INDEX(#REF!,ROW()+9)+'Date Calculators'!$B$2+E22)</f>
        <v>#REF!</v>
      </c>
      <c r="B22" s="76" t="e" cm="1">
        <f t="array" ref="B22">IF(OR(A22=""),"",IF(INDEX(#REF!,ROW()+9)="",IF(A23="",A22+$Q$10,A23),INDEX(#REF!,ROW()+9)+'Date Calculators'!$B$2+E22))</f>
        <v>#REF!</v>
      </c>
      <c r="C22" s="74" t="e" cm="1">
        <f t="array" ref="C22">IF(A22="","",INDEX(#REF!,ROW()+9))</f>
        <v>#REF!</v>
      </c>
      <c r="D22" s="74" t="str">
        <f>IFERROR(IF(A22="","",'Event Info'!$B$2),"")</f>
        <v/>
      </c>
      <c r="E22" t="e" cm="1">
        <f t="array" ref="E22">IF(INDEX(#REF!,ROW()+9)="START",E21+1,E21+0)</f>
        <v>#REF!</v>
      </c>
      <c r="F22" s="82" t="e">
        <f>IF(A22&lt;&gt;"",_xlfn.CONCAT(TEXT(A22,"yyyy-mm-dd"),"T",TEXT(A22,"hh:mm:ss"),'Event Info'!$B$5,",",," ",C22),"")</f>
        <v>#REF!</v>
      </c>
      <c r="G22" t="e">
        <f t="shared" si="0"/>
        <v>#REF!</v>
      </c>
      <c r="H22" s="92" t="str">
        <f t="shared" si="1"/>
        <v/>
      </c>
      <c r="I22" s="91">
        <v>0</v>
      </c>
    </row>
    <row r="23" spans="1:17">
      <c r="A23" s="76" t="e" cm="1">
        <f t="array" ref="A23">IF(OR(INDEX(#REF!,ROW()+10)="START",INDEX(#REF!,ROW()+9)="",INDEX(#REF!,ROW()+9)="START",INDEX(#REF!,ROW()+9)="TBA",INDEX(#REF!,ROW()+9)="TBC"),"",INDEX(#REF!,ROW()+9)+'Date Calculators'!$B$2+E23)</f>
        <v>#REF!</v>
      </c>
      <c r="B23" s="76" t="e" cm="1">
        <f t="array" ref="B23">IF(OR(A23=""),"",IF(INDEX(#REF!,ROW()+9)="",IF(A24="",A23+$Q$10,A24),INDEX(#REF!,ROW()+9)+'Date Calculators'!$B$2+E23))</f>
        <v>#REF!</v>
      </c>
      <c r="C23" s="74" t="e" cm="1">
        <f t="array" ref="C23">IF(A23="","",INDEX(#REF!,ROW()+9))</f>
        <v>#REF!</v>
      </c>
      <c r="D23" s="74" t="str">
        <f>IFERROR(IF(A23="","",'Event Info'!$B$2),"")</f>
        <v/>
      </c>
      <c r="E23" t="e" cm="1">
        <f t="array" ref="E23">IF(INDEX(#REF!,ROW()+9)="START",E22+1,E22+0)</f>
        <v>#REF!</v>
      </c>
      <c r="F23" s="82" t="e">
        <f>IF(A23&lt;&gt;"",_xlfn.CONCAT(TEXT(A23,"yyyy-mm-dd"),"T",TEXT(A23,"hh:mm:ss"),'Event Info'!$B$5,",",," ",C23),"")</f>
        <v>#REF!</v>
      </c>
      <c r="G23" t="e">
        <f t="shared" si="0"/>
        <v>#REF!</v>
      </c>
      <c r="H23" s="92" t="str">
        <f t="shared" si="1"/>
        <v/>
      </c>
      <c r="I23" s="88">
        <v>0</v>
      </c>
    </row>
    <row r="24" spans="1:17">
      <c r="A24" s="76" t="e" cm="1">
        <f t="array" ref="A24">IF(OR(INDEX(#REF!,ROW()+10)="START",INDEX(#REF!,ROW()+9)="",INDEX(#REF!,ROW()+9)="START",INDEX(#REF!,ROW()+9)="TBA",INDEX(#REF!,ROW()+9)="TBC"),"",INDEX(#REF!,ROW()+9)+'Date Calculators'!$B$2+E24)</f>
        <v>#REF!</v>
      </c>
      <c r="B24" s="76" t="e" cm="1">
        <f t="array" ref="B24">IF(OR(A24=""),"",IF(INDEX(#REF!,ROW()+9)="",IF(A25="",A24+$Q$10,A25),INDEX(#REF!,ROW()+9)+'Date Calculators'!$B$2+E24))</f>
        <v>#REF!</v>
      </c>
      <c r="C24" s="74" t="e" cm="1">
        <f t="array" ref="C24">IF(A24="","",INDEX(#REF!,ROW()+9))</f>
        <v>#REF!</v>
      </c>
      <c r="D24" s="74" t="str">
        <f>IFERROR(IF(A24="","",'Event Info'!$B$2),"")</f>
        <v/>
      </c>
      <c r="E24" t="e" cm="1">
        <f t="array" ref="E24">IF(INDEX(#REF!,ROW()+9)="START",E23+1,E23+0)</f>
        <v>#REF!</v>
      </c>
      <c r="F24" s="82" t="e">
        <f>IF(A24&lt;&gt;"",_xlfn.CONCAT(TEXT(A24,"yyyy-mm-dd"),"T",TEXT(A24,"hh:mm:ss"),'Event Info'!$B$5,",",," ",C24),"")</f>
        <v>#REF!</v>
      </c>
      <c r="G24" t="e">
        <f t="shared" si="0"/>
        <v>#REF!</v>
      </c>
      <c r="H24" s="92" t="str">
        <f t="shared" si="1"/>
        <v/>
      </c>
      <c r="I24" s="88">
        <v>0</v>
      </c>
    </row>
    <row r="25" spans="1:17" ht="16.899999999999999">
      <c r="A25" s="76" t="e" cm="1">
        <f t="array" ref="A25">IF(OR(INDEX(#REF!,ROW()+10)="START",INDEX(#REF!,ROW()+9)="",INDEX(#REF!,ROW()+9)="START",INDEX(#REF!,ROW()+9)="TBA",INDEX(#REF!,ROW()+9)="TBC"),"",INDEX(#REF!,ROW()+9)+'Date Calculators'!$B$2+E25)</f>
        <v>#REF!</v>
      </c>
      <c r="B25" s="76" t="e" cm="1">
        <f t="array" ref="B25">IF(OR(A25=""),"",IF(INDEX(#REF!,ROW()+9)="",IF(A26="",A25+$Q$10,A26),INDEX(#REF!,ROW()+9)+'Date Calculators'!$B$2+E25))</f>
        <v>#REF!</v>
      </c>
      <c r="C25" s="74" t="e" cm="1">
        <f t="array" ref="C25">IF(A25="","",INDEX(#REF!,ROW()+9))</f>
        <v>#REF!</v>
      </c>
      <c r="D25" s="74" t="str">
        <f>IFERROR(IF(A25="","",'Event Info'!$B$2),"")</f>
        <v/>
      </c>
      <c r="E25" t="e" cm="1">
        <f t="array" ref="E25">IF(INDEX(#REF!,ROW()+9)="START",E24+1,E24+0)</f>
        <v>#REF!</v>
      </c>
      <c r="F25" s="82" t="e">
        <f>IF(A25&lt;&gt;"",_xlfn.CONCAT(TEXT(A25,"yyyy-mm-dd"),"T",TEXT(A25,"hh:mm:ss"),'Event Info'!$B$5,",",," ",C25),"")</f>
        <v>#REF!</v>
      </c>
      <c r="G25" t="e">
        <f t="shared" si="0"/>
        <v>#REF!</v>
      </c>
      <c r="H25" s="92" t="str">
        <f t="shared" si="1"/>
        <v/>
      </c>
      <c r="I25" s="91">
        <v>0</v>
      </c>
    </row>
    <row r="26" spans="1:17">
      <c r="A26" s="76" t="e" cm="1">
        <f t="array" ref="A26">IF(OR(INDEX(#REF!,ROW()+10)="START",INDEX(#REF!,ROW()+9)="",INDEX(#REF!,ROW()+9)="START",INDEX(#REF!,ROW()+9)="TBA",INDEX(#REF!,ROW()+9)="TBC"),"",INDEX(#REF!,ROW()+9)+'Date Calculators'!$B$2+E26)</f>
        <v>#REF!</v>
      </c>
      <c r="B26" s="76" t="e" cm="1">
        <f t="array" ref="B26">IF(OR(A26=""),"",IF(INDEX(#REF!,ROW()+9)="",IF(A27="",A26+$Q$10,A27),INDEX(#REF!,ROW()+9)+'Date Calculators'!$B$2+E26))</f>
        <v>#REF!</v>
      </c>
      <c r="C26" s="74" t="e" cm="1">
        <f t="array" ref="C26">IF(A26="","",INDEX(#REF!,ROW()+9))</f>
        <v>#REF!</v>
      </c>
      <c r="D26" s="74" t="str">
        <f>IFERROR(IF(A26="","",'Event Info'!$B$2),"")</f>
        <v/>
      </c>
      <c r="E26" t="e" cm="1">
        <f t="array" ref="E26">IF(INDEX(#REF!,ROW()+9)="START",E25+1,E25+0)</f>
        <v>#REF!</v>
      </c>
      <c r="F26" s="82" t="e">
        <f>IF(A26&lt;&gt;"",_xlfn.CONCAT(TEXT(A26,"yyyy-mm-dd"),"T",TEXT(A26,"hh:mm:ss"),'Event Info'!$B$5,",",," ",C26),"")</f>
        <v>#REF!</v>
      </c>
      <c r="G26" t="e">
        <f t="shared" si="0"/>
        <v>#REF!</v>
      </c>
      <c r="H26" s="92" t="str">
        <f t="shared" si="1"/>
        <v/>
      </c>
      <c r="I26" s="88">
        <v>0</v>
      </c>
    </row>
    <row r="27" spans="1:17">
      <c r="A27" s="76" t="e" cm="1">
        <f t="array" ref="A27">IF(OR(INDEX(#REF!,ROW()+10)="START",INDEX(#REF!,ROW()+9)="",INDEX(#REF!,ROW()+9)="START",INDEX(#REF!,ROW()+9)="TBA",INDEX(#REF!,ROW()+9)="TBC"),"",INDEX(#REF!,ROW()+9)+'Date Calculators'!$B$2+E27)</f>
        <v>#REF!</v>
      </c>
      <c r="B27" s="76" t="e" cm="1">
        <f t="array" ref="B27">IF(OR(A27=""),"",IF(INDEX(#REF!,ROW()+9)="",IF(A28="",A27+$Q$10,A28),INDEX(#REF!,ROW()+9)+'Date Calculators'!$B$2+E27))</f>
        <v>#REF!</v>
      </c>
      <c r="C27" s="74" t="e" cm="1">
        <f t="array" ref="C27">IF(A27="","",INDEX(#REF!,ROW()+9))</f>
        <v>#REF!</v>
      </c>
      <c r="D27" s="74" t="str">
        <f>IFERROR(IF(A27="","",'Event Info'!$B$2),"")</f>
        <v/>
      </c>
      <c r="E27" t="e" cm="1">
        <f t="array" ref="E27">IF(INDEX(#REF!,ROW()+9)="START",E26+1,E26+0)</f>
        <v>#REF!</v>
      </c>
      <c r="F27" s="82" t="e">
        <f>IF(A27&lt;&gt;"",_xlfn.CONCAT(TEXT(A27,"yyyy-mm-dd"),"T",TEXT(A27,"hh:mm:ss"),'Event Info'!$B$5,",",," ",C27),"")</f>
        <v>#REF!</v>
      </c>
      <c r="G27" t="e">
        <f t="shared" si="0"/>
        <v>#REF!</v>
      </c>
      <c r="H27" s="92" t="str">
        <f t="shared" si="1"/>
        <v/>
      </c>
      <c r="I27" s="88">
        <v>0</v>
      </c>
    </row>
    <row r="28" spans="1:17" ht="16.899999999999999">
      <c r="A28" s="76" t="e" cm="1">
        <f t="array" ref="A28">IF(OR(INDEX(#REF!,ROW()+10)="START",INDEX(#REF!,ROW()+9)="",INDEX(#REF!,ROW()+9)="START",INDEX(#REF!,ROW()+9)="TBA",INDEX(#REF!,ROW()+9)="TBC"),"",INDEX(#REF!,ROW()+9)+'Date Calculators'!$B$2+E28)</f>
        <v>#REF!</v>
      </c>
      <c r="B28" s="76" t="e" cm="1">
        <f t="array" ref="B28">IF(OR(A28=""),"",IF(INDEX(#REF!,ROW()+9)="",IF(A29="",A28+$Q$10,A29),INDEX(#REF!,ROW()+9)+'Date Calculators'!$B$2+E28))</f>
        <v>#REF!</v>
      </c>
      <c r="C28" s="74" t="e" cm="1">
        <f t="array" ref="C28">IF(A28="","",INDEX(#REF!,ROW()+9))</f>
        <v>#REF!</v>
      </c>
      <c r="D28" s="74" t="str">
        <f>IFERROR(IF(A28="","",'Event Info'!$B$2),"")</f>
        <v/>
      </c>
      <c r="E28" t="e" cm="1">
        <f t="array" ref="E28">IF(INDEX(#REF!,ROW()+9)="START",E27+1,E27+0)</f>
        <v>#REF!</v>
      </c>
      <c r="F28" s="82" t="e">
        <f>IF(A28&lt;&gt;"",_xlfn.CONCAT(TEXT(A28,"yyyy-mm-dd"),"T",TEXT(A28,"hh:mm:ss"),'Event Info'!$B$5,",",," ",C28),"")</f>
        <v>#REF!</v>
      </c>
      <c r="G28" t="e">
        <f t="shared" si="0"/>
        <v>#REF!</v>
      </c>
      <c r="H28" s="92" t="str">
        <f t="shared" si="1"/>
        <v/>
      </c>
      <c r="I28" s="91">
        <v>0</v>
      </c>
    </row>
    <row r="29" spans="1:17">
      <c r="A29" s="76" t="e" cm="1">
        <f t="array" ref="A29">IF(OR(INDEX(#REF!,ROW()+10)="START",INDEX(#REF!,ROW()+9)="",INDEX(#REF!,ROW()+9)="START",INDEX(#REF!,ROW()+9)="TBA",INDEX(#REF!,ROW()+9)="TBC"),"",INDEX(#REF!,ROW()+9)+'Date Calculators'!$B$2+E29)</f>
        <v>#REF!</v>
      </c>
      <c r="B29" s="76" t="e" cm="1">
        <f t="array" ref="B29">IF(OR(A29=""),"",IF(INDEX(#REF!,ROW()+9)="",IF(A30="",A29+$Q$10,A30),INDEX(#REF!,ROW()+9)+'Date Calculators'!$B$2+E29))</f>
        <v>#REF!</v>
      </c>
      <c r="C29" s="74" t="e" cm="1">
        <f t="array" ref="C29">IF(A29="","",INDEX(#REF!,ROW()+9))</f>
        <v>#REF!</v>
      </c>
      <c r="D29" s="74" t="str">
        <f>IFERROR(IF(A29="","",'Event Info'!$B$2),"")</f>
        <v/>
      </c>
      <c r="E29" t="e" cm="1">
        <f t="array" ref="E29">IF(INDEX(#REF!,ROW()+9)="START",E28+1,E28+0)</f>
        <v>#REF!</v>
      </c>
      <c r="F29" s="82" t="e">
        <f>IF(A29&lt;&gt;"",_xlfn.CONCAT(TEXT(A29,"yyyy-mm-dd"),"T",TEXT(A29,"hh:mm:ss"),'Event Info'!$B$5,",",," ",C29),"")</f>
        <v>#REF!</v>
      </c>
      <c r="G29" t="e">
        <f t="shared" si="0"/>
        <v>#REF!</v>
      </c>
      <c r="H29" s="92" t="str">
        <f t="shared" si="1"/>
        <v/>
      </c>
      <c r="I29" s="88">
        <v>0</v>
      </c>
    </row>
    <row r="30" spans="1:17">
      <c r="A30" s="76" t="e" cm="1">
        <f t="array" ref="A30">IF(OR(INDEX(#REF!,ROW()+10)="START",INDEX(#REF!,ROW()+9)="",INDEX(#REF!,ROW()+9)="START",INDEX(#REF!,ROW()+9)="TBA",INDEX(#REF!,ROW()+9)="TBC"),"",INDEX(#REF!,ROW()+9)+'Date Calculators'!$B$2+E30)</f>
        <v>#REF!</v>
      </c>
      <c r="B30" s="76" t="e" cm="1">
        <f t="array" ref="B30">IF(OR(A30=""),"",IF(INDEX(#REF!,ROW()+9)="",IF(A31="",A30+$Q$10,A31),INDEX(#REF!,ROW()+9)+'Date Calculators'!$B$2+E30))</f>
        <v>#REF!</v>
      </c>
      <c r="C30" s="74" t="e" cm="1">
        <f t="array" ref="C30">IF(A30="","",INDEX(#REF!,ROW()+9))</f>
        <v>#REF!</v>
      </c>
      <c r="D30" s="74" t="str">
        <f>IFERROR(IF(A30="","",'Event Info'!$B$2),"")</f>
        <v/>
      </c>
      <c r="E30" t="e" cm="1">
        <f t="array" ref="E30">IF(INDEX(#REF!,ROW()+9)="START",E29+1,E29+0)</f>
        <v>#REF!</v>
      </c>
      <c r="F30" s="82" t="e">
        <f>IF(A30&lt;&gt;"",_xlfn.CONCAT(TEXT(A30,"yyyy-mm-dd"),"T",TEXT(A30,"hh:mm:ss"),'Event Info'!$B$5,",",," ",C30),"")</f>
        <v>#REF!</v>
      </c>
      <c r="G30" t="e">
        <f t="shared" si="0"/>
        <v>#REF!</v>
      </c>
      <c r="H30" s="92" t="str">
        <f t="shared" si="1"/>
        <v/>
      </c>
      <c r="I30" s="88">
        <v>0</v>
      </c>
    </row>
    <row r="31" spans="1:17" ht="16.899999999999999">
      <c r="A31" s="76" t="e" cm="1">
        <f t="array" ref="A31">IF(OR(INDEX(#REF!,ROW()+10)="START",INDEX(#REF!,ROW()+9)="",INDEX(#REF!,ROW()+9)="START",INDEX(#REF!,ROW()+9)="TBA",INDEX(#REF!,ROW()+9)="TBC"),"",INDEX(#REF!,ROW()+9)+'Date Calculators'!$B$2+E31)</f>
        <v>#REF!</v>
      </c>
      <c r="B31" s="76" t="e" cm="1">
        <f t="array" ref="B31">IF(OR(A31=""),"",IF(INDEX(#REF!,ROW()+9)="",IF(A32="",A31+$Q$10,A32),INDEX(#REF!,ROW()+9)+'Date Calculators'!$B$2+E31))</f>
        <v>#REF!</v>
      </c>
      <c r="C31" s="74" t="e" cm="1">
        <f t="array" ref="C31">IF(A31="","",INDEX(#REF!,ROW()+9))</f>
        <v>#REF!</v>
      </c>
      <c r="D31" s="74" t="str">
        <f>IFERROR(IF(A31="","",'Event Info'!$B$2),"")</f>
        <v/>
      </c>
      <c r="E31" t="e" cm="1">
        <f t="array" ref="E31">IF(INDEX(#REF!,ROW()+9)="START",E30+1,E30+0)</f>
        <v>#REF!</v>
      </c>
      <c r="F31" s="82" t="e">
        <f>IF(A31&lt;&gt;"",_xlfn.CONCAT(TEXT(A31,"yyyy-mm-dd"),"T",TEXT(A31,"hh:mm:ss"),'Event Info'!$B$5,",",," ",C31),"")</f>
        <v>#REF!</v>
      </c>
      <c r="G31" t="e">
        <f t="shared" si="0"/>
        <v>#REF!</v>
      </c>
      <c r="H31" s="92" t="str">
        <f t="shared" si="1"/>
        <v/>
      </c>
      <c r="I31" s="91">
        <v>0</v>
      </c>
    </row>
    <row r="32" spans="1:17">
      <c r="A32" s="76" t="e" cm="1">
        <f t="array" ref="A32">IF(OR(INDEX(#REF!,ROW()+10)="START",INDEX(#REF!,ROW()+9)="",INDEX(#REF!,ROW()+9)="START",INDEX(#REF!,ROW()+9)="TBA",INDEX(#REF!,ROW()+9)="TBC"),"",INDEX(#REF!,ROW()+9)+'Date Calculators'!$B$2+E32)</f>
        <v>#REF!</v>
      </c>
      <c r="B32" s="76" t="e" cm="1">
        <f t="array" ref="B32">IF(OR(A32=""),"",IF(INDEX(#REF!,ROW()+9)="",IF(A33="",A32+$Q$10,A33),INDEX(#REF!,ROW()+9)+'Date Calculators'!$B$2+E32))</f>
        <v>#REF!</v>
      </c>
      <c r="C32" s="74" t="e" cm="1">
        <f t="array" ref="C32">IF(A32="","",INDEX(#REF!,ROW()+9))</f>
        <v>#REF!</v>
      </c>
      <c r="D32" s="74" t="str">
        <f>IFERROR(IF(A32="","",'Event Info'!$B$2),"")</f>
        <v/>
      </c>
      <c r="E32" t="e" cm="1">
        <f t="array" ref="E32">IF(INDEX(#REF!,ROW()+9)="START",E31+1,E31+0)</f>
        <v>#REF!</v>
      </c>
      <c r="F32" s="82" t="e">
        <f>IF(A32&lt;&gt;"",_xlfn.CONCAT(TEXT(A32,"yyyy-mm-dd"),"T",TEXT(A32,"hh:mm:ss"),'Event Info'!$B$5,",",," ",C32),"")</f>
        <v>#REF!</v>
      </c>
      <c r="G32" t="e">
        <f t="shared" si="0"/>
        <v>#REF!</v>
      </c>
      <c r="H32" s="92" t="str">
        <f t="shared" si="1"/>
        <v/>
      </c>
      <c r="I32" s="88">
        <v>0</v>
      </c>
    </row>
    <row r="33" spans="1:9">
      <c r="A33" s="76" t="e" cm="1">
        <f t="array" ref="A33">IF(OR(INDEX(#REF!,ROW()+10)="START",INDEX(#REF!,ROW()+9)="",INDEX(#REF!,ROW()+9)="START",INDEX(#REF!,ROW()+9)="TBA",INDEX(#REF!,ROW()+9)="TBC"),"",INDEX(#REF!,ROW()+9)+'Date Calculators'!$B$2+E33)</f>
        <v>#REF!</v>
      </c>
      <c r="B33" s="76" t="e" cm="1">
        <f t="array" ref="B33">IF(OR(A33=""),"",IF(INDEX(#REF!,ROW()+9)="",IF(A34="",A33+$Q$10,A34),INDEX(#REF!,ROW()+9)+'Date Calculators'!$B$2+E33))</f>
        <v>#REF!</v>
      </c>
      <c r="C33" s="74" t="e" cm="1">
        <f t="array" ref="C33">IF(A33="","",INDEX(#REF!,ROW()+9))</f>
        <v>#REF!</v>
      </c>
      <c r="D33" s="74" t="str">
        <f>IFERROR(IF(A33="","",'Event Info'!$B$2),"")</f>
        <v/>
      </c>
      <c r="E33" t="e" cm="1">
        <f t="array" ref="E33">IF(INDEX(#REF!,ROW()+9)="START",E32+1,E32+0)</f>
        <v>#REF!</v>
      </c>
      <c r="F33" s="82" t="e">
        <f>IF(A33&lt;&gt;"",_xlfn.CONCAT(TEXT(A33,"yyyy-mm-dd"),"T",TEXT(A33,"hh:mm:ss"),'Event Info'!$B$5,",",," ",C33),"")</f>
        <v>#REF!</v>
      </c>
      <c r="G33" t="e">
        <f t="shared" si="0"/>
        <v>#REF!</v>
      </c>
      <c r="H33" s="92" t="str">
        <f t="shared" si="1"/>
        <v/>
      </c>
      <c r="I33" s="88">
        <v>0</v>
      </c>
    </row>
    <row r="34" spans="1:9" ht="16.899999999999999">
      <c r="A34" s="76" t="e" cm="1">
        <f t="array" ref="A34">IF(OR(INDEX(#REF!,ROW()+10)="START",INDEX(#REF!,ROW()+9)="",INDEX(#REF!,ROW()+9)="START",INDEX(#REF!,ROW()+9)="TBA",INDEX(#REF!,ROW()+9)="TBC"),"",INDEX(#REF!,ROW()+9)+'Date Calculators'!$B$2+E34)</f>
        <v>#REF!</v>
      </c>
      <c r="B34" s="76" t="e" cm="1">
        <f t="array" ref="B34">IF(OR(A34=""),"",IF(INDEX(#REF!,ROW()+9)="",IF(A35="",A34+$Q$10,A35),INDEX(#REF!,ROW()+9)+'Date Calculators'!$B$2+E34))</f>
        <v>#REF!</v>
      </c>
      <c r="C34" s="74" t="e" cm="1">
        <f t="array" ref="C34">IF(A34="","",INDEX(#REF!,ROW()+9))</f>
        <v>#REF!</v>
      </c>
      <c r="D34" s="74" t="str">
        <f>IFERROR(IF(A34="","",'Event Info'!$B$2),"")</f>
        <v/>
      </c>
      <c r="E34" t="e" cm="1">
        <f t="array" ref="E34">IF(INDEX(#REF!,ROW()+9)="START",E33+1,E33+0)</f>
        <v>#REF!</v>
      </c>
      <c r="F34" s="82" t="e">
        <f>IF(A34&lt;&gt;"",_xlfn.CONCAT(TEXT(A34,"yyyy-mm-dd"),"T",TEXT(A34,"hh:mm:ss"),'Event Info'!$B$5,",",," ",C34),"")</f>
        <v>#REF!</v>
      </c>
      <c r="G34" t="e">
        <f t="shared" si="0"/>
        <v>#REF!</v>
      </c>
      <c r="H34" s="92" t="str">
        <f t="shared" si="1"/>
        <v/>
      </c>
      <c r="I34" s="91">
        <v>0</v>
      </c>
    </row>
    <row r="35" spans="1:9">
      <c r="A35" s="76" t="e" cm="1">
        <f t="array" ref="A35">IF(OR(INDEX(#REF!,ROW()+10)="START",INDEX(#REF!,ROW()+9)="",INDEX(#REF!,ROW()+9)="START",INDEX(#REF!,ROW()+9)="TBA",INDEX(#REF!,ROW()+9)="TBC"),"",INDEX(#REF!,ROW()+9)+'Date Calculators'!$B$2+E35)</f>
        <v>#REF!</v>
      </c>
      <c r="B35" s="76" t="e" cm="1">
        <f t="array" ref="B35">IF(OR(A35=""),"",IF(INDEX(#REF!,ROW()+9)="",IF(A36="",A35+$Q$10,A36),INDEX(#REF!,ROW()+9)+'Date Calculators'!$B$2+E35))</f>
        <v>#REF!</v>
      </c>
      <c r="C35" s="74" t="e" cm="1">
        <f t="array" ref="C35">IF(A35="","",INDEX(#REF!,ROW()+9))</f>
        <v>#REF!</v>
      </c>
      <c r="D35" s="74" t="str">
        <f>IFERROR(IF(A35="","",'Event Info'!$B$2),"")</f>
        <v/>
      </c>
      <c r="E35" t="e" cm="1">
        <f t="array" ref="E35">IF(INDEX(#REF!,ROW()+9)="START",E34+1,E34+0)</f>
        <v>#REF!</v>
      </c>
      <c r="F35" s="82" t="e">
        <f>IF(A35&lt;&gt;"",_xlfn.CONCAT(TEXT(A35,"yyyy-mm-dd"),"T",TEXT(A35,"hh:mm:ss"),'Event Info'!$B$5,",",," ",C35),"")</f>
        <v>#REF!</v>
      </c>
      <c r="G35" t="e">
        <f t="shared" si="0"/>
        <v>#REF!</v>
      </c>
      <c r="H35" s="92" t="str">
        <f t="shared" si="1"/>
        <v/>
      </c>
      <c r="I35" s="88">
        <v>0</v>
      </c>
    </row>
    <row r="36" spans="1:9">
      <c r="A36" s="76" t="e" cm="1">
        <f t="array" ref="A36">IF(OR(INDEX(#REF!,ROW()+10)="START",INDEX(#REF!,ROW()+9)="",INDEX(#REF!,ROW()+9)="START",INDEX(#REF!,ROW()+9)="TBA",INDEX(#REF!,ROW()+9)="TBC"),"",INDEX(#REF!,ROW()+9)+'Date Calculators'!$B$2+E36)</f>
        <v>#REF!</v>
      </c>
      <c r="B36" s="76" t="e" cm="1">
        <f t="array" ref="B36">IF(OR(A36=""),"",IF(INDEX(#REF!,ROW()+9)="",IF(A37="",A36+$Q$10,A37),INDEX(#REF!,ROW()+9)+'Date Calculators'!$B$2+E36))</f>
        <v>#REF!</v>
      </c>
      <c r="C36" s="74" t="e" cm="1">
        <f t="array" ref="C36">IF(A36="","",INDEX(#REF!,ROW()+9))</f>
        <v>#REF!</v>
      </c>
      <c r="D36" s="74" t="str">
        <f>IFERROR(IF(A36="","",'Event Info'!$B$2),"")</f>
        <v/>
      </c>
      <c r="E36" t="e" cm="1">
        <f t="array" ref="E36">IF(INDEX(#REF!,ROW()+9)="START",E35+1,E35+0)</f>
        <v>#REF!</v>
      </c>
      <c r="F36" s="82" t="e">
        <f>IF(A36&lt;&gt;"",_xlfn.CONCAT(TEXT(A36,"yyyy-mm-dd"),"T",TEXT(A36,"hh:mm:ss"),'Event Info'!$B$5,",",," ",C36),"")</f>
        <v>#REF!</v>
      </c>
      <c r="G36" t="e">
        <f t="shared" si="0"/>
        <v>#REF!</v>
      </c>
      <c r="H36" s="92" t="str">
        <f t="shared" si="1"/>
        <v/>
      </c>
      <c r="I36" s="88">
        <v>0</v>
      </c>
    </row>
    <row r="37" spans="1:9" ht="16.899999999999999">
      <c r="A37" s="76" t="e" cm="1">
        <f t="array" ref="A37">IF(OR(INDEX(#REF!,ROW()+10)="START",INDEX(#REF!,ROW()+9)="",INDEX(#REF!,ROW()+9)="START",INDEX(#REF!,ROW()+9)="TBA",INDEX(#REF!,ROW()+9)="TBC"),"",INDEX(#REF!,ROW()+9)+'Date Calculators'!$B$2+E37)</f>
        <v>#REF!</v>
      </c>
      <c r="B37" s="76" t="e" cm="1">
        <f t="array" ref="B37">IF(OR(A37=""),"",IF(INDEX(#REF!,ROW()+9)="",IF(A38="",A37+$Q$10,A38),INDEX(#REF!,ROW()+9)+'Date Calculators'!$B$2+E37))</f>
        <v>#REF!</v>
      </c>
      <c r="C37" s="74" t="e" cm="1">
        <f t="array" ref="C37">IF(A37="","",INDEX(#REF!,ROW()+9))</f>
        <v>#REF!</v>
      </c>
      <c r="D37" s="74" t="str">
        <f>IFERROR(IF(A37="","",'Event Info'!$B$2),"")</f>
        <v/>
      </c>
      <c r="E37" t="e" cm="1">
        <f t="array" ref="E37">IF(INDEX(#REF!,ROW()+9)="START",E36+1,E36+0)</f>
        <v>#REF!</v>
      </c>
      <c r="F37" s="82" t="e">
        <f>IF(A37&lt;&gt;"",_xlfn.CONCAT(TEXT(A37,"yyyy-mm-dd"),"T",TEXT(A37,"hh:mm:ss"),'Event Info'!$B$5,",",," ",C37),"")</f>
        <v>#REF!</v>
      </c>
      <c r="G37" t="e">
        <f t="shared" si="0"/>
        <v>#REF!</v>
      </c>
      <c r="H37" s="92" t="str">
        <f t="shared" si="1"/>
        <v/>
      </c>
      <c r="I37" s="91">
        <v>0</v>
      </c>
    </row>
    <row r="38" spans="1:9">
      <c r="A38" s="76" t="e" cm="1">
        <f t="array" ref="A38">IF(OR(INDEX(#REF!,ROW()+10)="START",INDEX(#REF!,ROW()+9)="",INDEX(#REF!,ROW()+9)="START",INDEX(#REF!,ROW()+9)="TBA",INDEX(#REF!,ROW()+9)="TBC"),"",INDEX(#REF!,ROW()+9)+'Date Calculators'!$B$2+E38)</f>
        <v>#REF!</v>
      </c>
      <c r="B38" s="76" t="e" cm="1">
        <f t="array" ref="B38">IF(OR(A38=""),"",IF(INDEX(#REF!,ROW()+9)="",IF(A39="",A38+$Q$10,A39),INDEX(#REF!,ROW()+9)+'Date Calculators'!$B$2+E38))</f>
        <v>#REF!</v>
      </c>
      <c r="C38" s="74" t="e" cm="1">
        <f t="array" ref="C38">IF(A38="","",INDEX(#REF!,ROW()+9))</f>
        <v>#REF!</v>
      </c>
      <c r="D38" s="74" t="str">
        <f>IFERROR(IF(A38="","",'Event Info'!$B$2),"")</f>
        <v/>
      </c>
      <c r="E38" t="e" cm="1">
        <f t="array" ref="E38">IF(INDEX(#REF!,ROW()+9)="START",E37+1,E37+0)</f>
        <v>#REF!</v>
      </c>
      <c r="F38" s="82" t="e">
        <f>IF(A38&lt;&gt;"",_xlfn.CONCAT(TEXT(A38,"yyyy-mm-dd"),"T",TEXT(A38,"hh:mm:ss"),'Event Info'!$B$5,",",," ",C38),"")</f>
        <v>#REF!</v>
      </c>
      <c r="G38" t="e">
        <f t="shared" si="0"/>
        <v>#REF!</v>
      </c>
      <c r="H38" s="92" t="str">
        <f t="shared" si="1"/>
        <v/>
      </c>
      <c r="I38" s="88">
        <v>0</v>
      </c>
    </row>
    <row r="39" spans="1:9">
      <c r="A39" s="76" t="e" cm="1">
        <f t="array" ref="A39">IF(OR(INDEX(#REF!,ROW()+10)="START",INDEX(#REF!,ROW()+9)="",INDEX(#REF!,ROW()+9)="START",INDEX(#REF!,ROW()+9)="TBA",INDEX(#REF!,ROW()+9)="TBC"),"",INDEX(#REF!,ROW()+9)+'Date Calculators'!$B$2+E39)</f>
        <v>#REF!</v>
      </c>
      <c r="B39" s="76" t="e" cm="1">
        <f t="array" ref="B39">IF(OR(A39=""),"",IF(INDEX(#REF!,ROW()+9)="",IF(A40="",A39+$Q$10,A40),INDEX(#REF!,ROW()+9)+'Date Calculators'!$B$2+E39))</f>
        <v>#REF!</v>
      </c>
      <c r="C39" s="74" t="e" cm="1">
        <f t="array" ref="C39">IF(A39="","",INDEX(#REF!,ROW()+9))</f>
        <v>#REF!</v>
      </c>
      <c r="D39" s="74" t="str">
        <f>IFERROR(IF(A39="","",'Event Info'!$B$2),"")</f>
        <v/>
      </c>
      <c r="E39" t="e" cm="1">
        <f t="array" ref="E39">IF(INDEX(#REF!,ROW()+9)="START",E38+1,E38+0)</f>
        <v>#REF!</v>
      </c>
      <c r="F39" s="82" t="e">
        <f>IF(A39&lt;&gt;"",_xlfn.CONCAT(TEXT(A39,"yyyy-mm-dd"),"T",TEXT(A39,"hh:mm:ss"),'Event Info'!$B$5,",",," ",C39),"")</f>
        <v>#REF!</v>
      </c>
      <c r="G39" t="e">
        <f t="shared" si="0"/>
        <v>#REF!</v>
      </c>
      <c r="H39" s="92" t="str">
        <f t="shared" si="1"/>
        <v/>
      </c>
      <c r="I39" s="88">
        <v>0</v>
      </c>
    </row>
    <row r="40" spans="1:9" ht="16.899999999999999">
      <c r="A40" s="76" t="e" cm="1">
        <f t="array" ref="A40">IF(OR(INDEX(#REF!,ROW()+10)="START",INDEX(#REF!,ROW()+9)="",INDEX(#REF!,ROW()+9)="START",INDEX(#REF!,ROW()+9)="TBA",INDEX(#REF!,ROW()+9)="TBC"),"",INDEX(#REF!,ROW()+9)+'Date Calculators'!$B$2+E40)</f>
        <v>#REF!</v>
      </c>
      <c r="B40" s="76" t="e" cm="1">
        <f t="array" ref="B40">IF(OR(A40=""),"",IF(INDEX(#REF!,ROW()+9)="",IF(A41="",A40+$Q$10,A41),INDEX(#REF!,ROW()+9)+'Date Calculators'!$B$2+E40))</f>
        <v>#REF!</v>
      </c>
      <c r="C40" s="74" t="e" cm="1">
        <f t="array" ref="C40">IF(A40="","",INDEX(#REF!,ROW()+9))</f>
        <v>#REF!</v>
      </c>
      <c r="D40" s="74" t="str">
        <f>IFERROR(IF(A40="","",'Event Info'!$B$2),"")</f>
        <v/>
      </c>
      <c r="E40" t="e" cm="1">
        <f t="array" ref="E40">IF(INDEX(#REF!,ROW()+9)="START",E39+1,E39+0)</f>
        <v>#REF!</v>
      </c>
      <c r="F40" s="82" t="e">
        <f>IF(A40&lt;&gt;"",_xlfn.CONCAT(TEXT(A40,"yyyy-mm-dd"),"T",TEXT(A40,"hh:mm:ss"),'Event Info'!$B$5,",",," ",C40),"")</f>
        <v>#REF!</v>
      </c>
      <c r="G40" t="e">
        <f t="shared" si="0"/>
        <v>#REF!</v>
      </c>
      <c r="H40" s="92" t="str">
        <f t="shared" si="1"/>
        <v/>
      </c>
      <c r="I40" s="91">
        <v>0</v>
      </c>
    </row>
    <row r="41" spans="1:9">
      <c r="A41" s="76" t="e" cm="1">
        <f t="array" ref="A41">IF(OR(INDEX(#REF!,ROW()+10)="START",INDEX(#REF!,ROW()+9)="",INDEX(#REF!,ROW()+9)="START",INDEX(#REF!,ROW()+9)="TBA",INDEX(#REF!,ROW()+9)="TBC"),"",INDEX(#REF!,ROW()+9)+'Date Calculators'!$B$2+E41)</f>
        <v>#REF!</v>
      </c>
      <c r="B41" s="76" t="e" cm="1">
        <f t="array" ref="B41">IF(OR(A41=""),"",IF(INDEX(#REF!,ROW()+9)="",IF(A42="",A41+$Q$10,A42),INDEX(#REF!,ROW()+9)+'Date Calculators'!$B$2+E41))</f>
        <v>#REF!</v>
      </c>
      <c r="C41" s="74" t="e" cm="1">
        <f t="array" ref="C41">IF(A41="","",INDEX(#REF!,ROW()+9))</f>
        <v>#REF!</v>
      </c>
      <c r="D41" s="74" t="str">
        <f>IFERROR(IF(A41="","",'Event Info'!$B$2),"")</f>
        <v/>
      </c>
      <c r="E41" t="e" cm="1">
        <f t="array" ref="E41">IF(INDEX(#REF!,ROW()+9)="START",E40+1,E40+0)</f>
        <v>#REF!</v>
      </c>
      <c r="F41" s="82" t="e">
        <f>IF(A41&lt;&gt;"",_xlfn.CONCAT(TEXT(A41,"yyyy-mm-dd"),"T",TEXT(A41,"hh:mm:ss"),'Event Info'!$B$5,",",," ",C41),"")</f>
        <v>#REF!</v>
      </c>
      <c r="G41" t="e">
        <f t="shared" si="0"/>
        <v>#REF!</v>
      </c>
      <c r="H41" s="92" t="str">
        <f t="shared" si="1"/>
        <v/>
      </c>
      <c r="I41" s="88">
        <v>0</v>
      </c>
    </row>
    <row r="42" spans="1:9">
      <c r="A42" s="76" t="e" cm="1">
        <f t="array" ref="A42">IF(OR(INDEX(#REF!,ROW()+10)="START",INDEX(#REF!,ROW()+9)="",INDEX(#REF!,ROW()+9)="START",INDEX(#REF!,ROW()+9)="TBA",INDEX(#REF!,ROW()+9)="TBC"),"",INDEX(#REF!,ROW()+9)+'Date Calculators'!$B$2+E42)</f>
        <v>#REF!</v>
      </c>
      <c r="B42" s="76" t="e" cm="1">
        <f t="array" ref="B42">IF(OR(A42=""),"",IF(INDEX(#REF!,ROW()+9)="",IF(A43="",A42+$Q$10,A43),INDEX(#REF!,ROW()+9)+'Date Calculators'!$B$2+E42))</f>
        <v>#REF!</v>
      </c>
      <c r="C42" s="74" t="e" cm="1">
        <f t="array" ref="C42">IF(A42="","",INDEX(#REF!,ROW()+9))</f>
        <v>#REF!</v>
      </c>
      <c r="D42" s="74" t="str">
        <f>IFERROR(IF(A42="","",'Event Info'!$B$2),"")</f>
        <v/>
      </c>
      <c r="E42" t="e" cm="1">
        <f t="array" ref="E42">IF(INDEX(#REF!,ROW()+9)="START",E41+1,E41+0)</f>
        <v>#REF!</v>
      </c>
      <c r="F42" s="82" t="e">
        <f>IF(A42&lt;&gt;"",_xlfn.CONCAT(TEXT(A42,"yyyy-mm-dd"),"T",TEXT(A42,"hh:mm:ss"),'Event Info'!$B$5,",",," ",C42),"")</f>
        <v>#REF!</v>
      </c>
      <c r="G42" t="e">
        <f t="shared" si="0"/>
        <v>#REF!</v>
      </c>
      <c r="H42" s="92" t="str">
        <f t="shared" si="1"/>
        <v/>
      </c>
      <c r="I42" s="88">
        <v>0</v>
      </c>
    </row>
    <row r="43" spans="1:9" ht="16.899999999999999">
      <c r="A43" s="76" t="e" cm="1">
        <f t="array" ref="A43">IF(OR(INDEX(#REF!,ROW()+10)="START",INDEX(#REF!,ROW()+9)="",INDEX(#REF!,ROW()+9)="START",INDEX(#REF!,ROW()+9)="TBA",INDEX(#REF!,ROW()+9)="TBC"),"",INDEX(#REF!,ROW()+9)+'Date Calculators'!$B$2+E43)</f>
        <v>#REF!</v>
      </c>
      <c r="B43" s="76" t="e" cm="1">
        <f t="array" ref="B43">IF(OR(A43=""),"",IF(INDEX(#REF!,ROW()+9)="",IF(A44="",A43+$Q$10,A44),INDEX(#REF!,ROW()+9)+'Date Calculators'!$B$2+E43))</f>
        <v>#REF!</v>
      </c>
      <c r="C43" s="74" t="e" cm="1">
        <f t="array" ref="C43">IF(A43="","",INDEX(#REF!,ROW()+9))</f>
        <v>#REF!</v>
      </c>
      <c r="D43" s="74" t="str">
        <f>IFERROR(IF(A43="","",'Event Info'!$B$2),"")</f>
        <v/>
      </c>
      <c r="E43" t="e" cm="1">
        <f t="array" ref="E43">IF(INDEX(#REF!,ROW()+9)="START",E42+1,E42+0)</f>
        <v>#REF!</v>
      </c>
      <c r="F43" s="82" t="e">
        <f>IF(A43&lt;&gt;"",_xlfn.CONCAT(TEXT(A43,"yyyy-mm-dd"),"T",TEXT(A43,"hh:mm:ss"),'Event Info'!$B$5,",",," ",C43),"")</f>
        <v>#REF!</v>
      </c>
      <c r="G43" t="e">
        <f t="shared" si="0"/>
        <v>#REF!</v>
      </c>
      <c r="H43" s="92" t="str">
        <f t="shared" si="1"/>
        <v/>
      </c>
      <c r="I43" s="91">
        <v>0</v>
      </c>
    </row>
    <row r="44" spans="1:9">
      <c r="A44" s="76" t="e" cm="1">
        <f t="array" ref="A44">IF(OR(INDEX(#REF!,ROW()+10)="START",INDEX(#REF!,ROW()+9)="",INDEX(#REF!,ROW()+9)="START",INDEX(#REF!,ROW()+9)="TBA",INDEX(#REF!,ROW()+9)="TBC"),"",INDEX(#REF!,ROW()+9)+'Date Calculators'!$B$2+E44)</f>
        <v>#REF!</v>
      </c>
      <c r="B44" s="76" t="e" cm="1">
        <f t="array" ref="B44">IF(OR(A44=""),"",IF(INDEX(#REF!,ROW()+9)="",IF(A45="",A44+$Q$10,A45),INDEX(#REF!,ROW()+9)+'Date Calculators'!$B$2+E44))</f>
        <v>#REF!</v>
      </c>
      <c r="C44" s="74" t="e" cm="1">
        <f t="array" ref="C44">IF(A44="","",INDEX(#REF!,ROW()+9))</f>
        <v>#REF!</v>
      </c>
      <c r="D44" s="74" t="str">
        <f>IFERROR(IF(A44="","",'Event Info'!$B$2),"")</f>
        <v/>
      </c>
      <c r="E44" t="e" cm="1">
        <f t="array" ref="E44">IF(INDEX(#REF!,ROW()+9)="START",E43+1,E43+0)</f>
        <v>#REF!</v>
      </c>
      <c r="F44" s="82" t="e">
        <f>IF(A44&lt;&gt;"",_xlfn.CONCAT(TEXT(A44,"yyyy-mm-dd"),"T",TEXT(A44,"hh:mm:ss"),'Event Info'!$B$5,",",," ",C44),"")</f>
        <v>#REF!</v>
      </c>
      <c r="G44" t="e">
        <f t="shared" si="0"/>
        <v>#REF!</v>
      </c>
      <c r="H44" s="92" t="str">
        <f t="shared" si="1"/>
        <v/>
      </c>
      <c r="I44" s="88">
        <v>0</v>
      </c>
    </row>
    <row r="45" spans="1:9">
      <c r="A45" s="76" t="e" cm="1">
        <f t="array" ref="A45">IF(OR(INDEX(#REF!,ROW()+10)="START",INDEX(#REF!,ROW()+9)="",INDEX(#REF!,ROW()+9)="START",INDEX(#REF!,ROW()+9)="TBA",INDEX(#REF!,ROW()+9)="TBC"),"",INDEX(#REF!,ROW()+9)+'Date Calculators'!$B$2+E45)</f>
        <v>#REF!</v>
      </c>
      <c r="B45" s="76" t="e" cm="1">
        <f t="array" ref="B45">IF(OR(A45=""),"",IF(INDEX(#REF!,ROW()+9)="",IF(A46="",A45+$Q$10,A46),INDEX(#REF!,ROW()+9)+'Date Calculators'!$B$2+E45))</f>
        <v>#REF!</v>
      </c>
      <c r="C45" s="74" t="e" cm="1">
        <f t="array" ref="C45">IF(A45="","",INDEX(#REF!,ROW()+9))</f>
        <v>#REF!</v>
      </c>
      <c r="D45" s="74" t="str">
        <f>IFERROR(IF(A45="","",'Event Info'!$B$2),"")</f>
        <v/>
      </c>
      <c r="E45" t="e" cm="1">
        <f t="array" ref="E45">IF(INDEX(#REF!,ROW()+9)="START",E44+1,E44+0)</f>
        <v>#REF!</v>
      </c>
      <c r="F45" s="82" t="e">
        <f>IF(A45&lt;&gt;"",_xlfn.CONCAT(TEXT(A45,"yyyy-mm-dd"),"T",TEXT(A45,"hh:mm:ss"),'Event Info'!$B$5,",",," ",C45),"")</f>
        <v>#REF!</v>
      </c>
      <c r="G45" t="e">
        <f t="shared" si="0"/>
        <v>#REF!</v>
      </c>
      <c r="H45" s="92" t="str">
        <f t="shared" si="1"/>
        <v/>
      </c>
      <c r="I45" s="88">
        <v>0</v>
      </c>
    </row>
    <row r="46" spans="1:9" ht="16.899999999999999">
      <c r="A46" s="76" t="e" cm="1">
        <f t="array" ref="A46">IF(OR(INDEX(#REF!,ROW()+10)="START",INDEX(#REF!,ROW()+9)="",INDEX(#REF!,ROW()+9)="START",INDEX(#REF!,ROW()+9)="TBA",INDEX(#REF!,ROW()+9)="TBC"),"",INDEX(#REF!,ROW()+9)+'Date Calculators'!$B$2+E46)</f>
        <v>#REF!</v>
      </c>
      <c r="B46" s="76" t="e" cm="1">
        <f t="array" ref="B46">IF(OR(A46=""),"",IF(INDEX(#REF!,ROW()+9)="",IF(A47="",A46+$Q$10,A47),INDEX(#REF!,ROW()+9)+'Date Calculators'!$B$2+E46))</f>
        <v>#REF!</v>
      </c>
      <c r="C46" s="74" t="e" cm="1">
        <f t="array" ref="C46">IF(A46="","",INDEX(#REF!,ROW()+9))</f>
        <v>#REF!</v>
      </c>
      <c r="D46" s="74" t="str">
        <f>IFERROR(IF(A46="","",'Event Info'!$B$2),"")</f>
        <v/>
      </c>
      <c r="E46" t="e" cm="1">
        <f t="array" ref="E46">IF(INDEX(#REF!,ROW()+9)="START",E45+1,E45+0)</f>
        <v>#REF!</v>
      </c>
      <c r="F46" s="82" t="e">
        <f>IF(A46&lt;&gt;"",_xlfn.CONCAT(TEXT(A46,"yyyy-mm-dd"),"T",TEXT(A46,"hh:mm:ss"),'Event Info'!$B$5,",",," ",C46),"")</f>
        <v>#REF!</v>
      </c>
      <c r="G46" t="e">
        <f t="shared" si="0"/>
        <v>#REF!</v>
      </c>
      <c r="H46" s="92" t="str">
        <f t="shared" si="1"/>
        <v/>
      </c>
      <c r="I46" s="91">
        <v>0</v>
      </c>
    </row>
    <row r="47" spans="1:9">
      <c r="A47" s="76" t="e" cm="1">
        <f t="array" ref="A47">IF(OR(INDEX(#REF!,ROW()+10)="START",INDEX(#REF!,ROW()+9)="",INDEX(#REF!,ROW()+9)="START",INDEX(#REF!,ROW()+9)="TBA",INDEX(#REF!,ROW()+9)="TBC"),"",INDEX(#REF!,ROW()+9)+'Date Calculators'!$B$2+E47)</f>
        <v>#REF!</v>
      </c>
      <c r="B47" s="76" t="e" cm="1">
        <f t="array" ref="B47">IF(OR(A47=""),"",IF(INDEX(#REF!,ROW()+9)="",IF(A48="",A47+$Q$10,A48),INDEX(#REF!,ROW()+9)+'Date Calculators'!$B$2+E47))</f>
        <v>#REF!</v>
      </c>
      <c r="C47" s="74" t="e" cm="1">
        <f t="array" ref="C47">IF(A47="","",INDEX(#REF!,ROW()+9))</f>
        <v>#REF!</v>
      </c>
      <c r="D47" s="74" t="str">
        <f>IFERROR(IF(A47="","",'Event Info'!$B$2),"")</f>
        <v/>
      </c>
      <c r="E47" t="e" cm="1">
        <f t="array" ref="E47">IF(INDEX(#REF!,ROW()+9)="START",E46+1,E46+0)</f>
        <v>#REF!</v>
      </c>
      <c r="F47" s="82" t="e">
        <f>IF(A47&lt;&gt;"",_xlfn.CONCAT(TEXT(A47,"yyyy-mm-dd"),"T",TEXT(A47,"hh:mm:ss"),'Event Info'!$B$5,",",," ",C47),"")</f>
        <v>#REF!</v>
      </c>
      <c r="G47" t="e">
        <f t="shared" si="0"/>
        <v>#REF!</v>
      </c>
      <c r="H47" s="92" t="str">
        <f t="shared" si="1"/>
        <v/>
      </c>
      <c r="I47" s="88">
        <v>0</v>
      </c>
    </row>
    <row r="48" spans="1:9">
      <c r="A48" s="76" t="e" cm="1">
        <f t="array" ref="A48">IF(OR(INDEX(#REF!,ROW()+10)="START",INDEX(#REF!,ROW()+9)="",INDEX(#REF!,ROW()+9)="START",INDEX(#REF!,ROW()+9)="TBA",INDEX(#REF!,ROW()+9)="TBC"),"",INDEX(#REF!,ROW()+9)+'Date Calculators'!$B$2+E48)</f>
        <v>#REF!</v>
      </c>
      <c r="B48" s="76" t="e" cm="1">
        <f t="array" ref="B48">IF(OR(A48=""),"",IF(INDEX(#REF!,ROW()+9)="",IF(A49="",A48+$Q$10,A49),INDEX(#REF!,ROW()+9)+'Date Calculators'!$B$2+E48))</f>
        <v>#REF!</v>
      </c>
      <c r="C48" s="74" t="e" cm="1">
        <f t="array" ref="C48">IF(A48="","",INDEX(#REF!,ROW()+9))</f>
        <v>#REF!</v>
      </c>
      <c r="D48" s="74" t="str">
        <f>IFERROR(IF(A48="","",'Event Info'!$B$2),"")</f>
        <v/>
      </c>
      <c r="E48" t="e" cm="1">
        <f t="array" ref="E48">IF(INDEX(#REF!,ROW()+9)="START",E47+1,E47+0)</f>
        <v>#REF!</v>
      </c>
      <c r="F48" s="82" t="e">
        <f>IF(A48&lt;&gt;"",_xlfn.CONCAT(TEXT(A48,"yyyy-mm-dd"),"T",TEXT(A48,"hh:mm:ss"),'Event Info'!$B$5,",",," ",C48),"")</f>
        <v>#REF!</v>
      </c>
      <c r="G48" t="e">
        <f t="shared" si="0"/>
        <v>#REF!</v>
      </c>
      <c r="H48" s="92" t="str">
        <f t="shared" si="1"/>
        <v/>
      </c>
      <c r="I48" s="88">
        <v>0</v>
      </c>
    </row>
    <row r="49" spans="1:9" ht="16.899999999999999">
      <c r="A49" s="76" t="e" cm="1">
        <f t="array" ref="A49">IF(OR(INDEX(#REF!,ROW()+10)="START",INDEX(#REF!,ROW()+9)="",INDEX(#REF!,ROW()+9)="START",INDEX(#REF!,ROW()+9)="TBA",INDEX(#REF!,ROW()+9)="TBC"),"",INDEX(#REF!,ROW()+9)+'Date Calculators'!$B$2+E49)</f>
        <v>#REF!</v>
      </c>
      <c r="B49" s="76" t="e" cm="1">
        <f t="array" ref="B49">IF(OR(A49=""),"",IF(INDEX(#REF!,ROW()+9)="",IF(A50="",A49+$Q$10,A50),INDEX(#REF!,ROW()+9)+'Date Calculators'!$B$2+E49))</f>
        <v>#REF!</v>
      </c>
      <c r="C49" s="74" t="e" cm="1">
        <f t="array" ref="C49">IF(A49="","",INDEX(#REF!,ROW()+9))</f>
        <v>#REF!</v>
      </c>
      <c r="D49" s="74" t="str">
        <f>IFERROR(IF(A49="","",'Event Info'!$B$2),"")</f>
        <v/>
      </c>
      <c r="E49" t="e" cm="1">
        <f t="array" ref="E49">IF(INDEX(#REF!,ROW()+9)="START",E48+1,E48+0)</f>
        <v>#REF!</v>
      </c>
      <c r="F49" s="82" t="e">
        <f>IF(A49&lt;&gt;"",_xlfn.CONCAT(TEXT(A49,"yyyy-mm-dd"),"T",TEXT(A49,"hh:mm:ss"),'Event Info'!$B$5,",",," ",C49),"")</f>
        <v>#REF!</v>
      </c>
      <c r="G49" t="e">
        <f t="shared" si="0"/>
        <v>#REF!</v>
      </c>
      <c r="H49" s="92" t="str">
        <f t="shared" si="1"/>
        <v/>
      </c>
      <c r="I49" s="91">
        <v>0</v>
      </c>
    </row>
    <row r="50" spans="1:9">
      <c r="A50" s="76" t="e" cm="1">
        <f t="array" ref="A50">IF(OR(INDEX(#REF!,ROW()+10)="START",INDEX(#REF!,ROW()+9)="",INDEX(#REF!,ROW()+9)="START",INDEX(#REF!,ROW()+9)="TBA",INDEX(#REF!,ROW()+9)="TBC"),"",INDEX(#REF!,ROW()+9)+'Date Calculators'!$B$2+E50)</f>
        <v>#REF!</v>
      </c>
      <c r="B50" s="76" t="e" cm="1">
        <f t="array" ref="B50">IF(OR(A50=""),"",IF(INDEX(#REF!,ROW()+9)="",IF(A51="",A50+$Q$10,A51),INDEX(#REF!,ROW()+9)+'Date Calculators'!$B$2+E50))</f>
        <v>#REF!</v>
      </c>
      <c r="C50" s="74" t="e" cm="1">
        <f t="array" ref="C50">IF(A50="","",INDEX(#REF!,ROW()+9))</f>
        <v>#REF!</v>
      </c>
      <c r="D50" s="74" t="str">
        <f>IFERROR(IF(A50="","",'Event Info'!$B$2),"")</f>
        <v/>
      </c>
      <c r="E50" t="e" cm="1">
        <f t="array" ref="E50">IF(INDEX(#REF!,ROW()+9)="START",E49+1,E49+0)</f>
        <v>#REF!</v>
      </c>
      <c r="F50" s="82" t="e">
        <f>IF(A50&lt;&gt;"",_xlfn.CONCAT(TEXT(A50,"yyyy-mm-dd"),"T",TEXT(A50,"hh:mm:ss"),'Event Info'!$B$5,",",," ",C50),"")</f>
        <v>#REF!</v>
      </c>
      <c r="G50" t="e">
        <f t="shared" si="0"/>
        <v>#REF!</v>
      </c>
      <c r="H50" s="92" t="str">
        <f t="shared" si="1"/>
        <v/>
      </c>
      <c r="I50" s="88">
        <v>0</v>
      </c>
    </row>
    <row r="51" spans="1:9">
      <c r="A51" s="76" t="e" cm="1">
        <f t="array" ref="A51">IF(OR(INDEX(#REF!,ROW()+10)="START",INDEX(#REF!,ROW()+9)="",INDEX(#REF!,ROW()+9)="START",INDEX(#REF!,ROW()+9)="TBA",INDEX(#REF!,ROW()+9)="TBC"),"",INDEX(#REF!,ROW()+9)+'Date Calculators'!$B$2+E51)</f>
        <v>#REF!</v>
      </c>
      <c r="B51" s="76" t="e" cm="1">
        <f t="array" ref="B51">IF(OR(A51=""),"",IF(INDEX(#REF!,ROW()+9)="",IF(A52="",A51+$Q$10,A52),INDEX(#REF!,ROW()+9)+'Date Calculators'!$B$2+E51))</f>
        <v>#REF!</v>
      </c>
      <c r="C51" s="74" t="e" cm="1">
        <f t="array" ref="C51">IF(A51="","",INDEX(#REF!,ROW()+9))</f>
        <v>#REF!</v>
      </c>
      <c r="D51" s="74" t="str">
        <f>IFERROR(IF(A51="","",'Event Info'!$B$2),"")</f>
        <v/>
      </c>
      <c r="E51" t="e" cm="1">
        <f t="array" ref="E51">IF(INDEX(#REF!,ROW()+9)="START",E50+1,E50+0)</f>
        <v>#REF!</v>
      </c>
      <c r="F51" s="82" t="e">
        <f>IF(A51&lt;&gt;"",_xlfn.CONCAT(TEXT(A51,"yyyy-mm-dd"),"T",TEXT(A51,"hh:mm:ss"),'Event Info'!$B$5,",",," ",C51),"")</f>
        <v>#REF!</v>
      </c>
      <c r="G51" t="e">
        <f t="shared" si="0"/>
        <v>#REF!</v>
      </c>
      <c r="H51" s="92" t="str">
        <f t="shared" si="1"/>
        <v/>
      </c>
      <c r="I51" s="88">
        <v>0</v>
      </c>
    </row>
    <row r="52" spans="1:9" ht="16.899999999999999">
      <c r="A52" s="76" t="e" cm="1">
        <f t="array" ref="A52">IF(OR(INDEX(#REF!,ROW()+10)="START",INDEX(#REF!,ROW()+9)="",INDEX(#REF!,ROW()+9)="START",INDEX(#REF!,ROW()+9)="TBA",INDEX(#REF!,ROW()+9)="TBC"),"",INDEX(#REF!,ROW()+9)+'Date Calculators'!$B$2+E52)</f>
        <v>#REF!</v>
      </c>
      <c r="B52" s="76" t="e" cm="1">
        <f t="array" ref="B52">IF(OR(A52=""),"",IF(INDEX(#REF!,ROW()+9)="",IF(A53="",A52+$Q$10,A53),INDEX(#REF!,ROW()+9)+'Date Calculators'!$B$2+E52))</f>
        <v>#REF!</v>
      </c>
      <c r="C52" s="74" t="e" cm="1">
        <f t="array" ref="C52">IF(A52="","",INDEX(#REF!,ROW()+9))</f>
        <v>#REF!</v>
      </c>
      <c r="D52" s="74" t="str">
        <f>IFERROR(IF(A52="","",'Event Info'!$B$2),"")</f>
        <v/>
      </c>
      <c r="E52" t="e" cm="1">
        <f t="array" ref="E52">IF(INDEX(#REF!,ROW()+9)="START",E51+1,E51+0)</f>
        <v>#REF!</v>
      </c>
      <c r="F52" s="82" t="e">
        <f>IF(A52&lt;&gt;"",_xlfn.CONCAT(TEXT(A52,"yyyy-mm-dd"),"T",TEXT(A52,"hh:mm:ss"),'Event Info'!$B$5,",",," ",C52),"")</f>
        <v>#REF!</v>
      </c>
      <c r="G52" t="e">
        <f t="shared" si="0"/>
        <v>#REF!</v>
      </c>
      <c r="H52" s="92" t="str">
        <f t="shared" si="1"/>
        <v/>
      </c>
      <c r="I52" s="91">
        <v>0</v>
      </c>
    </row>
    <row r="53" spans="1:9">
      <c r="A53" s="76" t="e" cm="1">
        <f t="array" ref="A53">IF(OR(INDEX(#REF!,ROW()+10)="START",INDEX(#REF!,ROW()+9)="",INDEX(#REF!,ROW()+9)="START",INDEX(#REF!,ROW()+9)="TBA",INDEX(#REF!,ROW()+9)="TBC"),"",INDEX(#REF!,ROW()+9)+'Date Calculators'!$B$2+E53)</f>
        <v>#REF!</v>
      </c>
      <c r="B53" s="76" t="e" cm="1">
        <f t="array" ref="B53">IF(OR(A53=""),"",IF(INDEX(#REF!,ROW()+9)="",IF(A54="",A53+$Q$10,A54),INDEX(#REF!,ROW()+9)+'Date Calculators'!$B$2+E53))</f>
        <v>#REF!</v>
      </c>
      <c r="C53" s="74" t="e" cm="1">
        <f t="array" ref="C53">IF(A53="","",INDEX(#REF!,ROW()+9))</f>
        <v>#REF!</v>
      </c>
      <c r="D53" s="74" t="str">
        <f>IFERROR(IF(A53="","",'Event Info'!$B$2),"")</f>
        <v/>
      </c>
      <c r="E53" t="e" cm="1">
        <f t="array" ref="E53">IF(INDEX(#REF!,ROW()+9)="START",E52+1,E52+0)</f>
        <v>#REF!</v>
      </c>
      <c r="F53" s="82" t="e">
        <f>IF(A53&lt;&gt;"",_xlfn.CONCAT(TEXT(A53,"yyyy-mm-dd"),"T",TEXT(A53,"hh:mm:ss"),'Event Info'!$B$5,",",," ",C53),"")</f>
        <v>#REF!</v>
      </c>
      <c r="G53" t="e">
        <f t="shared" si="0"/>
        <v>#REF!</v>
      </c>
      <c r="H53" s="92" t="str">
        <f t="shared" si="1"/>
        <v/>
      </c>
      <c r="I53" s="88">
        <v>0</v>
      </c>
    </row>
    <row r="54" spans="1:9">
      <c r="A54" s="76" t="e" cm="1">
        <f t="array" ref="A54">IF(OR(INDEX(#REF!,ROW()+10)="START",INDEX(#REF!,ROW()+9)="",INDEX(#REF!,ROW()+9)="START",INDEX(#REF!,ROW()+9)="TBA",INDEX(#REF!,ROW()+9)="TBC"),"",INDEX(#REF!,ROW()+9)+'Date Calculators'!$B$2+E54)</f>
        <v>#REF!</v>
      </c>
      <c r="B54" s="76" t="e" cm="1">
        <f t="array" ref="B54">IF(OR(A54=""),"",IF(INDEX(#REF!,ROW()+9)="",IF(A55="",A54+$Q$10,A55),INDEX(#REF!,ROW()+9)+'Date Calculators'!$B$2+E54))</f>
        <v>#REF!</v>
      </c>
      <c r="C54" s="74" t="e" cm="1">
        <f t="array" ref="C54">IF(A54="","",INDEX(#REF!,ROW()+9))</f>
        <v>#REF!</v>
      </c>
      <c r="D54" s="74" t="str">
        <f>IFERROR(IF(A54="","",'Event Info'!$B$2),"")</f>
        <v/>
      </c>
      <c r="E54" t="e" cm="1">
        <f t="array" ref="E54">IF(INDEX(#REF!,ROW()+9)="START",E53+1,E53+0)</f>
        <v>#REF!</v>
      </c>
      <c r="F54" s="82" t="e">
        <f>IF(A54&lt;&gt;"",_xlfn.CONCAT(TEXT(A54,"yyyy-mm-dd"),"T",TEXT(A54,"hh:mm:ss"),'Event Info'!$B$5,",",," ",C54),"")</f>
        <v>#REF!</v>
      </c>
      <c r="G54" t="e">
        <f t="shared" si="0"/>
        <v>#REF!</v>
      </c>
      <c r="H54" s="92" t="str">
        <f t="shared" si="1"/>
        <v/>
      </c>
      <c r="I54" s="88">
        <v>0</v>
      </c>
    </row>
    <row r="55" spans="1:9" ht="16.899999999999999">
      <c r="A55" s="76" t="e" cm="1">
        <f t="array" ref="A55">IF(OR(INDEX(#REF!,ROW()+10)="START",INDEX(#REF!,ROW()+9)="",INDEX(#REF!,ROW()+9)="START",INDEX(#REF!,ROW()+9)="TBA",INDEX(#REF!,ROW()+9)="TBC"),"",INDEX(#REF!,ROW()+9)+'Date Calculators'!$B$2+E55)</f>
        <v>#REF!</v>
      </c>
      <c r="B55" s="76" t="e" cm="1">
        <f t="array" ref="B55">IF(OR(A55=""),"",IF(INDEX(#REF!,ROW()+9)="",IF(A56="",A55+$Q$10,A56),INDEX(#REF!,ROW()+9)+'Date Calculators'!$B$2+E55))</f>
        <v>#REF!</v>
      </c>
      <c r="C55" s="74" t="e" cm="1">
        <f t="array" ref="C55">IF(A55="","",INDEX(#REF!,ROW()+9))</f>
        <v>#REF!</v>
      </c>
      <c r="D55" s="74" t="str">
        <f>IFERROR(IF(A55="","",'Event Info'!$B$2),"")</f>
        <v/>
      </c>
      <c r="E55" t="e" cm="1">
        <f t="array" ref="E55">IF(INDEX(#REF!,ROW()+9)="START",E54+1,E54+0)</f>
        <v>#REF!</v>
      </c>
      <c r="F55" s="82" t="e">
        <f>IF(A55&lt;&gt;"",_xlfn.CONCAT(TEXT(A55,"yyyy-mm-dd"),"T",TEXT(A55,"hh:mm:ss"),'Event Info'!$B$5,",",," ",C55),"")</f>
        <v>#REF!</v>
      </c>
      <c r="G55" t="e">
        <f t="shared" si="0"/>
        <v>#REF!</v>
      </c>
      <c r="H55" s="92" t="str">
        <f t="shared" si="1"/>
        <v/>
      </c>
      <c r="I55" s="91">
        <v>0</v>
      </c>
    </row>
    <row r="56" spans="1:9">
      <c r="A56" s="76" t="e" cm="1">
        <f t="array" ref="A56">IF(OR(INDEX(#REF!,ROW()+10)="START",INDEX(#REF!,ROW()+9)="",INDEX(#REF!,ROW()+9)="START",INDEX(#REF!,ROW()+9)="TBA",INDEX(#REF!,ROW()+9)="TBC"),"",INDEX(#REF!,ROW()+9)+'Date Calculators'!$B$2+E56)</f>
        <v>#REF!</v>
      </c>
      <c r="B56" s="76" t="e" cm="1">
        <f t="array" ref="B56">IF(OR(A56=""),"",IF(INDEX(#REF!,ROW()+9)="",IF(A57="",A56+$Q$10,A57),INDEX(#REF!,ROW()+9)+'Date Calculators'!$B$2+E56))</f>
        <v>#REF!</v>
      </c>
      <c r="C56" s="74" t="e" cm="1">
        <f t="array" ref="C56">IF(A56="","",INDEX(#REF!,ROW()+9))</f>
        <v>#REF!</v>
      </c>
      <c r="D56" s="74" t="str">
        <f>IFERROR(IF(A56="","",'Event Info'!$B$2),"")</f>
        <v/>
      </c>
      <c r="E56" t="e" cm="1">
        <f t="array" ref="E56">IF(INDEX(#REF!,ROW()+9)="START",E55+1,E55+0)</f>
        <v>#REF!</v>
      </c>
      <c r="F56" s="82" t="e">
        <f>IF(A56&lt;&gt;"",_xlfn.CONCAT(TEXT(A56,"yyyy-mm-dd"),"T",TEXT(A56,"hh:mm:ss"),'Event Info'!$B$5,",",," ",C56),"")</f>
        <v>#REF!</v>
      </c>
      <c r="G56" t="e">
        <f t="shared" si="0"/>
        <v>#REF!</v>
      </c>
      <c r="H56" s="92" t="str">
        <f t="shared" si="1"/>
        <v/>
      </c>
      <c r="I56" s="88">
        <v>0</v>
      </c>
    </row>
    <row r="57" spans="1:9">
      <c r="A57" s="76" t="e" cm="1">
        <f t="array" ref="A57">IF(OR(INDEX(#REF!,ROW()+10)="START",INDEX(#REF!,ROW()+9)="",INDEX(#REF!,ROW()+9)="START",INDEX(#REF!,ROW()+9)="TBA",INDEX(#REF!,ROW()+9)="TBC"),"",INDEX(#REF!,ROW()+9)+'Date Calculators'!$B$2+E57)</f>
        <v>#REF!</v>
      </c>
      <c r="B57" s="76" t="e" cm="1">
        <f t="array" ref="B57">IF(OR(A57=""),"",IF(INDEX(#REF!,ROW()+9)="",IF(A58="",A57+$Q$10,A58),INDEX(#REF!,ROW()+9)+'Date Calculators'!$B$2+E57))</f>
        <v>#REF!</v>
      </c>
      <c r="C57" s="74" t="e" cm="1">
        <f t="array" ref="C57">IF(A57="","",INDEX(#REF!,ROW()+9))</f>
        <v>#REF!</v>
      </c>
      <c r="D57" s="74" t="str">
        <f>IFERROR(IF(A57="","",'Event Info'!$B$2),"")</f>
        <v/>
      </c>
      <c r="E57" t="e" cm="1">
        <f t="array" ref="E57">IF(INDEX(#REF!,ROW()+9)="START",E56+1,E56+0)</f>
        <v>#REF!</v>
      </c>
      <c r="F57" s="82" t="e">
        <f>IF(A57&lt;&gt;"",_xlfn.CONCAT(TEXT(A57,"yyyy-mm-dd"),"T",TEXT(A57,"hh:mm:ss"),'Event Info'!$B$5,",",," ",C57),"")</f>
        <v>#REF!</v>
      </c>
      <c r="G57" t="e">
        <f t="shared" si="0"/>
        <v>#REF!</v>
      </c>
      <c r="H57" s="92" t="str">
        <f t="shared" si="1"/>
        <v/>
      </c>
      <c r="I57" s="88">
        <v>0</v>
      </c>
    </row>
    <row r="58" spans="1:9" ht="16.899999999999999">
      <c r="A58" s="76" t="e" cm="1">
        <f t="array" ref="A58">IF(OR(INDEX(#REF!,ROW()+10)="START",INDEX(#REF!,ROW()+9)="",INDEX(#REF!,ROW()+9)="START",INDEX(#REF!,ROW()+9)="TBA",INDEX(#REF!,ROW()+9)="TBC"),"",INDEX(#REF!,ROW()+9)+'Date Calculators'!$B$2+E58)</f>
        <v>#REF!</v>
      </c>
      <c r="B58" s="76" t="e" cm="1">
        <f t="array" ref="B58">IF(OR(A58=""),"",IF(INDEX(#REF!,ROW()+9)="",IF(A59="",A58+$Q$10,A59),INDEX(#REF!,ROW()+9)+'Date Calculators'!$B$2+E58))</f>
        <v>#REF!</v>
      </c>
      <c r="C58" s="74" t="e" cm="1">
        <f t="array" ref="C58">IF(A58="","",INDEX(#REF!,ROW()+9))</f>
        <v>#REF!</v>
      </c>
      <c r="D58" s="74" t="str">
        <f>IFERROR(IF(A58="","",'Event Info'!$B$2),"")</f>
        <v/>
      </c>
      <c r="E58" t="e" cm="1">
        <f t="array" ref="E58">IF(INDEX(#REF!,ROW()+9)="START",E57+1,E57+0)</f>
        <v>#REF!</v>
      </c>
      <c r="F58" s="82" t="e">
        <f>IF(A58&lt;&gt;"",_xlfn.CONCAT(TEXT(A58,"yyyy-mm-dd"),"T",TEXT(A58,"hh:mm:ss"),'Event Info'!$B$5,",",," ",C58),"")</f>
        <v>#REF!</v>
      </c>
      <c r="G58" t="e">
        <f t="shared" si="0"/>
        <v>#REF!</v>
      </c>
      <c r="H58" s="92" t="str">
        <f t="shared" si="1"/>
        <v/>
      </c>
      <c r="I58" s="91">
        <v>0</v>
      </c>
    </row>
    <row r="59" spans="1:9">
      <c r="A59" s="76" t="e" cm="1">
        <f t="array" ref="A59">IF(OR(INDEX(#REF!,ROW()+10)="START",INDEX(#REF!,ROW()+9)="",INDEX(#REF!,ROW()+9)="START",INDEX(#REF!,ROW()+9)="TBA",INDEX(#REF!,ROW()+9)="TBC"),"",INDEX(#REF!,ROW()+9)+'Date Calculators'!$B$2+E59)</f>
        <v>#REF!</v>
      </c>
      <c r="B59" s="76" t="e" cm="1">
        <f t="array" ref="B59">IF(OR(A59=""),"",IF(INDEX(#REF!,ROW()+9)="",IF(A60="",A59+$Q$10,A60),INDEX(#REF!,ROW()+9)+'Date Calculators'!$B$2+E59))</f>
        <v>#REF!</v>
      </c>
      <c r="C59" s="74" t="e" cm="1">
        <f t="array" ref="C59">IF(A59="","",INDEX(#REF!,ROW()+9))</f>
        <v>#REF!</v>
      </c>
      <c r="D59" s="74" t="str">
        <f>IFERROR(IF(A59="","",'Event Info'!$B$2),"")</f>
        <v/>
      </c>
      <c r="E59" t="e" cm="1">
        <f t="array" ref="E59">IF(INDEX(#REF!,ROW()+9)="START",E58+1,E58+0)</f>
        <v>#REF!</v>
      </c>
      <c r="F59" s="82" t="e">
        <f>IF(A59&lt;&gt;"",_xlfn.CONCAT(TEXT(A59,"yyyy-mm-dd"),"T",TEXT(A59,"hh:mm:ss"),'Event Info'!$B$5,",",," ",C59),"")</f>
        <v>#REF!</v>
      </c>
      <c r="G59" t="e">
        <f t="shared" si="0"/>
        <v>#REF!</v>
      </c>
      <c r="H59" s="92" t="str">
        <f t="shared" si="1"/>
        <v/>
      </c>
      <c r="I59" s="88">
        <v>0</v>
      </c>
    </row>
    <row r="60" spans="1:9">
      <c r="A60" s="76" t="e" cm="1">
        <f t="array" ref="A60">IF(OR(INDEX(#REF!,ROW()+10)="START",INDEX(#REF!,ROW()+9)="",INDEX(#REF!,ROW()+9)="START",INDEX(#REF!,ROW()+9)="TBA",INDEX(#REF!,ROW()+9)="TBC"),"",INDEX(#REF!,ROW()+9)+'Date Calculators'!$B$2+E60)</f>
        <v>#REF!</v>
      </c>
      <c r="B60" s="76" t="e" cm="1">
        <f t="array" ref="B60">IF(OR(A60=""),"",IF(INDEX(#REF!,ROW()+9)="",IF(A61="",A60+$Q$10,A61),INDEX(#REF!,ROW()+9)+'Date Calculators'!$B$2+E60))</f>
        <v>#REF!</v>
      </c>
      <c r="C60" s="74" t="e" cm="1">
        <f t="array" ref="C60">IF(A60="","",INDEX(#REF!,ROW()+9))</f>
        <v>#REF!</v>
      </c>
      <c r="D60" s="74" t="str">
        <f>IFERROR(IF(A60="","",'Event Info'!$B$2),"")</f>
        <v/>
      </c>
      <c r="E60" t="e" cm="1">
        <f t="array" ref="E60">IF(INDEX(#REF!,ROW()+9)="START",E59+1,E59+0)</f>
        <v>#REF!</v>
      </c>
      <c r="F60" s="82" t="e">
        <f>IF(A60&lt;&gt;"",_xlfn.CONCAT(TEXT(A60,"yyyy-mm-dd"),"T",TEXT(A60,"hh:mm:ss"),'Event Info'!$B$5,",",," ",C60),"")</f>
        <v>#REF!</v>
      </c>
      <c r="G60" t="e">
        <f t="shared" si="0"/>
        <v>#REF!</v>
      </c>
      <c r="H60" s="92" t="str">
        <f t="shared" si="1"/>
        <v/>
      </c>
      <c r="I60" s="88">
        <v>0</v>
      </c>
    </row>
    <row r="61" spans="1:9" ht="16.899999999999999">
      <c r="A61" s="76" t="e" cm="1">
        <f t="array" ref="A61">IF(OR(INDEX(#REF!,ROW()+10)="START",INDEX(#REF!,ROW()+9)="",INDEX(#REF!,ROW()+9)="START",INDEX(#REF!,ROW()+9)="TBA",INDEX(#REF!,ROW()+9)="TBC"),"",INDEX(#REF!,ROW()+9)+'Date Calculators'!$B$2+E61)</f>
        <v>#REF!</v>
      </c>
      <c r="B61" s="76" t="e" cm="1">
        <f t="array" ref="B61">IF(OR(A61=""),"",IF(INDEX(#REF!,ROW()+9)="",IF(A62="",A61+$Q$10,A62),INDEX(#REF!,ROW()+9)+'Date Calculators'!$B$2+E61))</f>
        <v>#REF!</v>
      </c>
      <c r="C61" s="74" t="e" cm="1">
        <f t="array" ref="C61">IF(A61="","",INDEX(#REF!,ROW()+9))</f>
        <v>#REF!</v>
      </c>
      <c r="D61" s="74" t="str">
        <f>IFERROR(IF(A61="","",'Event Info'!$B$2),"")</f>
        <v/>
      </c>
      <c r="E61" t="e" cm="1">
        <f t="array" ref="E61">IF(INDEX(#REF!,ROW()+9)="START",E60+1,E60+0)</f>
        <v>#REF!</v>
      </c>
      <c r="F61" s="82" t="e">
        <f>IF(A61&lt;&gt;"",_xlfn.CONCAT(TEXT(A61,"yyyy-mm-dd"),"T",TEXT(A61,"hh:mm:ss"),'Event Info'!$B$5,",",," ",C61),"")</f>
        <v>#REF!</v>
      </c>
      <c r="G61" t="e">
        <f t="shared" si="0"/>
        <v>#REF!</v>
      </c>
      <c r="H61" s="92" t="str">
        <f t="shared" si="1"/>
        <v/>
      </c>
      <c r="I61" s="91">
        <v>0</v>
      </c>
    </row>
    <row r="62" spans="1:9">
      <c r="A62" s="76" t="e" cm="1">
        <f t="array" ref="A62">IF(OR(INDEX(#REF!,ROW()+10)="START",INDEX(#REF!,ROW()+9)="",INDEX(#REF!,ROW()+9)="START",INDEX(#REF!,ROW()+9)="TBA",INDEX(#REF!,ROW()+9)="TBC"),"",INDEX(#REF!,ROW()+9)+'Date Calculators'!$B$2+E62)</f>
        <v>#REF!</v>
      </c>
      <c r="B62" s="76" t="e" cm="1">
        <f t="array" ref="B62">IF(OR(A62=""),"",IF(INDEX(#REF!,ROW()+9)="",IF(A63="",A62+$Q$10,A63),INDEX(#REF!,ROW()+9)+'Date Calculators'!$B$2+E62))</f>
        <v>#REF!</v>
      </c>
      <c r="C62" s="74" t="e" cm="1">
        <f t="array" ref="C62">IF(A62="","",INDEX(#REF!,ROW()+9))</f>
        <v>#REF!</v>
      </c>
      <c r="D62" s="74" t="str">
        <f>IFERROR(IF(A62="","",'Event Info'!$B$2),"")</f>
        <v/>
      </c>
      <c r="E62" t="e" cm="1">
        <f t="array" ref="E62">IF(INDEX(#REF!,ROW()+9)="START",E61+1,E61+0)</f>
        <v>#REF!</v>
      </c>
      <c r="F62" s="82" t="e">
        <f>IF(A62&lt;&gt;"",_xlfn.CONCAT(TEXT(A62,"yyyy-mm-dd"),"T",TEXT(A62,"hh:mm:ss"),'Event Info'!$B$5,",",," ",C62),"")</f>
        <v>#REF!</v>
      </c>
      <c r="G62" t="e">
        <f t="shared" si="0"/>
        <v>#REF!</v>
      </c>
      <c r="H62" s="92" t="str">
        <f t="shared" si="1"/>
        <v/>
      </c>
      <c r="I62" s="88">
        <v>0</v>
      </c>
    </row>
    <row r="63" spans="1:9">
      <c r="A63" s="76" t="e" cm="1">
        <f t="array" ref="A63">IF(OR(INDEX(#REF!,ROW()+10)="START",INDEX(#REF!,ROW()+9)="",INDEX(#REF!,ROW()+9)="START",INDEX(#REF!,ROW()+9)="TBA",INDEX(#REF!,ROW()+9)="TBC"),"",INDEX(#REF!,ROW()+9)+'Date Calculators'!$B$2+E63)</f>
        <v>#REF!</v>
      </c>
      <c r="B63" s="76" t="e" cm="1">
        <f t="array" ref="B63">IF(OR(A63=""),"",IF(INDEX(#REF!,ROW()+9)="",IF(A64="",A63+$Q$10,A64),INDEX(#REF!,ROW()+9)+'Date Calculators'!$B$2+E63))</f>
        <v>#REF!</v>
      </c>
      <c r="C63" s="74" t="e" cm="1">
        <f t="array" ref="C63">IF(A63="","",INDEX(#REF!,ROW()+9))</f>
        <v>#REF!</v>
      </c>
      <c r="D63" s="74" t="str">
        <f>IFERROR(IF(A63="","",'Event Info'!$B$2),"")</f>
        <v/>
      </c>
      <c r="E63" t="e" cm="1">
        <f t="array" ref="E63">IF(INDEX(#REF!,ROW()+9)="START",E62+1,E62+0)</f>
        <v>#REF!</v>
      </c>
      <c r="F63" s="82" t="e">
        <f>IF(A63&lt;&gt;"",_xlfn.CONCAT(TEXT(A63,"yyyy-mm-dd"),"T",TEXT(A63,"hh:mm:ss"),'Event Info'!$B$5,",",," ",C63),"")</f>
        <v>#REF!</v>
      </c>
      <c r="G63" t="e">
        <f t="shared" si="0"/>
        <v>#REF!</v>
      </c>
      <c r="H63" s="92" t="str">
        <f t="shared" si="1"/>
        <v/>
      </c>
      <c r="I63" s="88">
        <v>0</v>
      </c>
    </row>
    <row r="64" spans="1:9" ht="16.899999999999999">
      <c r="A64" s="76" t="e" cm="1">
        <f t="array" ref="A64">IF(OR(INDEX(#REF!,ROW()+10)="START",INDEX(#REF!,ROW()+9)="",INDEX(#REF!,ROW()+9)="START",INDEX(#REF!,ROW()+9)="TBA",INDEX(#REF!,ROW()+9)="TBC"),"",INDEX(#REF!,ROW()+9)+'Date Calculators'!$B$2+E64)</f>
        <v>#REF!</v>
      </c>
      <c r="B64" s="76" t="e" cm="1">
        <f t="array" ref="B64">IF(OR(A64=""),"",IF(INDEX(#REF!,ROW()+9)="",IF(A65="",A64+$Q$10,A65),INDEX(#REF!,ROW()+9)+'Date Calculators'!$B$2+E64))</f>
        <v>#REF!</v>
      </c>
      <c r="C64" s="74" t="e" cm="1">
        <f t="array" ref="C64">IF(A64="","",INDEX(#REF!,ROW()+9))</f>
        <v>#REF!</v>
      </c>
      <c r="D64" s="74" t="str">
        <f>IFERROR(IF(A64="","",'Event Info'!$B$2),"")</f>
        <v/>
      </c>
      <c r="E64" t="e" cm="1">
        <f t="array" ref="E64">IF(INDEX(#REF!,ROW()+9)="START",E63+1,E63+0)</f>
        <v>#REF!</v>
      </c>
      <c r="F64" s="82" t="e">
        <f>IF(A64&lt;&gt;"",_xlfn.CONCAT(TEXT(A64,"yyyy-mm-dd"),"T",TEXT(A64,"hh:mm:ss"),'Event Info'!$B$5,",",," ",C64),"")</f>
        <v>#REF!</v>
      </c>
      <c r="G64" t="e">
        <f t="shared" si="0"/>
        <v>#REF!</v>
      </c>
      <c r="H64" s="92" t="str">
        <f t="shared" si="1"/>
        <v/>
      </c>
      <c r="I64" s="91">
        <v>0</v>
      </c>
    </row>
    <row r="65" spans="1:9">
      <c r="A65" s="76" t="e" cm="1">
        <f t="array" ref="A65">IF(OR(INDEX(#REF!,ROW()+10)="START",INDEX(#REF!,ROW()+9)="",INDEX(#REF!,ROW()+9)="START",INDEX(#REF!,ROW()+9)="TBA",INDEX(#REF!,ROW()+9)="TBC"),"",INDEX(#REF!,ROW()+9)+'Date Calculators'!$B$2+E65)</f>
        <v>#REF!</v>
      </c>
      <c r="B65" s="76" t="e" cm="1">
        <f t="array" ref="B65">IF(OR(A65=""),"",IF(INDEX(#REF!,ROW()+9)="",IF(A66="",A65+$Q$10,A66),INDEX(#REF!,ROW()+9)+'Date Calculators'!$B$2+E65))</f>
        <v>#REF!</v>
      </c>
      <c r="C65" s="74" t="e" cm="1">
        <f t="array" ref="C65">IF(A65="","",INDEX(#REF!,ROW()+9))</f>
        <v>#REF!</v>
      </c>
      <c r="D65" s="74" t="str">
        <f>IFERROR(IF(A65="","",'Event Info'!$B$2),"")</f>
        <v/>
      </c>
      <c r="E65" t="e" cm="1">
        <f t="array" ref="E65">IF(INDEX(#REF!,ROW()+9)="START",E64+1,E64+0)</f>
        <v>#REF!</v>
      </c>
      <c r="F65" s="82" t="e">
        <f>IF(A65&lt;&gt;"",_xlfn.CONCAT(TEXT(A65,"yyyy-mm-dd"),"T",TEXT(A65,"hh:mm:ss"),'Event Info'!$B$5,",",," ",C65),"")</f>
        <v>#REF!</v>
      </c>
      <c r="G65" t="e">
        <f t="shared" si="0"/>
        <v>#REF!</v>
      </c>
      <c r="H65" s="92" t="str">
        <f t="shared" si="1"/>
        <v/>
      </c>
      <c r="I65" s="88">
        <v>0</v>
      </c>
    </row>
    <row r="66" spans="1:9">
      <c r="A66" s="76" t="e" cm="1">
        <f t="array" ref="A66">IF(OR(INDEX(#REF!,ROW()+10)="START",INDEX(#REF!,ROW()+9)="",INDEX(#REF!,ROW()+9)="START",INDEX(#REF!,ROW()+9)="TBA",INDEX(#REF!,ROW()+9)="TBC"),"",INDEX(#REF!,ROW()+9)+'Date Calculators'!$B$2+E66)</f>
        <v>#REF!</v>
      </c>
      <c r="B66" s="76" t="e" cm="1">
        <f t="array" ref="B66">IF(OR(A66=""),"",IF(INDEX(#REF!,ROW()+9)="",IF(A67="",A66+$Q$10,A67),INDEX(#REF!,ROW()+9)+'Date Calculators'!$B$2+E66))</f>
        <v>#REF!</v>
      </c>
      <c r="C66" s="74" t="e" cm="1">
        <f t="array" ref="C66">IF(A66="","",INDEX(#REF!,ROW()+9))</f>
        <v>#REF!</v>
      </c>
      <c r="D66" s="74" t="str">
        <f>IFERROR(IF(A66="","",'Event Info'!$B$2),"")</f>
        <v/>
      </c>
      <c r="E66" t="e" cm="1">
        <f t="array" ref="E66">IF(INDEX(#REF!,ROW()+9)="START",E65+1,E65+0)</f>
        <v>#REF!</v>
      </c>
      <c r="F66" s="82" t="e">
        <f>IF(A66&lt;&gt;"",_xlfn.CONCAT(TEXT(A66,"yyyy-mm-dd"),"T",TEXT(A66,"hh:mm:ss"),'Event Info'!$B$5,",",," ",C66),"")</f>
        <v>#REF!</v>
      </c>
      <c r="G66" t="e">
        <f t="shared" si="0"/>
        <v>#REF!</v>
      </c>
      <c r="H66" s="92" t="str">
        <f t="shared" si="1"/>
        <v/>
      </c>
      <c r="I66" s="88">
        <v>0</v>
      </c>
    </row>
    <row r="67" spans="1:9" ht="16.899999999999999">
      <c r="A67" s="76" t="e" cm="1">
        <f t="array" ref="A67">IF(OR(INDEX(#REF!,ROW()+10)="START",INDEX(#REF!,ROW()+9)="",INDEX(#REF!,ROW()+9)="START",INDEX(#REF!,ROW()+9)="TBA",INDEX(#REF!,ROW()+9)="TBC"),"",INDEX(#REF!,ROW()+9)+'Date Calculators'!$B$2+E67)</f>
        <v>#REF!</v>
      </c>
      <c r="B67" s="76" t="e" cm="1">
        <f t="array" ref="B67">IF(OR(A67=""),"",IF(INDEX(#REF!,ROW()+9)="",IF(A68="",A67+$Q$10,A68),INDEX(#REF!,ROW()+9)+'Date Calculators'!$B$2+E67))</f>
        <v>#REF!</v>
      </c>
      <c r="C67" s="74" t="e" cm="1">
        <f t="array" ref="C67">IF(A67="","",INDEX(#REF!,ROW()+9))</f>
        <v>#REF!</v>
      </c>
      <c r="D67" s="74" t="str">
        <f>IFERROR(IF(A67="","",'Event Info'!$B$2),"")</f>
        <v/>
      </c>
      <c r="E67" t="e" cm="1">
        <f t="array" ref="E67">IF(INDEX(#REF!,ROW()+9)="START",E66+1,E66+0)</f>
        <v>#REF!</v>
      </c>
      <c r="F67" s="82" t="e">
        <f>IF(A67&lt;&gt;"",_xlfn.CONCAT(TEXT(A67,"yyyy-mm-dd"),"T",TEXT(A67,"hh:mm:ss"),'Event Info'!$B$5,",",," ",C67),"")</f>
        <v>#REF!</v>
      </c>
      <c r="G67" t="e">
        <f t="shared" ref="G67:G130" si="2">G66+IF(A67&lt;&gt;"",1,0)</f>
        <v>#REF!</v>
      </c>
      <c r="H67" s="92" t="str">
        <f t="shared" si="1"/>
        <v/>
      </c>
      <c r="I67" s="91">
        <v>0</v>
      </c>
    </row>
    <row r="68" spans="1:9">
      <c r="A68" s="76" t="e" cm="1">
        <f t="array" ref="A68">IF(OR(INDEX(#REF!,ROW()+10)="START",INDEX(#REF!,ROW()+9)="",INDEX(#REF!,ROW()+9)="START",INDEX(#REF!,ROW()+9)="TBA",INDEX(#REF!,ROW()+9)="TBC"),"",INDEX(#REF!,ROW()+9)+'Date Calculators'!$B$2+E68)</f>
        <v>#REF!</v>
      </c>
      <c r="B68" s="76" t="e" cm="1">
        <f t="array" ref="B68">IF(OR(A68=""),"",IF(INDEX(#REF!,ROW()+9)="",IF(A69="",A68+$Q$10,A69),INDEX(#REF!,ROW()+9)+'Date Calculators'!$B$2+E68))</f>
        <v>#REF!</v>
      </c>
      <c r="C68" s="74" t="e" cm="1">
        <f t="array" ref="C68">IF(A68="","",INDEX(#REF!,ROW()+9))</f>
        <v>#REF!</v>
      </c>
      <c r="D68" s="74" t="str">
        <f>IFERROR(IF(A68="","",'Event Info'!$B$2),"")</f>
        <v/>
      </c>
      <c r="E68" t="e" cm="1">
        <f t="array" ref="E68">IF(INDEX(#REF!,ROW()+9)="START",E67+1,E67+0)</f>
        <v>#REF!</v>
      </c>
      <c r="F68" s="82" t="e">
        <f>IF(A68&lt;&gt;"",_xlfn.CONCAT(TEXT(A68,"yyyy-mm-dd"),"T",TEXT(A68,"hh:mm:ss"),'Event Info'!$B$5,",",," ",C68),"")</f>
        <v>#REF!</v>
      </c>
      <c r="G68" t="e">
        <f t="shared" si="2"/>
        <v>#REF!</v>
      </c>
      <c r="H68" s="92" t="str">
        <f t="shared" ref="H68:H131" si="3">IFERROR(INDEX($F$2:$F$500,MATCH(ROW()-1,$G$2:$G$500,0)),"")</f>
        <v/>
      </c>
      <c r="I68" s="88">
        <v>0</v>
      </c>
    </row>
    <row r="69" spans="1:9">
      <c r="A69" s="76" t="e" cm="1">
        <f t="array" ref="A69">IF(OR(INDEX(#REF!,ROW()+10)="START",INDEX(#REF!,ROW()+9)="",INDEX(#REF!,ROW()+9)="START",INDEX(#REF!,ROW()+9)="TBA",INDEX(#REF!,ROW()+9)="TBC"),"",INDEX(#REF!,ROW()+9)+'Date Calculators'!$B$2+E69)</f>
        <v>#REF!</v>
      </c>
      <c r="B69" s="76" t="e" cm="1">
        <f t="array" ref="B69">IF(OR(A69=""),"",IF(INDEX(#REF!,ROW()+9)="",IF(A70="",A69+$Q$10,A70),INDEX(#REF!,ROW()+9)+'Date Calculators'!$B$2+E69))</f>
        <v>#REF!</v>
      </c>
      <c r="C69" s="74" t="e" cm="1">
        <f t="array" ref="C69">IF(A69="","",INDEX(#REF!,ROW()+9))</f>
        <v>#REF!</v>
      </c>
      <c r="D69" s="74" t="str">
        <f>IFERROR(IF(A69="","",'Event Info'!$B$2),"")</f>
        <v/>
      </c>
      <c r="E69" t="e" cm="1">
        <f t="array" ref="E69">IF(INDEX(#REF!,ROW()+9)="START",E68+1,E68+0)</f>
        <v>#REF!</v>
      </c>
      <c r="F69" s="82" t="e">
        <f>IF(A69&lt;&gt;"",_xlfn.CONCAT(TEXT(A69,"yyyy-mm-dd"),"T",TEXT(A69,"hh:mm:ss"),'Event Info'!$B$5,",",," ",C69),"")</f>
        <v>#REF!</v>
      </c>
      <c r="G69" t="e">
        <f t="shared" si="2"/>
        <v>#REF!</v>
      </c>
      <c r="H69" s="92" t="str">
        <f t="shared" si="3"/>
        <v/>
      </c>
      <c r="I69" s="88">
        <v>0</v>
      </c>
    </row>
    <row r="70" spans="1:9" ht="16.899999999999999">
      <c r="A70" s="76" t="e" cm="1">
        <f t="array" ref="A70">IF(OR(INDEX(#REF!,ROW()+10)="START",INDEX(#REF!,ROW()+9)="",INDEX(#REF!,ROW()+9)="START",INDEX(#REF!,ROW()+9)="TBA",INDEX(#REF!,ROW()+9)="TBC"),"",INDEX(#REF!,ROW()+9)+'Date Calculators'!$B$2+E70)</f>
        <v>#REF!</v>
      </c>
      <c r="B70" s="76" t="e" cm="1">
        <f t="array" ref="B70">IF(OR(A70=""),"",IF(INDEX(#REF!,ROW()+9)="",IF(A71="",A70+$Q$10,A71),INDEX(#REF!,ROW()+9)+'Date Calculators'!$B$2+E70))</f>
        <v>#REF!</v>
      </c>
      <c r="C70" s="74" t="e" cm="1">
        <f t="array" ref="C70">IF(A70="","",INDEX(#REF!,ROW()+9))</f>
        <v>#REF!</v>
      </c>
      <c r="D70" s="74" t="str">
        <f>IFERROR(IF(A70="","",'Event Info'!$B$2),"")</f>
        <v/>
      </c>
      <c r="E70" t="e" cm="1">
        <f t="array" ref="E70">IF(INDEX(#REF!,ROW()+9)="START",E69+1,E69+0)</f>
        <v>#REF!</v>
      </c>
      <c r="F70" s="82" t="e">
        <f>IF(A70&lt;&gt;"",_xlfn.CONCAT(TEXT(A70,"yyyy-mm-dd"),"T",TEXT(A70,"hh:mm:ss"),'Event Info'!$B$5,",",," ",C70),"")</f>
        <v>#REF!</v>
      </c>
      <c r="G70" t="e">
        <f t="shared" si="2"/>
        <v>#REF!</v>
      </c>
      <c r="H70" s="92" t="str">
        <f t="shared" si="3"/>
        <v/>
      </c>
      <c r="I70" s="91">
        <v>0</v>
      </c>
    </row>
    <row r="71" spans="1:9">
      <c r="A71" s="76" t="e" cm="1">
        <f t="array" ref="A71">IF(OR(INDEX(#REF!,ROW()+10)="START",INDEX(#REF!,ROW()+9)="",INDEX(#REF!,ROW()+9)="START",INDEX(#REF!,ROW()+9)="TBA",INDEX(#REF!,ROW()+9)="TBC"),"",INDEX(#REF!,ROW()+9)+'Date Calculators'!$B$2+E71)</f>
        <v>#REF!</v>
      </c>
      <c r="B71" s="76" t="e" cm="1">
        <f t="array" ref="B71">IF(OR(A71=""),"",IF(INDEX(#REF!,ROW()+9)="",IF(A72="",A71+$Q$10,A72),INDEX(#REF!,ROW()+9)+'Date Calculators'!$B$2+E71))</f>
        <v>#REF!</v>
      </c>
      <c r="C71" s="74" t="e" cm="1">
        <f t="array" ref="C71">IF(A71="","",INDEX(#REF!,ROW()+9))</f>
        <v>#REF!</v>
      </c>
      <c r="D71" s="74" t="str">
        <f>IFERROR(IF(A71="","",'Event Info'!$B$2),"")</f>
        <v/>
      </c>
      <c r="E71" t="e" cm="1">
        <f t="array" ref="E71">IF(INDEX(#REF!,ROW()+9)="START",E70+1,E70+0)</f>
        <v>#REF!</v>
      </c>
      <c r="F71" s="82" t="e">
        <f>IF(A71&lt;&gt;"",_xlfn.CONCAT(TEXT(A71,"yyyy-mm-dd"),"T",TEXT(A71,"hh:mm:ss"),'Event Info'!$B$5,",",," ",C71),"")</f>
        <v>#REF!</v>
      </c>
      <c r="G71" t="e">
        <f t="shared" si="2"/>
        <v>#REF!</v>
      </c>
      <c r="H71" s="92" t="str">
        <f t="shared" si="3"/>
        <v/>
      </c>
      <c r="I71" s="88">
        <v>0</v>
      </c>
    </row>
    <row r="72" spans="1:9">
      <c r="A72" s="76" t="e" cm="1">
        <f t="array" ref="A72">IF(OR(INDEX(#REF!,ROW()+10)="START",INDEX(#REF!,ROW()+9)="",INDEX(#REF!,ROW()+9)="START",INDEX(#REF!,ROW()+9)="TBA",INDEX(#REF!,ROW()+9)="TBC"),"",INDEX(#REF!,ROW()+9)+'Date Calculators'!$B$2+E72)</f>
        <v>#REF!</v>
      </c>
      <c r="B72" s="76" t="e" cm="1">
        <f t="array" ref="B72">IF(OR(A72=""),"",IF(INDEX(#REF!,ROW()+9)="",IF(A73="",A72+$Q$10,A73),INDEX(#REF!,ROW()+9)+'Date Calculators'!$B$2+E72))</f>
        <v>#REF!</v>
      </c>
      <c r="C72" s="74" t="e" cm="1">
        <f t="array" ref="C72">IF(A72="","",INDEX(#REF!,ROW()+9))</f>
        <v>#REF!</v>
      </c>
      <c r="D72" s="74" t="str">
        <f>IFERROR(IF(A72="","",'Event Info'!$B$2),"")</f>
        <v/>
      </c>
      <c r="E72" t="e" cm="1">
        <f t="array" ref="E72">IF(INDEX(#REF!,ROW()+9)="START",E71+1,E71+0)</f>
        <v>#REF!</v>
      </c>
      <c r="F72" s="82" t="e">
        <f>IF(A72&lt;&gt;"",_xlfn.CONCAT(TEXT(A72,"yyyy-mm-dd"),"T",TEXT(A72,"hh:mm:ss"),'Event Info'!$B$5,",",," ",C72),"")</f>
        <v>#REF!</v>
      </c>
      <c r="G72" t="e">
        <f t="shared" si="2"/>
        <v>#REF!</v>
      </c>
      <c r="H72" s="92" t="str">
        <f t="shared" si="3"/>
        <v/>
      </c>
      <c r="I72" s="88">
        <v>0</v>
      </c>
    </row>
    <row r="73" spans="1:9" ht="16.899999999999999">
      <c r="A73" s="76" t="e" cm="1">
        <f t="array" ref="A73">IF(OR(INDEX(#REF!,ROW()+10)="START",INDEX(#REF!,ROW()+9)="",INDEX(#REF!,ROW()+9)="START",INDEX(#REF!,ROW()+9)="TBA",INDEX(#REF!,ROW()+9)="TBC"),"",INDEX(#REF!,ROW()+9)+'Date Calculators'!$B$2+E73)</f>
        <v>#REF!</v>
      </c>
      <c r="B73" s="76" t="e" cm="1">
        <f t="array" ref="B73">IF(OR(A73=""),"",IF(INDEX(#REF!,ROW()+9)="",IF(A74="",A73+$Q$10,A74),INDEX(#REF!,ROW()+9)+'Date Calculators'!$B$2+E73))</f>
        <v>#REF!</v>
      </c>
      <c r="C73" s="74" t="e" cm="1">
        <f t="array" ref="C73">IF(A73="","",INDEX(#REF!,ROW()+9))</f>
        <v>#REF!</v>
      </c>
      <c r="D73" s="74" t="str">
        <f>IFERROR(IF(A73="","",'Event Info'!$B$2),"")</f>
        <v/>
      </c>
      <c r="E73" t="e" cm="1">
        <f t="array" ref="E73">IF(INDEX(#REF!,ROW()+9)="START",E72+1,E72+0)</f>
        <v>#REF!</v>
      </c>
      <c r="F73" s="82" t="e">
        <f>IF(A73&lt;&gt;"",_xlfn.CONCAT(TEXT(A73,"yyyy-mm-dd"),"T",TEXT(A73,"hh:mm:ss"),'Event Info'!$B$5,",",," ",C73),"")</f>
        <v>#REF!</v>
      </c>
      <c r="G73" t="e">
        <f t="shared" si="2"/>
        <v>#REF!</v>
      </c>
      <c r="H73" s="92" t="str">
        <f t="shared" si="3"/>
        <v/>
      </c>
      <c r="I73" s="91">
        <v>0</v>
      </c>
    </row>
    <row r="74" spans="1:9">
      <c r="A74" s="76" t="e" cm="1">
        <f t="array" ref="A74">IF(OR(INDEX(#REF!,ROW()+10)="START",INDEX(#REF!,ROW()+9)="",INDEX(#REF!,ROW()+9)="START",INDEX(#REF!,ROW()+9)="TBA",INDEX(#REF!,ROW()+9)="TBC"),"",INDEX(#REF!,ROW()+9)+'Date Calculators'!$B$2+E74)</f>
        <v>#REF!</v>
      </c>
      <c r="B74" s="76" t="e" cm="1">
        <f t="array" ref="B74">IF(OR(A74=""),"",IF(INDEX(#REF!,ROW()+9)="",IF(A75="",A74+$Q$10,A75),INDEX(#REF!,ROW()+9)+'Date Calculators'!$B$2+E74))</f>
        <v>#REF!</v>
      </c>
      <c r="C74" s="74" t="e" cm="1">
        <f t="array" ref="C74">IF(A74="","",INDEX(#REF!,ROW()+9))</f>
        <v>#REF!</v>
      </c>
      <c r="D74" s="74" t="str">
        <f>IFERROR(IF(A74="","",'Event Info'!$B$2),"")</f>
        <v/>
      </c>
      <c r="E74" t="e" cm="1">
        <f t="array" ref="E74">IF(INDEX(#REF!,ROW()+9)="START",E73+1,E73+0)</f>
        <v>#REF!</v>
      </c>
      <c r="F74" s="82" t="e">
        <f>IF(A74&lt;&gt;"",_xlfn.CONCAT(TEXT(A74,"yyyy-mm-dd"),"T",TEXT(A74,"hh:mm:ss"),'Event Info'!$B$5,",",," ",C74),"")</f>
        <v>#REF!</v>
      </c>
      <c r="G74" t="e">
        <f t="shared" si="2"/>
        <v>#REF!</v>
      </c>
      <c r="H74" s="92" t="str">
        <f t="shared" si="3"/>
        <v/>
      </c>
      <c r="I74" s="88">
        <v>0</v>
      </c>
    </row>
    <row r="75" spans="1:9">
      <c r="A75" s="76" t="e" cm="1">
        <f t="array" ref="A75">IF(OR(INDEX(#REF!,ROW()+10)="START",INDEX(#REF!,ROW()+9)="",INDEX(#REF!,ROW()+9)="START",INDEX(#REF!,ROW()+9)="TBA",INDEX(#REF!,ROW()+9)="TBC"),"",INDEX(#REF!,ROW()+9)+'Date Calculators'!$B$2+E75)</f>
        <v>#REF!</v>
      </c>
      <c r="B75" s="76" t="e" cm="1">
        <f t="array" ref="B75">IF(OR(A75=""),"",IF(INDEX(#REF!,ROW()+9)="",IF(A76="",A75+$Q$10,A76),INDEX(#REF!,ROW()+9)+'Date Calculators'!$B$2+E75))</f>
        <v>#REF!</v>
      </c>
      <c r="C75" s="74" t="e" cm="1">
        <f t="array" ref="C75">IF(A75="","",INDEX(#REF!,ROW()+9))</f>
        <v>#REF!</v>
      </c>
      <c r="D75" s="74" t="str">
        <f>IFERROR(IF(A75="","",'Event Info'!$B$2),"")</f>
        <v/>
      </c>
      <c r="E75" t="e" cm="1">
        <f t="array" ref="E75">IF(INDEX(#REF!,ROW()+9)="START",E74+1,E74+0)</f>
        <v>#REF!</v>
      </c>
      <c r="F75" s="82" t="e">
        <f>IF(A75&lt;&gt;"",_xlfn.CONCAT(TEXT(A75,"yyyy-mm-dd"),"T",TEXT(A75,"hh:mm:ss"),'Event Info'!$B$5,",",," ",C75),"")</f>
        <v>#REF!</v>
      </c>
      <c r="G75" t="e">
        <f t="shared" si="2"/>
        <v>#REF!</v>
      </c>
      <c r="H75" s="92" t="str">
        <f t="shared" si="3"/>
        <v/>
      </c>
      <c r="I75" s="88">
        <v>0</v>
      </c>
    </row>
    <row r="76" spans="1:9" ht="16.899999999999999">
      <c r="A76" s="76" t="e" cm="1">
        <f t="array" ref="A76">IF(OR(INDEX(#REF!,ROW()+10)="START",INDEX(#REF!,ROW()+9)="",INDEX(#REF!,ROW()+9)="START",INDEX(#REF!,ROW()+9)="TBA",INDEX(#REF!,ROW()+9)="TBC"),"",INDEX(#REF!,ROW()+9)+'Date Calculators'!$B$2+E76)</f>
        <v>#REF!</v>
      </c>
      <c r="B76" s="76" t="e" cm="1">
        <f t="array" ref="B76">IF(OR(A76=""),"",IF(INDEX(#REF!,ROW()+9)="",IF(A77="",A76+$Q$10,A77),INDEX(#REF!,ROW()+9)+'Date Calculators'!$B$2+E76))</f>
        <v>#REF!</v>
      </c>
      <c r="C76" s="74" t="e" cm="1">
        <f t="array" ref="C76">IF(A76="","",INDEX(#REF!,ROW()+9))</f>
        <v>#REF!</v>
      </c>
      <c r="D76" s="74" t="str">
        <f>IFERROR(IF(A76="","",'Event Info'!$B$2),"")</f>
        <v/>
      </c>
      <c r="E76" t="e" cm="1">
        <f t="array" ref="E76">IF(INDEX(#REF!,ROW()+9)="START",E75+1,E75+0)</f>
        <v>#REF!</v>
      </c>
      <c r="F76" s="82" t="e">
        <f>IF(A76&lt;&gt;"",_xlfn.CONCAT(TEXT(A76,"yyyy-mm-dd"),"T",TEXT(A76,"hh:mm:ss"),'Event Info'!$B$5,",",," ",C76),"")</f>
        <v>#REF!</v>
      </c>
      <c r="G76" t="e">
        <f t="shared" si="2"/>
        <v>#REF!</v>
      </c>
      <c r="H76" s="92" t="str">
        <f t="shared" si="3"/>
        <v/>
      </c>
      <c r="I76" s="91">
        <v>0</v>
      </c>
    </row>
    <row r="77" spans="1:9">
      <c r="A77" s="76" t="e" cm="1">
        <f t="array" ref="A77">IF(OR(INDEX(#REF!,ROW()+10)="START",INDEX(#REF!,ROW()+9)="",INDEX(#REF!,ROW()+9)="START",INDEX(#REF!,ROW()+9)="TBA",INDEX(#REF!,ROW()+9)="TBC"),"",INDEX(#REF!,ROW()+9)+'Date Calculators'!$B$2+E77)</f>
        <v>#REF!</v>
      </c>
      <c r="B77" s="76" t="e" cm="1">
        <f t="array" ref="B77">IF(OR(A77=""),"",IF(INDEX(#REF!,ROW()+9)="",IF(A78="",A77+$Q$10,A78),INDEX(#REF!,ROW()+9)+'Date Calculators'!$B$2+E77))</f>
        <v>#REF!</v>
      </c>
      <c r="C77" s="74" t="e" cm="1">
        <f t="array" ref="C77">IF(A77="","",INDEX(#REF!,ROW()+9))</f>
        <v>#REF!</v>
      </c>
      <c r="D77" s="74" t="str">
        <f>IFERROR(IF(A77="","",'Event Info'!$B$2),"")</f>
        <v/>
      </c>
      <c r="E77" t="e" cm="1">
        <f t="array" ref="E77">IF(INDEX(#REF!,ROW()+9)="START",E76+1,E76+0)</f>
        <v>#REF!</v>
      </c>
      <c r="F77" s="82" t="e">
        <f>IF(A77&lt;&gt;"",_xlfn.CONCAT(TEXT(A77,"yyyy-mm-dd"),"T",TEXT(A77,"hh:mm:ss"),'Event Info'!$B$5,",",," ",C77),"")</f>
        <v>#REF!</v>
      </c>
      <c r="G77" t="e">
        <f t="shared" si="2"/>
        <v>#REF!</v>
      </c>
      <c r="H77" s="92" t="str">
        <f t="shared" si="3"/>
        <v/>
      </c>
      <c r="I77" s="88">
        <v>0</v>
      </c>
    </row>
    <row r="78" spans="1:9">
      <c r="A78" s="76" t="e" cm="1">
        <f t="array" ref="A78">IF(OR(INDEX(#REF!,ROW()+10)="START",INDEX(#REF!,ROW()+9)="",INDEX(#REF!,ROW()+9)="START",INDEX(#REF!,ROW()+9)="TBA",INDEX(#REF!,ROW()+9)="TBC"),"",INDEX(#REF!,ROW()+9)+'Date Calculators'!$B$2+E78)</f>
        <v>#REF!</v>
      </c>
      <c r="B78" s="76" t="e" cm="1">
        <f t="array" ref="B78">IF(OR(A78=""),"",IF(INDEX(#REF!,ROW()+9)="",IF(A79="",A78+$Q$10,A79),INDEX(#REF!,ROW()+9)+'Date Calculators'!$B$2+E78))</f>
        <v>#REF!</v>
      </c>
      <c r="C78" s="74" t="e" cm="1">
        <f t="array" ref="C78">IF(A78="","",INDEX(#REF!,ROW()+9))</f>
        <v>#REF!</v>
      </c>
      <c r="D78" s="74" t="str">
        <f>IFERROR(IF(A78="","",'Event Info'!$B$2),"")</f>
        <v/>
      </c>
      <c r="E78" t="e" cm="1">
        <f t="array" ref="E78">IF(INDEX(#REF!,ROW()+9)="START",E77+1,E77+0)</f>
        <v>#REF!</v>
      </c>
      <c r="F78" s="82" t="e">
        <f>IF(A78&lt;&gt;"",_xlfn.CONCAT(TEXT(A78,"yyyy-mm-dd"),"T",TEXT(A78,"hh:mm:ss"),'Event Info'!$B$5,",",," ",C78),"")</f>
        <v>#REF!</v>
      </c>
      <c r="G78" t="e">
        <f t="shared" si="2"/>
        <v>#REF!</v>
      </c>
      <c r="H78" s="92" t="str">
        <f t="shared" si="3"/>
        <v/>
      </c>
      <c r="I78" s="88">
        <v>0</v>
      </c>
    </row>
    <row r="79" spans="1:9" ht="16.899999999999999">
      <c r="A79" s="76" t="e" cm="1">
        <f t="array" ref="A79">IF(OR(INDEX(#REF!,ROW()+10)="START",INDEX(#REF!,ROW()+9)="",INDEX(#REF!,ROW()+9)="START",INDEX(#REF!,ROW()+9)="TBA",INDEX(#REF!,ROW()+9)="TBC"),"",INDEX(#REF!,ROW()+9)+'Date Calculators'!$B$2+E79)</f>
        <v>#REF!</v>
      </c>
      <c r="B79" s="76" t="e" cm="1">
        <f t="array" ref="B79">IF(OR(A79=""),"",IF(INDEX(#REF!,ROW()+9)="",IF(A80="",A79+$Q$10,A80),INDEX(#REF!,ROW()+9)+'Date Calculators'!$B$2+E79))</f>
        <v>#REF!</v>
      </c>
      <c r="C79" s="74" t="e" cm="1">
        <f t="array" ref="C79">IF(A79="","",INDEX(#REF!,ROW()+9))</f>
        <v>#REF!</v>
      </c>
      <c r="D79" s="74" t="str">
        <f>IFERROR(IF(A79="","",'Event Info'!$B$2),"")</f>
        <v/>
      </c>
      <c r="E79" t="e" cm="1">
        <f t="array" ref="E79">IF(INDEX(#REF!,ROW()+9)="START",E78+1,E78+0)</f>
        <v>#REF!</v>
      </c>
      <c r="F79" s="82" t="e">
        <f>IF(A79&lt;&gt;"",_xlfn.CONCAT(TEXT(A79,"yyyy-mm-dd"),"T",TEXT(A79,"hh:mm:ss"),'Event Info'!$B$5,",",," ",C79),"")</f>
        <v>#REF!</v>
      </c>
      <c r="G79" t="e">
        <f t="shared" si="2"/>
        <v>#REF!</v>
      </c>
      <c r="H79" s="92" t="str">
        <f t="shared" si="3"/>
        <v/>
      </c>
      <c r="I79" s="91">
        <v>0</v>
      </c>
    </row>
    <row r="80" spans="1:9">
      <c r="A80" s="76" t="e" cm="1">
        <f t="array" ref="A80">IF(OR(INDEX(#REF!,ROW()+10)="START",INDEX(#REF!,ROW()+9)="",INDEX(#REF!,ROW()+9)="START",INDEX(#REF!,ROW()+9)="TBA",INDEX(#REF!,ROW()+9)="TBC"),"",INDEX(#REF!,ROW()+9)+'Date Calculators'!$B$2+E80)</f>
        <v>#REF!</v>
      </c>
      <c r="B80" s="76" t="e" cm="1">
        <f t="array" ref="B80">IF(OR(A80=""),"",IF(INDEX(#REF!,ROW()+9)="",IF(A81="",A80+$Q$10,A81),INDEX(#REF!,ROW()+9)+'Date Calculators'!$B$2+E80))</f>
        <v>#REF!</v>
      </c>
      <c r="C80" s="74" t="e" cm="1">
        <f t="array" ref="C80">IF(A80="","",INDEX(#REF!,ROW()+9))</f>
        <v>#REF!</v>
      </c>
      <c r="D80" s="74" t="str">
        <f>IFERROR(IF(A80="","",'Event Info'!$B$2),"")</f>
        <v/>
      </c>
      <c r="E80" t="e" cm="1">
        <f t="array" ref="E80">IF(INDEX(#REF!,ROW()+9)="START",E79+1,E79+0)</f>
        <v>#REF!</v>
      </c>
      <c r="F80" s="82" t="e">
        <f>IF(A80&lt;&gt;"",_xlfn.CONCAT(TEXT(A80,"yyyy-mm-dd"),"T",TEXT(A80,"hh:mm:ss"),'Event Info'!$B$5,",",," ",C80),"")</f>
        <v>#REF!</v>
      </c>
      <c r="G80" t="e">
        <f t="shared" si="2"/>
        <v>#REF!</v>
      </c>
      <c r="H80" s="92" t="str">
        <f t="shared" si="3"/>
        <v/>
      </c>
      <c r="I80" s="88">
        <v>0</v>
      </c>
    </row>
    <row r="81" spans="1:9">
      <c r="A81" s="76" t="e" cm="1">
        <f t="array" ref="A81">IF(OR(INDEX(#REF!,ROW()+10)="START",INDEX(#REF!,ROW()+9)="",INDEX(#REF!,ROW()+9)="START",INDEX(#REF!,ROW()+9)="TBA",INDEX(#REF!,ROW()+9)="TBC"),"",INDEX(#REF!,ROW()+9)+'Date Calculators'!$B$2+E81)</f>
        <v>#REF!</v>
      </c>
      <c r="B81" s="76" t="e" cm="1">
        <f t="array" ref="B81">IF(OR(A81=""),"",IF(INDEX(#REF!,ROW()+9)="",IF(A82="",A81+$Q$10,A82),INDEX(#REF!,ROW()+9)+'Date Calculators'!$B$2+E81))</f>
        <v>#REF!</v>
      </c>
      <c r="C81" s="74" t="e" cm="1">
        <f t="array" ref="C81">IF(A81="","",INDEX(#REF!,ROW()+9))</f>
        <v>#REF!</v>
      </c>
      <c r="D81" s="74" t="str">
        <f>IFERROR(IF(A81="","",'Event Info'!$B$2),"")</f>
        <v/>
      </c>
      <c r="E81" t="e" cm="1">
        <f t="array" ref="E81">IF(INDEX(#REF!,ROW()+9)="START",E80+1,E80+0)</f>
        <v>#REF!</v>
      </c>
      <c r="F81" s="82" t="e">
        <f>IF(A81&lt;&gt;"",_xlfn.CONCAT(TEXT(A81,"yyyy-mm-dd"),"T",TEXT(A81,"hh:mm:ss"),'Event Info'!$B$5,",",," ",C81),"")</f>
        <v>#REF!</v>
      </c>
      <c r="G81" t="e">
        <f t="shared" si="2"/>
        <v>#REF!</v>
      </c>
      <c r="H81" s="92" t="str">
        <f t="shared" si="3"/>
        <v/>
      </c>
      <c r="I81" s="88">
        <v>0</v>
      </c>
    </row>
    <row r="82" spans="1:9" ht="16.899999999999999">
      <c r="A82" s="76" t="e" cm="1">
        <f t="array" ref="A82">IF(OR(INDEX(#REF!,ROW()+10)="START",INDEX(#REF!,ROW()+9)="",INDEX(#REF!,ROW()+9)="START",INDEX(#REF!,ROW()+9)="TBA",INDEX(#REF!,ROW()+9)="TBC"),"",INDEX(#REF!,ROW()+9)+'Date Calculators'!$B$2+E82)</f>
        <v>#REF!</v>
      </c>
      <c r="B82" s="76" t="e" cm="1">
        <f t="array" ref="B82">IF(OR(A82=""),"",IF(INDEX(#REF!,ROW()+9)="",IF(A83="",A82+$Q$10,A83),INDEX(#REF!,ROW()+9)+'Date Calculators'!$B$2+E82))</f>
        <v>#REF!</v>
      </c>
      <c r="C82" s="74" t="e" cm="1">
        <f t="array" ref="C82">IF(A82="","",INDEX(#REF!,ROW()+9))</f>
        <v>#REF!</v>
      </c>
      <c r="D82" s="74" t="str">
        <f>IFERROR(IF(A82="","",'Event Info'!$B$2),"")</f>
        <v/>
      </c>
      <c r="E82" t="e" cm="1">
        <f t="array" ref="E82">IF(INDEX(#REF!,ROW()+9)="START",E81+1,E81+0)</f>
        <v>#REF!</v>
      </c>
      <c r="F82" s="82" t="e">
        <f>IF(A82&lt;&gt;"",_xlfn.CONCAT(TEXT(A82,"yyyy-mm-dd"),"T",TEXT(A82,"hh:mm:ss"),'Event Info'!$B$5,",",," ",C82),"")</f>
        <v>#REF!</v>
      </c>
      <c r="G82" t="e">
        <f t="shared" si="2"/>
        <v>#REF!</v>
      </c>
      <c r="H82" s="92" t="str">
        <f t="shared" si="3"/>
        <v/>
      </c>
      <c r="I82" s="91">
        <v>0</v>
      </c>
    </row>
    <row r="83" spans="1:9">
      <c r="A83" s="76" t="e" cm="1">
        <f t="array" ref="A83">IF(OR(INDEX(#REF!,ROW()+10)="START",INDEX(#REF!,ROW()+9)="",INDEX(#REF!,ROW()+9)="START",INDEX(#REF!,ROW()+9)="TBA",INDEX(#REF!,ROW()+9)="TBC"),"",INDEX(#REF!,ROW()+9)+'Date Calculators'!$B$2+E83)</f>
        <v>#REF!</v>
      </c>
      <c r="B83" s="76" t="e" cm="1">
        <f t="array" ref="B83">IF(OR(A83=""),"",IF(INDEX(#REF!,ROW()+9)="",IF(A84="",A83+$Q$10,A84),INDEX(#REF!,ROW()+9)+'Date Calculators'!$B$2+E83))</f>
        <v>#REF!</v>
      </c>
      <c r="C83" s="74" t="e" cm="1">
        <f t="array" ref="C83">IF(A83="","",INDEX(#REF!,ROW()+9))</f>
        <v>#REF!</v>
      </c>
      <c r="D83" s="74" t="str">
        <f>IFERROR(IF(A83="","",'Event Info'!$B$2),"")</f>
        <v/>
      </c>
      <c r="E83" t="e" cm="1">
        <f t="array" ref="E83">IF(INDEX(#REF!,ROW()+9)="START",E82+1,E82+0)</f>
        <v>#REF!</v>
      </c>
      <c r="F83" s="82" t="e">
        <f>IF(A83&lt;&gt;"",_xlfn.CONCAT(TEXT(A83,"yyyy-mm-dd"),"T",TEXT(A83,"hh:mm:ss"),'Event Info'!$B$5,",",," ",C83),"")</f>
        <v>#REF!</v>
      </c>
      <c r="G83" t="e">
        <f t="shared" si="2"/>
        <v>#REF!</v>
      </c>
      <c r="H83" s="92" t="str">
        <f t="shared" si="3"/>
        <v/>
      </c>
      <c r="I83" s="88">
        <v>0</v>
      </c>
    </row>
    <row r="84" spans="1:9">
      <c r="A84" s="76" t="e" cm="1">
        <f t="array" ref="A84">IF(OR(INDEX(#REF!,ROW()+10)="START",INDEX(#REF!,ROW()+9)="",INDEX(#REF!,ROW()+9)="START",INDEX(#REF!,ROW()+9)="TBA",INDEX(#REF!,ROW()+9)="TBC"),"",INDEX(#REF!,ROW()+9)+'Date Calculators'!$B$2+E84)</f>
        <v>#REF!</v>
      </c>
      <c r="B84" s="76" t="e" cm="1">
        <f t="array" ref="B84">IF(OR(A84=""),"",IF(INDEX(#REF!,ROW()+9)="",IF(A85="",A84+$Q$10,A85),INDEX(#REF!,ROW()+9)+'Date Calculators'!$B$2+E84))</f>
        <v>#REF!</v>
      </c>
      <c r="C84" s="74" t="e" cm="1">
        <f t="array" ref="C84">IF(A84="","",INDEX(#REF!,ROW()+9))</f>
        <v>#REF!</v>
      </c>
      <c r="D84" s="74" t="str">
        <f>IFERROR(IF(A84="","",'Event Info'!$B$2),"")</f>
        <v/>
      </c>
      <c r="E84" t="e" cm="1">
        <f t="array" ref="E84">IF(INDEX(#REF!,ROW()+9)="START",E83+1,E83+0)</f>
        <v>#REF!</v>
      </c>
      <c r="F84" s="82" t="e">
        <f>IF(A84&lt;&gt;"",_xlfn.CONCAT(TEXT(A84,"yyyy-mm-dd"),"T",TEXT(A84,"hh:mm:ss"),'Event Info'!$B$5,",",," ",C84),"")</f>
        <v>#REF!</v>
      </c>
      <c r="G84" t="e">
        <f t="shared" si="2"/>
        <v>#REF!</v>
      </c>
      <c r="H84" s="92" t="str">
        <f t="shared" si="3"/>
        <v/>
      </c>
      <c r="I84" s="88">
        <v>0</v>
      </c>
    </row>
    <row r="85" spans="1:9" ht="16.899999999999999">
      <c r="A85" s="76" t="e" cm="1">
        <f t="array" ref="A85">IF(OR(INDEX(#REF!,ROW()+10)="START",INDEX(#REF!,ROW()+9)="",INDEX(#REF!,ROW()+9)="START",INDEX(#REF!,ROW()+9)="TBA",INDEX(#REF!,ROW()+9)="TBC"),"",INDEX(#REF!,ROW()+9)+'Date Calculators'!$B$2+E85)</f>
        <v>#REF!</v>
      </c>
      <c r="B85" s="76" t="e" cm="1">
        <f t="array" ref="B85">IF(OR(A85=""),"",IF(INDEX(#REF!,ROW()+9)="",IF(A86="",A85+$Q$10,A86),INDEX(#REF!,ROW()+9)+'Date Calculators'!$B$2+E85))</f>
        <v>#REF!</v>
      </c>
      <c r="C85" s="74" t="e" cm="1">
        <f t="array" ref="C85">IF(A85="","",INDEX(#REF!,ROW()+9))</f>
        <v>#REF!</v>
      </c>
      <c r="D85" s="74" t="str">
        <f>IFERROR(IF(A85="","",'Event Info'!$B$2),"")</f>
        <v/>
      </c>
      <c r="E85" t="e" cm="1">
        <f t="array" ref="E85">IF(INDEX(#REF!,ROW()+9)="START",E84+1,E84+0)</f>
        <v>#REF!</v>
      </c>
      <c r="F85" s="82" t="e">
        <f>IF(A85&lt;&gt;"",_xlfn.CONCAT(TEXT(A85,"yyyy-mm-dd"),"T",TEXT(A85,"hh:mm:ss"),'Event Info'!$B$5,",",," ",C85),"")</f>
        <v>#REF!</v>
      </c>
      <c r="G85" t="e">
        <f t="shared" si="2"/>
        <v>#REF!</v>
      </c>
      <c r="H85" s="92" t="str">
        <f t="shared" si="3"/>
        <v/>
      </c>
      <c r="I85" s="91">
        <v>0</v>
      </c>
    </row>
    <row r="86" spans="1:9">
      <c r="A86" s="76" t="e" cm="1">
        <f t="array" ref="A86">IF(OR(INDEX(#REF!,ROW()+10)="START",INDEX(#REF!,ROW()+9)="",INDEX(#REF!,ROW()+9)="START",INDEX(#REF!,ROW()+9)="TBA",INDEX(#REF!,ROW()+9)="TBC"),"",INDEX(#REF!,ROW()+9)+'Date Calculators'!$B$2+E86)</f>
        <v>#REF!</v>
      </c>
      <c r="B86" s="76" t="e" cm="1">
        <f t="array" ref="B86">IF(OR(A86=""),"",IF(INDEX(#REF!,ROW()+9)="",IF(A87="",A86+$Q$10,A87),INDEX(#REF!,ROW()+9)+'Date Calculators'!$B$2+E86))</f>
        <v>#REF!</v>
      </c>
      <c r="C86" s="74" t="e" cm="1">
        <f t="array" ref="C86">IF(A86="","",INDEX(#REF!,ROW()+9))</f>
        <v>#REF!</v>
      </c>
      <c r="D86" s="74" t="str">
        <f>IFERROR(IF(A86="","",'Event Info'!$B$2),"")</f>
        <v/>
      </c>
      <c r="E86" t="e" cm="1">
        <f t="array" ref="E86">IF(INDEX(#REF!,ROW()+9)="START",E85+1,E85+0)</f>
        <v>#REF!</v>
      </c>
      <c r="F86" s="82" t="e">
        <f>IF(A86&lt;&gt;"",_xlfn.CONCAT(TEXT(A86,"yyyy-mm-dd"),"T",TEXT(A86,"hh:mm:ss"),'Event Info'!$B$5,",",," ",C86),"")</f>
        <v>#REF!</v>
      </c>
      <c r="G86" t="e">
        <f t="shared" si="2"/>
        <v>#REF!</v>
      </c>
      <c r="H86" s="92" t="str">
        <f t="shared" si="3"/>
        <v/>
      </c>
      <c r="I86" s="88">
        <v>0</v>
      </c>
    </row>
    <row r="87" spans="1:9">
      <c r="A87" s="76" t="e" cm="1">
        <f t="array" ref="A87">IF(OR(INDEX(#REF!,ROW()+10)="START",INDEX(#REF!,ROW()+9)="",INDEX(#REF!,ROW()+9)="START",INDEX(#REF!,ROW()+9)="TBA",INDEX(#REF!,ROW()+9)="TBC"),"",INDEX(#REF!,ROW()+9)+'Date Calculators'!$B$2+E87)</f>
        <v>#REF!</v>
      </c>
      <c r="B87" s="76" t="e" cm="1">
        <f t="array" ref="B87">IF(OR(A87=""),"",IF(INDEX(#REF!,ROW()+9)="",IF(A88="",A87+$Q$10,A88),INDEX(#REF!,ROW()+9)+'Date Calculators'!$B$2+E87))</f>
        <v>#REF!</v>
      </c>
      <c r="C87" s="74" t="e" cm="1">
        <f t="array" ref="C87">IF(A87="","",INDEX(#REF!,ROW()+9))</f>
        <v>#REF!</v>
      </c>
      <c r="D87" s="74" t="str">
        <f>IFERROR(IF(A87="","",'Event Info'!$B$2),"")</f>
        <v/>
      </c>
      <c r="E87" t="e" cm="1">
        <f t="array" ref="E87">IF(INDEX(#REF!,ROW()+9)="START",E86+1,E86+0)</f>
        <v>#REF!</v>
      </c>
      <c r="F87" s="82" t="e">
        <f>IF(A87&lt;&gt;"",_xlfn.CONCAT(TEXT(A87,"yyyy-mm-dd"),"T",TEXT(A87,"hh:mm:ss"),'Event Info'!$B$5,",",," ",C87),"")</f>
        <v>#REF!</v>
      </c>
      <c r="G87" t="e">
        <f t="shared" si="2"/>
        <v>#REF!</v>
      </c>
      <c r="H87" s="92" t="str">
        <f t="shared" si="3"/>
        <v/>
      </c>
      <c r="I87" s="88">
        <v>0</v>
      </c>
    </row>
    <row r="88" spans="1:9" ht="16.899999999999999">
      <c r="A88" s="76" t="e" cm="1">
        <f t="array" ref="A88">IF(OR(INDEX(#REF!,ROW()+10)="START",INDEX(#REF!,ROW()+9)="",INDEX(#REF!,ROW()+9)="START",INDEX(#REF!,ROW()+9)="TBA",INDEX(#REF!,ROW()+9)="TBC"),"",INDEX(#REF!,ROW()+9)+'Date Calculators'!$B$2+E88)</f>
        <v>#REF!</v>
      </c>
      <c r="B88" s="76" t="e" cm="1">
        <f t="array" ref="B88">IF(OR(A88=""),"",IF(INDEX(#REF!,ROW()+9)="",IF(A89="",A88+$Q$10,A89),INDEX(#REF!,ROW()+9)+'Date Calculators'!$B$2+E88))</f>
        <v>#REF!</v>
      </c>
      <c r="C88" s="74" t="e" cm="1">
        <f t="array" ref="C88">IF(A88="","",INDEX(#REF!,ROW()+9))</f>
        <v>#REF!</v>
      </c>
      <c r="D88" s="74" t="str">
        <f>IFERROR(IF(A88="","",'Event Info'!$B$2),"")</f>
        <v/>
      </c>
      <c r="E88" t="e" cm="1">
        <f t="array" ref="E88">IF(INDEX(#REF!,ROW()+9)="START",E87+1,E87+0)</f>
        <v>#REF!</v>
      </c>
      <c r="F88" s="82" t="e">
        <f>IF(A88&lt;&gt;"",_xlfn.CONCAT(TEXT(A88,"yyyy-mm-dd"),"T",TEXT(A88,"hh:mm:ss"),'Event Info'!$B$5,",",," ",C88),"")</f>
        <v>#REF!</v>
      </c>
      <c r="G88" t="e">
        <f t="shared" si="2"/>
        <v>#REF!</v>
      </c>
      <c r="H88" s="92" t="str">
        <f t="shared" si="3"/>
        <v/>
      </c>
      <c r="I88" s="91">
        <v>0</v>
      </c>
    </row>
    <row r="89" spans="1:9">
      <c r="A89" s="76" t="e" cm="1">
        <f t="array" ref="A89">IF(OR(INDEX(#REF!,ROW()+10)="START",INDEX(#REF!,ROW()+9)="",INDEX(#REF!,ROW()+9)="START",INDEX(#REF!,ROW()+9)="TBA",INDEX(#REF!,ROW()+9)="TBC"),"",INDEX(#REF!,ROW()+9)+'Date Calculators'!$B$2+E89)</f>
        <v>#REF!</v>
      </c>
      <c r="B89" s="76" t="e" cm="1">
        <f t="array" ref="B89">IF(OR(A89=""),"",IF(INDEX(#REF!,ROW()+9)="",IF(A90="",A89+$Q$10,A90),INDEX(#REF!,ROW()+9)+'Date Calculators'!$B$2+E89))</f>
        <v>#REF!</v>
      </c>
      <c r="C89" s="74" t="e" cm="1">
        <f t="array" ref="C89">IF(A89="","",INDEX(#REF!,ROW()+9))</f>
        <v>#REF!</v>
      </c>
      <c r="D89" s="74" t="str">
        <f>IFERROR(IF(A89="","",'Event Info'!$B$2),"")</f>
        <v/>
      </c>
      <c r="E89" t="e" cm="1">
        <f t="array" ref="E89">IF(INDEX(#REF!,ROW()+9)="START",E88+1,E88+0)</f>
        <v>#REF!</v>
      </c>
      <c r="F89" s="82" t="e">
        <f>IF(A89&lt;&gt;"",_xlfn.CONCAT(TEXT(A89,"yyyy-mm-dd"),"T",TEXT(A89,"hh:mm:ss"),'Event Info'!$B$5,",",," ",C89),"")</f>
        <v>#REF!</v>
      </c>
      <c r="G89" t="e">
        <f t="shared" si="2"/>
        <v>#REF!</v>
      </c>
      <c r="H89" s="92" t="str">
        <f t="shared" si="3"/>
        <v/>
      </c>
      <c r="I89" s="88">
        <v>0</v>
      </c>
    </row>
    <row r="90" spans="1:9">
      <c r="A90" s="76" t="e" cm="1">
        <f t="array" ref="A90">IF(OR(INDEX(#REF!,ROW()+10)="START",INDEX(#REF!,ROW()+9)="",INDEX(#REF!,ROW()+9)="START",INDEX(#REF!,ROW()+9)="TBA",INDEX(#REF!,ROW()+9)="TBC"),"",INDEX(#REF!,ROW()+9)+'Date Calculators'!$B$2+E90)</f>
        <v>#REF!</v>
      </c>
      <c r="B90" s="76" t="e" cm="1">
        <f t="array" ref="B90">IF(OR(A90=""),"",IF(INDEX(#REF!,ROW()+9)="",IF(A91="",A90+$Q$10,A91),INDEX(#REF!,ROW()+9)+'Date Calculators'!$B$2+E90))</f>
        <v>#REF!</v>
      </c>
      <c r="C90" s="74" t="e" cm="1">
        <f t="array" ref="C90">IF(A90="","",INDEX(#REF!,ROW()+9))</f>
        <v>#REF!</v>
      </c>
      <c r="D90" s="74" t="str">
        <f>IFERROR(IF(A90="","",'Event Info'!$B$2),"")</f>
        <v/>
      </c>
      <c r="E90" t="e" cm="1">
        <f t="array" ref="E90">IF(INDEX(#REF!,ROW()+9)="START",E89+1,E89+0)</f>
        <v>#REF!</v>
      </c>
      <c r="F90" s="82" t="e">
        <f>IF(A90&lt;&gt;"",_xlfn.CONCAT(TEXT(A90,"yyyy-mm-dd"),"T",TEXT(A90,"hh:mm:ss"),'Event Info'!$B$5,",",," ",C90),"")</f>
        <v>#REF!</v>
      </c>
      <c r="G90" t="e">
        <f t="shared" si="2"/>
        <v>#REF!</v>
      </c>
      <c r="H90" s="92" t="str">
        <f t="shared" si="3"/>
        <v/>
      </c>
      <c r="I90" s="88">
        <v>0</v>
      </c>
    </row>
    <row r="91" spans="1:9" ht="16.899999999999999">
      <c r="A91" s="76" t="e" cm="1">
        <f t="array" ref="A91">IF(OR(INDEX(#REF!,ROW()+10)="START",INDEX(#REF!,ROW()+9)="",INDEX(#REF!,ROW()+9)="START",INDEX(#REF!,ROW()+9)="TBA",INDEX(#REF!,ROW()+9)="TBC"),"",INDEX(#REF!,ROW()+9)+'Date Calculators'!$B$2+E91)</f>
        <v>#REF!</v>
      </c>
      <c r="B91" s="76" t="e" cm="1">
        <f t="array" ref="B91">IF(OR(A91=""),"",IF(INDEX(#REF!,ROW()+9)="",IF(A92="",A91+$Q$10,A92),INDEX(#REF!,ROW()+9)+'Date Calculators'!$B$2+E91))</f>
        <v>#REF!</v>
      </c>
      <c r="C91" s="74" t="e" cm="1">
        <f t="array" ref="C91">IF(A91="","",INDEX(#REF!,ROW()+9))</f>
        <v>#REF!</v>
      </c>
      <c r="D91" s="74" t="str">
        <f>IFERROR(IF(A91="","",'Event Info'!$B$2),"")</f>
        <v/>
      </c>
      <c r="E91" t="e" cm="1">
        <f t="array" ref="E91">IF(INDEX(#REF!,ROW()+9)="START",E90+1,E90+0)</f>
        <v>#REF!</v>
      </c>
      <c r="F91" s="82" t="e">
        <f>IF(A91&lt;&gt;"",_xlfn.CONCAT(TEXT(A91,"yyyy-mm-dd"),"T",TEXT(A91,"hh:mm:ss"),'Event Info'!$B$5,",",," ",C91),"")</f>
        <v>#REF!</v>
      </c>
      <c r="G91" t="e">
        <f t="shared" si="2"/>
        <v>#REF!</v>
      </c>
      <c r="H91" s="92" t="str">
        <f t="shared" si="3"/>
        <v/>
      </c>
      <c r="I91" s="91">
        <v>0</v>
      </c>
    </row>
    <row r="92" spans="1:9">
      <c r="A92" s="76" t="e" cm="1">
        <f t="array" ref="A92">IF(OR(INDEX(#REF!,ROW()+10)="START",INDEX(#REF!,ROW()+9)="",INDEX(#REF!,ROW()+9)="START",INDEX(#REF!,ROW()+9)="TBA",INDEX(#REF!,ROW()+9)="TBC"),"",INDEX(#REF!,ROW()+9)+'Date Calculators'!$B$2+E92)</f>
        <v>#REF!</v>
      </c>
      <c r="B92" s="76" t="e" cm="1">
        <f t="array" ref="B92">IF(OR(A92=""),"",IF(INDEX(#REF!,ROW()+9)="",IF(A93="",A92+$Q$10,A93),INDEX(#REF!,ROW()+9)+'Date Calculators'!$B$2+E92))</f>
        <v>#REF!</v>
      </c>
      <c r="C92" s="74" t="e" cm="1">
        <f t="array" ref="C92">IF(A92="","",INDEX(#REF!,ROW()+9))</f>
        <v>#REF!</v>
      </c>
      <c r="D92" s="74" t="str">
        <f>IFERROR(IF(A92="","",'Event Info'!$B$2),"")</f>
        <v/>
      </c>
      <c r="E92" t="e" cm="1">
        <f t="array" ref="E92">IF(INDEX(#REF!,ROW()+9)="START",E91+1,E91+0)</f>
        <v>#REF!</v>
      </c>
      <c r="F92" s="82" t="e">
        <f>IF(A92&lt;&gt;"",_xlfn.CONCAT(TEXT(A92,"yyyy-mm-dd"),"T",TEXT(A92,"hh:mm:ss"),'Event Info'!$B$5,",",," ",C92),"")</f>
        <v>#REF!</v>
      </c>
      <c r="G92" t="e">
        <f t="shared" si="2"/>
        <v>#REF!</v>
      </c>
      <c r="H92" s="92" t="str">
        <f t="shared" si="3"/>
        <v/>
      </c>
      <c r="I92" s="88">
        <v>0</v>
      </c>
    </row>
    <row r="93" spans="1:9">
      <c r="A93" s="76" t="e" cm="1">
        <f t="array" ref="A93">IF(OR(INDEX(#REF!,ROW()+10)="START",INDEX(#REF!,ROW()+9)="",INDEX(#REF!,ROW()+9)="START",INDEX(#REF!,ROW()+9)="TBA",INDEX(#REF!,ROW()+9)="TBC"),"",INDEX(#REF!,ROW()+9)+'Date Calculators'!$B$2+E93)</f>
        <v>#REF!</v>
      </c>
      <c r="B93" s="76" t="e" cm="1">
        <f t="array" ref="B93">IF(OR(A93=""),"",IF(INDEX(#REF!,ROW()+9)="",IF(A94="",A93+$Q$10,A94),INDEX(#REF!,ROW()+9)+'Date Calculators'!$B$2+E93))</f>
        <v>#REF!</v>
      </c>
      <c r="C93" s="74" t="e" cm="1">
        <f t="array" ref="C93">IF(A93="","",INDEX(#REF!,ROW()+9))</f>
        <v>#REF!</v>
      </c>
      <c r="D93" s="74" t="str">
        <f>IFERROR(IF(A93="","",'Event Info'!$B$2),"")</f>
        <v/>
      </c>
      <c r="E93" t="e" cm="1">
        <f t="array" ref="E93">IF(INDEX(#REF!,ROW()+9)="START",E92+1,E92+0)</f>
        <v>#REF!</v>
      </c>
      <c r="F93" s="82" t="e">
        <f>IF(A93&lt;&gt;"",_xlfn.CONCAT(TEXT(A93,"yyyy-mm-dd"),"T",TEXT(A93,"hh:mm:ss"),'Event Info'!$B$5,",",," ",C93),"")</f>
        <v>#REF!</v>
      </c>
      <c r="G93" t="e">
        <f t="shared" si="2"/>
        <v>#REF!</v>
      </c>
      <c r="H93" s="92" t="str">
        <f t="shared" si="3"/>
        <v/>
      </c>
      <c r="I93" s="88">
        <v>0</v>
      </c>
    </row>
    <row r="94" spans="1:9" ht="16.899999999999999">
      <c r="A94" s="76" t="e" cm="1">
        <f t="array" ref="A94">IF(OR(INDEX(#REF!,ROW()+10)="START",INDEX(#REF!,ROW()+9)="",INDEX(#REF!,ROW()+9)="START",INDEX(#REF!,ROW()+9)="TBA",INDEX(#REF!,ROW()+9)="TBC"),"",INDEX(#REF!,ROW()+9)+'Date Calculators'!$B$2+E94)</f>
        <v>#REF!</v>
      </c>
      <c r="B94" s="76" t="e" cm="1">
        <f t="array" ref="B94">IF(OR(A94=""),"",IF(INDEX(#REF!,ROW()+9)="",IF(A95="",A94+$Q$10,A95),INDEX(#REF!,ROW()+9)+'Date Calculators'!$B$2+E94))</f>
        <v>#REF!</v>
      </c>
      <c r="C94" s="74" t="e" cm="1">
        <f t="array" ref="C94">IF(A94="","",INDEX(#REF!,ROW()+9))</f>
        <v>#REF!</v>
      </c>
      <c r="D94" s="74" t="str">
        <f>IFERROR(IF(A94="","",'Event Info'!$B$2),"")</f>
        <v/>
      </c>
      <c r="E94" t="e" cm="1">
        <f t="array" ref="E94">IF(INDEX(#REF!,ROW()+9)="START",E93+1,E93+0)</f>
        <v>#REF!</v>
      </c>
      <c r="F94" s="82" t="e">
        <f>IF(A94&lt;&gt;"",_xlfn.CONCAT(TEXT(A94,"yyyy-mm-dd"),"T",TEXT(A94,"hh:mm:ss"),'Event Info'!$B$5,",",," ",C94),"")</f>
        <v>#REF!</v>
      </c>
      <c r="G94" t="e">
        <f t="shared" si="2"/>
        <v>#REF!</v>
      </c>
      <c r="H94" s="92" t="str">
        <f t="shared" si="3"/>
        <v/>
      </c>
      <c r="I94" s="91">
        <v>0</v>
      </c>
    </row>
    <row r="95" spans="1:9">
      <c r="A95" s="76" t="e" cm="1">
        <f t="array" ref="A95">IF(OR(INDEX(#REF!,ROW()+10)="START",INDEX(#REF!,ROW()+9)="",INDEX(#REF!,ROW()+9)="START",INDEX(#REF!,ROW()+9)="TBA",INDEX(#REF!,ROW()+9)="TBC"),"",INDEX(#REF!,ROW()+9)+'Date Calculators'!$B$2+E95)</f>
        <v>#REF!</v>
      </c>
      <c r="B95" s="76" t="e" cm="1">
        <f t="array" ref="B95">IF(OR(A95=""),"",IF(INDEX(#REF!,ROW()+9)="",IF(A96="",A95+$Q$10,A96),INDEX(#REF!,ROW()+9)+'Date Calculators'!$B$2+E95))</f>
        <v>#REF!</v>
      </c>
      <c r="C95" s="74" t="e" cm="1">
        <f t="array" ref="C95">IF(A95="","",INDEX(#REF!,ROW()+9))</f>
        <v>#REF!</v>
      </c>
      <c r="D95" s="74" t="str">
        <f>IFERROR(IF(A95="","",'Event Info'!$B$2),"")</f>
        <v/>
      </c>
      <c r="E95" t="e" cm="1">
        <f t="array" ref="E95">IF(INDEX(#REF!,ROW()+9)="START",E94+1,E94+0)</f>
        <v>#REF!</v>
      </c>
      <c r="F95" s="82" t="e">
        <f>IF(A95&lt;&gt;"",_xlfn.CONCAT(TEXT(A95,"yyyy-mm-dd"),"T",TEXT(A95,"hh:mm:ss"),'Event Info'!$B$5,",",," ",C95),"")</f>
        <v>#REF!</v>
      </c>
      <c r="G95" t="e">
        <f t="shared" si="2"/>
        <v>#REF!</v>
      </c>
      <c r="H95" s="92" t="str">
        <f t="shared" si="3"/>
        <v/>
      </c>
      <c r="I95" s="88">
        <v>0</v>
      </c>
    </row>
    <row r="96" spans="1:9">
      <c r="A96" s="76" t="e" cm="1">
        <f t="array" ref="A96">IF(OR(INDEX(#REF!,ROW()+10)="START",INDEX(#REF!,ROW()+9)="",INDEX(#REF!,ROW()+9)="START",INDEX(#REF!,ROW()+9)="TBA",INDEX(#REF!,ROW()+9)="TBC"),"",INDEX(#REF!,ROW()+9)+'Date Calculators'!$B$2+E96)</f>
        <v>#REF!</v>
      </c>
      <c r="B96" s="76" t="e" cm="1">
        <f t="array" ref="B96">IF(OR(A96=""),"",IF(INDEX(#REF!,ROW()+9)="",IF(A97="",A96+$Q$10,A97),INDEX(#REF!,ROW()+9)+'Date Calculators'!$B$2+E96))</f>
        <v>#REF!</v>
      </c>
      <c r="C96" s="74" t="e" cm="1">
        <f t="array" ref="C96">IF(A96="","",INDEX(#REF!,ROW()+9))</f>
        <v>#REF!</v>
      </c>
      <c r="D96" s="74" t="str">
        <f>IFERROR(IF(A96="","",'Event Info'!$B$2),"")</f>
        <v/>
      </c>
      <c r="E96" t="e" cm="1">
        <f t="array" ref="E96">IF(INDEX(#REF!,ROW()+9)="START",E95+1,E95+0)</f>
        <v>#REF!</v>
      </c>
      <c r="F96" s="82" t="e">
        <f>IF(A96&lt;&gt;"",_xlfn.CONCAT(TEXT(A96,"yyyy-mm-dd"),"T",TEXT(A96,"hh:mm:ss"),'Event Info'!$B$5,",",," ",C96),"")</f>
        <v>#REF!</v>
      </c>
      <c r="G96" t="e">
        <f t="shared" si="2"/>
        <v>#REF!</v>
      </c>
      <c r="H96" s="92" t="str">
        <f t="shared" si="3"/>
        <v/>
      </c>
      <c r="I96" s="88">
        <v>0</v>
      </c>
    </row>
    <row r="97" spans="1:9" ht="16.899999999999999">
      <c r="A97" s="76" t="e" cm="1">
        <f t="array" ref="A97">IF(OR(INDEX(#REF!,ROW()+10)="START",INDEX(#REF!,ROW()+9)="",INDEX(#REF!,ROW()+9)="START",INDEX(#REF!,ROW()+9)="TBA",INDEX(#REF!,ROW()+9)="TBC"),"",INDEX(#REF!,ROW()+9)+'Date Calculators'!$B$2+E97)</f>
        <v>#REF!</v>
      </c>
      <c r="B97" s="76" t="e" cm="1">
        <f t="array" ref="B97">IF(OR(A97=""),"",IF(INDEX(#REF!,ROW()+9)="",IF(A98="",A97+$Q$10,A98),INDEX(#REF!,ROW()+9)+'Date Calculators'!$B$2+E97))</f>
        <v>#REF!</v>
      </c>
      <c r="C97" s="74" t="e" cm="1">
        <f t="array" ref="C97">IF(A97="","",INDEX(#REF!,ROW()+9))</f>
        <v>#REF!</v>
      </c>
      <c r="D97" s="74" t="str">
        <f>IFERROR(IF(A97="","",'Event Info'!$B$2),"")</f>
        <v/>
      </c>
      <c r="E97" t="e" cm="1">
        <f t="array" ref="E97">IF(INDEX(#REF!,ROW()+9)="START",E96+1,E96+0)</f>
        <v>#REF!</v>
      </c>
      <c r="F97" s="82" t="e">
        <f>IF(A97&lt;&gt;"",_xlfn.CONCAT(TEXT(A97,"yyyy-mm-dd"),"T",TEXT(A97,"hh:mm:ss"),'Event Info'!$B$5,",",," ",C97),"")</f>
        <v>#REF!</v>
      </c>
      <c r="G97" t="e">
        <f t="shared" si="2"/>
        <v>#REF!</v>
      </c>
      <c r="H97" s="92" t="str">
        <f t="shared" si="3"/>
        <v/>
      </c>
      <c r="I97" s="91">
        <v>0</v>
      </c>
    </row>
    <row r="98" spans="1:9">
      <c r="A98" s="76" t="e" cm="1">
        <f t="array" ref="A98">IF(OR(INDEX(#REF!,ROW()+10)="START",INDEX(#REF!,ROW()+9)="",INDEX(#REF!,ROW()+9)="START",INDEX(#REF!,ROW()+9)="TBA",INDEX(#REF!,ROW()+9)="TBC"),"",INDEX(#REF!,ROW()+9)+'Date Calculators'!$B$2+E98)</f>
        <v>#REF!</v>
      </c>
      <c r="B98" s="76" t="e" cm="1">
        <f t="array" ref="B98">IF(OR(A98=""),"",IF(INDEX(#REF!,ROW()+9)="",IF(A99="",A98+$Q$10,A99),INDEX(#REF!,ROW()+9)+'Date Calculators'!$B$2+E98))</f>
        <v>#REF!</v>
      </c>
      <c r="C98" s="74" t="e" cm="1">
        <f t="array" ref="C98">IF(A98="","",INDEX(#REF!,ROW()+9))</f>
        <v>#REF!</v>
      </c>
      <c r="D98" s="74" t="str">
        <f>IFERROR(IF(A98="","",'Event Info'!$B$2),"")</f>
        <v/>
      </c>
      <c r="E98" t="e" cm="1">
        <f t="array" ref="E98">IF(INDEX(#REF!,ROW()+9)="START",E97+1,E97+0)</f>
        <v>#REF!</v>
      </c>
      <c r="F98" s="82" t="e">
        <f>IF(A98&lt;&gt;"",_xlfn.CONCAT(TEXT(A98,"yyyy-mm-dd"),"T",TEXT(A98,"hh:mm:ss"),'Event Info'!$B$5,",",," ",C98),"")</f>
        <v>#REF!</v>
      </c>
      <c r="G98" t="e">
        <f t="shared" si="2"/>
        <v>#REF!</v>
      </c>
      <c r="H98" s="92" t="str">
        <f t="shared" si="3"/>
        <v/>
      </c>
      <c r="I98" s="88">
        <v>0</v>
      </c>
    </row>
    <row r="99" spans="1:9">
      <c r="A99" s="76" t="e" cm="1">
        <f t="array" ref="A99">IF(OR(INDEX(#REF!,ROW()+10)="START",INDEX(#REF!,ROW()+9)="",INDEX(#REF!,ROW()+9)="START",INDEX(#REF!,ROW()+9)="TBA",INDEX(#REF!,ROW()+9)="TBC"),"",INDEX(#REF!,ROW()+9)+'Date Calculators'!$B$2+E99)</f>
        <v>#REF!</v>
      </c>
      <c r="B99" s="76" t="e" cm="1">
        <f t="array" ref="B99">IF(OR(A99=""),"",IF(INDEX(#REF!,ROW()+9)="",IF(A100="",A99+$Q$10,A100),INDEX(#REF!,ROW()+9)+'Date Calculators'!$B$2+E99))</f>
        <v>#REF!</v>
      </c>
      <c r="C99" s="74" t="e" cm="1">
        <f t="array" ref="C99">IF(A99="","",INDEX(#REF!,ROW()+9))</f>
        <v>#REF!</v>
      </c>
      <c r="D99" s="74" t="str">
        <f>IFERROR(IF(A99="","",'Event Info'!$B$2),"")</f>
        <v/>
      </c>
      <c r="E99" t="e" cm="1">
        <f t="array" ref="E99">IF(INDEX(#REF!,ROW()+9)="START",E98+1,E98+0)</f>
        <v>#REF!</v>
      </c>
      <c r="F99" s="82" t="e">
        <f>IF(A99&lt;&gt;"",_xlfn.CONCAT(TEXT(A99,"yyyy-mm-dd"),"T",TEXT(A99,"hh:mm:ss"),'Event Info'!$B$5,",",," ",C99),"")</f>
        <v>#REF!</v>
      </c>
      <c r="G99" t="e">
        <f t="shared" si="2"/>
        <v>#REF!</v>
      </c>
      <c r="H99" s="92" t="str">
        <f t="shared" si="3"/>
        <v/>
      </c>
      <c r="I99" s="88">
        <v>0</v>
      </c>
    </row>
    <row r="100" spans="1:9" ht="16.899999999999999">
      <c r="A100" s="76" t="e" cm="1">
        <f t="array" ref="A100">IF(OR(INDEX(#REF!,ROW()+10)="START",INDEX(#REF!,ROW()+9)="",INDEX(#REF!,ROW()+9)="START",INDEX(#REF!,ROW()+9)="TBA",INDEX(#REF!,ROW()+9)="TBC"),"",INDEX(#REF!,ROW()+9)+'Date Calculators'!$B$2+E100)</f>
        <v>#REF!</v>
      </c>
      <c r="B100" s="76" t="e" cm="1">
        <f t="array" ref="B100">IF(OR(A100=""),"",IF(INDEX(#REF!,ROW()+9)="",IF(A101="",A100+$Q$10,A101),INDEX(#REF!,ROW()+9)+'Date Calculators'!$B$2+E100))</f>
        <v>#REF!</v>
      </c>
      <c r="C100" s="74" t="e" cm="1">
        <f t="array" ref="C100">IF(A100="","",INDEX(#REF!,ROW()+9))</f>
        <v>#REF!</v>
      </c>
      <c r="D100" s="74" t="str">
        <f>IFERROR(IF(A100="","",'Event Info'!$B$2),"")</f>
        <v/>
      </c>
      <c r="E100" t="e" cm="1">
        <f t="array" ref="E100">IF(INDEX(#REF!,ROW()+9)="START",E99+1,E99+0)</f>
        <v>#REF!</v>
      </c>
      <c r="F100" s="82" t="e">
        <f>IF(A100&lt;&gt;"",_xlfn.CONCAT(TEXT(A100,"yyyy-mm-dd"),"T",TEXT(A100,"hh:mm:ss"),'Event Info'!$B$5,",",," ",C100),"")</f>
        <v>#REF!</v>
      </c>
      <c r="G100" t="e">
        <f t="shared" si="2"/>
        <v>#REF!</v>
      </c>
      <c r="H100" s="92" t="str">
        <f t="shared" si="3"/>
        <v/>
      </c>
      <c r="I100" s="91">
        <v>0</v>
      </c>
    </row>
    <row r="101" spans="1:9">
      <c r="A101" s="76" t="e" cm="1">
        <f t="array" ref="A101">IF(OR(INDEX(#REF!,ROW()+10)="START",INDEX(#REF!,ROW()+9)="",INDEX(#REF!,ROW()+9)="START",INDEX(#REF!,ROW()+9)="TBA",INDEX(#REF!,ROW()+9)="TBC"),"",INDEX(#REF!,ROW()+9)+'Date Calculators'!$B$2+E101)</f>
        <v>#REF!</v>
      </c>
      <c r="B101" s="76" t="e" cm="1">
        <f t="array" ref="B101">IF(OR(A101=""),"",IF(INDEX(#REF!,ROW()+9)="",IF(A102="",A101+$Q$10,A102),INDEX(#REF!,ROW()+9)+'Date Calculators'!$B$2+E101))</f>
        <v>#REF!</v>
      </c>
      <c r="C101" s="74" t="e" cm="1">
        <f t="array" ref="C101">IF(A101="","",INDEX(#REF!,ROW()+9))</f>
        <v>#REF!</v>
      </c>
      <c r="D101" s="74" t="str">
        <f>IFERROR(IF(A101="","",'Event Info'!$B$2),"")</f>
        <v/>
      </c>
      <c r="E101" t="e" cm="1">
        <f t="array" ref="E101">IF(INDEX(#REF!,ROW()+9)="START",E100+1,E100+0)</f>
        <v>#REF!</v>
      </c>
      <c r="F101" s="82" t="e">
        <f>IF(A101&lt;&gt;"",_xlfn.CONCAT(TEXT(A101,"yyyy-mm-dd"),"T",TEXT(A101,"hh:mm:ss"),'Event Info'!$B$5,",",," ",C101),"")</f>
        <v>#REF!</v>
      </c>
      <c r="G101" t="e">
        <f t="shared" si="2"/>
        <v>#REF!</v>
      </c>
      <c r="H101" s="92" t="str">
        <f t="shared" si="3"/>
        <v/>
      </c>
      <c r="I101" s="88">
        <v>0</v>
      </c>
    </row>
    <row r="102" spans="1:9">
      <c r="A102" s="76" t="e" cm="1">
        <f t="array" ref="A102">IF(OR(INDEX(#REF!,ROW()+10)="START",INDEX(#REF!,ROW()+9)="",INDEX(#REF!,ROW()+9)="START",INDEX(#REF!,ROW()+9)="TBA",INDEX(#REF!,ROW()+9)="TBC"),"",INDEX(#REF!,ROW()+9)+'Date Calculators'!$B$2+E102)</f>
        <v>#REF!</v>
      </c>
      <c r="B102" s="76" t="e" cm="1">
        <f t="array" ref="B102">IF(OR(A102=""),"",IF(INDEX(#REF!,ROW()+9)="",IF(A103="",A102+$Q$10,A103),INDEX(#REF!,ROW()+9)+'Date Calculators'!$B$2+E102))</f>
        <v>#REF!</v>
      </c>
      <c r="C102" s="74" t="e" cm="1">
        <f t="array" ref="C102">IF(A102="","",INDEX(#REF!,ROW()+9))</f>
        <v>#REF!</v>
      </c>
      <c r="D102" s="74" t="str">
        <f>IFERROR(IF(A102="","",'Event Info'!$B$2),"")</f>
        <v/>
      </c>
      <c r="E102" t="e" cm="1">
        <f t="array" ref="E102">IF(INDEX(#REF!,ROW()+9)="START",E101+1,E101+0)</f>
        <v>#REF!</v>
      </c>
      <c r="F102" s="82" t="e">
        <f>IF(A102&lt;&gt;"",_xlfn.CONCAT(TEXT(A102,"yyyy-mm-dd"),"T",TEXT(A102,"hh:mm:ss"),'Event Info'!$B$5,",",," ",C102),"")</f>
        <v>#REF!</v>
      </c>
      <c r="G102" t="e">
        <f t="shared" si="2"/>
        <v>#REF!</v>
      </c>
      <c r="H102" s="92" t="str">
        <f t="shared" si="3"/>
        <v/>
      </c>
      <c r="I102" s="88">
        <v>0</v>
      </c>
    </row>
    <row r="103" spans="1:9" ht="16.899999999999999">
      <c r="A103" s="76" t="e" cm="1">
        <f t="array" ref="A103">IF(OR(INDEX(#REF!,ROW()+10)="START",INDEX(#REF!,ROW()+9)="",INDEX(#REF!,ROW()+9)="START",INDEX(#REF!,ROW()+9)="TBA",INDEX(#REF!,ROW()+9)="TBC"),"",INDEX(#REF!,ROW()+9)+'Date Calculators'!$B$2+E103)</f>
        <v>#REF!</v>
      </c>
      <c r="B103" s="76" t="e" cm="1">
        <f t="array" ref="B103">IF(OR(A103=""),"",IF(INDEX(#REF!,ROW()+9)="",IF(A104="",A103+$Q$10,A104),INDEX(#REF!,ROW()+9)+'Date Calculators'!$B$2+E103))</f>
        <v>#REF!</v>
      </c>
      <c r="C103" s="74" t="e" cm="1">
        <f t="array" ref="C103">IF(A103="","",INDEX(#REF!,ROW()+9))</f>
        <v>#REF!</v>
      </c>
      <c r="D103" s="74" t="str">
        <f>IFERROR(IF(A103="","",'Event Info'!$B$2),"")</f>
        <v/>
      </c>
      <c r="E103" t="e" cm="1">
        <f t="array" ref="E103">IF(INDEX(#REF!,ROW()+9)="START",E102+1,E102+0)</f>
        <v>#REF!</v>
      </c>
      <c r="F103" s="82" t="e">
        <f>IF(A103&lt;&gt;"",_xlfn.CONCAT(TEXT(A103,"yyyy-mm-dd"),"T",TEXT(A103,"hh:mm:ss"),'Event Info'!$B$5,",",," ",C103),"")</f>
        <v>#REF!</v>
      </c>
      <c r="G103" t="e">
        <f t="shared" si="2"/>
        <v>#REF!</v>
      </c>
      <c r="H103" s="92" t="str">
        <f t="shared" si="3"/>
        <v/>
      </c>
      <c r="I103" s="91">
        <v>0</v>
      </c>
    </row>
    <row r="104" spans="1:9">
      <c r="A104" s="76" t="e" cm="1">
        <f t="array" ref="A104">IF(OR(INDEX(#REF!,ROW()+10)="START",INDEX(#REF!,ROW()+9)="",INDEX(#REF!,ROW()+9)="START",INDEX(#REF!,ROW()+9)="TBA",INDEX(#REF!,ROW()+9)="TBC"),"",INDEX(#REF!,ROW()+9)+'Date Calculators'!$B$2+E104)</f>
        <v>#REF!</v>
      </c>
      <c r="B104" s="76" t="e" cm="1">
        <f t="array" ref="B104">IF(OR(A104=""),"",IF(INDEX(#REF!,ROW()+9)="",IF(A105="",A104+$Q$10,A105),INDEX(#REF!,ROW()+9)+'Date Calculators'!$B$2+E104))</f>
        <v>#REF!</v>
      </c>
      <c r="C104" s="74" t="e" cm="1">
        <f t="array" ref="C104">IF(A104="","",INDEX(#REF!,ROW()+9))</f>
        <v>#REF!</v>
      </c>
      <c r="D104" s="74" t="str">
        <f>IFERROR(IF(A104="","",'Event Info'!$B$2),"")</f>
        <v/>
      </c>
      <c r="E104" t="e" cm="1">
        <f t="array" ref="E104">IF(INDEX(#REF!,ROW()+9)="START",E103+1,E103+0)</f>
        <v>#REF!</v>
      </c>
      <c r="F104" s="82" t="e">
        <f>IF(A104&lt;&gt;"",_xlfn.CONCAT(TEXT(A104,"yyyy-mm-dd"),"T",TEXT(A104,"hh:mm:ss"),'Event Info'!$B$5,",",," ",C104),"")</f>
        <v>#REF!</v>
      </c>
      <c r="G104" t="e">
        <f t="shared" si="2"/>
        <v>#REF!</v>
      </c>
      <c r="H104" s="92" t="str">
        <f t="shared" si="3"/>
        <v/>
      </c>
      <c r="I104" s="88">
        <v>0</v>
      </c>
    </row>
    <row r="105" spans="1:9">
      <c r="A105" s="76" t="e" cm="1">
        <f t="array" ref="A105">IF(OR(INDEX(#REF!,ROW()+10)="START",INDEX(#REF!,ROW()+9)="",INDEX(#REF!,ROW()+9)="START",INDEX(#REF!,ROW()+9)="TBA",INDEX(#REF!,ROW()+9)="TBC"),"",INDEX(#REF!,ROW()+9)+'Date Calculators'!$B$2+E105)</f>
        <v>#REF!</v>
      </c>
      <c r="B105" s="76" t="e" cm="1">
        <f t="array" ref="B105">IF(OR(A105=""),"",IF(INDEX(#REF!,ROW()+9)="",IF(A106="",A105+$Q$10,A106),INDEX(#REF!,ROW()+9)+'Date Calculators'!$B$2+E105))</f>
        <v>#REF!</v>
      </c>
      <c r="C105" s="74" t="e" cm="1">
        <f t="array" ref="C105">IF(A105="","",INDEX(#REF!,ROW()+9))</f>
        <v>#REF!</v>
      </c>
      <c r="D105" s="74" t="str">
        <f>IFERROR(IF(A105="","",'Event Info'!$B$2),"")</f>
        <v/>
      </c>
      <c r="E105" t="e" cm="1">
        <f t="array" ref="E105">IF(INDEX(#REF!,ROW()+9)="START",E104+1,E104+0)</f>
        <v>#REF!</v>
      </c>
      <c r="F105" s="82" t="e">
        <f>IF(A105&lt;&gt;"",_xlfn.CONCAT(TEXT(A105,"yyyy-mm-dd"),"T",TEXT(A105,"hh:mm:ss"),'Event Info'!$B$5,",",," ",C105),"")</f>
        <v>#REF!</v>
      </c>
      <c r="G105" t="e">
        <f t="shared" si="2"/>
        <v>#REF!</v>
      </c>
      <c r="H105" s="92" t="str">
        <f t="shared" si="3"/>
        <v/>
      </c>
      <c r="I105" s="88">
        <v>0</v>
      </c>
    </row>
    <row r="106" spans="1:9" ht="16.899999999999999">
      <c r="A106" s="76" t="e" cm="1">
        <f t="array" ref="A106">IF(OR(INDEX(#REF!,ROW()+10)="START",INDEX(#REF!,ROW()+9)="",INDEX(#REF!,ROW()+9)="START",INDEX(#REF!,ROW()+9)="TBA",INDEX(#REF!,ROW()+9)="TBC"),"",INDEX(#REF!,ROW()+9)+'Date Calculators'!$B$2+E106)</f>
        <v>#REF!</v>
      </c>
      <c r="B106" s="76" t="e" cm="1">
        <f t="array" ref="B106">IF(OR(A106=""),"",IF(INDEX(#REF!,ROW()+9)="",IF(A107="",A106+$Q$10,A107),INDEX(#REF!,ROW()+9)+'Date Calculators'!$B$2+E106))</f>
        <v>#REF!</v>
      </c>
      <c r="C106" s="74" t="e" cm="1">
        <f t="array" ref="C106">IF(A106="","",INDEX(#REF!,ROW()+9))</f>
        <v>#REF!</v>
      </c>
      <c r="D106" s="74" t="str">
        <f>IFERROR(IF(A106="","",'Event Info'!$B$2),"")</f>
        <v/>
      </c>
      <c r="E106" t="e" cm="1">
        <f t="array" ref="E106">IF(INDEX(#REF!,ROW()+9)="START",E105+1,E105+0)</f>
        <v>#REF!</v>
      </c>
      <c r="F106" s="82" t="e">
        <f>IF(A106&lt;&gt;"",_xlfn.CONCAT(TEXT(A106,"yyyy-mm-dd"),"T",TEXT(A106,"hh:mm:ss"),'Event Info'!$B$5,",",," ",C106),"")</f>
        <v>#REF!</v>
      </c>
      <c r="G106" t="e">
        <f t="shared" si="2"/>
        <v>#REF!</v>
      </c>
      <c r="H106" s="92" t="str">
        <f t="shared" si="3"/>
        <v/>
      </c>
      <c r="I106" s="91">
        <v>0</v>
      </c>
    </row>
    <row r="107" spans="1:9">
      <c r="A107" s="76" t="e" cm="1">
        <f t="array" ref="A107">IF(OR(INDEX(#REF!,ROW()+10)="START",INDEX(#REF!,ROW()+9)="",INDEX(#REF!,ROW()+9)="START",INDEX(#REF!,ROW()+9)="TBA",INDEX(#REF!,ROW()+9)="TBC"),"",INDEX(#REF!,ROW()+9)+'Date Calculators'!$B$2+E107)</f>
        <v>#REF!</v>
      </c>
      <c r="B107" s="76" t="e" cm="1">
        <f t="array" ref="B107">IF(OR(A107=""),"",IF(INDEX(#REF!,ROW()+9)="",IF(A108="",A107+$Q$10,A108),INDEX(#REF!,ROW()+9)+'Date Calculators'!$B$2+E107))</f>
        <v>#REF!</v>
      </c>
      <c r="C107" s="74" t="e" cm="1">
        <f t="array" ref="C107">IF(A107="","",INDEX(#REF!,ROW()+9))</f>
        <v>#REF!</v>
      </c>
      <c r="D107" s="74" t="str">
        <f>IFERROR(IF(A107="","",'Event Info'!$B$2),"")</f>
        <v/>
      </c>
      <c r="E107" t="e" cm="1">
        <f t="array" ref="E107">IF(INDEX(#REF!,ROW()+9)="START",E106+1,E106+0)</f>
        <v>#REF!</v>
      </c>
      <c r="F107" s="82" t="e">
        <f>IF(A107&lt;&gt;"",_xlfn.CONCAT(TEXT(A107,"yyyy-mm-dd"),"T",TEXT(A107,"hh:mm:ss"),'Event Info'!$B$5,",",," ",C107),"")</f>
        <v>#REF!</v>
      </c>
      <c r="G107" t="e">
        <f t="shared" si="2"/>
        <v>#REF!</v>
      </c>
      <c r="H107" s="92" t="str">
        <f t="shared" si="3"/>
        <v/>
      </c>
      <c r="I107" s="88">
        <v>0</v>
      </c>
    </row>
    <row r="108" spans="1:9">
      <c r="A108" s="76" t="e" cm="1">
        <f t="array" ref="A108">IF(OR(INDEX(#REF!,ROW()+10)="START",INDEX(#REF!,ROW()+9)="",INDEX(#REF!,ROW()+9)="START",INDEX(#REF!,ROW()+9)="TBA",INDEX(#REF!,ROW()+9)="TBC"),"",INDEX(#REF!,ROW()+9)+'Date Calculators'!$B$2+E108)</f>
        <v>#REF!</v>
      </c>
      <c r="B108" s="76" t="e" cm="1">
        <f t="array" ref="B108">IF(OR(A108=""),"",IF(INDEX(#REF!,ROW()+9)="",IF(A109="",A108+$Q$10,A109),INDEX(#REF!,ROW()+9)+'Date Calculators'!$B$2+E108))</f>
        <v>#REF!</v>
      </c>
      <c r="C108" s="74" t="e" cm="1">
        <f t="array" ref="C108">IF(A108="","",INDEX(#REF!,ROW()+9))</f>
        <v>#REF!</v>
      </c>
      <c r="D108" s="74" t="str">
        <f>IFERROR(IF(A108="","",'Event Info'!$B$2),"")</f>
        <v/>
      </c>
      <c r="E108" t="e" cm="1">
        <f t="array" ref="E108">IF(INDEX(#REF!,ROW()+9)="START",E107+1,E107+0)</f>
        <v>#REF!</v>
      </c>
      <c r="F108" s="82" t="e">
        <f>IF(A108&lt;&gt;"",_xlfn.CONCAT(TEXT(A108,"yyyy-mm-dd"),"T",TEXT(A108,"hh:mm:ss"),'Event Info'!$B$5,",",," ",C108),"")</f>
        <v>#REF!</v>
      </c>
      <c r="G108" t="e">
        <f t="shared" si="2"/>
        <v>#REF!</v>
      </c>
      <c r="H108" s="92" t="str">
        <f t="shared" si="3"/>
        <v/>
      </c>
      <c r="I108" s="88">
        <v>0</v>
      </c>
    </row>
    <row r="109" spans="1:9" ht="16.899999999999999">
      <c r="A109" s="76" t="e" cm="1">
        <f t="array" ref="A109">IF(OR(INDEX(#REF!,ROW()+10)="START",INDEX(#REF!,ROW()+9)="",INDEX(#REF!,ROW()+9)="START",INDEX(#REF!,ROW()+9)="TBA",INDEX(#REF!,ROW()+9)="TBC"),"",INDEX(#REF!,ROW()+9)+'Date Calculators'!$B$2+E109)</f>
        <v>#REF!</v>
      </c>
      <c r="B109" s="76" t="e" cm="1">
        <f t="array" ref="B109">IF(OR(A109=""),"",IF(INDEX(#REF!,ROW()+9)="",IF(A110="",A109+$Q$10,A110),INDEX(#REF!,ROW()+9)+'Date Calculators'!$B$2+E109))</f>
        <v>#REF!</v>
      </c>
      <c r="C109" s="74" t="e" cm="1">
        <f t="array" ref="C109">IF(A109="","",INDEX(#REF!,ROW()+9))</f>
        <v>#REF!</v>
      </c>
      <c r="D109" s="74" t="str">
        <f>IFERROR(IF(A109="","",'Event Info'!$B$2),"")</f>
        <v/>
      </c>
      <c r="E109" t="e" cm="1">
        <f t="array" ref="E109">IF(INDEX(#REF!,ROW()+9)="START",E108+1,E108+0)</f>
        <v>#REF!</v>
      </c>
      <c r="F109" s="82" t="e">
        <f>IF(A109&lt;&gt;"",_xlfn.CONCAT(TEXT(A109,"yyyy-mm-dd"),"T",TEXT(A109,"hh:mm:ss"),'Event Info'!$B$5,",",," ",C109),"")</f>
        <v>#REF!</v>
      </c>
      <c r="G109" t="e">
        <f t="shared" si="2"/>
        <v>#REF!</v>
      </c>
      <c r="H109" s="92" t="str">
        <f t="shared" si="3"/>
        <v/>
      </c>
      <c r="I109" s="91">
        <v>0</v>
      </c>
    </row>
    <row r="110" spans="1:9">
      <c r="A110" s="76" t="e" cm="1">
        <f t="array" ref="A110">IF(OR(INDEX(#REF!,ROW()+10)="START",INDEX(#REF!,ROW()+9)="",INDEX(#REF!,ROW()+9)="START",INDEX(#REF!,ROW()+9)="TBA",INDEX(#REF!,ROW()+9)="TBC"),"",INDEX(#REF!,ROW()+9)+'Date Calculators'!$B$2+E110)</f>
        <v>#REF!</v>
      </c>
      <c r="B110" s="76" t="e" cm="1">
        <f t="array" ref="B110">IF(OR(A110=""),"",IF(INDEX(#REF!,ROW()+9)="",IF(A111="",A110+$Q$10,A111),INDEX(#REF!,ROW()+9)+'Date Calculators'!$B$2+E110))</f>
        <v>#REF!</v>
      </c>
      <c r="C110" s="74" t="e" cm="1">
        <f t="array" ref="C110">IF(A110="","",INDEX(#REF!,ROW()+9))</f>
        <v>#REF!</v>
      </c>
      <c r="D110" s="74" t="str">
        <f>IFERROR(IF(A110="","",'Event Info'!$B$2),"")</f>
        <v/>
      </c>
      <c r="E110" t="e" cm="1">
        <f t="array" ref="E110">IF(INDEX(#REF!,ROW()+9)="START",E109+1,E109+0)</f>
        <v>#REF!</v>
      </c>
      <c r="F110" s="82" t="e">
        <f>IF(A110&lt;&gt;"",_xlfn.CONCAT(TEXT(A110,"yyyy-mm-dd"),"T",TEXT(A110,"hh:mm:ss"),'Event Info'!$B$5,",",," ",C110),"")</f>
        <v>#REF!</v>
      </c>
      <c r="G110" t="e">
        <f t="shared" si="2"/>
        <v>#REF!</v>
      </c>
      <c r="H110" s="92" t="str">
        <f t="shared" si="3"/>
        <v/>
      </c>
      <c r="I110" s="88">
        <v>0</v>
      </c>
    </row>
    <row r="111" spans="1:9">
      <c r="A111" s="76" t="e" cm="1">
        <f t="array" ref="A111">IF(OR(INDEX(#REF!,ROW()+10)="START",INDEX(#REF!,ROW()+9)="",INDEX(#REF!,ROW()+9)="START",INDEX(#REF!,ROW()+9)="TBA",INDEX(#REF!,ROW()+9)="TBC"),"",INDEX(#REF!,ROW()+9)+'Date Calculators'!$B$2+E111)</f>
        <v>#REF!</v>
      </c>
      <c r="B111" s="76" t="e" cm="1">
        <f t="array" ref="B111">IF(OR(A111=""),"",IF(INDEX(#REF!,ROW()+9)="",IF(A112="",A111+$Q$10,A112),INDEX(#REF!,ROW()+9)+'Date Calculators'!$B$2+E111))</f>
        <v>#REF!</v>
      </c>
      <c r="C111" s="74" t="e" cm="1">
        <f t="array" ref="C111">IF(A111="","",INDEX(#REF!,ROW()+9))</f>
        <v>#REF!</v>
      </c>
      <c r="D111" s="74" t="str">
        <f>IFERROR(IF(A111="","",'Event Info'!$B$2),"")</f>
        <v/>
      </c>
      <c r="E111" t="e" cm="1">
        <f t="array" ref="E111">IF(INDEX(#REF!,ROW()+9)="START",E110+1,E110+0)</f>
        <v>#REF!</v>
      </c>
      <c r="F111" s="82" t="e">
        <f>IF(A111&lt;&gt;"",_xlfn.CONCAT(TEXT(A111,"yyyy-mm-dd"),"T",TEXT(A111,"hh:mm:ss"),'Event Info'!$B$5,",",," ",C111),"")</f>
        <v>#REF!</v>
      </c>
      <c r="G111" t="e">
        <f t="shared" si="2"/>
        <v>#REF!</v>
      </c>
      <c r="H111" s="92" t="str">
        <f t="shared" si="3"/>
        <v/>
      </c>
      <c r="I111" s="88">
        <v>0</v>
      </c>
    </row>
    <row r="112" spans="1:9" ht="16.899999999999999">
      <c r="A112" s="76" t="e" cm="1">
        <f t="array" ref="A112">IF(OR(INDEX(#REF!,ROW()+10)="START",INDEX(#REF!,ROW()+9)="",INDEX(#REF!,ROW()+9)="START",INDEX(#REF!,ROW()+9)="TBA",INDEX(#REF!,ROW()+9)="TBC"),"",INDEX(#REF!,ROW()+9)+'Date Calculators'!$B$2+E112)</f>
        <v>#REF!</v>
      </c>
      <c r="B112" s="76" t="e" cm="1">
        <f t="array" ref="B112">IF(OR(A112=""),"",IF(INDEX(#REF!,ROW()+9)="",IF(A113="",A112+$Q$10,A113),INDEX(#REF!,ROW()+9)+'Date Calculators'!$B$2+E112))</f>
        <v>#REF!</v>
      </c>
      <c r="C112" s="74" t="e" cm="1">
        <f t="array" ref="C112">IF(A112="","",INDEX(#REF!,ROW()+9))</f>
        <v>#REF!</v>
      </c>
      <c r="D112" s="74" t="str">
        <f>IFERROR(IF(A112="","",'Event Info'!$B$2),"")</f>
        <v/>
      </c>
      <c r="E112" t="e" cm="1">
        <f t="array" ref="E112">IF(INDEX(#REF!,ROW()+9)="START",E111+1,E111+0)</f>
        <v>#REF!</v>
      </c>
      <c r="F112" s="82" t="e">
        <f>IF(A112&lt;&gt;"",_xlfn.CONCAT(TEXT(A112,"yyyy-mm-dd"),"T",TEXT(A112,"hh:mm:ss"),'Event Info'!$B$5,",",," ",C112),"")</f>
        <v>#REF!</v>
      </c>
      <c r="G112" t="e">
        <f t="shared" si="2"/>
        <v>#REF!</v>
      </c>
      <c r="H112" s="92" t="str">
        <f t="shared" si="3"/>
        <v/>
      </c>
      <c r="I112" s="91">
        <v>0</v>
      </c>
    </row>
    <row r="113" spans="1:9">
      <c r="A113" s="76" t="e" cm="1">
        <f t="array" ref="A113">IF(OR(INDEX(#REF!,ROW()+10)="START",INDEX(#REF!,ROW()+9)="",INDEX(#REF!,ROW()+9)="START",INDEX(#REF!,ROW()+9)="TBA",INDEX(#REF!,ROW()+9)="TBC"),"",INDEX(#REF!,ROW()+9)+'Date Calculators'!$B$2+E113)</f>
        <v>#REF!</v>
      </c>
      <c r="B113" s="76" t="e" cm="1">
        <f t="array" ref="B113">IF(OR(A113=""),"",IF(INDEX(#REF!,ROW()+9)="",IF(A114="",A113+$Q$10,A114),INDEX(#REF!,ROW()+9)+'Date Calculators'!$B$2+E113))</f>
        <v>#REF!</v>
      </c>
      <c r="C113" s="74" t="e" cm="1">
        <f t="array" ref="C113">IF(A113="","",INDEX(#REF!,ROW()+9))</f>
        <v>#REF!</v>
      </c>
      <c r="D113" s="74" t="str">
        <f>IFERROR(IF(A113="","",'Event Info'!$B$2),"")</f>
        <v/>
      </c>
      <c r="E113" t="e" cm="1">
        <f t="array" ref="E113">IF(INDEX(#REF!,ROW()+9)="START",E112+1,E112+0)</f>
        <v>#REF!</v>
      </c>
      <c r="F113" s="82" t="e">
        <f>IF(A113&lt;&gt;"",_xlfn.CONCAT(TEXT(A113,"yyyy-mm-dd"),"T",TEXT(A113,"hh:mm:ss"),'Event Info'!$B$5,",",," ",C113),"")</f>
        <v>#REF!</v>
      </c>
      <c r="G113" t="e">
        <f t="shared" si="2"/>
        <v>#REF!</v>
      </c>
      <c r="H113" s="92" t="str">
        <f t="shared" si="3"/>
        <v/>
      </c>
      <c r="I113" s="88">
        <v>0</v>
      </c>
    </row>
    <row r="114" spans="1:9">
      <c r="A114" s="76" t="e" cm="1">
        <f t="array" ref="A114">IF(OR(INDEX(#REF!,ROW()+10)="START",INDEX(#REF!,ROW()+9)="",INDEX(#REF!,ROW()+9)="START",INDEX(#REF!,ROW()+9)="TBA",INDEX(#REF!,ROW()+9)="TBC"),"",INDEX(#REF!,ROW()+9)+'Date Calculators'!$B$2+E114)</f>
        <v>#REF!</v>
      </c>
      <c r="B114" s="76" t="e" cm="1">
        <f t="array" ref="B114">IF(OR(A114=""),"",IF(INDEX(#REF!,ROW()+9)="",IF(A115="",A114+$Q$10,A115),INDEX(#REF!,ROW()+9)+'Date Calculators'!$B$2+E114))</f>
        <v>#REF!</v>
      </c>
      <c r="C114" s="74" t="e" cm="1">
        <f t="array" ref="C114">IF(A114="","",INDEX(#REF!,ROW()+9))</f>
        <v>#REF!</v>
      </c>
      <c r="D114" s="74" t="str">
        <f>IFERROR(IF(A114="","",'Event Info'!$B$2),"")</f>
        <v/>
      </c>
      <c r="E114" t="e" cm="1">
        <f t="array" ref="E114">IF(INDEX(#REF!,ROW()+9)="START",E113+1,E113+0)</f>
        <v>#REF!</v>
      </c>
      <c r="F114" s="82" t="e">
        <f>IF(A114&lt;&gt;"",_xlfn.CONCAT(TEXT(A114,"yyyy-mm-dd"),"T",TEXT(A114,"hh:mm:ss"),'Event Info'!$B$5,",",," ",C114),"")</f>
        <v>#REF!</v>
      </c>
      <c r="G114" t="e">
        <f t="shared" si="2"/>
        <v>#REF!</v>
      </c>
      <c r="H114" s="92" t="str">
        <f t="shared" si="3"/>
        <v/>
      </c>
      <c r="I114" s="88">
        <v>0</v>
      </c>
    </row>
    <row r="115" spans="1:9" ht="16.899999999999999">
      <c r="A115" s="76" t="e" cm="1">
        <f t="array" ref="A115">IF(OR(INDEX(#REF!,ROW()+10)="START",INDEX(#REF!,ROW()+9)="",INDEX(#REF!,ROW()+9)="START",INDEX(#REF!,ROW()+9)="TBA",INDEX(#REF!,ROW()+9)="TBC"),"",INDEX(#REF!,ROW()+9)+'Date Calculators'!$B$2+E115)</f>
        <v>#REF!</v>
      </c>
      <c r="B115" s="76" t="e" cm="1">
        <f t="array" ref="B115">IF(OR(A115=""),"",IF(INDEX(#REF!,ROW()+9)="",IF(A116="",A115+$Q$10,A116),INDEX(#REF!,ROW()+9)+'Date Calculators'!$B$2+E115))</f>
        <v>#REF!</v>
      </c>
      <c r="C115" s="74" t="e" cm="1">
        <f t="array" ref="C115">IF(A115="","",INDEX(#REF!,ROW()+9))</f>
        <v>#REF!</v>
      </c>
      <c r="D115" s="74" t="str">
        <f>IFERROR(IF(A115="","",'Event Info'!$B$2),"")</f>
        <v/>
      </c>
      <c r="E115" t="e" cm="1">
        <f t="array" ref="E115">IF(INDEX(#REF!,ROW()+9)="START",E114+1,E114+0)</f>
        <v>#REF!</v>
      </c>
      <c r="F115" s="82" t="e">
        <f>IF(A115&lt;&gt;"",_xlfn.CONCAT(TEXT(A115,"yyyy-mm-dd"),"T",TEXT(A115,"hh:mm:ss"),'Event Info'!$B$5,",",," ",C115),"")</f>
        <v>#REF!</v>
      </c>
      <c r="G115" t="e">
        <f t="shared" si="2"/>
        <v>#REF!</v>
      </c>
      <c r="H115" s="92" t="str">
        <f t="shared" si="3"/>
        <v/>
      </c>
      <c r="I115" s="91">
        <v>0</v>
      </c>
    </row>
    <row r="116" spans="1:9">
      <c r="A116" s="76" t="e" cm="1">
        <f t="array" ref="A116">IF(OR(INDEX(#REF!,ROW()+10)="START",INDEX(#REF!,ROW()+9)="",INDEX(#REF!,ROW()+9)="START",INDEX(#REF!,ROW()+9)="TBA",INDEX(#REF!,ROW()+9)="TBC"),"",INDEX(#REF!,ROW()+9)+'Date Calculators'!$B$2+E116)</f>
        <v>#REF!</v>
      </c>
      <c r="B116" s="76" t="e" cm="1">
        <f t="array" ref="B116">IF(OR(A116=""),"",IF(INDEX(#REF!,ROW()+9)="",IF(A117="",A116+$Q$10,A117),INDEX(#REF!,ROW()+9)+'Date Calculators'!$B$2+E116))</f>
        <v>#REF!</v>
      </c>
      <c r="C116" s="74" t="e" cm="1">
        <f t="array" ref="C116">IF(A116="","",INDEX(#REF!,ROW()+9))</f>
        <v>#REF!</v>
      </c>
      <c r="D116" s="74" t="str">
        <f>IFERROR(IF(A116="","",'Event Info'!$B$2),"")</f>
        <v/>
      </c>
      <c r="E116" t="e" cm="1">
        <f t="array" ref="E116">IF(INDEX(#REF!,ROW()+9)="START",E115+1,E115+0)</f>
        <v>#REF!</v>
      </c>
      <c r="F116" s="82" t="e">
        <f>IF(A116&lt;&gt;"",_xlfn.CONCAT(TEXT(A116,"yyyy-mm-dd"),"T",TEXT(A116,"hh:mm:ss"),'Event Info'!$B$5,",",," ",C116),"")</f>
        <v>#REF!</v>
      </c>
      <c r="G116" t="e">
        <f t="shared" si="2"/>
        <v>#REF!</v>
      </c>
      <c r="H116" s="92" t="str">
        <f t="shared" si="3"/>
        <v/>
      </c>
      <c r="I116" s="88">
        <v>0</v>
      </c>
    </row>
    <row r="117" spans="1:9">
      <c r="A117" s="76" t="e" cm="1">
        <f t="array" ref="A117">IF(OR(INDEX(#REF!,ROW()+10)="START",INDEX(#REF!,ROW()+9)="",INDEX(#REF!,ROW()+9)="START",INDEX(#REF!,ROW()+9)="TBA",INDEX(#REF!,ROW()+9)="TBC"),"",INDEX(#REF!,ROW()+9)+'Date Calculators'!$B$2+E117)</f>
        <v>#REF!</v>
      </c>
      <c r="B117" s="76" t="e" cm="1">
        <f t="array" ref="B117">IF(OR(A117=""),"",IF(INDEX(#REF!,ROW()+9)="",IF(A118="",A117+$Q$10,A118),INDEX(#REF!,ROW()+9)+'Date Calculators'!$B$2+E117))</f>
        <v>#REF!</v>
      </c>
      <c r="C117" s="74" t="e" cm="1">
        <f t="array" ref="C117">IF(A117="","",INDEX(#REF!,ROW()+9))</f>
        <v>#REF!</v>
      </c>
      <c r="D117" s="74" t="str">
        <f>IFERROR(IF(A117="","",'Event Info'!$B$2),"")</f>
        <v/>
      </c>
      <c r="E117" t="e" cm="1">
        <f t="array" ref="E117">IF(INDEX(#REF!,ROW()+9)="START",E116+1,E116+0)</f>
        <v>#REF!</v>
      </c>
      <c r="F117" s="82" t="e">
        <f>IF(A117&lt;&gt;"",_xlfn.CONCAT(TEXT(A117,"yyyy-mm-dd"),"T",TEXT(A117,"hh:mm:ss"),'Event Info'!$B$5,",",," ",C117),"")</f>
        <v>#REF!</v>
      </c>
      <c r="G117" t="e">
        <f t="shared" si="2"/>
        <v>#REF!</v>
      </c>
      <c r="H117" s="92" t="str">
        <f t="shared" si="3"/>
        <v/>
      </c>
      <c r="I117" s="88">
        <v>0</v>
      </c>
    </row>
    <row r="118" spans="1:9" ht="16.899999999999999">
      <c r="A118" s="76" t="e" cm="1">
        <f t="array" ref="A118">IF(OR(INDEX(#REF!,ROW()+10)="START",INDEX(#REF!,ROW()+9)="",INDEX(#REF!,ROW()+9)="START",INDEX(#REF!,ROW()+9)="TBA",INDEX(#REF!,ROW()+9)="TBC"),"",INDEX(#REF!,ROW()+9)+'Date Calculators'!$B$2+E118)</f>
        <v>#REF!</v>
      </c>
      <c r="B118" s="76" t="e" cm="1">
        <f t="array" ref="B118">IF(OR(A118=""),"",IF(INDEX(#REF!,ROW()+9)="",IF(A119="",A118+$Q$10,A119),INDEX(#REF!,ROW()+9)+'Date Calculators'!$B$2+E118))</f>
        <v>#REF!</v>
      </c>
      <c r="C118" s="74" t="e" cm="1">
        <f t="array" ref="C118">IF(A118="","",INDEX(#REF!,ROW()+9))</f>
        <v>#REF!</v>
      </c>
      <c r="D118" s="74" t="str">
        <f>IFERROR(IF(A118="","",'Event Info'!$B$2),"")</f>
        <v/>
      </c>
      <c r="E118" t="e" cm="1">
        <f t="array" ref="E118">IF(INDEX(#REF!,ROW()+9)="START",E117+1,E117+0)</f>
        <v>#REF!</v>
      </c>
      <c r="F118" s="82" t="e">
        <f>IF(A118&lt;&gt;"",_xlfn.CONCAT(TEXT(A118,"yyyy-mm-dd"),"T",TEXT(A118,"hh:mm:ss"),'Event Info'!$B$5,",",," ",C118),"")</f>
        <v>#REF!</v>
      </c>
      <c r="G118" t="e">
        <f t="shared" si="2"/>
        <v>#REF!</v>
      </c>
      <c r="H118" s="92" t="str">
        <f t="shared" si="3"/>
        <v/>
      </c>
      <c r="I118" s="91">
        <v>0</v>
      </c>
    </row>
    <row r="119" spans="1:9">
      <c r="A119" s="76" t="e" cm="1">
        <f t="array" ref="A119">IF(OR(INDEX(#REF!,ROW()+10)="START",INDEX(#REF!,ROW()+9)="",INDEX(#REF!,ROW()+9)="START",INDEX(#REF!,ROW()+9)="TBA",INDEX(#REF!,ROW()+9)="TBC"),"",INDEX(#REF!,ROW()+9)+'Date Calculators'!$B$2+E119)</f>
        <v>#REF!</v>
      </c>
      <c r="B119" s="76" t="e" cm="1">
        <f t="array" ref="B119">IF(OR(A119=""),"",IF(INDEX(#REF!,ROW()+9)="",IF(A120="",A119+$Q$10,A120),INDEX(#REF!,ROW()+9)+'Date Calculators'!$B$2+E119))</f>
        <v>#REF!</v>
      </c>
      <c r="C119" s="74" t="e" cm="1">
        <f t="array" ref="C119">IF(A119="","",INDEX(#REF!,ROW()+9))</f>
        <v>#REF!</v>
      </c>
      <c r="D119" s="74" t="str">
        <f>IFERROR(IF(A119="","",'Event Info'!$B$2),"")</f>
        <v/>
      </c>
      <c r="E119" t="e" cm="1">
        <f t="array" ref="E119">IF(INDEX(#REF!,ROW()+9)="START",E118+1,E118+0)</f>
        <v>#REF!</v>
      </c>
      <c r="F119" s="82" t="e">
        <f>IF(A119&lt;&gt;"",_xlfn.CONCAT(TEXT(A119,"yyyy-mm-dd"),"T",TEXT(A119,"hh:mm:ss"),'Event Info'!$B$5,",",," ",C119),"")</f>
        <v>#REF!</v>
      </c>
      <c r="G119" t="e">
        <f t="shared" si="2"/>
        <v>#REF!</v>
      </c>
      <c r="H119" s="92" t="str">
        <f t="shared" si="3"/>
        <v/>
      </c>
      <c r="I119" s="88">
        <v>0</v>
      </c>
    </row>
    <row r="120" spans="1:9">
      <c r="A120" s="76" t="e" cm="1">
        <f t="array" ref="A120">IF(OR(INDEX(#REF!,ROW()+10)="START",INDEX(#REF!,ROW()+9)="",INDEX(#REF!,ROW()+9)="START",INDEX(#REF!,ROW()+9)="TBA",INDEX(#REF!,ROW()+9)="TBC"),"",INDEX(#REF!,ROW()+9)+'Date Calculators'!$B$2+E120)</f>
        <v>#REF!</v>
      </c>
      <c r="B120" s="76" t="e" cm="1">
        <f t="array" ref="B120">IF(OR(A120=""),"",IF(INDEX(#REF!,ROW()+9)="",IF(A121="",A120+$Q$10,A121),INDEX(#REF!,ROW()+9)+'Date Calculators'!$B$2+E120))</f>
        <v>#REF!</v>
      </c>
      <c r="C120" s="74" t="e" cm="1">
        <f t="array" ref="C120">IF(A120="","",INDEX(#REF!,ROW()+9))</f>
        <v>#REF!</v>
      </c>
      <c r="D120" s="74" t="str">
        <f>IFERROR(IF(A120="","",'Event Info'!$B$2),"")</f>
        <v/>
      </c>
      <c r="E120" t="e" cm="1">
        <f t="array" ref="E120">IF(INDEX(#REF!,ROW()+9)="START",E119+1,E119+0)</f>
        <v>#REF!</v>
      </c>
      <c r="F120" s="82" t="e">
        <f>IF(A120&lt;&gt;"",_xlfn.CONCAT(TEXT(A120,"yyyy-mm-dd"),"T",TEXT(A120,"hh:mm:ss"),'Event Info'!$B$5,",",," ",C120),"")</f>
        <v>#REF!</v>
      </c>
      <c r="G120" t="e">
        <f t="shared" si="2"/>
        <v>#REF!</v>
      </c>
      <c r="H120" s="92" t="str">
        <f t="shared" si="3"/>
        <v/>
      </c>
      <c r="I120" s="88">
        <v>0</v>
      </c>
    </row>
    <row r="121" spans="1:9" ht="16.899999999999999">
      <c r="A121" s="76" t="e" cm="1">
        <f t="array" ref="A121">IF(OR(INDEX(#REF!,ROW()+10)="START",INDEX(#REF!,ROW()+9)="",INDEX(#REF!,ROW()+9)="START",INDEX(#REF!,ROW()+9)="TBA",INDEX(#REF!,ROW()+9)="TBC"),"",INDEX(#REF!,ROW()+9)+'Date Calculators'!$B$2+E121)</f>
        <v>#REF!</v>
      </c>
      <c r="B121" s="76" t="e" cm="1">
        <f t="array" ref="B121">IF(OR(A121=""),"",IF(INDEX(#REF!,ROW()+9)="",IF(A122="",A121+$Q$10,A122),INDEX(#REF!,ROW()+9)+'Date Calculators'!$B$2+E121))</f>
        <v>#REF!</v>
      </c>
      <c r="C121" s="74" t="e" cm="1">
        <f t="array" ref="C121">IF(A121="","",INDEX(#REF!,ROW()+9))</f>
        <v>#REF!</v>
      </c>
      <c r="D121" s="74" t="str">
        <f>IFERROR(IF(A121="","",'Event Info'!$B$2),"")</f>
        <v/>
      </c>
      <c r="E121" t="e" cm="1">
        <f t="array" ref="E121">IF(INDEX(#REF!,ROW()+9)="START",E120+1,E120+0)</f>
        <v>#REF!</v>
      </c>
      <c r="F121" s="82" t="e">
        <f>IF(A121&lt;&gt;"",_xlfn.CONCAT(TEXT(A121,"yyyy-mm-dd"),"T",TEXT(A121,"hh:mm:ss"),'Event Info'!$B$5,",",," ",C121),"")</f>
        <v>#REF!</v>
      </c>
      <c r="G121" t="e">
        <f t="shared" si="2"/>
        <v>#REF!</v>
      </c>
      <c r="H121" s="92" t="str">
        <f t="shared" si="3"/>
        <v/>
      </c>
      <c r="I121" s="91">
        <v>0</v>
      </c>
    </row>
    <row r="122" spans="1:9">
      <c r="A122" s="76" t="e" cm="1">
        <f t="array" ref="A122">IF(OR(INDEX(#REF!,ROW()+10)="START",INDEX(#REF!,ROW()+9)="",INDEX(#REF!,ROW()+9)="START",INDEX(#REF!,ROW()+9)="TBA",INDEX(#REF!,ROW()+9)="TBC"),"",INDEX(#REF!,ROW()+9)+'Date Calculators'!$B$2+E122)</f>
        <v>#REF!</v>
      </c>
      <c r="B122" s="76" t="e" cm="1">
        <f t="array" ref="B122">IF(OR(A122=""),"",IF(INDEX(#REF!,ROW()+9)="",IF(A123="",A122+$Q$10,A123),INDEX(#REF!,ROW()+9)+'Date Calculators'!$B$2+E122))</f>
        <v>#REF!</v>
      </c>
      <c r="C122" s="74" t="e" cm="1">
        <f t="array" ref="C122">IF(A122="","",INDEX(#REF!,ROW()+9))</f>
        <v>#REF!</v>
      </c>
      <c r="D122" s="74" t="str">
        <f>IFERROR(IF(A122="","",'Event Info'!$B$2),"")</f>
        <v/>
      </c>
      <c r="E122" t="e" cm="1">
        <f t="array" ref="E122">IF(INDEX(#REF!,ROW()+9)="START",E121+1,E121+0)</f>
        <v>#REF!</v>
      </c>
      <c r="F122" s="82" t="e">
        <f>IF(A122&lt;&gt;"",_xlfn.CONCAT(TEXT(A122,"yyyy-mm-dd"),"T",TEXT(A122,"hh:mm:ss"),'Event Info'!$B$5,",",," ",C122),"")</f>
        <v>#REF!</v>
      </c>
      <c r="G122" t="e">
        <f t="shared" si="2"/>
        <v>#REF!</v>
      </c>
      <c r="H122" s="92" t="str">
        <f t="shared" si="3"/>
        <v/>
      </c>
      <c r="I122" s="88">
        <v>0</v>
      </c>
    </row>
    <row r="123" spans="1:9">
      <c r="A123" s="76" t="e" cm="1">
        <f t="array" ref="A123">IF(OR(INDEX(#REF!,ROW()+10)="START",INDEX(#REF!,ROW()+9)="",INDEX(#REF!,ROW()+9)="START",INDEX(#REF!,ROW()+9)="TBA",INDEX(#REF!,ROW()+9)="TBC"),"",INDEX(#REF!,ROW()+9)+'Date Calculators'!$B$2+E123)</f>
        <v>#REF!</v>
      </c>
      <c r="B123" s="76" t="e" cm="1">
        <f t="array" ref="B123">IF(OR(A123=""),"",IF(INDEX(#REF!,ROW()+9)="",IF(A124="",A123+$Q$10,A124),INDEX(#REF!,ROW()+9)+'Date Calculators'!$B$2+E123))</f>
        <v>#REF!</v>
      </c>
      <c r="C123" s="74" t="e" cm="1">
        <f t="array" ref="C123">IF(A123="","",INDEX(#REF!,ROW()+9))</f>
        <v>#REF!</v>
      </c>
      <c r="D123" s="74" t="str">
        <f>IFERROR(IF(A123="","",'Event Info'!$B$2),"")</f>
        <v/>
      </c>
      <c r="E123" t="e" cm="1">
        <f t="array" ref="E123">IF(INDEX(#REF!,ROW()+9)="START",E122+1,E122+0)</f>
        <v>#REF!</v>
      </c>
      <c r="F123" s="82" t="e">
        <f>IF(A123&lt;&gt;"",_xlfn.CONCAT(TEXT(A123,"yyyy-mm-dd"),"T",TEXT(A123,"hh:mm:ss"),'Event Info'!$B$5,",",," ",C123),"")</f>
        <v>#REF!</v>
      </c>
      <c r="G123" t="e">
        <f t="shared" si="2"/>
        <v>#REF!</v>
      </c>
      <c r="H123" s="92" t="str">
        <f t="shared" si="3"/>
        <v/>
      </c>
      <c r="I123" s="88">
        <v>0</v>
      </c>
    </row>
    <row r="124" spans="1:9" ht="16.899999999999999">
      <c r="A124" s="76" t="e" cm="1">
        <f t="array" ref="A124">IF(OR(INDEX(#REF!,ROW()+10)="START",INDEX(#REF!,ROW()+9)="",INDEX(#REF!,ROW()+9)="START",INDEX(#REF!,ROW()+9)="TBA",INDEX(#REF!,ROW()+9)="TBC"),"",INDEX(#REF!,ROW()+9)+'Date Calculators'!$B$2+E124)</f>
        <v>#REF!</v>
      </c>
      <c r="B124" s="76" t="e" cm="1">
        <f t="array" ref="B124">IF(OR(A124=""),"",IF(INDEX(#REF!,ROW()+9)="",IF(A125="",A124+$Q$10,A125),INDEX(#REF!,ROW()+9)+'Date Calculators'!$B$2+E124))</f>
        <v>#REF!</v>
      </c>
      <c r="C124" s="74" t="e" cm="1">
        <f t="array" ref="C124">IF(A124="","",INDEX(#REF!,ROW()+9))</f>
        <v>#REF!</v>
      </c>
      <c r="D124" s="74" t="str">
        <f>IFERROR(IF(A124="","",'Event Info'!$B$2),"")</f>
        <v/>
      </c>
      <c r="E124" t="e" cm="1">
        <f t="array" ref="E124">IF(INDEX(#REF!,ROW()+9)="START",E123+1,E123+0)</f>
        <v>#REF!</v>
      </c>
      <c r="F124" s="82" t="e">
        <f>IF(A124&lt;&gt;"",_xlfn.CONCAT(TEXT(A124,"yyyy-mm-dd"),"T",TEXT(A124,"hh:mm:ss"),'Event Info'!$B$5,",",," ",C124),"")</f>
        <v>#REF!</v>
      </c>
      <c r="G124" t="e">
        <f t="shared" si="2"/>
        <v>#REF!</v>
      </c>
      <c r="H124" s="92" t="str">
        <f t="shared" si="3"/>
        <v/>
      </c>
      <c r="I124" s="91">
        <v>0</v>
      </c>
    </row>
    <row r="125" spans="1:9">
      <c r="A125" s="76" t="e" cm="1">
        <f t="array" ref="A125">IF(OR(INDEX(#REF!,ROW()+10)="START",INDEX(#REF!,ROW()+9)="",INDEX(#REF!,ROW()+9)="START",INDEX(#REF!,ROW()+9)="TBA",INDEX(#REF!,ROW()+9)="TBC"),"",INDEX(#REF!,ROW()+9)+'Date Calculators'!$B$2+E125)</f>
        <v>#REF!</v>
      </c>
      <c r="B125" s="76" t="e" cm="1">
        <f t="array" ref="B125">IF(OR(A125=""),"",IF(INDEX(#REF!,ROW()+9)="",IF(A126="",A125+$Q$10,A126),INDEX(#REF!,ROW()+9)+'Date Calculators'!$B$2+E125))</f>
        <v>#REF!</v>
      </c>
      <c r="C125" s="74" t="e" cm="1">
        <f t="array" ref="C125">IF(A125="","",INDEX(#REF!,ROW()+9))</f>
        <v>#REF!</v>
      </c>
      <c r="D125" s="74" t="str">
        <f>IFERROR(IF(A125="","",'Event Info'!$B$2),"")</f>
        <v/>
      </c>
      <c r="E125" t="e" cm="1">
        <f t="array" ref="E125">IF(INDEX(#REF!,ROW()+9)="START",E124+1,E124+0)</f>
        <v>#REF!</v>
      </c>
      <c r="F125" s="82" t="e">
        <f>IF(A125&lt;&gt;"",_xlfn.CONCAT(TEXT(A125,"yyyy-mm-dd"),"T",TEXT(A125,"hh:mm:ss"),'Event Info'!$B$5,",",," ",C125),"")</f>
        <v>#REF!</v>
      </c>
      <c r="G125" t="e">
        <f t="shared" si="2"/>
        <v>#REF!</v>
      </c>
      <c r="H125" s="92" t="str">
        <f t="shared" si="3"/>
        <v/>
      </c>
      <c r="I125" s="88">
        <v>0</v>
      </c>
    </row>
    <row r="126" spans="1:9">
      <c r="A126" s="76" t="e" cm="1">
        <f t="array" ref="A126">IF(OR(INDEX(#REF!,ROW()+10)="START",INDEX(#REF!,ROW()+9)="",INDEX(#REF!,ROW()+9)="START",INDEX(#REF!,ROW()+9)="TBA",INDEX(#REF!,ROW()+9)="TBC"),"",INDEX(#REF!,ROW()+9)+'Date Calculators'!$B$2+E126)</f>
        <v>#REF!</v>
      </c>
      <c r="B126" s="76" t="e" cm="1">
        <f t="array" ref="B126">IF(OR(A126=""),"",IF(INDEX(#REF!,ROW()+9)="",IF(A127="",A126+$Q$10,A127),INDEX(#REF!,ROW()+9)+'Date Calculators'!$B$2+E126))</f>
        <v>#REF!</v>
      </c>
      <c r="C126" s="74" t="e" cm="1">
        <f t="array" ref="C126">IF(A126="","",INDEX(#REF!,ROW()+9))</f>
        <v>#REF!</v>
      </c>
      <c r="D126" s="74" t="str">
        <f>IFERROR(IF(A126="","",'Event Info'!$B$2),"")</f>
        <v/>
      </c>
      <c r="E126" t="e" cm="1">
        <f t="array" ref="E126">IF(INDEX(#REF!,ROW()+9)="START",E125+1,E125+0)</f>
        <v>#REF!</v>
      </c>
      <c r="F126" s="82" t="e">
        <f>IF(A126&lt;&gt;"",_xlfn.CONCAT(TEXT(A126,"yyyy-mm-dd"),"T",TEXT(A126,"hh:mm:ss"),'Event Info'!$B$5,",",," ",C126),"")</f>
        <v>#REF!</v>
      </c>
      <c r="G126" t="e">
        <f t="shared" si="2"/>
        <v>#REF!</v>
      </c>
      <c r="H126" s="92" t="str">
        <f t="shared" si="3"/>
        <v/>
      </c>
      <c r="I126" s="88">
        <v>0</v>
      </c>
    </row>
    <row r="127" spans="1:9" ht="16.899999999999999">
      <c r="A127" s="76" t="e" cm="1">
        <f t="array" ref="A127">IF(OR(INDEX(#REF!,ROW()+10)="START",INDEX(#REF!,ROW()+9)="",INDEX(#REF!,ROW()+9)="START",INDEX(#REF!,ROW()+9)="TBA",INDEX(#REF!,ROW()+9)="TBC"),"",INDEX(#REF!,ROW()+9)+'Date Calculators'!$B$2+E127)</f>
        <v>#REF!</v>
      </c>
      <c r="B127" s="76" t="e" cm="1">
        <f t="array" ref="B127">IF(OR(A127=""),"",IF(INDEX(#REF!,ROW()+9)="",IF(A128="",A127+$Q$10,A128),INDEX(#REF!,ROW()+9)+'Date Calculators'!$B$2+E127))</f>
        <v>#REF!</v>
      </c>
      <c r="C127" s="74" t="e" cm="1">
        <f t="array" ref="C127">IF(A127="","",INDEX(#REF!,ROW()+9))</f>
        <v>#REF!</v>
      </c>
      <c r="D127" s="74" t="str">
        <f>IFERROR(IF(A127="","",'Event Info'!$B$2),"")</f>
        <v/>
      </c>
      <c r="E127" t="e" cm="1">
        <f t="array" ref="E127">IF(INDEX(#REF!,ROW()+9)="START",E126+1,E126+0)</f>
        <v>#REF!</v>
      </c>
      <c r="F127" s="82" t="e">
        <f>IF(A127&lt;&gt;"",_xlfn.CONCAT(TEXT(A127,"yyyy-mm-dd"),"T",TEXT(A127,"hh:mm:ss"),'Event Info'!$B$5,",",," ",C127),"")</f>
        <v>#REF!</v>
      </c>
      <c r="G127" t="e">
        <f t="shared" si="2"/>
        <v>#REF!</v>
      </c>
      <c r="H127" s="92" t="str">
        <f t="shared" si="3"/>
        <v/>
      </c>
      <c r="I127" s="91">
        <v>0</v>
      </c>
    </row>
    <row r="128" spans="1:9">
      <c r="A128" s="76" t="e" cm="1">
        <f t="array" ref="A128">IF(OR(INDEX(#REF!,ROW()+10)="START",INDEX(#REF!,ROW()+9)="",INDEX(#REF!,ROW()+9)="START",INDEX(#REF!,ROW()+9)="TBA",INDEX(#REF!,ROW()+9)="TBC"),"",INDEX(#REF!,ROW()+9)+'Date Calculators'!$B$2+E128)</f>
        <v>#REF!</v>
      </c>
      <c r="B128" s="76" t="e" cm="1">
        <f t="array" ref="B128">IF(OR(A128=""),"",IF(INDEX(#REF!,ROW()+9)="",IF(A129="",A128+$Q$10,A129),INDEX(#REF!,ROW()+9)+'Date Calculators'!$B$2+E128))</f>
        <v>#REF!</v>
      </c>
      <c r="C128" s="74" t="e" cm="1">
        <f t="array" ref="C128">IF(A128="","",INDEX(#REF!,ROW()+9))</f>
        <v>#REF!</v>
      </c>
      <c r="D128" s="74" t="str">
        <f>IFERROR(IF(A128="","",'Event Info'!$B$2),"")</f>
        <v/>
      </c>
      <c r="E128" t="e" cm="1">
        <f t="array" ref="E128">IF(INDEX(#REF!,ROW()+9)="START",E127+1,E127+0)</f>
        <v>#REF!</v>
      </c>
      <c r="F128" s="82" t="e">
        <f>IF(A128&lt;&gt;"",_xlfn.CONCAT(TEXT(A128,"yyyy-mm-dd"),"T",TEXT(A128,"hh:mm:ss"),'Event Info'!$B$5,",",," ",C128),"")</f>
        <v>#REF!</v>
      </c>
      <c r="G128" t="e">
        <f t="shared" si="2"/>
        <v>#REF!</v>
      </c>
      <c r="H128" s="92" t="str">
        <f t="shared" si="3"/>
        <v/>
      </c>
      <c r="I128" s="88">
        <v>0</v>
      </c>
    </row>
    <row r="129" spans="1:9">
      <c r="A129" s="76" t="e" cm="1">
        <f t="array" ref="A129">IF(OR(INDEX(#REF!,ROW()+10)="START",INDEX(#REF!,ROW()+9)="",INDEX(#REF!,ROW()+9)="START",INDEX(#REF!,ROW()+9)="TBA",INDEX(#REF!,ROW()+9)="TBC"),"",INDEX(#REF!,ROW()+9)+'Date Calculators'!$B$2+E129)</f>
        <v>#REF!</v>
      </c>
      <c r="B129" s="76" t="e" cm="1">
        <f t="array" ref="B129">IF(OR(A129=""),"",IF(INDEX(#REF!,ROW()+9)="",IF(A130="",A129+$Q$10,A130),INDEX(#REF!,ROW()+9)+'Date Calculators'!$B$2+E129))</f>
        <v>#REF!</v>
      </c>
      <c r="C129" s="74" t="e" cm="1">
        <f t="array" ref="C129">IF(A129="","",INDEX(#REF!,ROW()+9))</f>
        <v>#REF!</v>
      </c>
      <c r="D129" s="74" t="str">
        <f>IFERROR(IF(A129="","",'Event Info'!$B$2),"")</f>
        <v/>
      </c>
      <c r="E129" t="e" cm="1">
        <f t="array" ref="E129">IF(INDEX(#REF!,ROW()+9)="START",E128+1,E128+0)</f>
        <v>#REF!</v>
      </c>
      <c r="F129" s="82" t="e">
        <f>IF(A129&lt;&gt;"",_xlfn.CONCAT(TEXT(A129,"yyyy-mm-dd"),"T",TEXT(A129,"hh:mm:ss"),'Event Info'!$B$5,",",," ",C129),"")</f>
        <v>#REF!</v>
      </c>
      <c r="G129" t="e">
        <f t="shared" si="2"/>
        <v>#REF!</v>
      </c>
      <c r="H129" s="92" t="str">
        <f t="shared" si="3"/>
        <v/>
      </c>
      <c r="I129" s="88">
        <v>0</v>
      </c>
    </row>
    <row r="130" spans="1:9" ht="16.899999999999999">
      <c r="A130" s="76" t="e" cm="1">
        <f t="array" ref="A130">IF(OR(INDEX(#REF!,ROW()+10)="START",INDEX(#REF!,ROW()+9)="",INDEX(#REF!,ROW()+9)="START",INDEX(#REF!,ROW()+9)="TBA",INDEX(#REF!,ROW()+9)="TBC"),"",INDEX(#REF!,ROW()+9)+'Date Calculators'!$B$2+E130)</f>
        <v>#REF!</v>
      </c>
      <c r="B130" s="76" t="e" cm="1">
        <f t="array" ref="B130">IF(OR(A130=""),"",IF(INDEX(#REF!,ROW()+9)="",IF(A131="",A130+$Q$10,A131),INDEX(#REF!,ROW()+9)+'Date Calculators'!$B$2+E130))</f>
        <v>#REF!</v>
      </c>
      <c r="C130" s="74" t="e" cm="1">
        <f t="array" ref="C130">IF(A130="","",INDEX(#REF!,ROW()+9))</f>
        <v>#REF!</v>
      </c>
      <c r="D130" s="74" t="str">
        <f>IFERROR(IF(A130="","",'Event Info'!$B$2),"")</f>
        <v/>
      </c>
      <c r="E130" t="e" cm="1">
        <f t="array" ref="E130">IF(INDEX(#REF!,ROW()+9)="START",E129+1,E129+0)</f>
        <v>#REF!</v>
      </c>
      <c r="F130" s="82" t="e">
        <f>IF(A130&lt;&gt;"",_xlfn.CONCAT(TEXT(A130,"yyyy-mm-dd"),"T",TEXT(A130,"hh:mm:ss"),'Event Info'!$B$5,",",," ",C130),"")</f>
        <v>#REF!</v>
      </c>
      <c r="G130" t="e">
        <f t="shared" si="2"/>
        <v>#REF!</v>
      </c>
      <c r="H130" s="92" t="str">
        <f t="shared" si="3"/>
        <v/>
      </c>
      <c r="I130" s="91">
        <v>0</v>
      </c>
    </row>
    <row r="131" spans="1:9">
      <c r="A131" s="76" t="e" cm="1">
        <f t="array" ref="A131">IF(OR(INDEX(#REF!,ROW()+10)="START",INDEX(#REF!,ROW()+9)="",INDEX(#REF!,ROW()+9)="START",INDEX(#REF!,ROW()+9)="TBA",INDEX(#REF!,ROW()+9)="TBC"),"",INDEX(#REF!,ROW()+9)+'Date Calculators'!$B$2+E131)</f>
        <v>#REF!</v>
      </c>
      <c r="B131" s="76" t="e" cm="1">
        <f t="array" ref="B131">IF(OR(A131=""),"",IF(INDEX(#REF!,ROW()+9)="",IF(A132="",A131+$Q$10,A132),INDEX(#REF!,ROW()+9)+'Date Calculators'!$B$2+E131))</f>
        <v>#REF!</v>
      </c>
      <c r="C131" s="74" t="e" cm="1">
        <f t="array" ref="C131">IF(A131="","",INDEX(#REF!,ROW()+9))</f>
        <v>#REF!</v>
      </c>
      <c r="D131" s="74" t="str">
        <f>IFERROR(IF(A131="","",'Event Info'!$B$2),"")</f>
        <v/>
      </c>
      <c r="E131" t="e" cm="1">
        <f t="array" ref="E131">IF(INDEX(#REF!,ROW()+9)="START",E130+1,E130+0)</f>
        <v>#REF!</v>
      </c>
      <c r="F131" s="82" t="e">
        <f>IF(A131&lt;&gt;"",_xlfn.CONCAT(TEXT(A131,"yyyy-mm-dd"),"T",TEXT(A131,"hh:mm:ss"),'Event Info'!$B$5,",",," ",C131),"")</f>
        <v>#REF!</v>
      </c>
      <c r="G131" t="e">
        <f t="shared" ref="G131:G194" si="4">G130+IF(A131&lt;&gt;"",1,0)</f>
        <v>#REF!</v>
      </c>
      <c r="H131" s="92" t="str">
        <f t="shared" si="3"/>
        <v/>
      </c>
      <c r="I131" s="88">
        <v>0</v>
      </c>
    </row>
    <row r="132" spans="1:9">
      <c r="A132" s="76" t="e" cm="1">
        <f t="array" ref="A132">IF(OR(INDEX(#REF!,ROW()+10)="START",INDEX(#REF!,ROW()+9)="",INDEX(#REF!,ROW()+9)="START",INDEX(#REF!,ROW()+9)="TBA",INDEX(#REF!,ROW()+9)="TBC"),"",INDEX(#REF!,ROW()+9)+'Date Calculators'!$B$2+E132)</f>
        <v>#REF!</v>
      </c>
      <c r="B132" s="76" t="e" cm="1">
        <f t="array" ref="B132">IF(OR(A132=""),"",IF(INDEX(#REF!,ROW()+9)="",IF(A133="",A132+$Q$10,A133),INDEX(#REF!,ROW()+9)+'Date Calculators'!$B$2+E132))</f>
        <v>#REF!</v>
      </c>
      <c r="C132" s="74" t="e" cm="1">
        <f t="array" ref="C132">IF(A132="","",INDEX(#REF!,ROW()+9))</f>
        <v>#REF!</v>
      </c>
      <c r="D132" s="74" t="str">
        <f>IFERROR(IF(A132="","",'Event Info'!$B$2),"")</f>
        <v/>
      </c>
      <c r="E132" t="e" cm="1">
        <f t="array" ref="E132">IF(INDEX(#REF!,ROW()+9)="START",E131+1,E131+0)</f>
        <v>#REF!</v>
      </c>
      <c r="F132" s="82" t="e">
        <f>IF(A132&lt;&gt;"",_xlfn.CONCAT(TEXT(A132,"yyyy-mm-dd"),"T",TEXT(A132,"hh:mm:ss"),'Event Info'!$B$5,",",," ",C132),"")</f>
        <v>#REF!</v>
      </c>
      <c r="G132" t="e">
        <f t="shared" si="4"/>
        <v>#REF!</v>
      </c>
      <c r="H132" s="92" t="str">
        <f t="shared" ref="H132:H195" si="5">IFERROR(INDEX($F$2:$F$500,MATCH(ROW()-1,$G$2:$G$500,0)),"")</f>
        <v/>
      </c>
      <c r="I132" s="88">
        <v>0</v>
      </c>
    </row>
    <row r="133" spans="1:9" ht="16.899999999999999">
      <c r="A133" s="76" t="e" cm="1">
        <f t="array" ref="A133">IF(OR(INDEX(#REF!,ROW()+10)="START",INDEX(#REF!,ROW()+9)="",INDEX(#REF!,ROW()+9)="START",INDEX(#REF!,ROW()+9)="TBA",INDEX(#REF!,ROW()+9)="TBC"),"",INDEX(#REF!,ROW()+9)+'Date Calculators'!$B$2+E133)</f>
        <v>#REF!</v>
      </c>
      <c r="B133" s="76" t="e" cm="1">
        <f t="array" ref="B133">IF(OR(A133=""),"",IF(INDEX(#REF!,ROW()+9)="",IF(A134="",A133+$Q$10,A134),INDEX(#REF!,ROW()+9)+'Date Calculators'!$B$2+E133))</f>
        <v>#REF!</v>
      </c>
      <c r="C133" s="74" t="e" cm="1">
        <f t="array" ref="C133">IF(A133="","",INDEX(#REF!,ROW()+9))</f>
        <v>#REF!</v>
      </c>
      <c r="D133" s="74" t="str">
        <f>IFERROR(IF(A133="","",'Event Info'!$B$2),"")</f>
        <v/>
      </c>
      <c r="E133" t="e" cm="1">
        <f t="array" ref="E133">IF(INDEX(#REF!,ROW()+9)="START",E132+1,E132+0)</f>
        <v>#REF!</v>
      </c>
      <c r="F133" s="82" t="e">
        <f>IF(A133&lt;&gt;"",_xlfn.CONCAT(TEXT(A133,"yyyy-mm-dd"),"T",TEXT(A133,"hh:mm:ss"),'Event Info'!$B$5,",",," ",C133),"")</f>
        <v>#REF!</v>
      </c>
      <c r="G133" t="e">
        <f t="shared" si="4"/>
        <v>#REF!</v>
      </c>
      <c r="H133" s="92" t="str">
        <f t="shared" si="5"/>
        <v/>
      </c>
      <c r="I133" s="91">
        <v>0</v>
      </c>
    </row>
    <row r="134" spans="1:9">
      <c r="A134" s="76" t="e" cm="1">
        <f t="array" ref="A134">IF(OR(INDEX(#REF!,ROW()+10)="START",INDEX(#REF!,ROW()+9)="",INDEX(#REF!,ROW()+9)="START",INDEX(#REF!,ROW()+9)="TBA",INDEX(#REF!,ROW()+9)="TBC"),"",INDEX(#REF!,ROW()+9)+'Date Calculators'!$B$2+E134)</f>
        <v>#REF!</v>
      </c>
      <c r="B134" s="76" t="e" cm="1">
        <f t="array" ref="B134">IF(OR(A134=""),"",IF(INDEX(#REF!,ROW()+9)="",IF(A135="",A134+$Q$10,A135),INDEX(#REF!,ROW()+9)+'Date Calculators'!$B$2+E134))</f>
        <v>#REF!</v>
      </c>
      <c r="C134" s="74" t="e" cm="1">
        <f t="array" ref="C134">IF(A134="","",INDEX(#REF!,ROW()+9))</f>
        <v>#REF!</v>
      </c>
      <c r="D134" s="74" t="str">
        <f>IFERROR(IF(A134="","",'Event Info'!$B$2),"")</f>
        <v/>
      </c>
      <c r="E134" t="e" cm="1">
        <f t="array" ref="E134">IF(INDEX(#REF!,ROW()+9)="START",E133+1,E133+0)</f>
        <v>#REF!</v>
      </c>
      <c r="F134" s="82" t="e">
        <f>IF(A134&lt;&gt;"",_xlfn.CONCAT(TEXT(A134,"yyyy-mm-dd"),"T",TEXT(A134,"hh:mm:ss"),'Event Info'!$B$5,",",," ",C134),"")</f>
        <v>#REF!</v>
      </c>
      <c r="G134" t="e">
        <f t="shared" si="4"/>
        <v>#REF!</v>
      </c>
      <c r="H134" s="92" t="str">
        <f t="shared" si="5"/>
        <v/>
      </c>
      <c r="I134" s="88">
        <v>0</v>
      </c>
    </row>
    <row r="135" spans="1:9">
      <c r="A135" s="76" t="e" cm="1">
        <f t="array" ref="A135">IF(OR(INDEX(#REF!,ROW()+10)="START",INDEX(#REF!,ROW()+9)="",INDEX(#REF!,ROW()+9)="START",INDEX(#REF!,ROW()+9)="TBA",INDEX(#REF!,ROW()+9)="TBC"),"",INDEX(#REF!,ROW()+9)+'Date Calculators'!$B$2+E135)</f>
        <v>#REF!</v>
      </c>
      <c r="B135" s="76" t="e" cm="1">
        <f t="array" ref="B135">IF(OR(A135=""),"",IF(INDEX(#REF!,ROW()+9)="",IF(A136="",A135+$Q$10,A136),INDEX(#REF!,ROW()+9)+'Date Calculators'!$B$2+E135))</f>
        <v>#REF!</v>
      </c>
      <c r="C135" s="74" t="e" cm="1">
        <f t="array" ref="C135">IF(A135="","",INDEX(#REF!,ROW()+9))</f>
        <v>#REF!</v>
      </c>
      <c r="D135" s="74" t="str">
        <f>IFERROR(IF(A135="","",'Event Info'!$B$2),"")</f>
        <v/>
      </c>
      <c r="E135" t="e" cm="1">
        <f t="array" ref="E135">IF(INDEX(#REF!,ROW()+9)="START",E134+1,E134+0)</f>
        <v>#REF!</v>
      </c>
      <c r="F135" s="82" t="e">
        <f>IF(A135&lt;&gt;"",_xlfn.CONCAT(TEXT(A135,"yyyy-mm-dd"),"T",TEXT(A135,"hh:mm:ss"),'Event Info'!$B$5,",",," ",C135),"")</f>
        <v>#REF!</v>
      </c>
      <c r="G135" t="e">
        <f t="shared" si="4"/>
        <v>#REF!</v>
      </c>
      <c r="H135" s="92" t="str">
        <f t="shared" si="5"/>
        <v/>
      </c>
      <c r="I135" s="88">
        <v>0</v>
      </c>
    </row>
    <row r="136" spans="1:9" ht="16.899999999999999">
      <c r="A136" s="76" t="e" cm="1">
        <f t="array" ref="A136">IF(OR(INDEX(#REF!,ROW()+10)="START",INDEX(#REF!,ROW()+9)="",INDEX(#REF!,ROW()+9)="START",INDEX(#REF!,ROW()+9)="TBA",INDEX(#REF!,ROW()+9)="TBC"),"",INDEX(#REF!,ROW()+9)+'Date Calculators'!$B$2+E136)</f>
        <v>#REF!</v>
      </c>
      <c r="B136" s="76" t="e" cm="1">
        <f t="array" ref="B136">IF(OR(A136=""),"",IF(INDEX(#REF!,ROW()+9)="",IF(A137="",A136+$Q$10,A137),INDEX(#REF!,ROW()+9)+'Date Calculators'!$B$2+E136))</f>
        <v>#REF!</v>
      </c>
      <c r="C136" s="74" t="e" cm="1">
        <f t="array" ref="C136">IF(A136="","",INDEX(#REF!,ROW()+9))</f>
        <v>#REF!</v>
      </c>
      <c r="D136" s="74" t="str">
        <f>IFERROR(IF(A136="","",'Event Info'!$B$2),"")</f>
        <v/>
      </c>
      <c r="E136" t="e" cm="1">
        <f t="array" ref="E136">IF(INDEX(#REF!,ROW()+9)="START",E135+1,E135+0)</f>
        <v>#REF!</v>
      </c>
      <c r="F136" s="82" t="e">
        <f>IF(A136&lt;&gt;"",_xlfn.CONCAT(TEXT(A136,"yyyy-mm-dd"),"T",TEXT(A136,"hh:mm:ss"),'Event Info'!$B$5,",",," ",C136),"")</f>
        <v>#REF!</v>
      </c>
      <c r="G136" t="e">
        <f t="shared" si="4"/>
        <v>#REF!</v>
      </c>
      <c r="H136" s="92" t="str">
        <f t="shared" si="5"/>
        <v/>
      </c>
      <c r="I136" s="91">
        <v>0</v>
      </c>
    </row>
    <row r="137" spans="1:9">
      <c r="A137" s="76" t="e" cm="1">
        <f t="array" ref="A137">IF(OR(INDEX(#REF!,ROW()+10)="START",INDEX(#REF!,ROW()+9)="",INDEX(#REF!,ROW()+9)="START",INDEX(#REF!,ROW()+9)="TBA",INDEX(#REF!,ROW()+9)="TBC"),"",INDEX(#REF!,ROW()+9)+'Date Calculators'!$B$2+E137)</f>
        <v>#REF!</v>
      </c>
      <c r="B137" s="76" t="e" cm="1">
        <f t="array" ref="B137">IF(OR(A137=""),"",IF(INDEX(#REF!,ROW()+9)="",IF(A138="",A137+$Q$10,A138),INDEX(#REF!,ROW()+9)+'Date Calculators'!$B$2+E137))</f>
        <v>#REF!</v>
      </c>
      <c r="C137" s="74" t="e" cm="1">
        <f t="array" ref="C137">IF(A137="","",INDEX(#REF!,ROW()+9))</f>
        <v>#REF!</v>
      </c>
      <c r="D137" s="74" t="str">
        <f>IFERROR(IF(A137="","",'Event Info'!$B$2),"")</f>
        <v/>
      </c>
      <c r="E137" t="e" cm="1">
        <f t="array" ref="E137">IF(INDEX(#REF!,ROW()+9)="START",E136+1,E136+0)</f>
        <v>#REF!</v>
      </c>
      <c r="F137" s="82" t="e">
        <f>IF(A137&lt;&gt;"",_xlfn.CONCAT(TEXT(A137,"yyyy-mm-dd"),"T",TEXT(A137,"hh:mm:ss"),'Event Info'!$B$5,",",," ",C137),"")</f>
        <v>#REF!</v>
      </c>
      <c r="G137" t="e">
        <f t="shared" si="4"/>
        <v>#REF!</v>
      </c>
      <c r="H137" s="92" t="str">
        <f t="shared" si="5"/>
        <v/>
      </c>
      <c r="I137" s="88">
        <v>0</v>
      </c>
    </row>
    <row r="138" spans="1:9">
      <c r="A138" s="76" t="e" cm="1">
        <f t="array" ref="A138">IF(OR(INDEX(#REF!,ROW()+10)="START",INDEX(#REF!,ROW()+9)="",INDEX(#REF!,ROW()+9)="START",INDEX(#REF!,ROW()+9)="TBA",INDEX(#REF!,ROW()+9)="TBC"),"",INDEX(#REF!,ROW()+9)+'Date Calculators'!$B$2+E138)</f>
        <v>#REF!</v>
      </c>
      <c r="B138" s="76" t="e" cm="1">
        <f t="array" ref="B138">IF(OR(A138=""),"",IF(INDEX(#REF!,ROW()+9)="",IF(A139="",A138+$Q$10,A139),INDEX(#REF!,ROW()+9)+'Date Calculators'!$B$2+E138))</f>
        <v>#REF!</v>
      </c>
      <c r="C138" s="74" t="e" cm="1">
        <f t="array" ref="C138">IF(A138="","",INDEX(#REF!,ROW()+9))</f>
        <v>#REF!</v>
      </c>
      <c r="D138" s="74" t="str">
        <f>IFERROR(IF(A138="","",'Event Info'!$B$2),"")</f>
        <v/>
      </c>
      <c r="E138" t="e" cm="1">
        <f t="array" ref="E138">IF(INDEX(#REF!,ROW()+9)="START",E137+1,E137+0)</f>
        <v>#REF!</v>
      </c>
      <c r="F138" s="82" t="e">
        <f>IF(A138&lt;&gt;"",_xlfn.CONCAT(TEXT(A138,"yyyy-mm-dd"),"T",TEXT(A138,"hh:mm:ss"),'Event Info'!$B$5,",",," ",C138),"")</f>
        <v>#REF!</v>
      </c>
      <c r="G138" t="e">
        <f t="shared" si="4"/>
        <v>#REF!</v>
      </c>
      <c r="H138" s="92" t="str">
        <f t="shared" si="5"/>
        <v/>
      </c>
      <c r="I138" s="88">
        <v>0</v>
      </c>
    </row>
    <row r="139" spans="1:9" ht="16.899999999999999">
      <c r="A139" s="76" t="e" cm="1">
        <f t="array" ref="A139">IF(OR(INDEX(#REF!,ROW()+10)="START",INDEX(#REF!,ROW()+9)="",INDEX(#REF!,ROW()+9)="START",INDEX(#REF!,ROW()+9)="TBA",INDEX(#REF!,ROW()+9)="TBC"),"",INDEX(#REF!,ROW()+9)+'Date Calculators'!$B$2+E139)</f>
        <v>#REF!</v>
      </c>
      <c r="B139" s="76" t="e" cm="1">
        <f t="array" ref="B139">IF(OR(A139=""),"",IF(INDEX(#REF!,ROW()+9)="",IF(A140="",A139+$Q$10,A140),INDEX(#REF!,ROW()+9)+'Date Calculators'!$B$2+E139))</f>
        <v>#REF!</v>
      </c>
      <c r="C139" s="74" t="e" cm="1">
        <f t="array" ref="C139">IF(A139="","",INDEX(#REF!,ROW()+9))</f>
        <v>#REF!</v>
      </c>
      <c r="D139" s="74" t="str">
        <f>IFERROR(IF(A139="","",'Event Info'!$B$2),"")</f>
        <v/>
      </c>
      <c r="E139" t="e" cm="1">
        <f t="array" ref="E139">IF(INDEX(#REF!,ROW()+9)="START",E138+1,E138+0)</f>
        <v>#REF!</v>
      </c>
      <c r="F139" s="82" t="e">
        <f>IF(A139&lt;&gt;"",_xlfn.CONCAT(TEXT(A139,"yyyy-mm-dd"),"T",TEXT(A139,"hh:mm:ss"),'Event Info'!$B$5,",",," ",C139),"")</f>
        <v>#REF!</v>
      </c>
      <c r="G139" t="e">
        <f t="shared" si="4"/>
        <v>#REF!</v>
      </c>
      <c r="H139" s="92" t="str">
        <f t="shared" si="5"/>
        <v/>
      </c>
      <c r="I139" s="91">
        <v>0</v>
      </c>
    </row>
    <row r="140" spans="1:9">
      <c r="A140" s="76" t="e" cm="1">
        <f t="array" ref="A140">IF(OR(INDEX(#REF!,ROW()+10)="START",INDEX(#REF!,ROW()+9)="",INDEX(#REF!,ROW()+9)="START",INDEX(#REF!,ROW()+9)="TBA",INDEX(#REF!,ROW()+9)="TBC"),"",INDEX(#REF!,ROW()+9)+'Date Calculators'!$B$2+E140)</f>
        <v>#REF!</v>
      </c>
      <c r="B140" s="76" t="e" cm="1">
        <f t="array" ref="B140">IF(OR(A140=""),"",IF(INDEX(#REF!,ROW()+9)="",IF(A141="",A140+$Q$10,A141),INDEX(#REF!,ROW()+9)+'Date Calculators'!$B$2+E140))</f>
        <v>#REF!</v>
      </c>
      <c r="C140" s="74" t="e" cm="1">
        <f t="array" ref="C140">IF(A140="","",INDEX(#REF!,ROW()+9))</f>
        <v>#REF!</v>
      </c>
      <c r="D140" s="74" t="str">
        <f>IFERROR(IF(A140="","",'Event Info'!$B$2),"")</f>
        <v/>
      </c>
      <c r="E140" t="e" cm="1">
        <f t="array" ref="E140">IF(INDEX(#REF!,ROW()+9)="START",E139+1,E139+0)</f>
        <v>#REF!</v>
      </c>
      <c r="F140" s="82" t="e">
        <f>IF(A140&lt;&gt;"",_xlfn.CONCAT(TEXT(A140,"yyyy-mm-dd"),"T",TEXT(A140,"hh:mm:ss"),'Event Info'!$B$5,",",," ",C140),"")</f>
        <v>#REF!</v>
      </c>
      <c r="G140" t="e">
        <f t="shared" si="4"/>
        <v>#REF!</v>
      </c>
      <c r="H140" s="92" t="str">
        <f t="shared" si="5"/>
        <v/>
      </c>
      <c r="I140" s="88">
        <v>0</v>
      </c>
    </row>
    <row r="141" spans="1:9">
      <c r="A141" s="76" t="e" cm="1">
        <f t="array" ref="A141">IF(OR(INDEX(#REF!,ROW()+10)="START",INDEX(#REF!,ROW()+9)="",INDEX(#REF!,ROW()+9)="START",INDEX(#REF!,ROW()+9)="TBA",INDEX(#REF!,ROW()+9)="TBC"),"",INDEX(#REF!,ROW()+9)+'Date Calculators'!$B$2+E141)</f>
        <v>#REF!</v>
      </c>
      <c r="B141" s="76" t="e" cm="1">
        <f t="array" ref="B141">IF(OR(A141=""),"",IF(INDEX(#REF!,ROW()+9)="",IF(A142="",A141+$Q$10,A142),INDEX(#REF!,ROW()+9)+'Date Calculators'!$B$2+E141))</f>
        <v>#REF!</v>
      </c>
      <c r="C141" s="74" t="e" cm="1">
        <f t="array" ref="C141">IF(A141="","",INDEX(#REF!,ROW()+9))</f>
        <v>#REF!</v>
      </c>
      <c r="D141" s="74" t="str">
        <f>IFERROR(IF(A141="","",'Event Info'!$B$2),"")</f>
        <v/>
      </c>
      <c r="E141" t="e" cm="1">
        <f t="array" ref="E141">IF(INDEX(#REF!,ROW()+9)="START",E140+1,E140+0)</f>
        <v>#REF!</v>
      </c>
      <c r="F141" s="82" t="e">
        <f>IF(A141&lt;&gt;"",_xlfn.CONCAT(TEXT(A141,"yyyy-mm-dd"),"T",TEXT(A141,"hh:mm:ss"),'Event Info'!$B$5,",",," ",C141),"")</f>
        <v>#REF!</v>
      </c>
      <c r="G141" t="e">
        <f t="shared" si="4"/>
        <v>#REF!</v>
      </c>
      <c r="H141" s="92" t="str">
        <f t="shared" si="5"/>
        <v/>
      </c>
      <c r="I141" s="88">
        <v>0</v>
      </c>
    </row>
    <row r="142" spans="1:9" ht="16.899999999999999">
      <c r="A142" s="76" t="e" cm="1">
        <f t="array" ref="A142">IF(OR(INDEX(#REF!,ROW()+10)="START",INDEX(#REF!,ROW()+9)="",INDEX(#REF!,ROW()+9)="START",INDEX(#REF!,ROW()+9)="TBA",INDEX(#REF!,ROW()+9)="TBC"),"",INDEX(#REF!,ROW()+9)+'Date Calculators'!$B$2+E142)</f>
        <v>#REF!</v>
      </c>
      <c r="B142" s="76" t="e" cm="1">
        <f t="array" ref="B142">IF(OR(A142=""),"",IF(INDEX(#REF!,ROW()+9)="",IF(A143="",A142+$Q$10,A143),INDEX(#REF!,ROW()+9)+'Date Calculators'!$B$2+E142))</f>
        <v>#REF!</v>
      </c>
      <c r="C142" s="74" t="e" cm="1">
        <f t="array" ref="C142">IF(A142="","",INDEX(#REF!,ROW()+9))</f>
        <v>#REF!</v>
      </c>
      <c r="D142" s="74" t="str">
        <f>IFERROR(IF(A142="","",'Event Info'!$B$2),"")</f>
        <v/>
      </c>
      <c r="E142" t="e" cm="1">
        <f t="array" ref="E142">IF(INDEX(#REF!,ROW()+9)="START",E141+1,E141+0)</f>
        <v>#REF!</v>
      </c>
      <c r="F142" s="82" t="e">
        <f>IF(A142&lt;&gt;"",_xlfn.CONCAT(TEXT(A142,"yyyy-mm-dd"),"T",TEXT(A142,"hh:mm:ss"),'Event Info'!$B$5,",",," ",C142),"")</f>
        <v>#REF!</v>
      </c>
      <c r="G142" t="e">
        <f t="shared" si="4"/>
        <v>#REF!</v>
      </c>
      <c r="H142" s="92" t="str">
        <f t="shared" si="5"/>
        <v/>
      </c>
      <c r="I142" s="91">
        <v>0</v>
      </c>
    </row>
    <row r="143" spans="1:9">
      <c r="A143" s="76" t="e" cm="1">
        <f t="array" ref="A143">IF(OR(INDEX(#REF!,ROW()+10)="START",INDEX(#REF!,ROW()+9)="",INDEX(#REF!,ROW()+9)="START",INDEX(#REF!,ROW()+9)="TBA",INDEX(#REF!,ROW()+9)="TBC"),"",INDEX(#REF!,ROW()+9)+'Date Calculators'!$B$2+E143)</f>
        <v>#REF!</v>
      </c>
      <c r="B143" s="76" t="e" cm="1">
        <f t="array" ref="B143">IF(OR(A143=""),"",IF(INDEX(#REF!,ROW()+9)="",IF(A144="",A143+$Q$10,A144),INDEX(#REF!,ROW()+9)+'Date Calculators'!$B$2+E143))</f>
        <v>#REF!</v>
      </c>
      <c r="C143" s="74" t="e" cm="1">
        <f t="array" ref="C143">IF(A143="","",INDEX(#REF!,ROW()+9))</f>
        <v>#REF!</v>
      </c>
      <c r="D143" s="74" t="str">
        <f>IFERROR(IF(A143="","",'Event Info'!$B$2),"")</f>
        <v/>
      </c>
      <c r="E143" t="e" cm="1">
        <f t="array" ref="E143">IF(INDEX(#REF!,ROW()+9)="START",E142+1,E142+0)</f>
        <v>#REF!</v>
      </c>
      <c r="F143" s="82" t="e">
        <f>IF(A143&lt;&gt;"",_xlfn.CONCAT(TEXT(A143,"yyyy-mm-dd"),"T",TEXT(A143,"hh:mm:ss"),'Event Info'!$B$5,",",," ",C143),"")</f>
        <v>#REF!</v>
      </c>
      <c r="G143" t="e">
        <f t="shared" si="4"/>
        <v>#REF!</v>
      </c>
      <c r="H143" s="92" t="str">
        <f t="shared" si="5"/>
        <v/>
      </c>
      <c r="I143" s="88">
        <v>0</v>
      </c>
    </row>
    <row r="144" spans="1:9">
      <c r="A144" s="76" t="e" cm="1">
        <f t="array" ref="A144">IF(OR(INDEX(#REF!,ROW()+10)="START",INDEX(#REF!,ROW()+9)="",INDEX(#REF!,ROW()+9)="START",INDEX(#REF!,ROW()+9)="TBA",INDEX(#REF!,ROW()+9)="TBC"),"",INDEX(#REF!,ROW()+9)+'Date Calculators'!$B$2+E144)</f>
        <v>#REF!</v>
      </c>
      <c r="B144" s="76" t="e" cm="1">
        <f t="array" ref="B144">IF(OR(A144=""),"",IF(INDEX(#REF!,ROW()+9)="",IF(A145="",A144+$Q$10,A145),INDEX(#REF!,ROW()+9)+'Date Calculators'!$B$2+E144))</f>
        <v>#REF!</v>
      </c>
      <c r="C144" s="74" t="e" cm="1">
        <f t="array" ref="C144">IF(A144="","",INDEX(#REF!,ROW()+9))</f>
        <v>#REF!</v>
      </c>
      <c r="D144" s="74" t="str">
        <f>IFERROR(IF(A144="","",'Event Info'!$B$2),"")</f>
        <v/>
      </c>
      <c r="E144" t="e" cm="1">
        <f t="array" ref="E144">IF(INDEX(#REF!,ROW()+9)="START",E143+1,E143+0)</f>
        <v>#REF!</v>
      </c>
      <c r="F144" s="82" t="e">
        <f>IF(A144&lt;&gt;"",_xlfn.CONCAT(TEXT(A144,"yyyy-mm-dd"),"T",TEXT(A144,"hh:mm:ss"),'Event Info'!$B$5,",",," ",C144),"")</f>
        <v>#REF!</v>
      </c>
      <c r="G144" t="e">
        <f t="shared" si="4"/>
        <v>#REF!</v>
      </c>
      <c r="H144" s="92" t="str">
        <f t="shared" si="5"/>
        <v/>
      </c>
      <c r="I144" s="88">
        <v>0</v>
      </c>
    </row>
    <row r="145" spans="1:9" ht="16.899999999999999">
      <c r="A145" s="76" t="e" cm="1">
        <f t="array" ref="A145">IF(OR(INDEX(#REF!,ROW()+10)="START",INDEX(#REF!,ROW()+9)="",INDEX(#REF!,ROW()+9)="START",INDEX(#REF!,ROW()+9)="TBA",INDEX(#REF!,ROW()+9)="TBC"),"",INDEX(#REF!,ROW()+9)+'Date Calculators'!$B$2+E145)</f>
        <v>#REF!</v>
      </c>
      <c r="B145" s="76" t="e" cm="1">
        <f t="array" ref="B145">IF(OR(A145=""),"",IF(INDEX(#REF!,ROW()+9)="",IF(A146="",A145+$Q$10,A146),INDEX(#REF!,ROW()+9)+'Date Calculators'!$B$2+E145))</f>
        <v>#REF!</v>
      </c>
      <c r="C145" s="74" t="e" cm="1">
        <f t="array" ref="C145">IF(A145="","",INDEX(#REF!,ROW()+9))</f>
        <v>#REF!</v>
      </c>
      <c r="D145" s="74" t="str">
        <f>IFERROR(IF(A145="","",'Event Info'!$B$2),"")</f>
        <v/>
      </c>
      <c r="E145" t="e" cm="1">
        <f t="array" ref="E145">IF(INDEX(#REF!,ROW()+9)="START",E144+1,E144+0)</f>
        <v>#REF!</v>
      </c>
      <c r="F145" s="82" t="e">
        <f>IF(A145&lt;&gt;"",_xlfn.CONCAT(TEXT(A145,"yyyy-mm-dd"),"T",TEXT(A145,"hh:mm:ss"),'Event Info'!$B$5,",",," ",C145),"")</f>
        <v>#REF!</v>
      </c>
      <c r="G145" t="e">
        <f t="shared" si="4"/>
        <v>#REF!</v>
      </c>
      <c r="H145" s="92" t="str">
        <f t="shared" si="5"/>
        <v/>
      </c>
      <c r="I145" s="91">
        <v>0</v>
      </c>
    </row>
    <row r="146" spans="1:9">
      <c r="A146" s="76" t="e" cm="1">
        <f t="array" ref="A146">IF(OR(INDEX(#REF!,ROW()+10)="START",INDEX(#REF!,ROW()+9)="",INDEX(#REF!,ROW()+9)="START",INDEX(#REF!,ROW()+9)="TBA",INDEX(#REF!,ROW()+9)="TBC"),"",INDEX(#REF!,ROW()+9)+'Date Calculators'!$B$2+E146)</f>
        <v>#REF!</v>
      </c>
      <c r="B146" s="76" t="e" cm="1">
        <f t="array" ref="B146">IF(OR(A146=""),"",IF(INDEX(#REF!,ROW()+9)="",IF(A147="",A146+$Q$10,A147),INDEX(#REF!,ROW()+9)+'Date Calculators'!$B$2+E146))</f>
        <v>#REF!</v>
      </c>
      <c r="C146" s="74" t="e" cm="1">
        <f t="array" ref="C146">IF(A146="","",INDEX(#REF!,ROW()+9))</f>
        <v>#REF!</v>
      </c>
      <c r="D146" s="74" t="str">
        <f>IFERROR(IF(A146="","",'Event Info'!$B$2),"")</f>
        <v/>
      </c>
      <c r="E146" t="e" cm="1">
        <f t="array" ref="E146">IF(INDEX(#REF!,ROW()+9)="START",E145+1,E145+0)</f>
        <v>#REF!</v>
      </c>
      <c r="F146" s="82" t="e">
        <f>IF(A146&lt;&gt;"",_xlfn.CONCAT(TEXT(A146,"yyyy-mm-dd"),"T",TEXT(A146,"hh:mm:ss"),'Event Info'!$B$5,",",," ",C146),"")</f>
        <v>#REF!</v>
      </c>
      <c r="G146" t="e">
        <f t="shared" si="4"/>
        <v>#REF!</v>
      </c>
      <c r="H146" s="92" t="str">
        <f t="shared" si="5"/>
        <v/>
      </c>
      <c r="I146" s="88">
        <v>0</v>
      </c>
    </row>
    <row r="147" spans="1:9">
      <c r="A147" s="76" t="e" cm="1">
        <f t="array" ref="A147">IF(OR(INDEX(#REF!,ROW()+10)="START",INDEX(#REF!,ROW()+9)="",INDEX(#REF!,ROW()+9)="START",INDEX(#REF!,ROW()+9)="TBA",INDEX(#REF!,ROW()+9)="TBC"),"",INDEX(#REF!,ROW()+9)+'Date Calculators'!$B$2+E147)</f>
        <v>#REF!</v>
      </c>
      <c r="B147" s="76" t="e" cm="1">
        <f t="array" ref="B147">IF(OR(A147=""),"",IF(INDEX(#REF!,ROW()+9)="",IF(A148="",A147+$Q$10,A148),INDEX(#REF!,ROW()+9)+'Date Calculators'!$B$2+E147))</f>
        <v>#REF!</v>
      </c>
      <c r="C147" s="74" t="e" cm="1">
        <f t="array" ref="C147">IF(A147="","",INDEX(#REF!,ROW()+9))</f>
        <v>#REF!</v>
      </c>
      <c r="D147" s="74" t="str">
        <f>IFERROR(IF(A147="","",'Event Info'!$B$2),"")</f>
        <v/>
      </c>
      <c r="E147" t="e" cm="1">
        <f t="array" ref="E147">IF(INDEX(#REF!,ROW()+9)="START",E146+1,E146+0)</f>
        <v>#REF!</v>
      </c>
      <c r="F147" s="82" t="e">
        <f>IF(A147&lt;&gt;"",_xlfn.CONCAT(TEXT(A147,"yyyy-mm-dd"),"T",TEXT(A147,"hh:mm:ss"),'Event Info'!$B$5,",",," ",C147),"")</f>
        <v>#REF!</v>
      </c>
      <c r="G147" t="e">
        <f t="shared" si="4"/>
        <v>#REF!</v>
      </c>
      <c r="H147" s="92" t="str">
        <f t="shared" si="5"/>
        <v/>
      </c>
      <c r="I147" s="88">
        <v>0</v>
      </c>
    </row>
    <row r="148" spans="1:9" ht="16.899999999999999">
      <c r="A148" s="76" t="e" cm="1">
        <f t="array" ref="A148">IF(OR(INDEX(#REF!,ROW()+10)="START",INDEX(#REF!,ROW()+9)="",INDEX(#REF!,ROW()+9)="START",INDEX(#REF!,ROW()+9)="TBA",INDEX(#REF!,ROW()+9)="TBC"),"",INDEX(#REF!,ROW()+9)+'Date Calculators'!$B$2+E148)</f>
        <v>#REF!</v>
      </c>
      <c r="B148" s="76" t="e" cm="1">
        <f t="array" ref="B148">IF(OR(A148=""),"",IF(INDEX(#REF!,ROW()+9)="",IF(A149="",A148+$Q$10,A149),INDEX(#REF!,ROW()+9)+'Date Calculators'!$B$2+E148))</f>
        <v>#REF!</v>
      </c>
      <c r="C148" s="74" t="e" cm="1">
        <f t="array" ref="C148">IF(A148="","",INDEX(#REF!,ROW()+9))</f>
        <v>#REF!</v>
      </c>
      <c r="D148" s="74" t="str">
        <f>IFERROR(IF(A148="","",'Event Info'!$B$2),"")</f>
        <v/>
      </c>
      <c r="E148" t="e" cm="1">
        <f t="array" ref="E148">IF(INDEX(#REF!,ROW()+9)="START",E147+1,E147+0)</f>
        <v>#REF!</v>
      </c>
      <c r="F148" s="82" t="e">
        <f>IF(A148&lt;&gt;"",_xlfn.CONCAT(TEXT(A148,"yyyy-mm-dd"),"T",TEXT(A148,"hh:mm:ss"),'Event Info'!$B$5,",",," ",C148),"")</f>
        <v>#REF!</v>
      </c>
      <c r="G148" t="e">
        <f t="shared" si="4"/>
        <v>#REF!</v>
      </c>
      <c r="H148" s="92" t="str">
        <f t="shared" si="5"/>
        <v/>
      </c>
      <c r="I148" s="91">
        <v>0</v>
      </c>
    </row>
    <row r="149" spans="1:9">
      <c r="A149" s="76" t="e" cm="1">
        <f t="array" ref="A149">IF(OR(INDEX(#REF!,ROW()+10)="START",INDEX(#REF!,ROW()+9)="",INDEX(#REF!,ROW()+9)="START",INDEX(#REF!,ROW()+9)="TBA",INDEX(#REF!,ROW()+9)="TBC"),"",INDEX(#REF!,ROW()+9)+'Date Calculators'!$B$2+E149)</f>
        <v>#REF!</v>
      </c>
      <c r="B149" s="76" t="e" cm="1">
        <f t="array" ref="B149">IF(OR(A149=""),"",IF(INDEX(#REF!,ROW()+9)="",IF(A150="",A149+$Q$10,A150),INDEX(#REF!,ROW()+9)+'Date Calculators'!$B$2+E149))</f>
        <v>#REF!</v>
      </c>
      <c r="C149" s="74" t="e" cm="1">
        <f t="array" ref="C149">IF(A149="","",INDEX(#REF!,ROW()+9))</f>
        <v>#REF!</v>
      </c>
      <c r="D149" s="74" t="str">
        <f>IFERROR(IF(A149="","",'Event Info'!$B$2),"")</f>
        <v/>
      </c>
      <c r="E149" t="e" cm="1">
        <f t="array" ref="E149">IF(INDEX(#REF!,ROW()+9)="START",E148+1,E148+0)</f>
        <v>#REF!</v>
      </c>
      <c r="F149" s="82" t="e">
        <f>IF(A149&lt;&gt;"",_xlfn.CONCAT(TEXT(A149,"yyyy-mm-dd"),"T",TEXT(A149,"hh:mm:ss"),'Event Info'!$B$5,",",," ",C149),"")</f>
        <v>#REF!</v>
      </c>
      <c r="G149" t="e">
        <f t="shared" si="4"/>
        <v>#REF!</v>
      </c>
      <c r="H149" s="92" t="str">
        <f t="shared" si="5"/>
        <v/>
      </c>
      <c r="I149" s="88">
        <v>0</v>
      </c>
    </row>
    <row r="150" spans="1:9">
      <c r="A150" s="76" t="e" cm="1">
        <f t="array" ref="A150">IF(OR(INDEX(#REF!,ROW()+10)="START",INDEX(#REF!,ROW()+9)="",INDEX(#REF!,ROW()+9)="START",INDEX(#REF!,ROW()+9)="TBA",INDEX(#REF!,ROW()+9)="TBC"),"",INDEX(#REF!,ROW()+9)+'Date Calculators'!$B$2+E150)</f>
        <v>#REF!</v>
      </c>
      <c r="B150" s="76" t="e" cm="1">
        <f t="array" ref="B150">IF(OR(A150=""),"",IF(INDEX(#REF!,ROW()+9)="",IF(A151="",A150+$Q$10,A151),INDEX(#REF!,ROW()+9)+'Date Calculators'!$B$2+E150))</f>
        <v>#REF!</v>
      </c>
      <c r="C150" s="74" t="e" cm="1">
        <f t="array" ref="C150">IF(A150="","",INDEX(#REF!,ROW()+9))</f>
        <v>#REF!</v>
      </c>
      <c r="D150" s="74" t="str">
        <f>IFERROR(IF(A150="","",'Event Info'!$B$2),"")</f>
        <v/>
      </c>
      <c r="E150" t="e" cm="1">
        <f t="array" ref="E150">IF(INDEX(#REF!,ROW()+9)="START",E149+1,E149+0)</f>
        <v>#REF!</v>
      </c>
      <c r="F150" s="82" t="e">
        <f>IF(A150&lt;&gt;"",_xlfn.CONCAT(TEXT(A150,"yyyy-mm-dd"),"T",TEXT(A150,"hh:mm:ss"),'Event Info'!$B$5,",",," ",C150),"")</f>
        <v>#REF!</v>
      </c>
      <c r="G150" t="e">
        <f t="shared" si="4"/>
        <v>#REF!</v>
      </c>
      <c r="H150" s="92" t="str">
        <f t="shared" si="5"/>
        <v/>
      </c>
      <c r="I150" s="88">
        <v>0</v>
      </c>
    </row>
    <row r="151" spans="1:9" ht="16.899999999999999">
      <c r="A151" s="76" t="e" cm="1">
        <f t="array" ref="A151">IF(OR(INDEX(#REF!,ROW()+10)="START",INDEX(#REF!,ROW()+9)="",INDEX(#REF!,ROW()+9)="START",INDEX(#REF!,ROW()+9)="TBA",INDEX(#REF!,ROW()+9)="TBC"),"",INDEX(#REF!,ROW()+9)+'Date Calculators'!$B$2+E151)</f>
        <v>#REF!</v>
      </c>
      <c r="B151" s="76" t="e" cm="1">
        <f t="array" ref="B151">IF(OR(A151=""),"",IF(INDEX(#REF!,ROW()+9)="",IF(A152="",A151+$Q$10,A152),INDEX(#REF!,ROW()+9)+'Date Calculators'!$B$2+E151))</f>
        <v>#REF!</v>
      </c>
      <c r="C151" s="74" t="e" cm="1">
        <f t="array" ref="C151">IF(A151="","",INDEX(#REF!,ROW()+9))</f>
        <v>#REF!</v>
      </c>
      <c r="D151" s="74" t="str">
        <f>IFERROR(IF(A151="","",'Event Info'!$B$2),"")</f>
        <v/>
      </c>
      <c r="E151" t="e" cm="1">
        <f t="array" ref="E151">IF(INDEX(#REF!,ROW()+9)="START",E150+1,E150+0)</f>
        <v>#REF!</v>
      </c>
      <c r="F151" s="82" t="e">
        <f>IF(A151&lt;&gt;"",_xlfn.CONCAT(TEXT(A151,"yyyy-mm-dd"),"T",TEXT(A151,"hh:mm:ss"),'Event Info'!$B$5,",",," ",C151),"")</f>
        <v>#REF!</v>
      </c>
      <c r="G151" t="e">
        <f t="shared" si="4"/>
        <v>#REF!</v>
      </c>
      <c r="H151" s="92" t="str">
        <f t="shared" si="5"/>
        <v/>
      </c>
      <c r="I151" s="91">
        <v>0</v>
      </c>
    </row>
    <row r="152" spans="1:9">
      <c r="A152" s="76" t="e" cm="1">
        <f t="array" ref="A152">IF(OR(INDEX(#REF!,ROW()+10)="START",INDEX(#REF!,ROW()+9)="",INDEX(#REF!,ROW()+9)="START",INDEX(#REF!,ROW()+9)="TBA",INDEX(#REF!,ROW()+9)="TBC"),"",INDEX(#REF!,ROW()+9)+'Date Calculators'!$B$2+E152)</f>
        <v>#REF!</v>
      </c>
      <c r="B152" s="76" t="e" cm="1">
        <f t="array" ref="B152">IF(OR(A152=""),"",IF(INDEX(#REF!,ROW()+9)="",IF(A153="",A152+$Q$10,A153),INDEX(#REF!,ROW()+9)+'Date Calculators'!$B$2+E152))</f>
        <v>#REF!</v>
      </c>
      <c r="C152" s="74" t="e" cm="1">
        <f t="array" ref="C152">IF(A152="","",INDEX(#REF!,ROW()+9))</f>
        <v>#REF!</v>
      </c>
      <c r="D152" s="74" t="str">
        <f>IFERROR(IF(A152="","",'Event Info'!$B$2),"")</f>
        <v/>
      </c>
      <c r="E152" t="e" cm="1">
        <f t="array" ref="E152">IF(INDEX(#REF!,ROW()+9)="START",E151+1,E151+0)</f>
        <v>#REF!</v>
      </c>
      <c r="F152" s="82" t="e">
        <f>IF(A152&lt;&gt;"",_xlfn.CONCAT(TEXT(A152,"yyyy-mm-dd"),"T",TEXT(A152,"hh:mm:ss"),'Event Info'!$B$5,",",," ",C152),"")</f>
        <v>#REF!</v>
      </c>
      <c r="G152" t="e">
        <f t="shared" si="4"/>
        <v>#REF!</v>
      </c>
      <c r="H152" s="92" t="str">
        <f t="shared" si="5"/>
        <v/>
      </c>
      <c r="I152" s="88">
        <v>0</v>
      </c>
    </row>
    <row r="153" spans="1:9">
      <c r="A153" s="76" t="e" cm="1">
        <f t="array" ref="A153">IF(OR(INDEX(#REF!,ROW()+10)="START",INDEX(#REF!,ROW()+9)="",INDEX(#REF!,ROW()+9)="START",INDEX(#REF!,ROW()+9)="TBA",INDEX(#REF!,ROW()+9)="TBC"),"",INDEX(#REF!,ROW()+9)+'Date Calculators'!$B$2+E153)</f>
        <v>#REF!</v>
      </c>
      <c r="B153" s="76" t="e" cm="1">
        <f t="array" ref="B153">IF(OR(A153=""),"",IF(INDEX(#REF!,ROW()+9)="",IF(A154="",A153+$Q$10,A154),INDEX(#REF!,ROW()+9)+'Date Calculators'!$B$2+E153))</f>
        <v>#REF!</v>
      </c>
      <c r="C153" s="74" t="e" cm="1">
        <f t="array" ref="C153">IF(A153="","",INDEX(#REF!,ROW()+9))</f>
        <v>#REF!</v>
      </c>
      <c r="D153" s="74" t="str">
        <f>IFERROR(IF(A153="","",'Event Info'!$B$2),"")</f>
        <v/>
      </c>
      <c r="E153" t="e" cm="1">
        <f t="array" ref="E153">IF(INDEX(#REF!,ROW()+9)="START",E152+1,E152+0)</f>
        <v>#REF!</v>
      </c>
      <c r="F153" s="82" t="e">
        <f>IF(A153&lt;&gt;"",_xlfn.CONCAT(TEXT(A153,"yyyy-mm-dd"),"T",TEXT(A153,"hh:mm:ss"),'Event Info'!$B$5,",",," ",C153),"")</f>
        <v>#REF!</v>
      </c>
      <c r="G153" t="e">
        <f t="shared" si="4"/>
        <v>#REF!</v>
      </c>
      <c r="H153" s="92" t="str">
        <f t="shared" si="5"/>
        <v/>
      </c>
      <c r="I153" s="88">
        <v>0</v>
      </c>
    </row>
    <row r="154" spans="1:9" ht="16.899999999999999">
      <c r="A154" s="76" t="e" cm="1">
        <f t="array" ref="A154">IF(OR(INDEX(#REF!,ROW()+10)="START",INDEX(#REF!,ROW()+9)="",INDEX(#REF!,ROW()+9)="START",INDEX(#REF!,ROW()+9)="TBA",INDEX(#REF!,ROW()+9)="TBC"),"",INDEX(#REF!,ROW()+9)+'Date Calculators'!$B$2+E154)</f>
        <v>#REF!</v>
      </c>
      <c r="B154" s="76" t="e" cm="1">
        <f t="array" ref="B154">IF(OR(A154=""),"",IF(INDEX(#REF!,ROW()+9)="",IF(A155="",A154+$Q$10,A155),INDEX(#REF!,ROW()+9)+'Date Calculators'!$B$2+E154))</f>
        <v>#REF!</v>
      </c>
      <c r="C154" s="74" t="e" cm="1">
        <f t="array" ref="C154">IF(A154="","",INDEX(#REF!,ROW()+9))</f>
        <v>#REF!</v>
      </c>
      <c r="D154" s="74" t="str">
        <f>IFERROR(IF(A154="","",'Event Info'!$B$2),"")</f>
        <v/>
      </c>
      <c r="E154" t="e" cm="1">
        <f t="array" ref="E154">IF(INDEX(#REF!,ROW()+9)="START",E153+1,E153+0)</f>
        <v>#REF!</v>
      </c>
      <c r="F154" s="82" t="e">
        <f>IF(A154&lt;&gt;"",_xlfn.CONCAT(TEXT(A154,"yyyy-mm-dd"),"T",TEXT(A154,"hh:mm:ss"),'Event Info'!$B$5,",",," ",C154),"")</f>
        <v>#REF!</v>
      </c>
      <c r="G154" t="e">
        <f t="shared" si="4"/>
        <v>#REF!</v>
      </c>
      <c r="H154" s="92" t="str">
        <f t="shared" si="5"/>
        <v/>
      </c>
      <c r="I154" s="91">
        <v>0</v>
      </c>
    </row>
    <row r="155" spans="1:9">
      <c r="A155" s="76" t="e" cm="1">
        <f t="array" ref="A155">IF(OR(INDEX(#REF!,ROW()+10)="START",INDEX(#REF!,ROW()+9)="",INDEX(#REF!,ROW()+9)="START",INDEX(#REF!,ROW()+9)="TBA",INDEX(#REF!,ROW()+9)="TBC"),"",INDEX(#REF!,ROW()+9)+'Date Calculators'!$B$2+E155)</f>
        <v>#REF!</v>
      </c>
      <c r="B155" s="76" t="e" cm="1">
        <f t="array" ref="B155">IF(OR(A155=""),"",IF(INDEX(#REF!,ROW()+9)="",IF(A156="",A155+$Q$10,A156),INDEX(#REF!,ROW()+9)+'Date Calculators'!$B$2+E155))</f>
        <v>#REF!</v>
      </c>
      <c r="C155" s="74" t="e" cm="1">
        <f t="array" ref="C155">IF(A155="","",INDEX(#REF!,ROW()+9))</f>
        <v>#REF!</v>
      </c>
      <c r="D155" s="74" t="str">
        <f>IFERROR(IF(A155="","",'Event Info'!$B$2),"")</f>
        <v/>
      </c>
      <c r="E155" t="e" cm="1">
        <f t="array" ref="E155">IF(INDEX(#REF!,ROW()+9)="START",E154+1,E154+0)</f>
        <v>#REF!</v>
      </c>
      <c r="F155" s="82" t="e">
        <f>IF(A155&lt;&gt;"",_xlfn.CONCAT(TEXT(A155,"yyyy-mm-dd"),"T",TEXT(A155,"hh:mm:ss"),'Event Info'!$B$5,",",," ",C155),"")</f>
        <v>#REF!</v>
      </c>
      <c r="G155" t="e">
        <f t="shared" si="4"/>
        <v>#REF!</v>
      </c>
      <c r="H155" s="92" t="str">
        <f t="shared" si="5"/>
        <v/>
      </c>
      <c r="I155" s="88">
        <v>0</v>
      </c>
    </row>
    <row r="156" spans="1:9">
      <c r="A156" s="76" t="e" cm="1">
        <f t="array" ref="A156">IF(OR(INDEX(#REF!,ROW()+10)="START",INDEX(#REF!,ROW()+9)="",INDEX(#REF!,ROW()+9)="START",INDEX(#REF!,ROW()+9)="TBA",INDEX(#REF!,ROW()+9)="TBC"),"",INDEX(#REF!,ROW()+9)+'Date Calculators'!$B$2+E156)</f>
        <v>#REF!</v>
      </c>
      <c r="B156" s="76" t="e" cm="1">
        <f t="array" ref="B156">IF(OR(A156=""),"",IF(INDEX(#REF!,ROW()+9)="",IF(A157="",A156+$Q$10,A157),INDEX(#REF!,ROW()+9)+'Date Calculators'!$B$2+E156))</f>
        <v>#REF!</v>
      </c>
      <c r="C156" s="74" t="e" cm="1">
        <f t="array" ref="C156">IF(A156="","",INDEX(#REF!,ROW()+9))</f>
        <v>#REF!</v>
      </c>
      <c r="D156" s="74" t="str">
        <f>IFERROR(IF(A156="","",'Event Info'!$B$2),"")</f>
        <v/>
      </c>
      <c r="E156" t="e" cm="1">
        <f t="array" ref="E156">IF(INDEX(#REF!,ROW()+9)="START",E155+1,E155+0)</f>
        <v>#REF!</v>
      </c>
      <c r="F156" s="82" t="e">
        <f>IF(A156&lt;&gt;"",_xlfn.CONCAT(TEXT(A156,"yyyy-mm-dd"),"T",TEXT(A156,"hh:mm:ss"),'Event Info'!$B$5,",",," ",C156),"")</f>
        <v>#REF!</v>
      </c>
      <c r="G156" t="e">
        <f t="shared" si="4"/>
        <v>#REF!</v>
      </c>
      <c r="H156" s="92" t="str">
        <f t="shared" si="5"/>
        <v/>
      </c>
      <c r="I156" s="88">
        <v>0</v>
      </c>
    </row>
    <row r="157" spans="1:9" ht="16.899999999999999">
      <c r="A157" s="76" t="e" cm="1">
        <f t="array" ref="A157">IF(OR(INDEX(#REF!,ROW()+10)="START",INDEX(#REF!,ROW()+9)="",INDEX(#REF!,ROW()+9)="START",INDEX(#REF!,ROW()+9)="TBA",INDEX(#REF!,ROW()+9)="TBC"),"",INDEX(#REF!,ROW()+9)+'Date Calculators'!$B$2+E157)</f>
        <v>#REF!</v>
      </c>
      <c r="B157" s="76" t="e" cm="1">
        <f t="array" ref="B157">IF(OR(A157=""),"",IF(INDEX(#REF!,ROW()+9)="",IF(A158="",A157+$Q$10,A158),INDEX(#REF!,ROW()+9)+'Date Calculators'!$B$2+E157))</f>
        <v>#REF!</v>
      </c>
      <c r="C157" s="74" t="e" cm="1">
        <f t="array" ref="C157">IF(A157="","",INDEX(#REF!,ROW()+9))</f>
        <v>#REF!</v>
      </c>
      <c r="D157" s="74" t="str">
        <f>IFERROR(IF(A157="","",'Event Info'!$B$2),"")</f>
        <v/>
      </c>
      <c r="E157" t="e" cm="1">
        <f t="array" ref="E157">IF(INDEX(#REF!,ROW()+9)="START",E156+1,E156+0)</f>
        <v>#REF!</v>
      </c>
      <c r="F157" s="82" t="e">
        <f>IF(A157&lt;&gt;"",_xlfn.CONCAT(TEXT(A157,"yyyy-mm-dd"),"T",TEXT(A157,"hh:mm:ss"),'Event Info'!$B$5,",",," ",C157),"")</f>
        <v>#REF!</v>
      </c>
      <c r="G157" t="e">
        <f t="shared" si="4"/>
        <v>#REF!</v>
      </c>
      <c r="H157" s="92" t="str">
        <f t="shared" si="5"/>
        <v/>
      </c>
      <c r="I157" s="91">
        <v>0</v>
      </c>
    </row>
    <row r="158" spans="1:9">
      <c r="A158" s="76" t="e" cm="1">
        <f t="array" ref="A158">IF(OR(INDEX(#REF!,ROW()+10)="START",INDEX(#REF!,ROW()+9)="",INDEX(#REF!,ROW()+9)="START",INDEX(#REF!,ROW()+9)="TBA",INDEX(#REF!,ROW()+9)="TBC"),"",INDEX(#REF!,ROW()+9)+'Date Calculators'!$B$2+E158)</f>
        <v>#REF!</v>
      </c>
      <c r="B158" s="76" t="e" cm="1">
        <f t="array" ref="B158">IF(OR(A158=""),"",IF(INDEX(#REF!,ROW()+9)="",IF(A159="",A158+$Q$10,A159),INDEX(#REF!,ROW()+9)+'Date Calculators'!$B$2+E158))</f>
        <v>#REF!</v>
      </c>
      <c r="C158" s="74" t="e" cm="1">
        <f t="array" ref="C158">IF(A158="","",INDEX(#REF!,ROW()+9))</f>
        <v>#REF!</v>
      </c>
      <c r="D158" s="74" t="str">
        <f>IFERROR(IF(A158="","",'Event Info'!$B$2),"")</f>
        <v/>
      </c>
      <c r="E158" t="e" cm="1">
        <f t="array" ref="E158">IF(INDEX(#REF!,ROW()+9)="START",E157+1,E157+0)</f>
        <v>#REF!</v>
      </c>
      <c r="F158" s="82" t="e">
        <f>IF(A158&lt;&gt;"",_xlfn.CONCAT(TEXT(A158,"yyyy-mm-dd"),"T",TEXT(A158,"hh:mm:ss"),'Event Info'!$B$5,",",," ",C158),"")</f>
        <v>#REF!</v>
      </c>
      <c r="G158" t="e">
        <f t="shared" si="4"/>
        <v>#REF!</v>
      </c>
      <c r="H158" s="92" t="str">
        <f t="shared" si="5"/>
        <v/>
      </c>
      <c r="I158" s="88">
        <v>0</v>
      </c>
    </row>
    <row r="159" spans="1:9">
      <c r="A159" s="76" t="e" cm="1">
        <f t="array" ref="A159">IF(OR(INDEX(#REF!,ROW()+10)="START",INDEX(#REF!,ROW()+9)="",INDEX(#REF!,ROW()+9)="START",INDEX(#REF!,ROW()+9)="TBA",INDEX(#REF!,ROW()+9)="TBC"),"",INDEX(#REF!,ROW()+9)+'Date Calculators'!$B$2+E159)</f>
        <v>#REF!</v>
      </c>
      <c r="B159" s="76" t="e" cm="1">
        <f t="array" ref="B159">IF(OR(A159=""),"",IF(INDEX(#REF!,ROW()+9)="",IF(A160="",A159+$Q$10,A160),INDEX(#REF!,ROW()+9)+'Date Calculators'!$B$2+E159))</f>
        <v>#REF!</v>
      </c>
      <c r="C159" s="74" t="e" cm="1">
        <f t="array" ref="C159">IF(A159="","",INDEX(#REF!,ROW()+9))</f>
        <v>#REF!</v>
      </c>
      <c r="D159" s="74" t="str">
        <f>IFERROR(IF(A159="","",'Event Info'!$B$2),"")</f>
        <v/>
      </c>
      <c r="E159" t="e" cm="1">
        <f t="array" ref="E159">IF(INDEX(#REF!,ROW()+9)="START",E158+1,E158+0)</f>
        <v>#REF!</v>
      </c>
      <c r="F159" s="82" t="e">
        <f>IF(A159&lt;&gt;"",_xlfn.CONCAT(TEXT(A159,"yyyy-mm-dd"),"T",TEXT(A159,"hh:mm:ss"),'Event Info'!$B$5,",",," ",C159),"")</f>
        <v>#REF!</v>
      </c>
      <c r="G159" t="e">
        <f t="shared" si="4"/>
        <v>#REF!</v>
      </c>
      <c r="H159" s="92" t="str">
        <f t="shared" si="5"/>
        <v/>
      </c>
      <c r="I159" s="88">
        <v>0</v>
      </c>
    </row>
    <row r="160" spans="1:9" ht="16.899999999999999">
      <c r="A160" s="76" t="e" cm="1">
        <f t="array" ref="A160">IF(OR(INDEX(#REF!,ROW()+10)="START",INDEX(#REF!,ROW()+9)="",INDEX(#REF!,ROW()+9)="START",INDEX(#REF!,ROW()+9)="TBA",INDEX(#REF!,ROW()+9)="TBC"),"",INDEX(#REF!,ROW()+9)+'Date Calculators'!$B$2+E160)</f>
        <v>#REF!</v>
      </c>
      <c r="B160" s="76" t="e" cm="1">
        <f t="array" ref="B160">IF(OR(A160=""),"",IF(INDEX(#REF!,ROW()+9)="",IF(A161="",A160+$Q$10,A161),INDEX(#REF!,ROW()+9)+'Date Calculators'!$B$2+E160))</f>
        <v>#REF!</v>
      </c>
      <c r="C160" s="74" t="e" cm="1">
        <f t="array" ref="C160">IF(A160="","",INDEX(#REF!,ROW()+9))</f>
        <v>#REF!</v>
      </c>
      <c r="D160" s="74" t="str">
        <f>IFERROR(IF(A160="","",'Event Info'!$B$2),"")</f>
        <v/>
      </c>
      <c r="E160" t="e" cm="1">
        <f t="array" ref="E160">IF(INDEX(#REF!,ROW()+9)="START",E159+1,E159+0)</f>
        <v>#REF!</v>
      </c>
      <c r="F160" s="82" t="e">
        <f>IF(A160&lt;&gt;"",_xlfn.CONCAT(TEXT(A160,"yyyy-mm-dd"),"T",TEXT(A160,"hh:mm:ss"),'Event Info'!$B$5,",",," ",C160),"")</f>
        <v>#REF!</v>
      </c>
      <c r="G160" t="e">
        <f t="shared" si="4"/>
        <v>#REF!</v>
      </c>
      <c r="H160" s="92" t="str">
        <f t="shared" si="5"/>
        <v/>
      </c>
      <c r="I160" s="91">
        <v>0</v>
      </c>
    </row>
    <row r="161" spans="1:9">
      <c r="A161" s="76" t="e" cm="1">
        <f t="array" ref="A161">IF(OR(INDEX(#REF!,ROW()+10)="START",INDEX(#REF!,ROW()+9)="",INDEX(#REF!,ROW()+9)="START",INDEX(#REF!,ROW()+9)="TBA",INDEX(#REF!,ROW()+9)="TBC"),"",INDEX(#REF!,ROW()+9)+'Date Calculators'!$B$2+E161)</f>
        <v>#REF!</v>
      </c>
      <c r="B161" s="76" t="e" cm="1">
        <f t="array" ref="B161">IF(OR(A161=""),"",IF(INDEX(#REF!,ROW()+9)="",IF(A162="",A161+$Q$10,A162),INDEX(#REF!,ROW()+9)+'Date Calculators'!$B$2+E161))</f>
        <v>#REF!</v>
      </c>
      <c r="C161" s="74" t="e" cm="1">
        <f t="array" ref="C161">IF(A161="","",INDEX(#REF!,ROW()+9))</f>
        <v>#REF!</v>
      </c>
      <c r="D161" s="74" t="str">
        <f>IFERROR(IF(A161="","",'Event Info'!$B$2),"")</f>
        <v/>
      </c>
      <c r="E161" t="e" cm="1">
        <f t="array" ref="E161">IF(INDEX(#REF!,ROW()+9)="START",E160+1,E160+0)</f>
        <v>#REF!</v>
      </c>
      <c r="F161" s="82" t="e">
        <f>IF(A161&lt;&gt;"",_xlfn.CONCAT(TEXT(A161,"yyyy-mm-dd"),"T",TEXT(A161,"hh:mm:ss"),'Event Info'!$B$5,",",," ",C161),"")</f>
        <v>#REF!</v>
      </c>
      <c r="G161" t="e">
        <f t="shared" si="4"/>
        <v>#REF!</v>
      </c>
      <c r="H161" s="92" t="str">
        <f t="shared" si="5"/>
        <v/>
      </c>
      <c r="I161" s="88">
        <v>0</v>
      </c>
    </row>
    <row r="162" spans="1:9">
      <c r="A162" s="76" t="e" cm="1">
        <f t="array" ref="A162">IF(OR(INDEX(#REF!,ROW()+10)="START",INDEX(#REF!,ROW()+9)="",INDEX(#REF!,ROW()+9)="START",INDEX(#REF!,ROW()+9)="TBA",INDEX(#REF!,ROW()+9)="TBC"),"",INDEX(#REF!,ROW()+9)+'Date Calculators'!$B$2+E162)</f>
        <v>#REF!</v>
      </c>
      <c r="B162" s="76" t="e" cm="1">
        <f t="array" ref="B162">IF(OR(A162=""),"",IF(INDEX(#REF!,ROW()+9)="",IF(A163="",A162+$Q$10,A163),INDEX(#REF!,ROW()+9)+'Date Calculators'!$B$2+E162))</f>
        <v>#REF!</v>
      </c>
      <c r="C162" s="74" t="e" cm="1">
        <f t="array" ref="C162">IF(A162="","",INDEX(#REF!,ROW()+9))</f>
        <v>#REF!</v>
      </c>
      <c r="D162" s="74" t="str">
        <f>IFERROR(IF(A162="","",'Event Info'!$B$2),"")</f>
        <v/>
      </c>
      <c r="E162" t="e" cm="1">
        <f t="array" ref="E162">IF(INDEX(#REF!,ROW()+9)="START",E161+1,E161+0)</f>
        <v>#REF!</v>
      </c>
      <c r="F162" s="82" t="e">
        <f>IF(A162&lt;&gt;"",_xlfn.CONCAT(TEXT(A162,"yyyy-mm-dd"),"T",TEXT(A162,"hh:mm:ss"),'Event Info'!$B$5,",",," ",C162),"")</f>
        <v>#REF!</v>
      </c>
      <c r="G162" t="e">
        <f t="shared" si="4"/>
        <v>#REF!</v>
      </c>
      <c r="H162" s="92" t="str">
        <f t="shared" si="5"/>
        <v/>
      </c>
      <c r="I162" s="88">
        <v>0</v>
      </c>
    </row>
    <row r="163" spans="1:9" ht="16.899999999999999">
      <c r="A163" s="76" t="e" cm="1">
        <f t="array" ref="A163">IF(OR(INDEX(#REF!,ROW()+10)="START",INDEX(#REF!,ROW()+9)="",INDEX(#REF!,ROW()+9)="START",INDEX(#REF!,ROW()+9)="TBA",INDEX(#REF!,ROW()+9)="TBC"),"",INDEX(#REF!,ROW()+9)+'Date Calculators'!$B$2+E163)</f>
        <v>#REF!</v>
      </c>
      <c r="B163" s="76" t="e" cm="1">
        <f t="array" ref="B163">IF(OR(A163=""),"",IF(INDEX(#REF!,ROW()+9)="",IF(A164="",A163+$Q$10,A164),INDEX(#REF!,ROW()+9)+'Date Calculators'!$B$2+E163))</f>
        <v>#REF!</v>
      </c>
      <c r="C163" s="74" t="e" cm="1">
        <f t="array" ref="C163">IF(A163="","",INDEX(#REF!,ROW()+9))</f>
        <v>#REF!</v>
      </c>
      <c r="D163" s="74" t="str">
        <f>IFERROR(IF(A163="","",'Event Info'!$B$2),"")</f>
        <v/>
      </c>
      <c r="E163" t="e" cm="1">
        <f t="array" ref="E163">IF(INDEX(#REF!,ROW()+9)="START",E162+1,E162+0)</f>
        <v>#REF!</v>
      </c>
      <c r="F163" s="82" t="e">
        <f>IF(A163&lt;&gt;"",_xlfn.CONCAT(TEXT(A163,"yyyy-mm-dd"),"T",TEXT(A163,"hh:mm:ss"),'Event Info'!$B$5,",",," ",C163),"")</f>
        <v>#REF!</v>
      </c>
      <c r="G163" t="e">
        <f t="shared" si="4"/>
        <v>#REF!</v>
      </c>
      <c r="H163" s="92" t="str">
        <f t="shared" si="5"/>
        <v/>
      </c>
      <c r="I163" s="91">
        <v>0</v>
      </c>
    </row>
    <row r="164" spans="1:9">
      <c r="A164" s="76" t="e" cm="1">
        <f t="array" ref="A164">IF(OR(INDEX(#REF!,ROW()+10)="START",INDEX(#REF!,ROW()+9)="",INDEX(#REF!,ROW()+9)="START",INDEX(#REF!,ROW()+9)="TBA",INDEX(#REF!,ROW()+9)="TBC"),"",INDEX(#REF!,ROW()+9)+'Date Calculators'!$B$2+E164)</f>
        <v>#REF!</v>
      </c>
      <c r="B164" s="76" t="e" cm="1">
        <f t="array" ref="B164">IF(OR(A164=""),"",IF(INDEX(#REF!,ROW()+9)="",IF(A165="",A164+$Q$10,A165),INDEX(#REF!,ROW()+9)+'Date Calculators'!$B$2+E164))</f>
        <v>#REF!</v>
      </c>
      <c r="C164" s="74" t="e" cm="1">
        <f t="array" ref="C164">IF(A164="","",INDEX(#REF!,ROW()+9))</f>
        <v>#REF!</v>
      </c>
      <c r="D164" s="74" t="str">
        <f>IFERROR(IF(A164="","",'Event Info'!$B$2),"")</f>
        <v/>
      </c>
      <c r="E164" t="e" cm="1">
        <f t="array" ref="E164">IF(INDEX(#REF!,ROW()+9)="START",E163+1,E163+0)</f>
        <v>#REF!</v>
      </c>
      <c r="F164" s="82" t="e">
        <f>IF(A164&lt;&gt;"",_xlfn.CONCAT(TEXT(A164,"yyyy-mm-dd"),"T",TEXT(A164,"hh:mm:ss"),'Event Info'!$B$5,",",," ",C164),"")</f>
        <v>#REF!</v>
      </c>
      <c r="G164" t="e">
        <f t="shared" si="4"/>
        <v>#REF!</v>
      </c>
      <c r="H164" s="92" t="str">
        <f t="shared" si="5"/>
        <v/>
      </c>
      <c r="I164" s="88">
        <v>0</v>
      </c>
    </row>
    <row r="165" spans="1:9">
      <c r="A165" s="76" t="e" cm="1">
        <f t="array" ref="A165">IF(OR(INDEX(#REF!,ROW()+10)="START",INDEX(#REF!,ROW()+9)="",INDEX(#REF!,ROW()+9)="START",INDEX(#REF!,ROW()+9)="TBA",INDEX(#REF!,ROW()+9)="TBC"),"",INDEX(#REF!,ROW()+9)+'Date Calculators'!$B$2+E165)</f>
        <v>#REF!</v>
      </c>
      <c r="B165" s="76" t="e" cm="1">
        <f t="array" ref="B165">IF(OR(A165=""),"",IF(INDEX(#REF!,ROW()+9)="",IF(A166="",A165+$Q$10,A166),INDEX(#REF!,ROW()+9)+'Date Calculators'!$B$2+E165))</f>
        <v>#REF!</v>
      </c>
      <c r="C165" s="74" t="e" cm="1">
        <f t="array" ref="C165">IF(A165="","",INDEX(#REF!,ROW()+9))</f>
        <v>#REF!</v>
      </c>
      <c r="D165" s="74" t="str">
        <f>IFERROR(IF(A165="","",'Event Info'!$B$2),"")</f>
        <v/>
      </c>
      <c r="E165" t="e" cm="1">
        <f t="array" ref="E165">IF(INDEX(#REF!,ROW()+9)="START",E164+1,E164+0)</f>
        <v>#REF!</v>
      </c>
      <c r="F165" s="82" t="e">
        <f>IF(A165&lt;&gt;"",_xlfn.CONCAT(TEXT(A165,"yyyy-mm-dd"),"T",TEXT(A165,"hh:mm:ss"),'Event Info'!$B$5,",",," ",C165),"")</f>
        <v>#REF!</v>
      </c>
      <c r="G165" t="e">
        <f t="shared" si="4"/>
        <v>#REF!</v>
      </c>
      <c r="H165" s="92" t="str">
        <f t="shared" si="5"/>
        <v/>
      </c>
      <c r="I165" s="88">
        <v>0</v>
      </c>
    </row>
    <row r="166" spans="1:9" ht="16.899999999999999">
      <c r="A166" s="76" t="e" cm="1">
        <f t="array" ref="A166">IF(OR(INDEX(#REF!,ROW()+10)="START",INDEX(#REF!,ROW()+9)="",INDEX(#REF!,ROW()+9)="START",INDEX(#REF!,ROW()+9)="TBA",INDEX(#REF!,ROW()+9)="TBC"),"",INDEX(#REF!,ROW()+9)+'Date Calculators'!$B$2+E166)</f>
        <v>#REF!</v>
      </c>
      <c r="B166" s="76" t="e" cm="1">
        <f t="array" ref="B166">IF(OR(A166=""),"",IF(INDEX(#REF!,ROW()+9)="",IF(A167="",A166+$Q$10,A167),INDEX(#REF!,ROW()+9)+'Date Calculators'!$B$2+E166))</f>
        <v>#REF!</v>
      </c>
      <c r="C166" s="74" t="e" cm="1">
        <f t="array" ref="C166">IF(A166="","",INDEX(#REF!,ROW()+9))</f>
        <v>#REF!</v>
      </c>
      <c r="D166" s="74" t="str">
        <f>IFERROR(IF(A166="","",'Event Info'!$B$2),"")</f>
        <v/>
      </c>
      <c r="E166" t="e" cm="1">
        <f t="array" ref="E166">IF(INDEX(#REF!,ROW()+9)="START",E165+1,E165+0)</f>
        <v>#REF!</v>
      </c>
      <c r="F166" s="82" t="e">
        <f>IF(A166&lt;&gt;"",_xlfn.CONCAT(TEXT(A166,"yyyy-mm-dd"),"T",TEXT(A166,"hh:mm:ss"),'Event Info'!$B$5,",",," ",C166),"")</f>
        <v>#REF!</v>
      </c>
      <c r="G166" t="e">
        <f t="shared" si="4"/>
        <v>#REF!</v>
      </c>
      <c r="H166" s="92" t="str">
        <f t="shared" si="5"/>
        <v/>
      </c>
      <c r="I166" s="91">
        <v>0</v>
      </c>
    </row>
    <row r="167" spans="1:9">
      <c r="A167" s="76" t="e" cm="1">
        <f t="array" ref="A167">IF(OR(INDEX(#REF!,ROW()+10)="START",INDEX(#REF!,ROW()+9)="",INDEX(#REF!,ROW()+9)="START",INDEX(#REF!,ROW()+9)="TBA",INDEX(#REF!,ROW()+9)="TBC"),"",INDEX(#REF!,ROW()+9)+'Date Calculators'!$B$2+E167)</f>
        <v>#REF!</v>
      </c>
      <c r="B167" s="76" t="e" cm="1">
        <f t="array" ref="B167">IF(OR(A167=""),"",IF(INDEX(#REF!,ROW()+9)="",IF(A168="",A167+$Q$10,A168),INDEX(#REF!,ROW()+9)+'Date Calculators'!$B$2+E167))</f>
        <v>#REF!</v>
      </c>
      <c r="C167" s="74" t="e" cm="1">
        <f t="array" ref="C167">IF(A167="","",INDEX(#REF!,ROW()+9))</f>
        <v>#REF!</v>
      </c>
      <c r="D167" s="74" t="str">
        <f>IFERROR(IF(A167="","",'Event Info'!$B$2),"")</f>
        <v/>
      </c>
      <c r="E167" t="e" cm="1">
        <f t="array" ref="E167">IF(INDEX(#REF!,ROW()+9)="START",E166+1,E166+0)</f>
        <v>#REF!</v>
      </c>
      <c r="F167" s="82" t="e">
        <f>IF(A167&lt;&gt;"",_xlfn.CONCAT(TEXT(A167,"yyyy-mm-dd"),"T",TEXT(A167,"hh:mm:ss"),'Event Info'!$B$5,",",," ",C167),"")</f>
        <v>#REF!</v>
      </c>
      <c r="G167" t="e">
        <f t="shared" si="4"/>
        <v>#REF!</v>
      </c>
      <c r="H167" s="92" t="str">
        <f t="shared" si="5"/>
        <v/>
      </c>
      <c r="I167" s="88">
        <v>0</v>
      </c>
    </row>
    <row r="168" spans="1:9">
      <c r="A168" s="76" t="e" cm="1">
        <f t="array" ref="A168">IF(OR(INDEX(#REF!,ROW()+10)="START",INDEX(#REF!,ROW()+9)="",INDEX(#REF!,ROW()+9)="START",INDEX(#REF!,ROW()+9)="TBA",INDEX(#REF!,ROW()+9)="TBC"),"",INDEX(#REF!,ROW()+9)+'Date Calculators'!$B$2+E168)</f>
        <v>#REF!</v>
      </c>
      <c r="B168" s="76" t="e" cm="1">
        <f t="array" ref="B168">IF(OR(A168=""),"",IF(INDEX(#REF!,ROW()+9)="",IF(A169="",A168+$Q$10,A169),INDEX(#REF!,ROW()+9)+'Date Calculators'!$B$2+E168))</f>
        <v>#REF!</v>
      </c>
      <c r="C168" s="74" t="e" cm="1">
        <f t="array" ref="C168">IF(A168="","",INDEX(#REF!,ROW()+9))</f>
        <v>#REF!</v>
      </c>
      <c r="D168" s="74" t="str">
        <f>IFERROR(IF(A168="","",'Event Info'!$B$2),"")</f>
        <v/>
      </c>
      <c r="E168" t="e" cm="1">
        <f t="array" ref="E168">IF(INDEX(#REF!,ROW()+9)="START",E167+1,E167+0)</f>
        <v>#REF!</v>
      </c>
      <c r="F168" s="82" t="e">
        <f>IF(A168&lt;&gt;"",_xlfn.CONCAT(TEXT(A168,"yyyy-mm-dd"),"T",TEXT(A168,"hh:mm:ss"),'Event Info'!$B$5,",",," ",C168),"")</f>
        <v>#REF!</v>
      </c>
      <c r="G168" t="e">
        <f t="shared" si="4"/>
        <v>#REF!</v>
      </c>
      <c r="H168" s="92" t="str">
        <f t="shared" si="5"/>
        <v/>
      </c>
      <c r="I168" s="88">
        <v>0</v>
      </c>
    </row>
    <row r="169" spans="1:9" ht="16.899999999999999">
      <c r="A169" s="76" t="e" cm="1">
        <f t="array" ref="A169">IF(OR(INDEX(#REF!,ROW()+10)="START",INDEX(#REF!,ROW()+9)="",INDEX(#REF!,ROW()+9)="START",INDEX(#REF!,ROW()+9)="TBA",INDEX(#REF!,ROW()+9)="TBC"),"",INDEX(#REF!,ROW()+9)+'Date Calculators'!$B$2+E169)</f>
        <v>#REF!</v>
      </c>
      <c r="B169" s="76" t="e" cm="1">
        <f t="array" ref="B169">IF(OR(A169=""),"",IF(INDEX(#REF!,ROW()+9)="",IF(A170="",A169+$Q$10,A170),INDEX(#REF!,ROW()+9)+'Date Calculators'!$B$2+E169))</f>
        <v>#REF!</v>
      </c>
      <c r="C169" s="74" t="e" cm="1">
        <f t="array" ref="C169">IF(A169="","",INDEX(#REF!,ROW()+9))</f>
        <v>#REF!</v>
      </c>
      <c r="D169" s="74" t="str">
        <f>IFERROR(IF(A169="","",'Event Info'!$B$2),"")</f>
        <v/>
      </c>
      <c r="E169" t="e" cm="1">
        <f t="array" ref="E169">IF(INDEX(#REF!,ROW()+9)="START",E168+1,E168+0)</f>
        <v>#REF!</v>
      </c>
      <c r="F169" s="82" t="e">
        <f>IF(A169&lt;&gt;"",_xlfn.CONCAT(TEXT(A169,"yyyy-mm-dd"),"T",TEXT(A169,"hh:mm:ss"),'Event Info'!$B$5,",",," ",C169),"")</f>
        <v>#REF!</v>
      </c>
      <c r="G169" t="e">
        <f t="shared" si="4"/>
        <v>#REF!</v>
      </c>
      <c r="H169" s="92" t="str">
        <f t="shared" si="5"/>
        <v/>
      </c>
      <c r="I169" s="91">
        <v>0</v>
      </c>
    </row>
    <row r="170" spans="1:9">
      <c r="A170" s="76" t="e" cm="1">
        <f t="array" ref="A170">IF(OR(INDEX(#REF!,ROW()+10)="START",INDEX(#REF!,ROW()+9)="",INDEX(#REF!,ROW()+9)="START",INDEX(#REF!,ROW()+9)="TBA",INDEX(#REF!,ROW()+9)="TBC"),"",INDEX(#REF!,ROW()+9)+'Date Calculators'!$B$2+E170)</f>
        <v>#REF!</v>
      </c>
      <c r="B170" s="76" t="e" cm="1">
        <f t="array" ref="B170">IF(OR(A170=""),"",IF(INDEX(#REF!,ROW()+9)="",IF(A171="",A170+$Q$10,A171),INDEX(#REF!,ROW()+9)+'Date Calculators'!$B$2+E170))</f>
        <v>#REF!</v>
      </c>
      <c r="C170" s="74" t="e" cm="1">
        <f t="array" ref="C170">IF(A170="","",INDEX(#REF!,ROW()+9))</f>
        <v>#REF!</v>
      </c>
      <c r="D170" s="74" t="str">
        <f>IFERROR(IF(A170="","",'Event Info'!$B$2),"")</f>
        <v/>
      </c>
      <c r="E170" t="e" cm="1">
        <f t="array" ref="E170">IF(INDEX(#REF!,ROW()+9)="START",E169+1,E169+0)</f>
        <v>#REF!</v>
      </c>
      <c r="F170" s="82" t="e">
        <f>IF(A170&lt;&gt;"",_xlfn.CONCAT(TEXT(A170,"yyyy-mm-dd"),"T",TEXT(A170,"hh:mm:ss"),'Event Info'!$B$5,",",," ",C170),"")</f>
        <v>#REF!</v>
      </c>
      <c r="G170" t="e">
        <f t="shared" si="4"/>
        <v>#REF!</v>
      </c>
      <c r="H170" s="92" t="str">
        <f t="shared" si="5"/>
        <v/>
      </c>
      <c r="I170" s="88">
        <v>0</v>
      </c>
    </row>
    <row r="171" spans="1:9">
      <c r="A171" s="76" t="e" cm="1">
        <f t="array" ref="A171">IF(OR(INDEX(#REF!,ROW()+10)="START",INDEX(#REF!,ROW()+9)="",INDEX(#REF!,ROW()+9)="START",INDEX(#REF!,ROW()+9)="TBA",INDEX(#REF!,ROW()+9)="TBC"),"",INDEX(#REF!,ROW()+9)+'Date Calculators'!$B$2+E171)</f>
        <v>#REF!</v>
      </c>
      <c r="B171" s="76" t="e" cm="1">
        <f t="array" ref="B171">IF(OR(A171=""),"",IF(INDEX(#REF!,ROW()+9)="",IF(A172="",A171+$Q$10,A172),INDEX(#REF!,ROW()+9)+'Date Calculators'!$B$2+E171))</f>
        <v>#REF!</v>
      </c>
      <c r="C171" s="74" t="e" cm="1">
        <f t="array" ref="C171">IF(A171="","",INDEX(#REF!,ROW()+9))</f>
        <v>#REF!</v>
      </c>
      <c r="D171" s="74" t="str">
        <f>IFERROR(IF(A171="","",'Event Info'!$B$2),"")</f>
        <v/>
      </c>
      <c r="E171" t="e" cm="1">
        <f t="array" ref="E171">IF(INDEX(#REF!,ROW()+9)="START",E170+1,E170+0)</f>
        <v>#REF!</v>
      </c>
      <c r="F171" s="82" t="e">
        <f>IF(A171&lt;&gt;"",_xlfn.CONCAT(TEXT(A171,"yyyy-mm-dd"),"T",TEXT(A171,"hh:mm:ss"),'Event Info'!$B$5,",",," ",C171),"")</f>
        <v>#REF!</v>
      </c>
      <c r="G171" t="e">
        <f t="shared" si="4"/>
        <v>#REF!</v>
      </c>
      <c r="H171" s="92" t="str">
        <f t="shared" si="5"/>
        <v/>
      </c>
      <c r="I171" s="88">
        <v>0</v>
      </c>
    </row>
    <row r="172" spans="1:9" ht="16.899999999999999">
      <c r="A172" s="76" t="e" cm="1">
        <f t="array" ref="A172">IF(OR(INDEX(#REF!,ROW()+10)="START",INDEX(#REF!,ROW()+9)="",INDEX(#REF!,ROW()+9)="START",INDEX(#REF!,ROW()+9)="TBA",INDEX(#REF!,ROW()+9)="TBC"),"",INDEX(#REF!,ROW()+9)+'Date Calculators'!$B$2+E172)</f>
        <v>#REF!</v>
      </c>
      <c r="B172" s="76" t="e" cm="1">
        <f t="array" ref="B172">IF(OR(A172=""),"",IF(INDEX(#REF!,ROW()+9)="",IF(A173="",A172+$Q$10,A173),INDEX(#REF!,ROW()+9)+'Date Calculators'!$B$2+E172))</f>
        <v>#REF!</v>
      </c>
      <c r="C172" s="74" t="e" cm="1">
        <f t="array" ref="C172">IF(A172="","",INDEX(#REF!,ROW()+9))</f>
        <v>#REF!</v>
      </c>
      <c r="D172" s="74" t="str">
        <f>IFERROR(IF(A172="","",'Event Info'!$B$2),"")</f>
        <v/>
      </c>
      <c r="E172" t="e" cm="1">
        <f t="array" ref="E172">IF(INDEX(#REF!,ROW()+9)="START",E171+1,E171+0)</f>
        <v>#REF!</v>
      </c>
      <c r="F172" s="82" t="e">
        <f>IF(A172&lt;&gt;"",_xlfn.CONCAT(TEXT(A172,"yyyy-mm-dd"),"T",TEXT(A172,"hh:mm:ss"),'Event Info'!$B$5,",",," ",C172),"")</f>
        <v>#REF!</v>
      </c>
      <c r="G172" t="e">
        <f t="shared" si="4"/>
        <v>#REF!</v>
      </c>
      <c r="H172" s="92" t="str">
        <f t="shared" si="5"/>
        <v/>
      </c>
      <c r="I172" s="91">
        <v>0</v>
      </c>
    </row>
    <row r="173" spans="1:9">
      <c r="A173" s="76" t="e" cm="1">
        <f t="array" ref="A173">IF(OR(INDEX(#REF!,ROW()+10)="START",INDEX(#REF!,ROW()+9)="",INDEX(#REF!,ROW()+9)="START",INDEX(#REF!,ROW()+9)="TBA",INDEX(#REF!,ROW()+9)="TBC"),"",INDEX(#REF!,ROW()+9)+'Date Calculators'!$B$2+E173)</f>
        <v>#REF!</v>
      </c>
      <c r="B173" s="76" t="e" cm="1">
        <f t="array" ref="B173">IF(OR(A173=""),"",IF(INDEX(#REF!,ROW()+9)="",IF(A174="",A173+$Q$10,A174),INDEX(#REF!,ROW()+9)+'Date Calculators'!$B$2+E173))</f>
        <v>#REF!</v>
      </c>
      <c r="C173" s="74" t="e" cm="1">
        <f t="array" ref="C173">IF(A173="","",INDEX(#REF!,ROW()+9))</f>
        <v>#REF!</v>
      </c>
      <c r="D173" s="74" t="str">
        <f>IFERROR(IF(A173="","",'Event Info'!$B$2),"")</f>
        <v/>
      </c>
      <c r="E173" t="e" cm="1">
        <f t="array" ref="E173">IF(INDEX(#REF!,ROW()+9)="START",E172+1,E172+0)</f>
        <v>#REF!</v>
      </c>
      <c r="F173" s="82" t="e">
        <f>IF(A173&lt;&gt;"",_xlfn.CONCAT(TEXT(A173,"yyyy-mm-dd"),"T",TEXT(A173,"hh:mm:ss"),'Event Info'!$B$5,",",," ",C173),"")</f>
        <v>#REF!</v>
      </c>
      <c r="G173" t="e">
        <f t="shared" si="4"/>
        <v>#REF!</v>
      </c>
      <c r="H173" s="92" t="str">
        <f t="shared" si="5"/>
        <v/>
      </c>
      <c r="I173" s="88">
        <v>0</v>
      </c>
    </row>
    <row r="174" spans="1:9">
      <c r="A174" s="76" t="e" cm="1">
        <f t="array" ref="A174">IF(OR(INDEX(#REF!,ROW()+10)="START",INDEX(#REF!,ROW()+9)="",INDEX(#REF!,ROW()+9)="START",INDEX(#REF!,ROW()+9)="TBA",INDEX(#REF!,ROW()+9)="TBC"),"",INDEX(#REF!,ROW()+9)+'Date Calculators'!$B$2+E174)</f>
        <v>#REF!</v>
      </c>
      <c r="B174" s="76" t="e" cm="1">
        <f t="array" ref="B174">IF(OR(A174=""),"",IF(INDEX(#REF!,ROW()+9)="",IF(A175="",A174+$Q$10,A175),INDEX(#REF!,ROW()+9)+'Date Calculators'!$B$2+E174))</f>
        <v>#REF!</v>
      </c>
      <c r="C174" s="74" t="e" cm="1">
        <f t="array" ref="C174">IF(A174="","",INDEX(#REF!,ROW()+9))</f>
        <v>#REF!</v>
      </c>
      <c r="D174" s="74" t="str">
        <f>IFERROR(IF(A174="","",'Event Info'!$B$2),"")</f>
        <v/>
      </c>
      <c r="E174" t="e" cm="1">
        <f t="array" ref="E174">IF(INDEX(#REF!,ROW()+9)="START",E173+1,E173+0)</f>
        <v>#REF!</v>
      </c>
      <c r="F174" s="82" t="e">
        <f>IF(A174&lt;&gt;"",_xlfn.CONCAT(TEXT(A174,"yyyy-mm-dd"),"T",TEXT(A174,"hh:mm:ss"),'Event Info'!$B$5,",",," ",C174),"")</f>
        <v>#REF!</v>
      </c>
      <c r="G174" t="e">
        <f t="shared" si="4"/>
        <v>#REF!</v>
      </c>
      <c r="H174" s="92" t="str">
        <f t="shared" si="5"/>
        <v/>
      </c>
      <c r="I174" s="88">
        <v>0</v>
      </c>
    </row>
    <row r="175" spans="1:9" ht="16.899999999999999">
      <c r="A175" s="76" t="e" cm="1">
        <f t="array" ref="A175">IF(OR(INDEX(#REF!,ROW()+10)="START",INDEX(#REF!,ROW()+9)="",INDEX(#REF!,ROW()+9)="START",INDEX(#REF!,ROW()+9)="TBA",INDEX(#REF!,ROW()+9)="TBC"),"",INDEX(#REF!,ROW()+9)+'Date Calculators'!$B$2+E175)</f>
        <v>#REF!</v>
      </c>
      <c r="B175" s="76" t="e" cm="1">
        <f t="array" ref="B175">IF(OR(A175=""),"",IF(INDEX(#REF!,ROW()+9)="",IF(A176="",A175+$Q$10,A176),INDEX(#REF!,ROW()+9)+'Date Calculators'!$B$2+E175))</f>
        <v>#REF!</v>
      </c>
      <c r="C175" s="74" t="e" cm="1">
        <f t="array" ref="C175">IF(A175="","",INDEX(#REF!,ROW()+9))</f>
        <v>#REF!</v>
      </c>
      <c r="D175" s="74" t="str">
        <f>IFERROR(IF(A175="","",'Event Info'!$B$2),"")</f>
        <v/>
      </c>
      <c r="E175" t="e" cm="1">
        <f t="array" ref="E175">IF(INDEX(#REF!,ROW()+9)="START",E174+1,E174+0)</f>
        <v>#REF!</v>
      </c>
      <c r="F175" s="82" t="e">
        <f>IF(A175&lt;&gt;"",_xlfn.CONCAT(TEXT(A175,"yyyy-mm-dd"),"T",TEXT(A175,"hh:mm:ss"),'Event Info'!$B$5,",",," ",C175),"")</f>
        <v>#REF!</v>
      </c>
      <c r="G175" t="e">
        <f t="shared" si="4"/>
        <v>#REF!</v>
      </c>
      <c r="H175" s="92" t="str">
        <f t="shared" si="5"/>
        <v/>
      </c>
      <c r="I175" s="91">
        <v>0</v>
      </c>
    </row>
    <row r="176" spans="1:9">
      <c r="A176" s="76" t="e" cm="1">
        <f t="array" ref="A176">IF(OR(INDEX(#REF!,ROW()+10)="START",INDEX(#REF!,ROW()+9)="",INDEX(#REF!,ROW()+9)="START",INDEX(#REF!,ROW()+9)="TBA",INDEX(#REF!,ROW()+9)="TBC"),"",INDEX(#REF!,ROW()+9)+'Date Calculators'!$B$2+E176)</f>
        <v>#REF!</v>
      </c>
      <c r="B176" s="76" t="e" cm="1">
        <f t="array" ref="B176">IF(OR(A176=""),"",IF(INDEX(#REF!,ROW()+9)="",IF(A177="",A176+$Q$10,A177),INDEX(#REF!,ROW()+9)+'Date Calculators'!$B$2+E176))</f>
        <v>#REF!</v>
      </c>
      <c r="C176" s="74" t="e" cm="1">
        <f t="array" ref="C176">IF(A176="","",INDEX(#REF!,ROW()+9))</f>
        <v>#REF!</v>
      </c>
      <c r="D176" s="74" t="str">
        <f>IFERROR(IF(A176="","",'Event Info'!$B$2),"")</f>
        <v/>
      </c>
      <c r="E176" t="e" cm="1">
        <f t="array" ref="E176">IF(INDEX(#REF!,ROW()+9)="START",E175+1,E175+0)</f>
        <v>#REF!</v>
      </c>
      <c r="F176" s="82" t="e">
        <f>IF(A176&lt;&gt;"",_xlfn.CONCAT(TEXT(A176,"yyyy-mm-dd"),"T",TEXT(A176,"hh:mm:ss"),'Event Info'!$B$5,",",," ",C176),"")</f>
        <v>#REF!</v>
      </c>
      <c r="G176" t="e">
        <f t="shared" si="4"/>
        <v>#REF!</v>
      </c>
      <c r="H176" s="92" t="str">
        <f t="shared" si="5"/>
        <v/>
      </c>
      <c r="I176" s="88">
        <v>0</v>
      </c>
    </row>
    <row r="177" spans="1:9">
      <c r="A177" s="76" t="e" cm="1">
        <f t="array" ref="A177">IF(OR(INDEX(#REF!,ROW()+10)="START",INDEX(#REF!,ROW()+9)="",INDEX(#REF!,ROW()+9)="START",INDEX(#REF!,ROW()+9)="TBA",INDEX(#REF!,ROW()+9)="TBC"),"",INDEX(#REF!,ROW()+9)+'Date Calculators'!$B$2+E177)</f>
        <v>#REF!</v>
      </c>
      <c r="B177" s="76" t="e" cm="1">
        <f t="array" ref="B177">IF(OR(A177=""),"",IF(INDEX(#REF!,ROW()+9)="",IF(A178="",A177+$Q$10,A178),INDEX(#REF!,ROW()+9)+'Date Calculators'!$B$2+E177))</f>
        <v>#REF!</v>
      </c>
      <c r="C177" s="74" t="e" cm="1">
        <f t="array" ref="C177">IF(A177="","",INDEX(#REF!,ROW()+9))</f>
        <v>#REF!</v>
      </c>
      <c r="D177" s="74" t="str">
        <f>IFERROR(IF(A177="","",'Event Info'!$B$2),"")</f>
        <v/>
      </c>
      <c r="E177" t="e" cm="1">
        <f t="array" ref="E177">IF(INDEX(#REF!,ROW()+9)="START",E176+1,E176+0)</f>
        <v>#REF!</v>
      </c>
      <c r="F177" s="82" t="e">
        <f>IF(A177&lt;&gt;"",_xlfn.CONCAT(TEXT(A177,"yyyy-mm-dd"),"T",TEXT(A177,"hh:mm:ss"),'Event Info'!$B$5,",",," ",C177),"")</f>
        <v>#REF!</v>
      </c>
      <c r="G177" t="e">
        <f t="shared" si="4"/>
        <v>#REF!</v>
      </c>
      <c r="H177" s="92" t="str">
        <f t="shared" si="5"/>
        <v/>
      </c>
      <c r="I177" s="88">
        <v>0</v>
      </c>
    </row>
    <row r="178" spans="1:9" ht="16.899999999999999">
      <c r="A178" s="76" t="e" cm="1">
        <f t="array" ref="A178">IF(OR(INDEX(#REF!,ROW()+10)="START",INDEX(#REF!,ROW()+9)="",INDEX(#REF!,ROW()+9)="START",INDEX(#REF!,ROW()+9)="TBA",INDEX(#REF!,ROW()+9)="TBC"),"",INDEX(#REF!,ROW()+9)+'Date Calculators'!$B$2+E178)</f>
        <v>#REF!</v>
      </c>
      <c r="B178" s="76" t="e" cm="1">
        <f t="array" ref="B178">IF(OR(A178=""),"",IF(INDEX(#REF!,ROW()+9)="",IF(A179="",A178+$Q$10,A179),INDEX(#REF!,ROW()+9)+'Date Calculators'!$B$2+E178))</f>
        <v>#REF!</v>
      </c>
      <c r="C178" s="74" t="e" cm="1">
        <f t="array" ref="C178">IF(A178="","",INDEX(#REF!,ROW()+9))</f>
        <v>#REF!</v>
      </c>
      <c r="D178" s="74" t="str">
        <f>IFERROR(IF(A178="","",'Event Info'!$B$2),"")</f>
        <v/>
      </c>
      <c r="E178" t="e" cm="1">
        <f t="array" ref="E178">IF(INDEX(#REF!,ROW()+9)="START",E177+1,E177+0)</f>
        <v>#REF!</v>
      </c>
      <c r="F178" s="82" t="e">
        <f>IF(A178&lt;&gt;"",_xlfn.CONCAT(TEXT(A178,"yyyy-mm-dd"),"T",TEXT(A178,"hh:mm:ss"),'Event Info'!$B$5,",",," ",C178),"")</f>
        <v>#REF!</v>
      </c>
      <c r="G178" t="e">
        <f t="shared" si="4"/>
        <v>#REF!</v>
      </c>
      <c r="H178" s="92" t="str">
        <f t="shared" si="5"/>
        <v/>
      </c>
      <c r="I178" s="91">
        <v>0</v>
      </c>
    </row>
    <row r="179" spans="1:9">
      <c r="A179" s="76" t="e" cm="1">
        <f t="array" ref="A179">IF(OR(INDEX(#REF!,ROW()+10)="START",INDEX(#REF!,ROW()+9)="",INDEX(#REF!,ROW()+9)="START",INDEX(#REF!,ROW()+9)="TBA",INDEX(#REF!,ROW()+9)="TBC"),"",INDEX(#REF!,ROW()+9)+'Date Calculators'!$B$2+E179)</f>
        <v>#REF!</v>
      </c>
      <c r="B179" s="76" t="e" cm="1">
        <f t="array" ref="B179">IF(OR(A179=""),"",IF(INDEX(#REF!,ROW()+9)="",IF(A180="",A179+$Q$10,A180),INDEX(#REF!,ROW()+9)+'Date Calculators'!$B$2+E179))</f>
        <v>#REF!</v>
      </c>
      <c r="C179" s="74" t="e" cm="1">
        <f t="array" ref="C179">IF(A179="","",INDEX(#REF!,ROW()+9))</f>
        <v>#REF!</v>
      </c>
      <c r="D179" s="74" t="str">
        <f>IFERROR(IF(A179="","",'Event Info'!$B$2),"")</f>
        <v/>
      </c>
      <c r="E179" t="e" cm="1">
        <f t="array" ref="E179">IF(INDEX(#REF!,ROW()+9)="START",E178+1,E178+0)</f>
        <v>#REF!</v>
      </c>
      <c r="F179" s="82" t="e">
        <f>IF(A179&lt;&gt;"",_xlfn.CONCAT(TEXT(A179,"yyyy-mm-dd"),"T",TEXT(A179,"hh:mm:ss"),'Event Info'!$B$5,",",," ",C179),"")</f>
        <v>#REF!</v>
      </c>
      <c r="G179" t="e">
        <f t="shared" si="4"/>
        <v>#REF!</v>
      </c>
      <c r="H179" s="92" t="str">
        <f t="shared" si="5"/>
        <v/>
      </c>
      <c r="I179" s="88">
        <v>0</v>
      </c>
    </row>
    <row r="180" spans="1:9">
      <c r="A180" s="76" t="e" cm="1">
        <f t="array" ref="A180">IF(OR(INDEX(#REF!,ROW()+10)="START",INDEX(#REF!,ROW()+9)="",INDEX(#REF!,ROW()+9)="START",INDEX(#REF!,ROW()+9)="TBA",INDEX(#REF!,ROW()+9)="TBC"),"",INDEX(#REF!,ROW()+9)+'Date Calculators'!$B$2+E180)</f>
        <v>#REF!</v>
      </c>
      <c r="B180" s="76" t="e" cm="1">
        <f t="array" ref="B180">IF(OR(A180=""),"",IF(INDEX(#REF!,ROW()+9)="",IF(A181="",A180+$Q$10,A181),INDEX(#REF!,ROW()+9)+'Date Calculators'!$B$2+E180))</f>
        <v>#REF!</v>
      </c>
      <c r="C180" s="74" t="e" cm="1">
        <f t="array" ref="C180">IF(A180="","",INDEX(#REF!,ROW()+9))</f>
        <v>#REF!</v>
      </c>
      <c r="D180" s="74" t="str">
        <f>IFERROR(IF(A180="","",'Event Info'!$B$2),"")</f>
        <v/>
      </c>
      <c r="E180" t="e" cm="1">
        <f t="array" ref="E180">IF(INDEX(#REF!,ROW()+9)="START",E179+1,E179+0)</f>
        <v>#REF!</v>
      </c>
      <c r="F180" s="82" t="e">
        <f>IF(A180&lt;&gt;"",_xlfn.CONCAT(TEXT(A180,"yyyy-mm-dd"),"T",TEXT(A180,"hh:mm:ss"),'Event Info'!$B$5,",",," ",C180),"")</f>
        <v>#REF!</v>
      </c>
      <c r="G180" t="e">
        <f t="shared" si="4"/>
        <v>#REF!</v>
      </c>
      <c r="H180" s="92" t="str">
        <f t="shared" si="5"/>
        <v/>
      </c>
      <c r="I180" s="88">
        <v>0</v>
      </c>
    </row>
    <row r="181" spans="1:9" ht="16.899999999999999">
      <c r="A181" s="76" t="e" cm="1">
        <f t="array" ref="A181">IF(OR(INDEX(#REF!,ROW()+10)="START",INDEX(#REF!,ROW()+9)="",INDEX(#REF!,ROW()+9)="START",INDEX(#REF!,ROW()+9)="TBA",INDEX(#REF!,ROW()+9)="TBC"),"",INDEX(#REF!,ROW()+9)+'Date Calculators'!$B$2+E181)</f>
        <v>#REF!</v>
      </c>
      <c r="B181" s="76" t="e" cm="1">
        <f t="array" ref="B181">IF(OR(A181=""),"",IF(INDEX(#REF!,ROW()+9)="",IF(A182="",A181+$Q$10,A182),INDEX(#REF!,ROW()+9)+'Date Calculators'!$B$2+E181))</f>
        <v>#REF!</v>
      </c>
      <c r="C181" s="74" t="e" cm="1">
        <f t="array" ref="C181">IF(A181="","",INDEX(#REF!,ROW()+9))</f>
        <v>#REF!</v>
      </c>
      <c r="D181" s="74" t="str">
        <f>IFERROR(IF(A181="","",'Event Info'!$B$2),"")</f>
        <v/>
      </c>
      <c r="E181" t="e" cm="1">
        <f t="array" ref="E181">IF(INDEX(#REF!,ROW()+9)="START",E180+1,E180+0)</f>
        <v>#REF!</v>
      </c>
      <c r="F181" s="82" t="e">
        <f>IF(A181&lt;&gt;"",_xlfn.CONCAT(TEXT(A181,"yyyy-mm-dd"),"T",TEXT(A181,"hh:mm:ss"),'Event Info'!$B$5,",",," ",C181),"")</f>
        <v>#REF!</v>
      </c>
      <c r="G181" t="e">
        <f t="shared" si="4"/>
        <v>#REF!</v>
      </c>
      <c r="H181" s="92" t="str">
        <f t="shared" si="5"/>
        <v/>
      </c>
      <c r="I181" s="91">
        <v>0</v>
      </c>
    </row>
    <row r="182" spans="1:9">
      <c r="A182" s="76" t="e" cm="1">
        <f t="array" ref="A182">IF(OR(INDEX(#REF!,ROW()+10)="START",INDEX(#REF!,ROW()+9)="",INDEX(#REF!,ROW()+9)="START",INDEX(#REF!,ROW()+9)="TBA",INDEX(#REF!,ROW()+9)="TBC"),"",INDEX(#REF!,ROW()+9)+'Date Calculators'!$B$2+E182)</f>
        <v>#REF!</v>
      </c>
      <c r="B182" s="76" t="e" cm="1">
        <f t="array" ref="B182">IF(OR(A182=""),"",IF(INDEX(#REF!,ROW()+9)="",IF(A183="",A182+$Q$10,A183),INDEX(#REF!,ROW()+9)+'Date Calculators'!$B$2+E182))</f>
        <v>#REF!</v>
      </c>
      <c r="C182" s="74" t="e" cm="1">
        <f t="array" ref="C182">IF(A182="","",INDEX(#REF!,ROW()+9))</f>
        <v>#REF!</v>
      </c>
      <c r="D182" s="74" t="str">
        <f>IFERROR(IF(A182="","",'Event Info'!$B$2),"")</f>
        <v/>
      </c>
      <c r="E182" t="e" cm="1">
        <f t="array" ref="E182">IF(INDEX(#REF!,ROW()+9)="START",E181+1,E181+0)</f>
        <v>#REF!</v>
      </c>
      <c r="F182" s="82" t="e">
        <f>IF(A182&lt;&gt;"",_xlfn.CONCAT(TEXT(A182,"yyyy-mm-dd"),"T",TEXT(A182,"hh:mm:ss"),'Event Info'!$B$5,",",," ",C182),"")</f>
        <v>#REF!</v>
      </c>
      <c r="G182" t="e">
        <f t="shared" si="4"/>
        <v>#REF!</v>
      </c>
      <c r="H182" s="92" t="str">
        <f t="shared" si="5"/>
        <v/>
      </c>
      <c r="I182" s="88">
        <v>0</v>
      </c>
    </row>
    <row r="183" spans="1:9">
      <c r="A183" s="76" t="e" cm="1">
        <f t="array" ref="A183">IF(OR(INDEX(#REF!,ROW()+10)="START",INDEX(#REF!,ROW()+9)="",INDEX(#REF!,ROW()+9)="START",INDEX(#REF!,ROW()+9)="TBA",INDEX(#REF!,ROW()+9)="TBC"),"",INDEX(#REF!,ROW()+9)+'Date Calculators'!$B$2+E183)</f>
        <v>#REF!</v>
      </c>
      <c r="B183" s="76" t="e" cm="1">
        <f t="array" ref="B183">IF(OR(A183=""),"",IF(INDEX(#REF!,ROW()+9)="",IF(A184="",A183+$Q$10,A184),INDEX(#REF!,ROW()+9)+'Date Calculators'!$B$2+E183))</f>
        <v>#REF!</v>
      </c>
      <c r="C183" s="74" t="e" cm="1">
        <f t="array" ref="C183">IF(A183="","",INDEX(#REF!,ROW()+9))</f>
        <v>#REF!</v>
      </c>
      <c r="D183" s="74" t="str">
        <f>IFERROR(IF(A183="","",'Event Info'!$B$2),"")</f>
        <v/>
      </c>
      <c r="E183" t="e" cm="1">
        <f t="array" ref="E183">IF(INDEX(#REF!,ROW()+9)="START",E182+1,E182+0)</f>
        <v>#REF!</v>
      </c>
      <c r="F183" s="82" t="e">
        <f>IF(A183&lt;&gt;"",_xlfn.CONCAT(TEXT(A183,"yyyy-mm-dd"),"T",TEXT(A183,"hh:mm:ss"),'Event Info'!$B$5,",",," ",C183),"")</f>
        <v>#REF!</v>
      </c>
      <c r="G183" t="e">
        <f t="shared" si="4"/>
        <v>#REF!</v>
      </c>
      <c r="H183" s="92" t="str">
        <f t="shared" si="5"/>
        <v/>
      </c>
      <c r="I183" s="88">
        <v>0</v>
      </c>
    </row>
    <row r="184" spans="1:9" ht="16.899999999999999">
      <c r="A184" s="76" t="e" cm="1">
        <f t="array" ref="A184">IF(OR(INDEX(#REF!,ROW()+10)="START",INDEX(#REF!,ROW()+9)="",INDEX(#REF!,ROW()+9)="START",INDEX(#REF!,ROW()+9)="TBA",INDEX(#REF!,ROW()+9)="TBC"),"",INDEX(#REF!,ROW()+9)+'Date Calculators'!$B$2+E184)</f>
        <v>#REF!</v>
      </c>
      <c r="B184" s="76" t="e" cm="1">
        <f t="array" ref="B184">IF(OR(A184=""),"",IF(INDEX(#REF!,ROW()+9)="",IF(A185="",A184+$Q$10,A185),INDEX(#REF!,ROW()+9)+'Date Calculators'!$B$2+E184))</f>
        <v>#REF!</v>
      </c>
      <c r="C184" s="74" t="e" cm="1">
        <f t="array" ref="C184">IF(A184="","",INDEX(#REF!,ROW()+9))</f>
        <v>#REF!</v>
      </c>
      <c r="D184" s="74" t="str">
        <f>IFERROR(IF(A184="","",'Event Info'!$B$2),"")</f>
        <v/>
      </c>
      <c r="E184" t="e" cm="1">
        <f t="array" ref="E184">IF(INDEX(#REF!,ROW()+9)="START",E183+1,E183+0)</f>
        <v>#REF!</v>
      </c>
      <c r="F184" s="82" t="e">
        <f>IF(A184&lt;&gt;"",_xlfn.CONCAT(TEXT(A184,"yyyy-mm-dd"),"T",TEXT(A184,"hh:mm:ss"),'Event Info'!$B$5,",",," ",C184),"")</f>
        <v>#REF!</v>
      </c>
      <c r="G184" t="e">
        <f t="shared" si="4"/>
        <v>#REF!</v>
      </c>
      <c r="H184" s="92" t="str">
        <f t="shared" si="5"/>
        <v/>
      </c>
      <c r="I184" s="91">
        <v>0</v>
      </c>
    </row>
    <row r="185" spans="1:9">
      <c r="A185" s="76" t="e" cm="1">
        <f t="array" ref="A185">IF(OR(INDEX(#REF!,ROW()+10)="START",INDEX(#REF!,ROW()+9)="",INDEX(#REF!,ROW()+9)="START",INDEX(#REF!,ROW()+9)="TBA",INDEX(#REF!,ROW()+9)="TBC"),"",INDEX(#REF!,ROW()+9)+'Date Calculators'!$B$2+E185)</f>
        <v>#REF!</v>
      </c>
      <c r="B185" s="76" t="e" cm="1">
        <f t="array" ref="B185">IF(OR(A185=""),"",IF(INDEX(#REF!,ROW()+9)="",IF(A186="",A185+$Q$10,A186),INDEX(#REF!,ROW()+9)+'Date Calculators'!$B$2+E185))</f>
        <v>#REF!</v>
      </c>
      <c r="C185" s="74" t="e" cm="1">
        <f t="array" ref="C185">IF(A185="","",INDEX(#REF!,ROW()+9))</f>
        <v>#REF!</v>
      </c>
      <c r="D185" s="74" t="str">
        <f>IFERROR(IF(A185="","",'Event Info'!$B$2),"")</f>
        <v/>
      </c>
      <c r="E185" t="e" cm="1">
        <f t="array" ref="E185">IF(INDEX(#REF!,ROW()+9)="START",E184+1,E184+0)</f>
        <v>#REF!</v>
      </c>
      <c r="F185" s="82" t="e">
        <f>IF(A185&lt;&gt;"",_xlfn.CONCAT(TEXT(A185,"yyyy-mm-dd"),"T",TEXT(A185,"hh:mm:ss"),'Event Info'!$B$5,",",," ",C185),"")</f>
        <v>#REF!</v>
      </c>
      <c r="G185" t="e">
        <f t="shared" si="4"/>
        <v>#REF!</v>
      </c>
      <c r="H185" s="92" t="str">
        <f t="shared" si="5"/>
        <v/>
      </c>
      <c r="I185" s="88">
        <v>0</v>
      </c>
    </row>
    <row r="186" spans="1:9">
      <c r="A186" s="76" t="e" cm="1">
        <f t="array" ref="A186">IF(OR(INDEX(#REF!,ROW()+10)="START",INDEX(#REF!,ROW()+9)="",INDEX(#REF!,ROW()+9)="START",INDEX(#REF!,ROW()+9)="TBA",INDEX(#REF!,ROW()+9)="TBC"),"",INDEX(#REF!,ROW()+9)+'Date Calculators'!$B$2+E186)</f>
        <v>#REF!</v>
      </c>
      <c r="B186" s="76" t="e" cm="1">
        <f t="array" ref="B186">IF(OR(A186=""),"",IF(INDEX(#REF!,ROW()+9)="",IF(A187="",A186+$Q$10,A187),INDEX(#REF!,ROW()+9)+'Date Calculators'!$B$2+E186))</f>
        <v>#REF!</v>
      </c>
      <c r="C186" s="74" t="e" cm="1">
        <f t="array" ref="C186">IF(A186="","",INDEX(#REF!,ROW()+9))</f>
        <v>#REF!</v>
      </c>
      <c r="D186" s="74" t="str">
        <f>IFERROR(IF(A186="","",'Event Info'!$B$2),"")</f>
        <v/>
      </c>
      <c r="E186" t="e" cm="1">
        <f t="array" ref="E186">IF(INDEX(#REF!,ROW()+9)="START",E185+1,E185+0)</f>
        <v>#REF!</v>
      </c>
      <c r="F186" s="82" t="e">
        <f>IF(A186&lt;&gt;"",_xlfn.CONCAT(TEXT(A186,"yyyy-mm-dd"),"T",TEXT(A186,"hh:mm:ss"),'Event Info'!$B$5,",",," ",C186),"")</f>
        <v>#REF!</v>
      </c>
      <c r="G186" t="e">
        <f t="shared" si="4"/>
        <v>#REF!</v>
      </c>
      <c r="H186" s="92" t="str">
        <f t="shared" si="5"/>
        <v/>
      </c>
      <c r="I186" s="88">
        <v>0</v>
      </c>
    </row>
    <row r="187" spans="1:9" ht="16.899999999999999">
      <c r="A187" s="76" t="e" cm="1">
        <f t="array" ref="A187">IF(OR(INDEX(#REF!,ROW()+10)="START",INDEX(#REF!,ROW()+9)="",INDEX(#REF!,ROW()+9)="START",INDEX(#REF!,ROW()+9)="TBA",INDEX(#REF!,ROW()+9)="TBC"),"",INDEX(#REF!,ROW()+9)+'Date Calculators'!$B$2+E187)</f>
        <v>#REF!</v>
      </c>
      <c r="B187" s="76" t="e" cm="1">
        <f t="array" ref="B187">IF(OR(A187=""),"",IF(INDEX(#REF!,ROW()+9)="",IF(A188="",A187+$Q$10,A188),INDEX(#REF!,ROW()+9)+'Date Calculators'!$B$2+E187))</f>
        <v>#REF!</v>
      </c>
      <c r="C187" s="74" t="e" cm="1">
        <f t="array" ref="C187">IF(A187="","",INDEX(#REF!,ROW()+9))</f>
        <v>#REF!</v>
      </c>
      <c r="D187" s="74" t="str">
        <f>IFERROR(IF(A187="","",'Event Info'!$B$2),"")</f>
        <v/>
      </c>
      <c r="E187" t="e" cm="1">
        <f t="array" ref="E187">IF(INDEX(#REF!,ROW()+9)="START",E186+1,E186+0)</f>
        <v>#REF!</v>
      </c>
      <c r="F187" s="82" t="e">
        <f>IF(A187&lt;&gt;"",_xlfn.CONCAT(TEXT(A187,"yyyy-mm-dd"),"T",TEXT(A187,"hh:mm:ss"),'Event Info'!$B$5,",",," ",C187),"")</f>
        <v>#REF!</v>
      </c>
      <c r="G187" t="e">
        <f t="shared" si="4"/>
        <v>#REF!</v>
      </c>
      <c r="H187" s="92" t="str">
        <f t="shared" si="5"/>
        <v/>
      </c>
      <c r="I187" s="91">
        <v>0</v>
      </c>
    </row>
    <row r="188" spans="1:9">
      <c r="A188" s="76" t="e" cm="1">
        <f t="array" ref="A188">IF(OR(INDEX(#REF!,ROW()+10)="START",INDEX(#REF!,ROW()+9)="",INDEX(#REF!,ROW()+9)="START",INDEX(#REF!,ROW()+9)="TBA",INDEX(#REF!,ROW()+9)="TBC"),"",INDEX(#REF!,ROW()+9)+'Date Calculators'!$B$2+E188)</f>
        <v>#REF!</v>
      </c>
      <c r="B188" s="76" t="e" cm="1">
        <f t="array" ref="B188">IF(OR(A188=""),"",IF(INDEX(#REF!,ROW()+9)="",IF(A189="",A188+$Q$10,A189),INDEX(#REF!,ROW()+9)+'Date Calculators'!$B$2+E188))</f>
        <v>#REF!</v>
      </c>
      <c r="C188" s="74" t="e" cm="1">
        <f t="array" ref="C188">IF(A188="","",INDEX(#REF!,ROW()+9))</f>
        <v>#REF!</v>
      </c>
      <c r="D188" s="74" t="str">
        <f>IFERROR(IF(A188="","",'Event Info'!$B$2),"")</f>
        <v/>
      </c>
      <c r="E188" t="e" cm="1">
        <f t="array" ref="E188">IF(INDEX(#REF!,ROW()+9)="START",E187+1,E187+0)</f>
        <v>#REF!</v>
      </c>
      <c r="F188" s="82" t="e">
        <f>IF(A188&lt;&gt;"",_xlfn.CONCAT(TEXT(A188,"yyyy-mm-dd"),"T",TEXT(A188,"hh:mm:ss"),'Event Info'!$B$5,",",," ",C188),"")</f>
        <v>#REF!</v>
      </c>
      <c r="G188" t="e">
        <f t="shared" si="4"/>
        <v>#REF!</v>
      </c>
      <c r="H188" s="92" t="str">
        <f t="shared" si="5"/>
        <v/>
      </c>
      <c r="I188" s="88">
        <v>0</v>
      </c>
    </row>
    <row r="189" spans="1:9">
      <c r="A189" s="76" t="e" cm="1">
        <f t="array" ref="A189">IF(OR(INDEX(#REF!,ROW()+10)="START",INDEX(#REF!,ROW()+9)="",INDEX(#REF!,ROW()+9)="START",INDEX(#REF!,ROW()+9)="TBA",INDEX(#REF!,ROW()+9)="TBC"),"",INDEX(#REF!,ROW()+9)+'Date Calculators'!$B$2+E189)</f>
        <v>#REF!</v>
      </c>
      <c r="B189" s="76" t="e" cm="1">
        <f t="array" ref="B189">IF(OR(A189=""),"",IF(INDEX(#REF!,ROW()+9)="",IF(A190="",A189+$Q$10,A190),INDEX(#REF!,ROW()+9)+'Date Calculators'!$B$2+E189))</f>
        <v>#REF!</v>
      </c>
      <c r="C189" s="74" t="e" cm="1">
        <f t="array" ref="C189">IF(A189="","",INDEX(#REF!,ROW()+9))</f>
        <v>#REF!</v>
      </c>
      <c r="D189" s="74" t="str">
        <f>IFERROR(IF(A189="","",'Event Info'!$B$2),"")</f>
        <v/>
      </c>
      <c r="E189" t="e" cm="1">
        <f t="array" ref="E189">IF(INDEX(#REF!,ROW()+9)="START",E188+1,E188+0)</f>
        <v>#REF!</v>
      </c>
      <c r="F189" s="82" t="e">
        <f>IF(A189&lt;&gt;"",_xlfn.CONCAT(TEXT(A189,"yyyy-mm-dd"),"T",TEXT(A189,"hh:mm:ss"),'Event Info'!$B$5,",",," ",C189),"")</f>
        <v>#REF!</v>
      </c>
      <c r="G189" t="e">
        <f t="shared" si="4"/>
        <v>#REF!</v>
      </c>
      <c r="H189" s="92" t="str">
        <f t="shared" si="5"/>
        <v/>
      </c>
      <c r="I189" s="88">
        <v>0</v>
      </c>
    </row>
    <row r="190" spans="1:9" ht="16.899999999999999">
      <c r="A190" s="76" t="e" cm="1">
        <f t="array" ref="A190">IF(OR(INDEX(#REF!,ROW()+10)="START",INDEX(#REF!,ROW()+9)="",INDEX(#REF!,ROW()+9)="START",INDEX(#REF!,ROW()+9)="TBA",INDEX(#REF!,ROW()+9)="TBC"),"",INDEX(#REF!,ROW()+9)+'Date Calculators'!$B$2+E190)</f>
        <v>#REF!</v>
      </c>
      <c r="B190" s="76" t="e" cm="1">
        <f t="array" ref="B190">IF(OR(A190=""),"",IF(INDEX(#REF!,ROW()+9)="",IF(A191="",A190+$Q$10,A191),INDEX(#REF!,ROW()+9)+'Date Calculators'!$B$2+E190))</f>
        <v>#REF!</v>
      </c>
      <c r="C190" s="74" t="e" cm="1">
        <f t="array" ref="C190">IF(A190="","",INDEX(#REF!,ROW()+9))</f>
        <v>#REF!</v>
      </c>
      <c r="D190" s="74" t="str">
        <f>IFERROR(IF(A190="","",'Event Info'!$B$2),"")</f>
        <v/>
      </c>
      <c r="E190" t="e" cm="1">
        <f t="array" ref="E190">IF(INDEX(#REF!,ROW()+9)="START",E189+1,E189+0)</f>
        <v>#REF!</v>
      </c>
      <c r="F190" s="82" t="e">
        <f>IF(A190&lt;&gt;"",_xlfn.CONCAT(TEXT(A190,"yyyy-mm-dd"),"T",TEXT(A190,"hh:mm:ss"),'Event Info'!$B$5,",",," ",C190),"")</f>
        <v>#REF!</v>
      </c>
      <c r="G190" t="e">
        <f t="shared" si="4"/>
        <v>#REF!</v>
      </c>
      <c r="H190" s="92" t="str">
        <f t="shared" si="5"/>
        <v/>
      </c>
      <c r="I190" s="91">
        <v>0</v>
      </c>
    </row>
    <row r="191" spans="1:9">
      <c r="A191" s="76" t="e" cm="1">
        <f t="array" ref="A191">IF(OR(INDEX(#REF!,ROW()+10)="START",INDEX(#REF!,ROW()+9)="",INDEX(#REF!,ROW()+9)="START",INDEX(#REF!,ROW()+9)="TBA",INDEX(#REF!,ROW()+9)="TBC"),"",INDEX(#REF!,ROW()+9)+'Date Calculators'!$B$2+E191)</f>
        <v>#REF!</v>
      </c>
      <c r="B191" s="76" t="e" cm="1">
        <f t="array" ref="B191">IF(OR(A191=""),"",IF(INDEX(#REF!,ROW()+9)="",IF(A192="",A191+$Q$10,A192),INDEX(#REF!,ROW()+9)+'Date Calculators'!$B$2+E191))</f>
        <v>#REF!</v>
      </c>
      <c r="C191" s="74" t="e" cm="1">
        <f t="array" ref="C191">IF(A191="","",INDEX(#REF!,ROW()+9))</f>
        <v>#REF!</v>
      </c>
      <c r="D191" s="74" t="str">
        <f>IFERROR(IF(A191="","",'Event Info'!$B$2),"")</f>
        <v/>
      </c>
      <c r="E191" t="e" cm="1">
        <f t="array" ref="E191">IF(INDEX(#REF!,ROW()+9)="START",E190+1,E190+0)</f>
        <v>#REF!</v>
      </c>
      <c r="F191" s="82" t="e">
        <f>IF(A191&lt;&gt;"",_xlfn.CONCAT(TEXT(A191,"yyyy-mm-dd"),"T",TEXT(A191,"hh:mm:ss"),'Event Info'!$B$5,",",," ",C191),"")</f>
        <v>#REF!</v>
      </c>
      <c r="G191" t="e">
        <f t="shared" si="4"/>
        <v>#REF!</v>
      </c>
      <c r="H191" s="92" t="str">
        <f t="shared" si="5"/>
        <v/>
      </c>
      <c r="I191" s="88">
        <v>0</v>
      </c>
    </row>
    <row r="192" spans="1:9">
      <c r="A192" s="76" t="e" cm="1">
        <f t="array" ref="A192">IF(OR(INDEX(#REF!,ROW()+10)="START",INDEX(#REF!,ROW()+9)="",INDEX(#REF!,ROW()+9)="START",INDEX(#REF!,ROW()+9)="TBA",INDEX(#REF!,ROW()+9)="TBC"),"",INDEX(#REF!,ROW()+9)+'Date Calculators'!$B$2+E192)</f>
        <v>#REF!</v>
      </c>
      <c r="B192" s="76" t="e" cm="1">
        <f t="array" ref="B192">IF(OR(A192=""),"",IF(INDEX(#REF!,ROW()+9)="",IF(A193="",A192+$Q$10,A193),INDEX(#REF!,ROW()+9)+'Date Calculators'!$B$2+E192))</f>
        <v>#REF!</v>
      </c>
      <c r="C192" s="74" t="e" cm="1">
        <f t="array" ref="C192">IF(A192="","",INDEX(#REF!,ROW()+9))</f>
        <v>#REF!</v>
      </c>
      <c r="D192" s="74" t="str">
        <f>IFERROR(IF(A192="","",'Event Info'!$B$2),"")</f>
        <v/>
      </c>
      <c r="E192" t="e" cm="1">
        <f t="array" ref="E192">IF(INDEX(#REF!,ROW()+9)="START",E191+1,E191+0)</f>
        <v>#REF!</v>
      </c>
      <c r="F192" s="82" t="e">
        <f>IF(A192&lt;&gt;"",_xlfn.CONCAT(TEXT(A192,"yyyy-mm-dd"),"T",TEXT(A192,"hh:mm:ss"),'Event Info'!$B$5,",",," ",C192),"")</f>
        <v>#REF!</v>
      </c>
      <c r="G192" t="e">
        <f t="shared" si="4"/>
        <v>#REF!</v>
      </c>
      <c r="H192" s="92" t="str">
        <f t="shared" si="5"/>
        <v/>
      </c>
      <c r="I192" s="88">
        <v>0</v>
      </c>
    </row>
    <row r="193" spans="1:9" ht="16.899999999999999">
      <c r="A193" s="76" t="e" cm="1">
        <f t="array" ref="A193">IF(OR(INDEX(#REF!,ROW()+10)="START",INDEX(#REF!,ROW()+9)="",INDEX(#REF!,ROW()+9)="START",INDEX(#REF!,ROW()+9)="TBA",INDEX(#REF!,ROW()+9)="TBC"),"",INDEX(#REF!,ROW()+9)+'Date Calculators'!$B$2+E193)</f>
        <v>#REF!</v>
      </c>
      <c r="B193" s="76" t="e" cm="1">
        <f t="array" ref="B193">IF(OR(A193=""),"",IF(INDEX(#REF!,ROW()+9)="",IF(A194="",A193+$Q$10,A194),INDEX(#REF!,ROW()+9)+'Date Calculators'!$B$2+E193))</f>
        <v>#REF!</v>
      </c>
      <c r="C193" s="74" t="e" cm="1">
        <f t="array" ref="C193">IF(A193="","",INDEX(#REF!,ROW()+9))</f>
        <v>#REF!</v>
      </c>
      <c r="D193" s="74" t="str">
        <f>IFERROR(IF(A193="","",'Event Info'!$B$2),"")</f>
        <v/>
      </c>
      <c r="E193" t="e" cm="1">
        <f t="array" ref="E193">IF(INDEX(#REF!,ROW()+9)="START",E192+1,E192+0)</f>
        <v>#REF!</v>
      </c>
      <c r="F193" s="82" t="e">
        <f>IF(A193&lt;&gt;"",_xlfn.CONCAT(TEXT(A193,"yyyy-mm-dd"),"T",TEXT(A193,"hh:mm:ss"),'Event Info'!$B$5,",",," ",C193),"")</f>
        <v>#REF!</v>
      </c>
      <c r="G193" t="e">
        <f t="shared" si="4"/>
        <v>#REF!</v>
      </c>
      <c r="H193" s="92" t="str">
        <f t="shared" si="5"/>
        <v/>
      </c>
      <c r="I193" s="91">
        <v>0</v>
      </c>
    </row>
    <row r="194" spans="1:9">
      <c r="A194" s="76" t="e" cm="1">
        <f t="array" ref="A194">IF(OR(INDEX(#REF!,ROW()+10)="START",INDEX(#REF!,ROW()+9)="",INDEX(#REF!,ROW()+9)="START",INDEX(#REF!,ROW()+9)="TBA",INDEX(#REF!,ROW()+9)="TBC"),"",INDEX(#REF!,ROW()+9)+'Date Calculators'!$B$2+E194)</f>
        <v>#REF!</v>
      </c>
      <c r="B194" s="76" t="e" cm="1">
        <f t="array" ref="B194">IF(OR(A194=""),"",IF(INDEX(#REF!,ROW()+9)="",IF(A195="",A194+$Q$10,A195),INDEX(#REF!,ROW()+9)+'Date Calculators'!$B$2+E194))</f>
        <v>#REF!</v>
      </c>
      <c r="C194" s="74" t="e" cm="1">
        <f t="array" ref="C194">IF(A194="","",INDEX(#REF!,ROW()+9))</f>
        <v>#REF!</v>
      </c>
      <c r="D194" s="74" t="str">
        <f>IFERROR(IF(A194="","",'Event Info'!$B$2),"")</f>
        <v/>
      </c>
      <c r="E194" t="e" cm="1">
        <f t="array" ref="E194">IF(INDEX(#REF!,ROW()+9)="START",E193+1,E193+0)</f>
        <v>#REF!</v>
      </c>
      <c r="F194" s="82" t="e">
        <f>IF(A194&lt;&gt;"",_xlfn.CONCAT(TEXT(A194,"yyyy-mm-dd"),"T",TEXT(A194,"hh:mm:ss"),'Event Info'!$B$5,",",," ",C194),"")</f>
        <v>#REF!</v>
      </c>
      <c r="G194" t="e">
        <f t="shared" si="4"/>
        <v>#REF!</v>
      </c>
      <c r="H194" s="92" t="str">
        <f t="shared" si="5"/>
        <v/>
      </c>
      <c r="I194" s="88">
        <v>0</v>
      </c>
    </row>
    <row r="195" spans="1:9">
      <c r="A195" s="76" t="e" cm="1">
        <f t="array" ref="A195">IF(OR(INDEX(#REF!,ROW()+10)="START",INDEX(#REF!,ROW()+9)="",INDEX(#REF!,ROW()+9)="START",INDEX(#REF!,ROW()+9)="TBA",INDEX(#REF!,ROW()+9)="TBC"),"",INDEX(#REF!,ROW()+9)+'Date Calculators'!$B$2+E195)</f>
        <v>#REF!</v>
      </c>
      <c r="B195" s="76" t="e" cm="1">
        <f t="array" ref="B195">IF(OR(A195=""),"",IF(INDEX(#REF!,ROW()+9)="",IF(A196="",A195+$Q$10,A196),INDEX(#REF!,ROW()+9)+'Date Calculators'!$B$2+E195))</f>
        <v>#REF!</v>
      </c>
      <c r="C195" s="74" t="e" cm="1">
        <f t="array" ref="C195">IF(A195="","",INDEX(#REF!,ROW()+9))</f>
        <v>#REF!</v>
      </c>
      <c r="D195" s="74" t="str">
        <f>IFERROR(IF(A195="","",'Event Info'!$B$2),"")</f>
        <v/>
      </c>
      <c r="E195" t="e" cm="1">
        <f t="array" ref="E195">IF(INDEX(#REF!,ROW()+9)="START",E194+1,E194+0)</f>
        <v>#REF!</v>
      </c>
      <c r="F195" s="82" t="e">
        <f>IF(A195&lt;&gt;"",_xlfn.CONCAT(TEXT(A195,"yyyy-mm-dd"),"T",TEXT(A195,"hh:mm:ss"),'Event Info'!$B$5,",",," ",C195),"")</f>
        <v>#REF!</v>
      </c>
      <c r="G195" t="e">
        <f t="shared" ref="G195:G258" si="6">G194+IF(A195&lt;&gt;"",1,0)</f>
        <v>#REF!</v>
      </c>
      <c r="H195" s="92" t="str">
        <f t="shared" si="5"/>
        <v/>
      </c>
      <c r="I195" s="88">
        <v>0</v>
      </c>
    </row>
    <row r="196" spans="1:9" ht="16.899999999999999">
      <c r="A196" s="76" t="e" cm="1">
        <f t="array" ref="A196">IF(OR(INDEX(#REF!,ROW()+10)="START",INDEX(#REF!,ROW()+9)="",INDEX(#REF!,ROW()+9)="START",INDEX(#REF!,ROW()+9)="TBA",INDEX(#REF!,ROW()+9)="TBC"),"",INDEX(#REF!,ROW()+9)+'Date Calculators'!$B$2+E196)</f>
        <v>#REF!</v>
      </c>
      <c r="B196" s="76" t="e" cm="1">
        <f t="array" ref="B196">IF(OR(A196=""),"",IF(INDEX(#REF!,ROW()+9)="",IF(A197="",A196+$Q$10,A197),INDEX(#REF!,ROW()+9)+'Date Calculators'!$B$2+E196))</f>
        <v>#REF!</v>
      </c>
      <c r="C196" s="74" t="e" cm="1">
        <f t="array" ref="C196">IF(A196="","",INDEX(#REF!,ROW()+9))</f>
        <v>#REF!</v>
      </c>
      <c r="D196" s="74" t="str">
        <f>IFERROR(IF(A196="","",'Event Info'!$B$2),"")</f>
        <v/>
      </c>
      <c r="E196" t="e" cm="1">
        <f t="array" ref="E196">IF(INDEX(#REF!,ROW()+9)="START",E195+1,E195+0)</f>
        <v>#REF!</v>
      </c>
      <c r="F196" s="82" t="e">
        <f>IF(A196&lt;&gt;"",_xlfn.CONCAT(TEXT(A196,"yyyy-mm-dd"),"T",TEXT(A196,"hh:mm:ss"),'Event Info'!$B$5,",",," ",C196),"")</f>
        <v>#REF!</v>
      </c>
      <c r="G196" t="e">
        <f t="shared" si="6"/>
        <v>#REF!</v>
      </c>
      <c r="H196" s="92" t="str">
        <f t="shared" ref="H196:H259" si="7">IFERROR(INDEX($F$2:$F$500,MATCH(ROW()-1,$G$2:$G$500,0)),"")</f>
        <v/>
      </c>
      <c r="I196" s="91">
        <v>0</v>
      </c>
    </row>
    <row r="197" spans="1:9">
      <c r="A197" s="76" t="e" cm="1">
        <f t="array" ref="A197">IF(OR(INDEX(#REF!,ROW()+10)="START",INDEX(#REF!,ROW()+9)="",INDEX(#REF!,ROW()+9)="START",INDEX(#REF!,ROW()+9)="TBA",INDEX(#REF!,ROW()+9)="TBC"),"",INDEX(#REF!,ROW()+9)+'Date Calculators'!$B$2+E197)</f>
        <v>#REF!</v>
      </c>
      <c r="B197" s="76" t="e" cm="1">
        <f t="array" ref="B197">IF(OR(A197=""),"",IF(INDEX(#REF!,ROW()+9)="",IF(A198="",A197+$Q$10,A198),INDEX(#REF!,ROW()+9)+'Date Calculators'!$B$2+E197))</f>
        <v>#REF!</v>
      </c>
      <c r="C197" s="74" t="e" cm="1">
        <f t="array" ref="C197">IF(A197="","",INDEX(#REF!,ROW()+9))</f>
        <v>#REF!</v>
      </c>
      <c r="D197" s="74" t="str">
        <f>IFERROR(IF(A197="","",'Event Info'!$B$2),"")</f>
        <v/>
      </c>
      <c r="E197" t="e" cm="1">
        <f t="array" ref="E197">IF(INDEX(#REF!,ROW()+9)="START",E196+1,E196+0)</f>
        <v>#REF!</v>
      </c>
      <c r="F197" s="82" t="e">
        <f>IF(A197&lt;&gt;"",_xlfn.CONCAT(TEXT(A197,"yyyy-mm-dd"),"T",TEXT(A197,"hh:mm:ss"),'Event Info'!$B$5,",",," ",C197),"")</f>
        <v>#REF!</v>
      </c>
      <c r="G197" t="e">
        <f t="shared" si="6"/>
        <v>#REF!</v>
      </c>
      <c r="H197" s="92" t="str">
        <f t="shared" si="7"/>
        <v/>
      </c>
      <c r="I197" s="88">
        <v>0</v>
      </c>
    </row>
    <row r="198" spans="1:9">
      <c r="A198" s="76" t="e" cm="1">
        <f t="array" ref="A198">IF(OR(INDEX(#REF!,ROW()+10)="START",INDEX(#REF!,ROW()+9)="",INDEX(#REF!,ROW()+9)="START",INDEX(#REF!,ROW()+9)="TBA",INDEX(#REF!,ROW()+9)="TBC"),"",INDEX(#REF!,ROW()+9)+'Date Calculators'!$B$2+E198)</f>
        <v>#REF!</v>
      </c>
      <c r="B198" s="76" t="e" cm="1">
        <f t="array" ref="B198">IF(OR(A198=""),"",IF(INDEX(#REF!,ROW()+9)="",IF(A199="",A198+$Q$10,A199),INDEX(#REF!,ROW()+9)+'Date Calculators'!$B$2+E198))</f>
        <v>#REF!</v>
      </c>
      <c r="C198" s="74" t="e" cm="1">
        <f t="array" ref="C198">IF(A198="","",INDEX(#REF!,ROW()+9))</f>
        <v>#REF!</v>
      </c>
      <c r="D198" s="74" t="str">
        <f>IFERROR(IF(A198="","",'Event Info'!$B$2),"")</f>
        <v/>
      </c>
      <c r="E198" t="e" cm="1">
        <f t="array" ref="E198">IF(INDEX(#REF!,ROW()+9)="START",E197+1,E197+0)</f>
        <v>#REF!</v>
      </c>
      <c r="F198" s="82" t="e">
        <f>IF(A198&lt;&gt;"",_xlfn.CONCAT(TEXT(A198,"yyyy-mm-dd"),"T",TEXT(A198,"hh:mm:ss"),'Event Info'!$B$5,",",," ",C198),"")</f>
        <v>#REF!</v>
      </c>
      <c r="G198" t="e">
        <f t="shared" si="6"/>
        <v>#REF!</v>
      </c>
      <c r="H198" s="92" t="str">
        <f t="shared" si="7"/>
        <v/>
      </c>
      <c r="I198" s="88">
        <v>0</v>
      </c>
    </row>
    <row r="199" spans="1:9" ht="16.899999999999999">
      <c r="A199" s="76" t="e" cm="1">
        <f t="array" ref="A199">IF(OR(INDEX(#REF!,ROW()+10)="START",INDEX(#REF!,ROW()+9)="",INDEX(#REF!,ROW()+9)="START",INDEX(#REF!,ROW()+9)="TBA",INDEX(#REF!,ROW()+9)="TBC"),"",INDEX(#REF!,ROW()+9)+'Date Calculators'!$B$2+E199)</f>
        <v>#REF!</v>
      </c>
      <c r="B199" s="76" t="e" cm="1">
        <f t="array" ref="B199">IF(OR(A199=""),"",IF(INDEX(#REF!,ROW()+9)="",IF(A200="",A199+$Q$10,A200),INDEX(#REF!,ROW()+9)+'Date Calculators'!$B$2+E199))</f>
        <v>#REF!</v>
      </c>
      <c r="C199" s="74" t="e" cm="1">
        <f t="array" ref="C199">IF(A199="","",INDEX(#REF!,ROW()+9))</f>
        <v>#REF!</v>
      </c>
      <c r="D199" s="74" t="str">
        <f>IFERROR(IF(A199="","",'Event Info'!$B$2),"")</f>
        <v/>
      </c>
      <c r="E199" t="e" cm="1">
        <f t="array" ref="E199">IF(INDEX(#REF!,ROW()+9)="START",E198+1,E198+0)</f>
        <v>#REF!</v>
      </c>
      <c r="F199" s="82" t="e">
        <f>IF(A199&lt;&gt;"",_xlfn.CONCAT(TEXT(A199,"yyyy-mm-dd"),"T",TEXT(A199,"hh:mm:ss"),'Event Info'!$B$5,",",," ",C199),"")</f>
        <v>#REF!</v>
      </c>
      <c r="G199" t="e">
        <f t="shared" si="6"/>
        <v>#REF!</v>
      </c>
      <c r="H199" s="92" t="str">
        <f t="shared" si="7"/>
        <v/>
      </c>
      <c r="I199" s="91">
        <v>0</v>
      </c>
    </row>
    <row r="200" spans="1:9">
      <c r="A200" s="76" t="e" cm="1">
        <f t="array" ref="A200">IF(OR(INDEX(#REF!,ROW()+10)="START",INDEX(#REF!,ROW()+9)="",INDEX(#REF!,ROW()+9)="START",INDEX(#REF!,ROW()+9)="TBA",INDEX(#REF!,ROW()+9)="TBC"),"",INDEX(#REF!,ROW()+9)+'Date Calculators'!$B$2+E200)</f>
        <v>#REF!</v>
      </c>
      <c r="B200" s="76" t="e" cm="1">
        <f t="array" ref="B200">IF(OR(A200=""),"",IF(INDEX(#REF!,ROW()+9)="",IF(A201="",A200+$Q$10,A201),INDEX(#REF!,ROW()+9)+'Date Calculators'!$B$2+E200))</f>
        <v>#REF!</v>
      </c>
      <c r="C200" s="74" t="e" cm="1">
        <f t="array" ref="C200">IF(A200="","",INDEX(#REF!,ROW()+9))</f>
        <v>#REF!</v>
      </c>
      <c r="D200" s="74" t="str">
        <f>IFERROR(IF(A200="","",'Event Info'!$B$2),"")</f>
        <v/>
      </c>
      <c r="E200" t="e" cm="1">
        <f t="array" ref="E200">IF(INDEX(#REF!,ROW()+9)="START",E199+1,E199+0)</f>
        <v>#REF!</v>
      </c>
      <c r="F200" s="82" t="e">
        <f>IF(A200&lt;&gt;"",_xlfn.CONCAT(TEXT(A200,"yyyy-mm-dd"),"T",TEXT(A200,"hh:mm:ss"),'Event Info'!$B$5,",",," ",C200),"")</f>
        <v>#REF!</v>
      </c>
      <c r="G200" t="e">
        <f t="shared" si="6"/>
        <v>#REF!</v>
      </c>
      <c r="H200" s="92" t="str">
        <f t="shared" si="7"/>
        <v/>
      </c>
      <c r="I200" s="88">
        <v>0</v>
      </c>
    </row>
    <row r="201" spans="1:9">
      <c r="A201" s="76" t="e" cm="1">
        <f t="array" ref="A201">IF(OR(INDEX(#REF!,ROW()+10)="START",INDEX(#REF!,ROW()+9)="",INDEX(#REF!,ROW()+9)="START",INDEX(#REF!,ROW()+9)="TBA",INDEX(#REF!,ROW()+9)="TBC"),"",INDEX(#REF!,ROW()+9)+'Date Calculators'!$B$2+E201)</f>
        <v>#REF!</v>
      </c>
      <c r="B201" s="76" t="e" cm="1">
        <f t="array" ref="B201">IF(OR(A201=""),"",IF(INDEX(#REF!,ROW()+9)="",IF(A202="",A201+$Q$10,A202),INDEX(#REF!,ROW()+9)+'Date Calculators'!$B$2+E201))</f>
        <v>#REF!</v>
      </c>
      <c r="C201" s="74" t="e" cm="1">
        <f t="array" ref="C201">IF(A201="","",INDEX(#REF!,ROW()+9))</f>
        <v>#REF!</v>
      </c>
      <c r="D201" s="74" t="str">
        <f>IFERROR(IF(A201="","",'Event Info'!$B$2),"")</f>
        <v/>
      </c>
      <c r="E201" t="e" cm="1">
        <f t="array" ref="E201">IF(INDEX(#REF!,ROW()+9)="START",E200+1,E200+0)</f>
        <v>#REF!</v>
      </c>
      <c r="F201" s="82" t="e">
        <f>IF(A201&lt;&gt;"",_xlfn.CONCAT(TEXT(A201,"yyyy-mm-dd"),"T",TEXT(A201,"hh:mm:ss"),'Event Info'!$B$5,",",," ",C201),"")</f>
        <v>#REF!</v>
      </c>
      <c r="G201" t="e">
        <f t="shared" si="6"/>
        <v>#REF!</v>
      </c>
      <c r="H201" s="92" t="str">
        <f t="shared" si="7"/>
        <v/>
      </c>
      <c r="I201" s="88">
        <v>0</v>
      </c>
    </row>
    <row r="202" spans="1:9" ht="16.899999999999999">
      <c r="A202" s="76" t="e" cm="1">
        <f t="array" ref="A202">IF(OR(INDEX(#REF!,ROW()+10)="START",INDEX(#REF!,ROW()+9)="",INDEX(#REF!,ROW()+9)="START",INDEX(#REF!,ROW()+9)="TBA",INDEX(#REF!,ROW()+9)="TBC"),"",INDEX(#REF!,ROW()+9)+'Date Calculators'!$B$2+E202)</f>
        <v>#REF!</v>
      </c>
      <c r="B202" s="76" t="e" cm="1">
        <f t="array" ref="B202">IF(OR(A202=""),"",IF(INDEX(#REF!,ROW()+9)="",IF(A203="",A202+$Q$10,A203),INDEX(#REF!,ROW()+9)+'Date Calculators'!$B$2+E202))</f>
        <v>#REF!</v>
      </c>
      <c r="C202" s="74" t="e" cm="1">
        <f t="array" ref="C202">IF(A202="","",INDEX(#REF!,ROW()+9))</f>
        <v>#REF!</v>
      </c>
      <c r="D202" s="74" t="str">
        <f>IFERROR(IF(A202="","",'Event Info'!$B$2),"")</f>
        <v/>
      </c>
      <c r="E202" t="e" cm="1">
        <f t="array" ref="E202">IF(INDEX(#REF!,ROW()+9)="START",E201+1,E201+0)</f>
        <v>#REF!</v>
      </c>
      <c r="F202" s="82" t="e">
        <f>IF(A202&lt;&gt;"",_xlfn.CONCAT(TEXT(A202,"yyyy-mm-dd"),"T",TEXT(A202,"hh:mm:ss"),'Event Info'!$B$5,",",," ",C202),"")</f>
        <v>#REF!</v>
      </c>
      <c r="G202" t="e">
        <f t="shared" si="6"/>
        <v>#REF!</v>
      </c>
      <c r="H202" s="92" t="str">
        <f t="shared" si="7"/>
        <v/>
      </c>
      <c r="I202" s="91">
        <v>0</v>
      </c>
    </row>
    <row r="203" spans="1:9">
      <c r="A203" s="76" t="e" cm="1">
        <f t="array" ref="A203">IF(OR(INDEX(#REF!,ROW()+10)="START",INDEX(#REF!,ROW()+9)="",INDEX(#REF!,ROW()+9)="START",INDEX(#REF!,ROW()+9)="TBA",INDEX(#REF!,ROW()+9)="TBC"),"",INDEX(#REF!,ROW()+9)+'Date Calculators'!$B$2+E203)</f>
        <v>#REF!</v>
      </c>
      <c r="B203" s="76" t="e" cm="1">
        <f t="array" ref="B203">IF(OR(A203=""),"",IF(INDEX(#REF!,ROW()+9)="",IF(A204="",A203+$Q$10,A204),INDEX(#REF!,ROW()+9)+'Date Calculators'!$B$2+E203))</f>
        <v>#REF!</v>
      </c>
      <c r="C203" s="74" t="e" cm="1">
        <f t="array" ref="C203">IF(A203="","",INDEX(#REF!,ROW()+9))</f>
        <v>#REF!</v>
      </c>
      <c r="D203" s="74" t="str">
        <f>IFERROR(IF(A203="","",'Event Info'!$B$2),"")</f>
        <v/>
      </c>
      <c r="E203" t="e" cm="1">
        <f t="array" ref="E203">IF(INDEX(#REF!,ROW()+9)="START",E202+1,E202+0)</f>
        <v>#REF!</v>
      </c>
      <c r="F203" s="82" t="e">
        <f>IF(A203&lt;&gt;"",_xlfn.CONCAT(TEXT(A203,"yyyy-mm-dd"),"T",TEXT(A203,"hh:mm:ss"),'Event Info'!$B$5,",",," ",C203),"")</f>
        <v>#REF!</v>
      </c>
      <c r="G203" t="e">
        <f t="shared" si="6"/>
        <v>#REF!</v>
      </c>
      <c r="H203" s="92" t="str">
        <f t="shared" si="7"/>
        <v/>
      </c>
      <c r="I203" s="88">
        <v>0</v>
      </c>
    </row>
    <row r="204" spans="1:9">
      <c r="A204" s="76" t="e" cm="1">
        <f t="array" ref="A204">IF(OR(INDEX(#REF!,ROW()+10)="START",INDEX(#REF!,ROW()+9)="",INDEX(#REF!,ROW()+9)="START",INDEX(#REF!,ROW()+9)="TBA",INDEX(#REF!,ROW()+9)="TBC"),"",INDEX(#REF!,ROW()+9)+'Date Calculators'!$B$2+E204)</f>
        <v>#REF!</v>
      </c>
      <c r="B204" s="76" t="e" cm="1">
        <f t="array" ref="B204">IF(OR(A204=""),"",IF(INDEX(#REF!,ROW()+9)="",IF(A205="",A204+$Q$10,A205),INDEX(#REF!,ROW()+9)+'Date Calculators'!$B$2+E204))</f>
        <v>#REF!</v>
      </c>
      <c r="C204" s="74" t="e" cm="1">
        <f t="array" ref="C204">IF(A204="","",INDEX(#REF!,ROW()+9))</f>
        <v>#REF!</v>
      </c>
      <c r="D204" s="74" t="str">
        <f>IFERROR(IF(A204="","",'Event Info'!$B$2),"")</f>
        <v/>
      </c>
      <c r="E204" t="e" cm="1">
        <f t="array" ref="E204">IF(INDEX(#REF!,ROW()+9)="START",E203+1,E203+0)</f>
        <v>#REF!</v>
      </c>
      <c r="F204" s="82" t="e">
        <f>IF(A204&lt;&gt;"",_xlfn.CONCAT(TEXT(A204,"yyyy-mm-dd"),"T",TEXT(A204,"hh:mm:ss"),'Event Info'!$B$5,",",," ",C204),"")</f>
        <v>#REF!</v>
      </c>
      <c r="G204" t="e">
        <f t="shared" si="6"/>
        <v>#REF!</v>
      </c>
      <c r="H204" s="92" t="str">
        <f t="shared" si="7"/>
        <v/>
      </c>
      <c r="I204" s="88">
        <v>0</v>
      </c>
    </row>
    <row r="205" spans="1:9" ht="16.899999999999999">
      <c r="A205" s="76" t="e" cm="1">
        <f t="array" ref="A205">IF(OR(INDEX(#REF!,ROW()+10)="START",INDEX(#REF!,ROW()+9)="",INDEX(#REF!,ROW()+9)="START",INDEX(#REF!,ROW()+9)="TBA",INDEX(#REF!,ROW()+9)="TBC"),"",INDEX(#REF!,ROW()+9)+'Date Calculators'!$B$2+E205)</f>
        <v>#REF!</v>
      </c>
      <c r="B205" s="76" t="e" cm="1">
        <f t="array" ref="B205">IF(OR(A205=""),"",IF(INDEX(#REF!,ROW()+9)="",IF(A206="",A205+$Q$10,A206),INDEX(#REF!,ROW()+9)+'Date Calculators'!$B$2+E205))</f>
        <v>#REF!</v>
      </c>
      <c r="C205" s="74" t="e" cm="1">
        <f t="array" ref="C205">IF(A205="","",INDEX(#REF!,ROW()+9))</f>
        <v>#REF!</v>
      </c>
      <c r="D205" s="74" t="str">
        <f>IFERROR(IF(A205="","",'Event Info'!$B$2),"")</f>
        <v/>
      </c>
      <c r="E205" t="e" cm="1">
        <f t="array" ref="E205">IF(INDEX(#REF!,ROW()+9)="START",E204+1,E204+0)</f>
        <v>#REF!</v>
      </c>
      <c r="F205" s="82" t="e">
        <f>IF(A205&lt;&gt;"",_xlfn.CONCAT(TEXT(A205,"yyyy-mm-dd"),"T",TEXT(A205,"hh:mm:ss"),'Event Info'!$B$5,",",," ",C205),"")</f>
        <v>#REF!</v>
      </c>
      <c r="G205" t="e">
        <f t="shared" si="6"/>
        <v>#REF!</v>
      </c>
      <c r="H205" s="92" t="str">
        <f t="shared" si="7"/>
        <v/>
      </c>
      <c r="I205" s="91">
        <v>0</v>
      </c>
    </row>
    <row r="206" spans="1:9">
      <c r="A206" s="76" t="e" cm="1">
        <f t="array" ref="A206">IF(OR(INDEX(#REF!,ROW()+10)="START",INDEX(#REF!,ROW()+9)="",INDEX(#REF!,ROW()+9)="START",INDEX(#REF!,ROW()+9)="TBA",INDEX(#REF!,ROW()+9)="TBC"),"",INDEX(#REF!,ROW()+9)+'Date Calculators'!$B$2+E206)</f>
        <v>#REF!</v>
      </c>
      <c r="B206" s="76" t="e" cm="1">
        <f t="array" ref="B206">IF(OR(A206=""),"",IF(INDEX(#REF!,ROW()+9)="",IF(A207="",A206+$Q$10,A207),INDEX(#REF!,ROW()+9)+'Date Calculators'!$B$2+E206))</f>
        <v>#REF!</v>
      </c>
      <c r="C206" s="74" t="e" cm="1">
        <f t="array" ref="C206">IF(A206="","",INDEX(#REF!,ROW()+9))</f>
        <v>#REF!</v>
      </c>
      <c r="D206" s="74" t="str">
        <f>IFERROR(IF(A206="","",'Event Info'!$B$2),"")</f>
        <v/>
      </c>
      <c r="E206" t="e" cm="1">
        <f t="array" ref="E206">IF(INDEX(#REF!,ROW()+9)="START",E205+1,E205+0)</f>
        <v>#REF!</v>
      </c>
      <c r="F206" s="82" t="e">
        <f>IF(A206&lt;&gt;"",_xlfn.CONCAT(TEXT(A206,"yyyy-mm-dd"),"T",TEXT(A206,"hh:mm:ss"),'Event Info'!$B$5,",",," ",C206),"")</f>
        <v>#REF!</v>
      </c>
      <c r="G206" t="e">
        <f t="shared" si="6"/>
        <v>#REF!</v>
      </c>
      <c r="H206" s="92" t="str">
        <f t="shared" si="7"/>
        <v/>
      </c>
      <c r="I206" s="88">
        <v>0</v>
      </c>
    </row>
    <row r="207" spans="1:9">
      <c r="A207" s="76" t="e" cm="1">
        <f t="array" ref="A207">IF(OR(INDEX(#REF!,ROW()+10)="START",INDEX(#REF!,ROW()+9)="",INDEX(#REF!,ROW()+9)="START",INDEX(#REF!,ROW()+9)="TBA",INDEX(#REF!,ROW()+9)="TBC"),"",INDEX(#REF!,ROW()+9)+'Date Calculators'!$B$2+E207)</f>
        <v>#REF!</v>
      </c>
      <c r="B207" s="76" t="e" cm="1">
        <f t="array" ref="B207">IF(OR(A207=""),"",IF(INDEX(#REF!,ROW()+9)="",IF(A208="",A207+$Q$10,A208),INDEX(#REF!,ROW()+9)+'Date Calculators'!$B$2+E207))</f>
        <v>#REF!</v>
      </c>
      <c r="C207" s="74" t="e" cm="1">
        <f t="array" ref="C207">IF(A207="","",INDEX(#REF!,ROW()+9))</f>
        <v>#REF!</v>
      </c>
      <c r="D207" s="74" t="str">
        <f>IFERROR(IF(A207="","",'Event Info'!$B$2),"")</f>
        <v/>
      </c>
      <c r="E207" t="e" cm="1">
        <f t="array" ref="E207">IF(INDEX(#REF!,ROW()+9)="START",E206+1,E206+0)</f>
        <v>#REF!</v>
      </c>
      <c r="F207" s="82" t="e">
        <f>IF(A207&lt;&gt;"",_xlfn.CONCAT(TEXT(A207,"yyyy-mm-dd"),"T",TEXT(A207,"hh:mm:ss"),'Event Info'!$B$5,",",," ",C207),"")</f>
        <v>#REF!</v>
      </c>
      <c r="G207" t="e">
        <f t="shared" si="6"/>
        <v>#REF!</v>
      </c>
      <c r="H207" s="92" t="str">
        <f t="shared" si="7"/>
        <v/>
      </c>
      <c r="I207" s="88">
        <v>0</v>
      </c>
    </row>
    <row r="208" spans="1:9" ht="16.899999999999999">
      <c r="A208" s="76" t="e" cm="1">
        <f t="array" ref="A208">IF(OR(INDEX(#REF!,ROW()+10)="START",INDEX(#REF!,ROW()+9)="",INDEX(#REF!,ROW()+9)="START",INDEX(#REF!,ROW()+9)="TBA",INDEX(#REF!,ROW()+9)="TBC"),"",INDEX(#REF!,ROW()+9)+'Date Calculators'!$B$2+E208)</f>
        <v>#REF!</v>
      </c>
      <c r="B208" s="76" t="e" cm="1">
        <f t="array" ref="B208">IF(OR(A208=""),"",IF(INDEX(#REF!,ROW()+9)="",IF(A209="",A208+$Q$10,A209),INDEX(#REF!,ROW()+9)+'Date Calculators'!$B$2+E208))</f>
        <v>#REF!</v>
      </c>
      <c r="C208" s="74" t="e" cm="1">
        <f t="array" ref="C208">IF(A208="","",INDEX(#REF!,ROW()+9))</f>
        <v>#REF!</v>
      </c>
      <c r="D208" s="74" t="str">
        <f>IFERROR(IF(A208="","",'Event Info'!$B$2),"")</f>
        <v/>
      </c>
      <c r="E208" t="e" cm="1">
        <f t="array" ref="E208">IF(INDEX(#REF!,ROW()+9)="START",E207+1,E207+0)</f>
        <v>#REF!</v>
      </c>
      <c r="F208" s="82" t="e">
        <f>IF(A208&lt;&gt;"",_xlfn.CONCAT(TEXT(A208,"yyyy-mm-dd"),"T",TEXT(A208,"hh:mm:ss"),'Event Info'!$B$5,",",," ",C208),"")</f>
        <v>#REF!</v>
      </c>
      <c r="G208" t="e">
        <f t="shared" si="6"/>
        <v>#REF!</v>
      </c>
      <c r="H208" s="92" t="str">
        <f t="shared" si="7"/>
        <v/>
      </c>
      <c r="I208" s="91">
        <v>0</v>
      </c>
    </row>
    <row r="209" spans="1:9">
      <c r="A209" s="76" t="e" cm="1">
        <f t="array" ref="A209">IF(OR(INDEX(#REF!,ROW()+10)="START",INDEX(#REF!,ROW()+9)="",INDEX(#REF!,ROW()+9)="START",INDEX(#REF!,ROW()+9)="TBA",INDEX(#REF!,ROW()+9)="TBC"),"",INDEX(#REF!,ROW()+9)+'Date Calculators'!$B$2+E209)</f>
        <v>#REF!</v>
      </c>
      <c r="B209" s="76" t="e" cm="1">
        <f t="array" ref="B209">IF(OR(A209=""),"",IF(INDEX(#REF!,ROW()+9)="",IF(A210="",A209+$Q$10,A210),INDEX(#REF!,ROW()+9)+'Date Calculators'!$B$2+E209))</f>
        <v>#REF!</v>
      </c>
      <c r="C209" s="74" t="e" cm="1">
        <f t="array" ref="C209">IF(A209="","",INDEX(#REF!,ROW()+9))</f>
        <v>#REF!</v>
      </c>
      <c r="D209" s="74" t="str">
        <f>IFERROR(IF(A209="","",'Event Info'!$B$2),"")</f>
        <v/>
      </c>
      <c r="E209" t="e" cm="1">
        <f t="array" ref="E209">IF(INDEX(#REF!,ROW()+9)="START",E208+1,E208+0)</f>
        <v>#REF!</v>
      </c>
      <c r="F209" s="82" t="e">
        <f>IF(A209&lt;&gt;"",_xlfn.CONCAT(TEXT(A209,"yyyy-mm-dd"),"T",TEXT(A209,"hh:mm:ss"),'Event Info'!$B$5,",",," ",C209),"")</f>
        <v>#REF!</v>
      </c>
      <c r="G209" t="e">
        <f t="shared" si="6"/>
        <v>#REF!</v>
      </c>
      <c r="H209" s="92" t="str">
        <f t="shared" si="7"/>
        <v/>
      </c>
      <c r="I209" s="88">
        <v>0</v>
      </c>
    </row>
    <row r="210" spans="1:9">
      <c r="A210" s="76" t="e" cm="1">
        <f t="array" ref="A210">IF(OR(INDEX(#REF!,ROW()+10)="START",INDEX(#REF!,ROW()+9)="",INDEX(#REF!,ROW()+9)="START",INDEX(#REF!,ROW()+9)="TBA",INDEX(#REF!,ROW()+9)="TBC"),"",INDEX(#REF!,ROW()+9)+'Date Calculators'!$B$2+E210)</f>
        <v>#REF!</v>
      </c>
      <c r="B210" s="76" t="e" cm="1">
        <f t="array" ref="B210">IF(OR(A210=""),"",IF(INDEX(#REF!,ROW()+9)="",IF(A211="",A210+$Q$10,A211),INDEX(#REF!,ROW()+9)+'Date Calculators'!$B$2+E210))</f>
        <v>#REF!</v>
      </c>
      <c r="C210" s="74" t="e" cm="1">
        <f t="array" ref="C210">IF(A210="","",INDEX(#REF!,ROW()+9))</f>
        <v>#REF!</v>
      </c>
      <c r="D210" s="74" t="str">
        <f>IFERROR(IF(A210="","",'Event Info'!$B$2),"")</f>
        <v/>
      </c>
      <c r="E210" t="e" cm="1">
        <f t="array" ref="E210">IF(INDEX(#REF!,ROW()+9)="START",E209+1,E209+0)</f>
        <v>#REF!</v>
      </c>
      <c r="F210" s="82" t="e">
        <f>IF(A210&lt;&gt;"",_xlfn.CONCAT(TEXT(A210,"yyyy-mm-dd"),"T",TEXT(A210,"hh:mm:ss"),'Event Info'!$B$5,",",," ",C210),"")</f>
        <v>#REF!</v>
      </c>
      <c r="G210" t="e">
        <f t="shared" si="6"/>
        <v>#REF!</v>
      </c>
      <c r="H210" s="92" t="str">
        <f t="shared" si="7"/>
        <v/>
      </c>
      <c r="I210" s="88">
        <v>0</v>
      </c>
    </row>
    <row r="211" spans="1:9" ht="16.899999999999999">
      <c r="A211" s="76" t="e" cm="1">
        <f t="array" ref="A211">IF(OR(INDEX(#REF!,ROW()+10)="START",INDEX(#REF!,ROW()+9)="",INDEX(#REF!,ROW()+9)="START",INDEX(#REF!,ROW()+9)="TBA",INDEX(#REF!,ROW()+9)="TBC"),"",INDEX(#REF!,ROW()+9)+'Date Calculators'!$B$2+E211)</f>
        <v>#REF!</v>
      </c>
      <c r="B211" s="76" t="e" cm="1">
        <f t="array" ref="B211">IF(OR(A211=""),"",IF(INDEX(#REF!,ROW()+9)="",IF(A212="",A211+$Q$10,A212),INDEX(#REF!,ROW()+9)+'Date Calculators'!$B$2+E211))</f>
        <v>#REF!</v>
      </c>
      <c r="C211" s="74" t="e" cm="1">
        <f t="array" ref="C211">IF(A211="","",INDEX(#REF!,ROW()+9))</f>
        <v>#REF!</v>
      </c>
      <c r="D211" s="74" t="str">
        <f>IFERROR(IF(A211="","",'Event Info'!$B$2),"")</f>
        <v/>
      </c>
      <c r="E211" t="e" cm="1">
        <f t="array" ref="E211">IF(INDEX(#REF!,ROW()+9)="START",E210+1,E210+0)</f>
        <v>#REF!</v>
      </c>
      <c r="F211" s="82" t="e">
        <f>IF(A211&lt;&gt;"",_xlfn.CONCAT(TEXT(A211,"yyyy-mm-dd"),"T",TEXT(A211,"hh:mm:ss"),'Event Info'!$B$5,",",," ",C211),"")</f>
        <v>#REF!</v>
      </c>
      <c r="G211" t="e">
        <f t="shared" si="6"/>
        <v>#REF!</v>
      </c>
      <c r="H211" s="92" t="str">
        <f t="shared" si="7"/>
        <v/>
      </c>
      <c r="I211" s="91">
        <v>0</v>
      </c>
    </row>
    <row r="212" spans="1:9">
      <c r="A212" s="76" t="e" cm="1">
        <f t="array" ref="A212">IF(OR(INDEX(#REF!,ROW()+10)="START",INDEX(#REF!,ROW()+9)="",INDEX(#REF!,ROW()+9)="START",INDEX(#REF!,ROW()+9)="TBA",INDEX(#REF!,ROW()+9)="TBC"),"",INDEX(#REF!,ROW()+9)+'Date Calculators'!$B$2+E212)</f>
        <v>#REF!</v>
      </c>
      <c r="B212" s="76" t="e" cm="1">
        <f t="array" ref="B212">IF(OR(A212=""),"",IF(INDEX(#REF!,ROW()+9)="",IF(A213="",A212+$Q$10,A213),INDEX(#REF!,ROW()+9)+'Date Calculators'!$B$2+E212))</f>
        <v>#REF!</v>
      </c>
      <c r="C212" s="74" t="e" cm="1">
        <f t="array" ref="C212">IF(A212="","",INDEX(#REF!,ROW()+9))</f>
        <v>#REF!</v>
      </c>
      <c r="D212" s="74" t="str">
        <f>IFERROR(IF(A212="","",'Event Info'!$B$2),"")</f>
        <v/>
      </c>
      <c r="E212" t="e" cm="1">
        <f t="array" ref="E212">IF(INDEX(#REF!,ROW()+9)="START",E211+1,E211+0)</f>
        <v>#REF!</v>
      </c>
      <c r="F212" s="82" t="e">
        <f>IF(A212&lt;&gt;"",_xlfn.CONCAT(TEXT(A212,"yyyy-mm-dd"),"T",TEXT(A212,"hh:mm:ss"),'Event Info'!$B$5,",",," ",C212),"")</f>
        <v>#REF!</v>
      </c>
      <c r="G212" t="e">
        <f t="shared" si="6"/>
        <v>#REF!</v>
      </c>
      <c r="H212" s="92" t="str">
        <f t="shared" si="7"/>
        <v/>
      </c>
      <c r="I212" s="88">
        <v>0</v>
      </c>
    </row>
    <row r="213" spans="1:9">
      <c r="A213" s="76" t="e" cm="1">
        <f t="array" ref="A213">IF(OR(INDEX(#REF!,ROW()+10)="START",INDEX(#REF!,ROW()+9)="",INDEX(#REF!,ROW()+9)="START",INDEX(#REF!,ROW()+9)="TBA",INDEX(#REF!,ROW()+9)="TBC"),"",INDEX(#REF!,ROW()+9)+'Date Calculators'!$B$2+E213)</f>
        <v>#REF!</v>
      </c>
      <c r="B213" s="76" t="e" cm="1">
        <f t="array" ref="B213">IF(OR(A213=""),"",IF(INDEX(#REF!,ROW()+9)="",IF(A214="",A213+$Q$10,A214),INDEX(#REF!,ROW()+9)+'Date Calculators'!$B$2+E213))</f>
        <v>#REF!</v>
      </c>
      <c r="C213" s="74" t="e" cm="1">
        <f t="array" ref="C213">IF(A213="","",INDEX(#REF!,ROW()+9))</f>
        <v>#REF!</v>
      </c>
      <c r="D213" s="74" t="str">
        <f>IFERROR(IF(A213="","",'Event Info'!$B$2),"")</f>
        <v/>
      </c>
      <c r="E213" t="e" cm="1">
        <f t="array" ref="E213">IF(INDEX(#REF!,ROW()+9)="START",E212+1,E212+0)</f>
        <v>#REF!</v>
      </c>
      <c r="F213" s="82" t="e">
        <f>IF(A213&lt;&gt;"",_xlfn.CONCAT(TEXT(A213,"yyyy-mm-dd"),"T",TEXT(A213,"hh:mm:ss"),'Event Info'!$B$5,",",," ",C213),"")</f>
        <v>#REF!</v>
      </c>
      <c r="G213" t="e">
        <f t="shared" si="6"/>
        <v>#REF!</v>
      </c>
      <c r="H213" s="92" t="str">
        <f t="shared" si="7"/>
        <v/>
      </c>
      <c r="I213" s="88">
        <v>0</v>
      </c>
    </row>
    <row r="214" spans="1:9" ht="16.899999999999999">
      <c r="A214" s="76" t="e" cm="1">
        <f t="array" ref="A214">IF(OR(INDEX(#REF!,ROW()+10)="START",INDEX(#REF!,ROW()+9)="",INDEX(#REF!,ROW()+9)="START",INDEX(#REF!,ROW()+9)="TBA",INDEX(#REF!,ROW()+9)="TBC"),"",INDEX(#REF!,ROW()+9)+'Date Calculators'!$B$2+E214)</f>
        <v>#REF!</v>
      </c>
      <c r="B214" s="76" t="e" cm="1">
        <f t="array" ref="B214">IF(OR(A214=""),"",IF(INDEX(#REF!,ROW()+9)="",IF(A215="",A214+$Q$10,A215),INDEX(#REF!,ROW()+9)+'Date Calculators'!$B$2+E214))</f>
        <v>#REF!</v>
      </c>
      <c r="C214" s="74" t="e" cm="1">
        <f t="array" ref="C214">IF(A214="","",INDEX(#REF!,ROW()+9))</f>
        <v>#REF!</v>
      </c>
      <c r="D214" s="74" t="str">
        <f>IFERROR(IF(A214="","",'Event Info'!$B$2),"")</f>
        <v/>
      </c>
      <c r="E214" t="e" cm="1">
        <f t="array" ref="E214">IF(INDEX(#REF!,ROW()+9)="START",E213+1,E213+0)</f>
        <v>#REF!</v>
      </c>
      <c r="F214" s="82" t="e">
        <f>IF(A214&lt;&gt;"",_xlfn.CONCAT(TEXT(A214,"yyyy-mm-dd"),"T",TEXT(A214,"hh:mm:ss"),'Event Info'!$B$5,",",," ",C214),"")</f>
        <v>#REF!</v>
      </c>
      <c r="G214" t="e">
        <f t="shared" si="6"/>
        <v>#REF!</v>
      </c>
      <c r="H214" s="92" t="str">
        <f t="shared" si="7"/>
        <v/>
      </c>
      <c r="I214" s="91">
        <v>0</v>
      </c>
    </row>
    <row r="215" spans="1:9">
      <c r="A215" s="76" t="e" cm="1">
        <f t="array" ref="A215">IF(OR(INDEX(#REF!,ROW()+10)="START",INDEX(#REF!,ROW()+9)="",INDEX(#REF!,ROW()+9)="START",INDEX(#REF!,ROW()+9)="TBA",INDEX(#REF!,ROW()+9)="TBC"),"",INDEX(#REF!,ROW()+9)+'Date Calculators'!$B$2+E215)</f>
        <v>#REF!</v>
      </c>
      <c r="B215" s="76" t="e" cm="1">
        <f t="array" ref="B215">IF(OR(A215=""),"",IF(INDEX(#REF!,ROW()+9)="",IF(A216="",A215+$Q$10,A216),INDEX(#REF!,ROW()+9)+'Date Calculators'!$B$2+E215))</f>
        <v>#REF!</v>
      </c>
      <c r="C215" s="74" t="e" cm="1">
        <f t="array" ref="C215">IF(A215="","",INDEX(#REF!,ROW()+9))</f>
        <v>#REF!</v>
      </c>
      <c r="D215" s="74" t="str">
        <f>IFERROR(IF(A215="","",'Event Info'!$B$2),"")</f>
        <v/>
      </c>
      <c r="E215" t="e" cm="1">
        <f t="array" ref="E215">IF(INDEX(#REF!,ROW()+9)="START",E214+1,E214+0)</f>
        <v>#REF!</v>
      </c>
      <c r="F215" s="82" t="e">
        <f>IF(A215&lt;&gt;"",_xlfn.CONCAT(TEXT(A215,"yyyy-mm-dd"),"T",TEXT(A215,"hh:mm:ss"),'Event Info'!$B$5,",",," ",C215),"")</f>
        <v>#REF!</v>
      </c>
      <c r="G215" t="e">
        <f t="shared" si="6"/>
        <v>#REF!</v>
      </c>
      <c r="H215" s="92" t="str">
        <f t="shared" si="7"/>
        <v/>
      </c>
      <c r="I215" s="88">
        <v>0</v>
      </c>
    </row>
    <row r="216" spans="1:9">
      <c r="A216" s="76" t="e" cm="1">
        <f t="array" ref="A216">IF(OR(INDEX(#REF!,ROW()+10)="START",INDEX(#REF!,ROW()+9)="",INDEX(#REF!,ROW()+9)="START",INDEX(#REF!,ROW()+9)="TBA",INDEX(#REF!,ROW()+9)="TBC"),"",INDEX(#REF!,ROW()+9)+'Date Calculators'!$B$2+E216)</f>
        <v>#REF!</v>
      </c>
      <c r="B216" s="76" t="e" cm="1">
        <f t="array" ref="B216">IF(OR(A216=""),"",IF(INDEX(#REF!,ROW()+9)="",IF(A217="",A216+$Q$10,A217),INDEX(#REF!,ROW()+9)+'Date Calculators'!$B$2+E216))</f>
        <v>#REF!</v>
      </c>
      <c r="C216" s="74" t="e" cm="1">
        <f t="array" ref="C216">IF(A216="","",INDEX(#REF!,ROW()+9))</f>
        <v>#REF!</v>
      </c>
      <c r="D216" s="74" t="str">
        <f>IFERROR(IF(A216="","",'Event Info'!$B$2),"")</f>
        <v/>
      </c>
      <c r="E216" t="e" cm="1">
        <f t="array" ref="E216">IF(INDEX(#REF!,ROW()+9)="START",E215+1,E215+0)</f>
        <v>#REF!</v>
      </c>
      <c r="F216" s="82" t="e">
        <f>IF(A216&lt;&gt;"",_xlfn.CONCAT(TEXT(A216,"yyyy-mm-dd"),"T",TEXT(A216,"hh:mm:ss"),'Event Info'!$B$5,",",," ",C216),"")</f>
        <v>#REF!</v>
      </c>
      <c r="G216" t="e">
        <f t="shared" si="6"/>
        <v>#REF!</v>
      </c>
      <c r="H216" s="92" t="str">
        <f t="shared" si="7"/>
        <v/>
      </c>
      <c r="I216" s="88">
        <v>0</v>
      </c>
    </row>
    <row r="217" spans="1:9" ht="16.899999999999999">
      <c r="A217" s="76" t="e" cm="1">
        <f t="array" ref="A217">IF(OR(INDEX(#REF!,ROW()+10)="START",INDEX(#REF!,ROW()+9)="",INDEX(#REF!,ROW()+9)="START",INDEX(#REF!,ROW()+9)="TBA",INDEX(#REF!,ROW()+9)="TBC"),"",INDEX(#REF!,ROW()+9)+'Date Calculators'!$B$2+E217)</f>
        <v>#REF!</v>
      </c>
      <c r="B217" s="76" t="e" cm="1">
        <f t="array" ref="B217">IF(OR(A217=""),"",IF(INDEX(#REF!,ROW()+9)="",IF(A218="",A217+$Q$10,A218),INDEX(#REF!,ROW()+9)+'Date Calculators'!$B$2+E217))</f>
        <v>#REF!</v>
      </c>
      <c r="C217" s="74" t="e" cm="1">
        <f t="array" ref="C217">IF(A217="","",INDEX(#REF!,ROW()+9))</f>
        <v>#REF!</v>
      </c>
      <c r="D217" s="74" t="str">
        <f>IFERROR(IF(A217="","",'Event Info'!$B$2),"")</f>
        <v/>
      </c>
      <c r="E217" t="e" cm="1">
        <f t="array" ref="E217">IF(INDEX(#REF!,ROW()+9)="START",E216+1,E216+0)</f>
        <v>#REF!</v>
      </c>
      <c r="F217" s="82" t="e">
        <f>IF(A217&lt;&gt;"",_xlfn.CONCAT(TEXT(A217,"yyyy-mm-dd"),"T",TEXT(A217,"hh:mm:ss"),'Event Info'!$B$5,",",," ",C217),"")</f>
        <v>#REF!</v>
      </c>
      <c r="G217" t="e">
        <f t="shared" si="6"/>
        <v>#REF!</v>
      </c>
      <c r="H217" s="92" t="str">
        <f t="shared" si="7"/>
        <v/>
      </c>
      <c r="I217" s="91">
        <v>0</v>
      </c>
    </row>
    <row r="218" spans="1:9">
      <c r="A218" s="76" t="e" cm="1">
        <f t="array" ref="A218">IF(OR(INDEX(#REF!,ROW()+10)="START",INDEX(#REF!,ROW()+9)="",INDEX(#REF!,ROW()+9)="START",INDEX(#REF!,ROW()+9)="TBA",INDEX(#REF!,ROW()+9)="TBC"),"",INDEX(#REF!,ROW()+9)+'Date Calculators'!$B$2+E218)</f>
        <v>#REF!</v>
      </c>
      <c r="B218" s="76" t="e" cm="1">
        <f t="array" ref="B218">IF(OR(A218=""),"",IF(INDEX(#REF!,ROW()+9)="",IF(A219="",A218+$Q$10,A219),INDEX(#REF!,ROW()+9)+'Date Calculators'!$B$2+E218))</f>
        <v>#REF!</v>
      </c>
      <c r="C218" s="74" t="e" cm="1">
        <f t="array" ref="C218">IF(A218="","",INDEX(#REF!,ROW()+9))</f>
        <v>#REF!</v>
      </c>
      <c r="D218" s="74" t="str">
        <f>IFERROR(IF(A218="","",'Event Info'!$B$2),"")</f>
        <v/>
      </c>
      <c r="E218" t="e" cm="1">
        <f t="array" ref="E218">IF(INDEX(#REF!,ROW()+9)="START",E217+1,E217+0)</f>
        <v>#REF!</v>
      </c>
      <c r="F218" s="82" t="e">
        <f>IF(A218&lt;&gt;"",_xlfn.CONCAT(TEXT(A218,"yyyy-mm-dd"),"T",TEXT(A218,"hh:mm:ss"),'Event Info'!$B$5,",",," ",C218),"")</f>
        <v>#REF!</v>
      </c>
      <c r="G218" t="e">
        <f t="shared" si="6"/>
        <v>#REF!</v>
      </c>
      <c r="H218" s="92" t="str">
        <f t="shared" si="7"/>
        <v/>
      </c>
      <c r="I218" s="88">
        <v>0</v>
      </c>
    </row>
    <row r="219" spans="1:9">
      <c r="A219" s="76" t="e" cm="1">
        <f t="array" ref="A219">IF(OR(INDEX(#REF!,ROW()+10)="START",INDEX(#REF!,ROW()+9)="",INDEX(#REF!,ROW()+9)="START",INDEX(#REF!,ROW()+9)="TBA",INDEX(#REF!,ROW()+9)="TBC"),"",INDEX(#REF!,ROW()+9)+'Date Calculators'!$B$2+E219)</f>
        <v>#REF!</v>
      </c>
      <c r="B219" s="76" t="e" cm="1">
        <f t="array" ref="B219">IF(OR(A219=""),"",IF(INDEX(#REF!,ROW()+9)="",IF(A220="",A219+$Q$10,A220),INDEX(#REF!,ROW()+9)+'Date Calculators'!$B$2+E219))</f>
        <v>#REF!</v>
      </c>
      <c r="C219" s="74" t="e" cm="1">
        <f t="array" ref="C219">IF(A219="","",INDEX(#REF!,ROW()+9))</f>
        <v>#REF!</v>
      </c>
      <c r="D219" s="74" t="str">
        <f>IFERROR(IF(A219="","",'Event Info'!$B$2),"")</f>
        <v/>
      </c>
      <c r="E219" t="e" cm="1">
        <f t="array" ref="E219">IF(INDEX(#REF!,ROW()+9)="START",E218+1,E218+0)</f>
        <v>#REF!</v>
      </c>
      <c r="F219" s="82" t="e">
        <f>IF(A219&lt;&gt;"",_xlfn.CONCAT(TEXT(A219,"yyyy-mm-dd"),"T",TEXT(A219,"hh:mm:ss"),'Event Info'!$B$5,",",," ",C219),"")</f>
        <v>#REF!</v>
      </c>
      <c r="G219" t="e">
        <f t="shared" si="6"/>
        <v>#REF!</v>
      </c>
      <c r="H219" s="92" t="str">
        <f t="shared" si="7"/>
        <v/>
      </c>
      <c r="I219" s="88">
        <v>0</v>
      </c>
    </row>
    <row r="220" spans="1:9" ht="16.899999999999999">
      <c r="A220" s="76" t="e" cm="1">
        <f t="array" ref="A220">IF(OR(INDEX(#REF!,ROW()+10)="START",INDEX(#REF!,ROW()+9)="",INDEX(#REF!,ROW()+9)="START",INDEX(#REF!,ROW()+9)="TBA",INDEX(#REF!,ROW()+9)="TBC"),"",INDEX(#REF!,ROW()+9)+'Date Calculators'!$B$2+E220)</f>
        <v>#REF!</v>
      </c>
      <c r="B220" s="76" t="e" cm="1">
        <f t="array" ref="B220">IF(OR(A220=""),"",IF(INDEX(#REF!,ROW()+9)="",IF(A221="",A220+$Q$10,A221),INDEX(#REF!,ROW()+9)+'Date Calculators'!$B$2+E220))</f>
        <v>#REF!</v>
      </c>
      <c r="C220" s="74" t="e" cm="1">
        <f t="array" ref="C220">IF(A220="","",INDEX(#REF!,ROW()+9))</f>
        <v>#REF!</v>
      </c>
      <c r="D220" s="74" t="str">
        <f>IFERROR(IF(A220="","",'Event Info'!$B$2),"")</f>
        <v/>
      </c>
      <c r="E220" t="e" cm="1">
        <f t="array" ref="E220">IF(INDEX(#REF!,ROW()+9)="START",E219+1,E219+0)</f>
        <v>#REF!</v>
      </c>
      <c r="F220" s="82" t="e">
        <f>IF(A220&lt;&gt;"",_xlfn.CONCAT(TEXT(A220,"yyyy-mm-dd"),"T",TEXT(A220,"hh:mm:ss"),'Event Info'!$B$5,",",," ",C220),"")</f>
        <v>#REF!</v>
      </c>
      <c r="G220" t="e">
        <f t="shared" si="6"/>
        <v>#REF!</v>
      </c>
      <c r="H220" s="92" t="str">
        <f t="shared" si="7"/>
        <v/>
      </c>
      <c r="I220" s="91">
        <v>0</v>
      </c>
    </row>
    <row r="221" spans="1:9">
      <c r="A221" s="76" t="e" cm="1">
        <f t="array" ref="A221">IF(OR(INDEX(#REF!,ROW()+10)="START",INDEX(#REF!,ROW()+9)="",INDEX(#REF!,ROW()+9)="START",INDEX(#REF!,ROW()+9)="TBA",INDEX(#REF!,ROW()+9)="TBC"),"",INDEX(#REF!,ROW()+9)+'Date Calculators'!$B$2+E221)</f>
        <v>#REF!</v>
      </c>
      <c r="B221" s="76" t="e" cm="1">
        <f t="array" ref="B221">IF(OR(A221=""),"",IF(INDEX(#REF!,ROW()+9)="",IF(A222="",A221+$Q$10,A222),INDEX(#REF!,ROW()+9)+'Date Calculators'!$B$2+E221))</f>
        <v>#REF!</v>
      </c>
      <c r="C221" s="74" t="e" cm="1">
        <f t="array" ref="C221">IF(A221="","",INDEX(#REF!,ROW()+9))</f>
        <v>#REF!</v>
      </c>
      <c r="D221" s="74" t="str">
        <f>IFERROR(IF(A221="","",'Event Info'!$B$2),"")</f>
        <v/>
      </c>
      <c r="E221" t="e" cm="1">
        <f t="array" ref="E221">IF(INDEX(#REF!,ROW()+9)="START",E220+1,E220+0)</f>
        <v>#REF!</v>
      </c>
      <c r="F221" s="82" t="e">
        <f>IF(A221&lt;&gt;"",_xlfn.CONCAT(TEXT(A221,"yyyy-mm-dd"),"T",TEXT(A221,"hh:mm:ss"),'Event Info'!$B$5,",",," ",C221),"")</f>
        <v>#REF!</v>
      </c>
      <c r="G221" t="e">
        <f t="shared" si="6"/>
        <v>#REF!</v>
      </c>
      <c r="H221" s="92" t="str">
        <f t="shared" si="7"/>
        <v/>
      </c>
      <c r="I221" s="88">
        <v>0</v>
      </c>
    </row>
    <row r="222" spans="1:9">
      <c r="A222" s="76" t="e" cm="1">
        <f t="array" ref="A222">IF(OR(INDEX(#REF!,ROW()+10)="START",INDEX(#REF!,ROW()+9)="",INDEX(#REF!,ROW()+9)="START",INDEX(#REF!,ROW()+9)="TBA",INDEX(#REF!,ROW()+9)="TBC"),"",INDEX(#REF!,ROW()+9)+'Date Calculators'!$B$2+E222)</f>
        <v>#REF!</v>
      </c>
      <c r="B222" s="76" t="e" cm="1">
        <f t="array" ref="B222">IF(OR(A222=""),"",IF(INDEX(#REF!,ROW()+9)="",IF(A223="",A222+$Q$10,A223),INDEX(#REF!,ROW()+9)+'Date Calculators'!$B$2+E222))</f>
        <v>#REF!</v>
      </c>
      <c r="C222" s="74" t="e" cm="1">
        <f t="array" ref="C222">IF(A222="","",INDEX(#REF!,ROW()+9))</f>
        <v>#REF!</v>
      </c>
      <c r="D222" s="74" t="str">
        <f>IFERROR(IF(A222="","",'Event Info'!$B$2),"")</f>
        <v/>
      </c>
      <c r="E222" t="e" cm="1">
        <f t="array" ref="E222">IF(INDEX(#REF!,ROW()+9)="START",E221+1,E221+0)</f>
        <v>#REF!</v>
      </c>
      <c r="F222" s="82" t="e">
        <f>IF(A222&lt;&gt;"",_xlfn.CONCAT(TEXT(A222,"yyyy-mm-dd"),"T",TEXT(A222,"hh:mm:ss"),'Event Info'!$B$5,",",," ",C222),"")</f>
        <v>#REF!</v>
      </c>
      <c r="G222" t="e">
        <f t="shared" si="6"/>
        <v>#REF!</v>
      </c>
      <c r="H222" s="92" t="str">
        <f t="shared" si="7"/>
        <v/>
      </c>
      <c r="I222" s="88">
        <v>0</v>
      </c>
    </row>
    <row r="223" spans="1:9" ht="16.899999999999999">
      <c r="A223" s="76" t="e" cm="1">
        <f t="array" ref="A223">IF(OR(INDEX(#REF!,ROW()+10)="START",INDEX(#REF!,ROW()+9)="",INDEX(#REF!,ROW()+9)="START",INDEX(#REF!,ROW()+9)="TBA",INDEX(#REF!,ROW()+9)="TBC"),"",INDEX(#REF!,ROW()+9)+'Date Calculators'!$B$2+E223)</f>
        <v>#REF!</v>
      </c>
      <c r="B223" s="76" t="e" cm="1">
        <f t="array" ref="B223">IF(OR(A223=""),"",IF(INDEX(#REF!,ROW()+9)="",IF(A224="",A223+$Q$10,A224),INDEX(#REF!,ROW()+9)+'Date Calculators'!$B$2+E223))</f>
        <v>#REF!</v>
      </c>
      <c r="C223" s="74" t="e" cm="1">
        <f t="array" ref="C223">IF(A223="","",INDEX(#REF!,ROW()+9))</f>
        <v>#REF!</v>
      </c>
      <c r="D223" s="74" t="str">
        <f>IFERROR(IF(A223="","",'Event Info'!$B$2),"")</f>
        <v/>
      </c>
      <c r="E223" t="e" cm="1">
        <f t="array" ref="E223">IF(INDEX(#REF!,ROW()+9)="START",E222+1,E222+0)</f>
        <v>#REF!</v>
      </c>
      <c r="F223" s="82" t="e">
        <f>IF(A223&lt;&gt;"",_xlfn.CONCAT(TEXT(A223,"yyyy-mm-dd"),"T",TEXT(A223,"hh:mm:ss"),'Event Info'!$B$5,",",," ",C223),"")</f>
        <v>#REF!</v>
      </c>
      <c r="G223" t="e">
        <f t="shared" si="6"/>
        <v>#REF!</v>
      </c>
      <c r="H223" s="92" t="str">
        <f t="shared" si="7"/>
        <v/>
      </c>
      <c r="I223" s="91">
        <v>0</v>
      </c>
    </row>
    <row r="224" spans="1:9">
      <c r="A224" s="76" t="e" cm="1">
        <f t="array" ref="A224">IF(OR(INDEX(#REF!,ROW()+10)="START",INDEX(#REF!,ROW()+9)="",INDEX(#REF!,ROW()+9)="START",INDEX(#REF!,ROW()+9)="TBA",INDEX(#REF!,ROW()+9)="TBC"),"",INDEX(#REF!,ROW()+9)+'Date Calculators'!$B$2+E224)</f>
        <v>#REF!</v>
      </c>
      <c r="B224" s="76" t="e" cm="1">
        <f t="array" ref="B224">IF(OR(A224=""),"",IF(INDEX(#REF!,ROW()+9)="",IF(A225="",A224+$Q$10,A225),INDEX(#REF!,ROW()+9)+'Date Calculators'!$B$2+E224))</f>
        <v>#REF!</v>
      </c>
      <c r="C224" s="74" t="e" cm="1">
        <f t="array" ref="C224">IF(A224="","",INDEX(#REF!,ROW()+9))</f>
        <v>#REF!</v>
      </c>
      <c r="D224" s="74" t="str">
        <f>IFERROR(IF(A224="","",'Event Info'!$B$2),"")</f>
        <v/>
      </c>
      <c r="E224" t="e" cm="1">
        <f t="array" ref="E224">IF(INDEX(#REF!,ROW()+9)="START",E223+1,E223+0)</f>
        <v>#REF!</v>
      </c>
      <c r="F224" s="82" t="e">
        <f>IF(A224&lt;&gt;"",_xlfn.CONCAT(TEXT(A224,"yyyy-mm-dd"),"T",TEXT(A224,"hh:mm:ss"),'Event Info'!$B$5,",",," ",C224),"")</f>
        <v>#REF!</v>
      </c>
      <c r="G224" t="e">
        <f t="shared" si="6"/>
        <v>#REF!</v>
      </c>
      <c r="H224" s="92" t="str">
        <f t="shared" si="7"/>
        <v/>
      </c>
      <c r="I224" s="88">
        <v>0</v>
      </c>
    </row>
    <row r="225" spans="1:9">
      <c r="A225" s="76" t="e" cm="1">
        <f t="array" ref="A225">IF(OR(INDEX(#REF!,ROW()+10)="START",INDEX(#REF!,ROW()+9)="",INDEX(#REF!,ROW()+9)="START",INDEX(#REF!,ROW()+9)="TBA",INDEX(#REF!,ROW()+9)="TBC"),"",INDEX(#REF!,ROW()+9)+'Date Calculators'!$B$2+E225)</f>
        <v>#REF!</v>
      </c>
      <c r="B225" s="76" t="e" cm="1">
        <f t="array" ref="B225">IF(OR(A225=""),"",IF(INDEX(#REF!,ROW()+9)="",IF(A226="",A225+$Q$10,A226),INDEX(#REF!,ROW()+9)+'Date Calculators'!$B$2+E225))</f>
        <v>#REF!</v>
      </c>
      <c r="C225" s="74" t="e" cm="1">
        <f t="array" ref="C225">IF(A225="","",INDEX(#REF!,ROW()+9))</f>
        <v>#REF!</v>
      </c>
      <c r="D225" s="74" t="str">
        <f>IFERROR(IF(A225="","",'Event Info'!$B$2),"")</f>
        <v/>
      </c>
      <c r="E225" t="e" cm="1">
        <f t="array" ref="E225">IF(INDEX(#REF!,ROW()+9)="START",E224+1,E224+0)</f>
        <v>#REF!</v>
      </c>
      <c r="F225" s="82" t="e">
        <f>IF(A225&lt;&gt;"",_xlfn.CONCAT(TEXT(A225,"yyyy-mm-dd"),"T",TEXT(A225,"hh:mm:ss"),'Event Info'!$B$5,",",," ",C225),"")</f>
        <v>#REF!</v>
      </c>
      <c r="G225" t="e">
        <f t="shared" si="6"/>
        <v>#REF!</v>
      </c>
      <c r="H225" s="92" t="str">
        <f t="shared" si="7"/>
        <v/>
      </c>
      <c r="I225" s="88">
        <v>0</v>
      </c>
    </row>
    <row r="226" spans="1:9" ht="16.899999999999999">
      <c r="A226" s="76" t="e" cm="1">
        <f t="array" ref="A226">IF(OR(INDEX(#REF!,ROW()+10)="START",INDEX(#REF!,ROW()+9)="",INDEX(#REF!,ROW()+9)="START",INDEX(#REF!,ROW()+9)="TBA",INDEX(#REF!,ROW()+9)="TBC"),"",INDEX(#REF!,ROW()+9)+'Date Calculators'!$B$2+E226)</f>
        <v>#REF!</v>
      </c>
      <c r="B226" s="76" t="e" cm="1">
        <f t="array" ref="B226">IF(OR(A226=""),"",IF(INDEX(#REF!,ROW()+9)="",IF(A227="",A226+$Q$10,A227),INDEX(#REF!,ROW()+9)+'Date Calculators'!$B$2+E226))</f>
        <v>#REF!</v>
      </c>
      <c r="C226" s="74" t="e" cm="1">
        <f t="array" ref="C226">IF(A226="","",INDEX(#REF!,ROW()+9))</f>
        <v>#REF!</v>
      </c>
      <c r="D226" s="74" t="str">
        <f>IFERROR(IF(A226="","",'Event Info'!$B$2),"")</f>
        <v/>
      </c>
      <c r="E226" t="e" cm="1">
        <f t="array" ref="E226">IF(INDEX(#REF!,ROW()+9)="START",E225+1,E225+0)</f>
        <v>#REF!</v>
      </c>
      <c r="F226" s="82" t="e">
        <f>IF(A226&lt;&gt;"",_xlfn.CONCAT(TEXT(A226,"yyyy-mm-dd"),"T",TEXT(A226,"hh:mm:ss"),'Event Info'!$B$5,",",," ",C226),"")</f>
        <v>#REF!</v>
      </c>
      <c r="G226" t="e">
        <f t="shared" si="6"/>
        <v>#REF!</v>
      </c>
      <c r="H226" s="92" t="str">
        <f t="shared" si="7"/>
        <v/>
      </c>
      <c r="I226" s="91">
        <v>0</v>
      </c>
    </row>
    <row r="227" spans="1:9">
      <c r="A227" s="76" t="e" cm="1">
        <f t="array" ref="A227">IF(OR(INDEX(#REF!,ROW()+10)="START",INDEX(#REF!,ROW()+9)="",INDEX(#REF!,ROW()+9)="START",INDEX(#REF!,ROW()+9)="TBA",INDEX(#REF!,ROW()+9)="TBC"),"",INDEX(#REF!,ROW()+9)+'Date Calculators'!$B$2+E227)</f>
        <v>#REF!</v>
      </c>
      <c r="B227" s="76" t="e" cm="1">
        <f t="array" ref="B227">IF(OR(A227=""),"",IF(INDEX(#REF!,ROW()+9)="",IF(A228="",A227+$Q$10,A228),INDEX(#REF!,ROW()+9)+'Date Calculators'!$B$2+E227))</f>
        <v>#REF!</v>
      </c>
      <c r="C227" s="74" t="e" cm="1">
        <f t="array" ref="C227">IF(A227="","",INDEX(#REF!,ROW()+9))</f>
        <v>#REF!</v>
      </c>
      <c r="D227" s="74" t="str">
        <f>IFERROR(IF(A227="","",'Event Info'!$B$2),"")</f>
        <v/>
      </c>
      <c r="E227" t="e" cm="1">
        <f t="array" ref="E227">IF(INDEX(#REF!,ROW()+9)="START",E226+1,E226+0)</f>
        <v>#REF!</v>
      </c>
      <c r="F227" s="82" t="e">
        <f>IF(A227&lt;&gt;"",_xlfn.CONCAT(TEXT(A227,"yyyy-mm-dd"),"T",TEXT(A227,"hh:mm:ss"),'Event Info'!$B$5,",",," ",C227),"")</f>
        <v>#REF!</v>
      </c>
      <c r="G227" t="e">
        <f t="shared" si="6"/>
        <v>#REF!</v>
      </c>
      <c r="H227" s="92" t="str">
        <f t="shared" si="7"/>
        <v/>
      </c>
      <c r="I227" s="88">
        <v>0</v>
      </c>
    </row>
    <row r="228" spans="1:9">
      <c r="A228" s="76" t="e" cm="1">
        <f t="array" ref="A228">IF(OR(INDEX(#REF!,ROW()+10)="START",INDEX(#REF!,ROW()+9)="",INDEX(#REF!,ROW()+9)="START",INDEX(#REF!,ROW()+9)="TBA",INDEX(#REF!,ROW()+9)="TBC"),"",INDEX(#REF!,ROW()+9)+'Date Calculators'!$B$2+E228)</f>
        <v>#REF!</v>
      </c>
      <c r="B228" s="76" t="e" cm="1">
        <f t="array" ref="B228">IF(OR(A228=""),"",IF(INDEX(#REF!,ROW()+9)="",IF(A229="",A228+$Q$10,A229),INDEX(#REF!,ROW()+9)+'Date Calculators'!$B$2+E228))</f>
        <v>#REF!</v>
      </c>
      <c r="C228" s="74" t="e" cm="1">
        <f t="array" ref="C228">IF(A228="","",INDEX(#REF!,ROW()+9))</f>
        <v>#REF!</v>
      </c>
      <c r="D228" s="74" t="str">
        <f>IFERROR(IF(A228="","",'Event Info'!$B$2),"")</f>
        <v/>
      </c>
      <c r="E228" t="e" cm="1">
        <f t="array" ref="E228">IF(INDEX(#REF!,ROW()+9)="START",E227+1,E227+0)</f>
        <v>#REF!</v>
      </c>
      <c r="F228" s="82" t="e">
        <f>IF(A228&lt;&gt;"",_xlfn.CONCAT(TEXT(A228,"yyyy-mm-dd"),"T",TEXT(A228,"hh:mm:ss"),'Event Info'!$B$5,",",," ",C228),"")</f>
        <v>#REF!</v>
      </c>
      <c r="G228" t="e">
        <f t="shared" si="6"/>
        <v>#REF!</v>
      </c>
      <c r="H228" s="92" t="str">
        <f t="shared" si="7"/>
        <v/>
      </c>
      <c r="I228" s="88">
        <v>0</v>
      </c>
    </row>
    <row r="229" spans="1:9" ht="16.899999999999999">
      <c r="A229" s="76" t="e" cm="1">
        <f t="array" ref="A229">IF(OR(INDEX(#REF!,ROW()+10)="START",INDEX(#REF!,ROW()+9)="",INDEX(#REF!,ROW()+9)="START",INDEX(#REF!,ROW()+9)="TBA",INDEX(#REF!,ROW()+9)="TBC"),"",INDEX(#REF!,ROW()+9)+'Date Calculators'!$B$2+E229)</f>
        <v>#REF!</v>
      </c>
      <c r="B229" s="76" t="e" cm="1">
        <f t="array" ref="B229">IF(OR(A229=""),"",IF(INDEX(#REF!,ROW()+9)="",IF(A230="",A229+$Q$10,A230),INDEX(#REF!,ROW()+9)+'Date Calculators'!$B$2+E229))</f>
        <v>#REF!</v>
      </c>
      <c r="C229" s="74" t="e" cm="1">
        <f t="array" ref="C229">IF(A229="","",INDEX(#REF!,ROW()+9))</f>
        <v>#REF!</v>
      </c>
      <c r="D229" s="74" t="str">
        <f>IFERROR(IF(A229="","",'Event Info'!$B$2),"")</f>
        <v/>
      </c>
      <c r="E229" t="e" cm="1">
        <f t="array" ref="E229">IF(INDEX(#REF!,ROW()+9)="START",E228+1,E228+0)</f>
        <v>#REF!</v>
      </c>
      <c r="F229" s="82" t="e">
        <f>IF(A229&lt;&gt;"",_xlfn.CONCAT(TEXT(A229,"yyyy-mm-dd"),"T",TEXT(A229,"hh:mm:ss"),'Event Info'!$B$5,",",," ",C229),"")</f>
        <v>#REF!</v>
      </c>
      <c r="G229" t="e">
        <f t="shared" si="6"/>
        <v>#REF!</v>
      </c>
      <c r="H229" s="92" t="str">
        <f t="shared" si="7"/>
        <v/>
      </c>
      <c r="I229" s="91">
        <v>0</v>
      </c>
    </row>
    <row r="230" spans="1:9">
      <c r="A230" s="76" t="e" cm="1">
        <f t="array" ref="A230">IF(OR(INDEX(#REF!,ROW()+10)="START",INDEX(#REF!,ROW()+9)="",INDEX(#REF!,ROW()+9)="START",INDEX(#REF!,ROW()+9)="TBA",INDEX(#REF!,ROW()+9)="TBC"),"",INDEX(#REF!,ROW()+9)+'Date Calculators'!$B$2+E230)</f>
        <v>#REF!</v>
      </c>
      <c r="B230" s="76" t="e" cm="1">
        <f t="array" ref="B230">IF(OR(A230=""),"",IF(INDEX(#REF!,ROW()+9)="",IF(A231="",A230+$Q$10,A231),INDEX(#REF!,ROW()+9)+'Date Calculators'!$B$2+E230))</f>
        <v>#REF!</v>
      </c>
      <c r="C230" s="74" t="e" cm="1">
        <f t="array" ref="C230">IF(A230="","",INDEX(#REF!,ROW()+9))</f>
        <v>#REF!</v>
      </c>
      <c r="D230" s="74" t="str">
        <f>IFERROR(IF(A230="","",'Event Info'!$B$2),"")</f>
        <v/>
      </c>
      <c r="E230" t="e" cm="1">
        <f t="array" ref="E230">IF(INDEX(#REF!,ROW()+9)="START",E229+1,E229+0)</f>
        <v>#REF!</v>
      </c>
      <c r="F230" s="82" t="e">
        <f>IF(A230&lt;&gt;"",_xlfn.CONCAT(TEXT(A230,"yyyy-mm-dd"),"T",TEXT(A230,"hh:mm:ss"),'Event Info'!$B$5,",",," ",C230),"")</f>
        <v>#REF!</v>
      </c>
      <c r="G230" t="e">
        <f t="shared" si="6"/>
        <v>#REF!</v>
      </c>
      <c r="H230" s="92" t="str">
        <f t="shared" si="7"/>
        <v/>
      </c>
      <c r="I230" s="88">
        <v>0</v>
      </c>
    </row>
    <row r="231" spans="1:9">
      <c r="A231" s="76" t="e" cm="1">
        <f t="array" ref="A231">IF(OR(INDEX(#REF!,ROW()+10)="START",INDEX(#REF!,ROW()+9)="",INDEX(#REF!,ROW()+9)="START",INDEX(#REF!,ROW()+9)="TBA",INDEX(#REF!,ROW()+9)="TBC"),"",INDEX(#REF!,ROW()+9)+'Date Calculators'!$B$2+E231)</f>
        <v>#REF!</v>
      </c>
      <c r="B231" s="76" t="e" cm="1">
        <f t="array" ref="B231">IF(OR(A231=""),"",IF(INDEX(#REF!,ROW()+9)="",IF(A232="",A231+$Q$10,A232),INDEX(#REF!,ROW()+9)+'Date Calculators'!$B$2+E231))</f>
        <v>#REF!</v>
      </c>
      <c r="C231" s="74" t="e" cm="1">
        <f t="array" ref="C231">IF(A231="","",INDEX(#REF!,ROW()+9))</f>
        <v>#REF!</v>
      </c>
      <c r="D231" s="74" t="str">
        <f>IFERROR(IF(A231="","",'Event Info'!$B$2),"")</f>
        <v/>
      </c>
      <c r="E231" t="e" cm="1">
        <f t="array" ref="E231">IF(INDEX(#REF!,ROW()+9)="START",E230+1,E230+0)</f>
        <v>#REF!</v>
      </c>
      <c r="F231" s="82" t="e">
        <f>IF(A231&lt;&gt;"",_xlfn.CONCAT(TEXT(A231,"yyyy-mm-dd"),"T",TEXT(A231,"hh:mm:ss"),'Event Info'!$B$5,",",," ",C231),"")</f>
        <v>#REF!</v>
      </c>
      <c r="G231" t="e">
        <f t="shared" si="6"/>
        <v>#REF!</v>
      </c>
      <c r="H231" s="92" t="str">
        <f t="shared" si="7"/>
        <v/>
      </c>
      <c r="I231" s="88">
        <v>0</v>
      </c>
    </row>
    <row r="232" spans="1:9" ht="16.899999999999999">
      <c r="A232" s="76" t="e" cm="1">
        <f t="array" ref="A232">IF(OR(INDEX(#REF!,ROW()+10)="START",INDEX(#REF!,ROW()+9)="",INDEX(#REF!,ROW()+9)="START",INDEX(#REF!,ROW()+9)="TBA",INDEX(#REF!,ROW()+9)="TBC"),"",INDEX(#REF!,ROW()+9)+'Date Calculators'!$B$2+E232)</f>
        <v>#REF!</v>
      </c>
      <c r="B232" s="76" t="e" cm="1">
        <f t="array" ref="B232">IF(OR(A232=""),"",IF(INDEX(#REF!,ROW()+9)="",IF(A233="",A232+$Q$10,A233),INDEX(#REF!,ROW()+9)+'Date Calculators'!$B$2+E232))</f>
        <v>#REF!</v>
      </c>
      <c r="C232" s="74" t="e" cm="1">
        <f t="array" ref="C232">IF(A232="","",INDEX(#REF!,ROW()+9))</f>
        <v>#REF!</v>
      </c>
      <c r="D232" s="74" t="str">
        <f>IFERROR(IF(A232="","",'Event Info'!$B$2),"")</f>
        <v/>
      </c>
      <c r="E232" t="e" cm="1">
        <f t="array" ref="E232">IF(INDEX(#REF!,ROW()+9)="START",E231+1,E231+0)</f>
        <v>#REF!</v>
      </c>
      <c r="F232" s="82" t="e">
        <f>IF(A232&lt;&gt;"",_xlfn.CONCAT(TEXT(A232,"yyyy-mm-dd"),"T",TEXT(A232,"hh:mm:ss"),'Event Info'!$B$5,",",," ",C232),"")</f>
        <v>#REF!</v>
      </c>
      <c r="G232" t="e">
        <f t="shared" si="6"/>
        <v>#REF!</v>
      </c>
      <c r="H232" s="92" t="str">
        <f t="shared" si="7"/>
        <v/>
      </c>
      <c r="I232" s="91">
        <v>0</v>
      </c>
    </row>
    <row r="233" spans="1:9">
      <c r="A233" s="76" t="e" cm="1">
        <f t="array" ref="A233">IF(OR(INDEX(#REF!,ROW()+10)="START",INDEX(#REF!,ROW()+9)="",INDEX(#REF!,ROW()+9)="START",INDEX(#REF!,ROW()+9)="TBA",INDEX(#REF!,ROW()+9)="TBC"),"",INDEX(#REF!,ROW()+9)+'Date Calculators'!$B$2+E233)</f>
        <v>#REF!</v>
      </c>
      <c r="B233" s="76" t="e" cm="1">
        <f t="array" ref="B233">IF(OR(A233=""),"",IF(INDEX(#REF!,ROW()+9)="",IF(A234="",A233+$Q$10,A234),INDEX(#REF!,ROW()+9)+'Date Calculators'!$B$2+E233))</f>
        <v>#REF!</v>
      </c>
      <c r="C233" s="74" t="e" cm="1">
        <f t="array" ref="C233">IF(A233="","",INDEX(#REF!,ROW()+9))</f>
        <v>#REF!</v>
      </c>
      <c r="D233" s="74" t="str">
        <f>IFERROR(IF(A233="","",'Event Info'!$B$2),"")</f>
        <v/>
      </c>
      <c r="E233" t="e" cm="1">
        <f t="array" ref="E233">IF(INDEX(#REF!,ROW()+9)="START",E232+1,E232+0)</f>
        <v>#REF!</v>
      </c>
      <c r="F233" s="82" t="e">
        <f>IF(A233&lt;&gt;"",_xlfn.CONCAT(TEXT(A233,"yyyy-mm-dd"),"T",TEXT(A233,"hh:mm:ss"),'Event Info'!$B$5,",",," ",C233),"")</f>
        <v>#REF!</v>
      </c>
      <c r="G233" t="e">
        <f t="shared" si="6"/>
        <v>#REF!</v>
      </c>
      <c r="H233" s="92" t="str">
        <f t="shared" si="7"/>
        <v/>
      </c>
      <c r="I233" s="88">
        <v>0</v>
      </c>
    </row>
    <row r="234" spans="1:9">
      <c r="A234" s="76" t="e" cm="1">
        <f t="array" ref="A234">IF(OR(INDEX(#REF!,ROW()+10)="START",INDEX(#REF!,ROW()+9)="",INDEX(#REF!,ROW()+9)="START",INDEX(#REF!,ROW()+9)="TBA",INDEX(#REF!,ROW()+9)="TBC"),"",INDEX(#REF!,ROW()+9)+'Date Calculators'!$B$2+E234)</f>
        <v>#REF!</v>
      </c>
      <c r="B234" s="76" t="e" cm="1">
        <f t="array" ref="B234">IF(OR(A234=""),"",IF(INDEX(#REF!,ROW()+9)="",IF(A235="",A234+$Q$10,A235),INDEX(#REF!,ROW()+9)+'Date Calculators'!$B$2+E234))</f>
        <v>#REF!</v>
      </c>
      <c r="C234" s="74" t="e" cm="1">
        <f t="array" ref="C234">IF(A234="","",INDEX(#REF!,ROW()+9))</f>
        <v>#REF!</v>
      </c>
      <c r="D234" s="74" t="str">
        <f>IFERROR(IF(A234="","",'Event Info'!$B$2),"")</f>
        <v/>
      </c>
      <c r="E234" t="e" cm="1">
        <f t="array" ref="E234">IF(INDEX(#REF!,ROW()+9)="START",E233+1,E233+0)</f>
        <v>#REF!</v>
      </c>
      <c r="F234" s="82" t="e">
        <f>IF(A234&lt;&gt;"",_xlfn.CONCAT(TEXT(A234,"yyyy-mm-dd"),"T",TEXT(A234,"hh:mm:ss"),'Event Info'!$B$5,",",," ",C234),"")</f>
        <v>#REF!</v>
      </c>
      <c r="G234" t="e">
        <f t="shared" si="6"/>
        <v>#REF!</v>
      </c>
      <c r="H234" s="92" t="str">
        <f t="shared" si="7"/>
        <v/>
      </c>
      <c r="I234" s="88">
        <v>0</v>
      </c>
    </row>
    <row r="235" spans="1:9" ht="16.899999999999999">
      <c r="A235" s="76" t="e" cm="1">
        <f t="array" ref="A235">IF(OR(INDEX(#REF!,ROW()+10)="START",INDEX(#REF!,ROW()+9)="",INDEX(#REF!,ROW()+9)="START",INDEX(#REF!,ROW()+9)="TBA",INDEX(#REF!,ROW()+9)="TBC"),"",INDEX(#REF!,ROW()+9)+'Date Calculators'!$B$2+E235)</f>
        <v>#REF!</v>
      </c>
      <c r="B235" s="76" t="e" cm="1">
        <f t="array" ref="B235">IF(OR(A235=""),"",IF(INDEX(#REF!,ROW()+9)="",IF(A236="",A235+$Q$10,A236),INDEX(#REF!,ROW()+9)+'Date Calculators'!$B$2+E235))</f>
        <v>#REF!</v>
      </c>
      <c r="C235" s="74" t="e" cm="1">
        <f t="array" ref="C235">IF(A235="","",INDEX(#REF!,ROW()+9))</f>
        <v>#REF!</v>
      </c>
      <c r="D235" s="74" t="str">
        <f>IFERROR(IF(A235="","",'Event Info'!$B$2),"")</f>
        <v/>
      </c>
      <c r="E235" t="e" cm="1">
        <f t="array" ref="E235">IF(INDEX(#REF!,ROW()+9)="START",E234+1,E234+0)</f>
        <v>#REF!</v>
      </c>
      <c r="F235" s="82" t="e">
        <f>IF(A235&lt;&gt;"",_xlfn.CONCAT(TEXT(A235,"yyyy-mm-dd"),"T",TEXT(A235,"hh:mm:ss"),'Event Info'!$B$5,",",," ",C235),"")</f>
        <v>#REF!</v>
      </c>
      <c r="G235" t="e">
        <f t="shared" si="6"/>
        <v>#REF!</v>
      </c>
      <c r="H235" s="92" t="str">
        <f t="shared" si="7"/>
        <v/>
      </c>
      <c r="I235" s="91">
        <v>0</v>
      </c>
    </row>
    <row r="236" spans="1:9">
      <c r="A236" s="76" t="e" cm="1">
        <f t="array" ref="A236">IF(OR(INDEX(#REF!,ROW()+10)="START",INDEX(#REF!,ROW()+9)="",INDEX(#REF!,ROW()+9)="START",INDEX(#REF!,ROW()+9)="TBA",INDEX(#REF!,ROW()+9)="TBC"),"",INDEX(#REF!,ROW()+9)+'Date Calculators'!$B$2+E236)</f>
        <v>#REF!</v>
      </c>
      <c r="B236" s="76" t="e" cm="1">
        <f t="array" ref="B236">IF(OR(A236=""),"",IF(INDEX(#REF!,ROW()+9)="",IF(A237="",A236+$Q$10,A237),INDEX(#REF!,ROW()+9)+'Date Calculators'!$B$2+E236))</f>
        <v>#REF!</v>
      </c>
      <c r="C236" s="74" t="e" cm="1">
        <f t="array" ref="C236">IF(A236="","",INDEX(#REF!,ROW()+9))</f>
        <v>#REF!</v>
      </c>
      <c r="D236" s="74" t="str">
        <f>IFERROR(IF(A236="","",'Event Info'!$B$2),"")</f>
        <v/>
      </c>
      <c r="E236" t="e" cm="1">
        <f t="array" ref="E236">IF(INDEX(#REF!,ROW()+9)="START",E235+1,E235+0)</f>
        <v>#REF!</v>
      </c>
      <c r="F236" s="82" t="e">
        <f>IF(A236&lt;&gt;"",_xlfn.CONCAT(TEXT(A236,"yyyy-mm-dd"),"T",TEXT(A236,"hh:mm:ss"),'Event Info'!$B$5,",",," ",C236),"")</f>
        <v>#REF!</v>
      </c>
      <c r="G236" t="e">
        <f t="shared" si="6"/>
        <v>#REF!</v>
      </c>
      <c r="H236" s="92" t="str">
        <f t="shared" si="7"/>
        <v/>
      </c>
      <c r="I236" s="88">
        <v>0</v>
      </c>
    </row>
    <row r="237" spans="1:9">
      <c r="A237" s="76" t="e" cm="1">
        <f t="array" ref="A237">IF(OR(INDEX(#REF!,ROW()+10)="START",INDEX(#REF!,ROW()+9)="",INDEX(#REF!,ROW()+9)="START",INDEX(#REF!,ROW()+9)="TBA",INDEX(#REF!,ROW()+9)="TBC"),"",INDEX(#REF!,ROW()+9)+'Date Calculators'!$B$2+E237)</f>
        <v>#REF!</v>
      </c>
      <c r="B237" s="76" t="e" cm="1">
        <f t="array" ref="B237">IF(OR(A237=""),"",IF(INDEX(#REF!,ROW()+9)="",IF(A238="",A237+$Q$10,A238),INDEX(#REF!,ROW()+9)+'Date Calculators'!$B$2+E237))</f>
        <v>#REF!</v>
      </c>
      <c r="C237" s="74" t="e" cm="1">
        <f t="array" ref="C237">IF(A237="","",INDEX(#REF!,ROW()+9))</f>
        <v>#REF!</v>
      </c>
      <c r="D237" s="74" t="str">
        <f>IFERROR(IF(A237="","",'Event Info'!$B$2),"")</f>
        <v/>
      </c>
      <c r="E237" t="e" cm="1">
        <f t="array" ref="E237">IF(INDEX(#REF!,ROW()+9)="START",E236+1,E236+0)</f>
        <v>#REF!</v>
      </c>
      <c r="F237" s="82" t="e">
        <f>IF(A237&lt;&gt;"",_xlfn.CONCAT(TEXT(A237,"yyyy-mm-dd"),"T",TEXT(A237,"hh:mm:ss"),'Event Info'!$B$5,",",," ",C237),"")</f>
        <v>#REF!</v>
      </c>
      <c r="G237" t="e">
        <f t="shared" si="6"/>
        <v>#REF!</v>
      </c>
      <c r="H237" s="92" t="str">
        <f t="shared" si="7"/>
        <v/>
      </c>
      <c r="I237" s="88">
        <v>0</v>
      </c>
    </row>
    <row r="238" spans="1:9" ht="16.899999999999999">
      <c r="A238" s="76" t="e" cm="1">
        <f t="array" ref="A238">IF(OR(INDEX(#REF!,ROW()+10)="START",INDEX(#REF!,ROW()+9)="",INDEX(#REF!,ROW()+9)="START",INDEX(#REF!,ROW()+9)="TBA",INDEX(#REF!,ROW()+9)="TBC"),"",INDEX(#REF!,ROW()+9)+'Date Calculators'!$B$2+E238)</f>
        <v>#REF!</v>
      </c>
      <c r="B238" s="76" t="e" cm="1">
        <f t="array" ref="B238">IF(OR(A238=""),"",IF(INDEX(#REF!,ROW()+9)="",IF(A239="",A238+$Q$10,A239),INDEX(#REF!,ROW()+9)+'Date Calculators'!$B$2+E238))</f>
        <v>#REF!</v>
      </c>
      <c r="C238" s="74" t="e" cm="1">
        <f t="array" ref="C238">IF(A238="","",INDEX(#REF!,ROW()+9))</f>
        <v>#REF!</v>
      </c>
      <c r="D238" s="74" t="str">
        <f>IFERROR(IF(A238="","",'Event Info'!$B$2),"")</f>
        <v/>
      </c>
      <c r="E238" t="e" cm="1">
        <f t="array" ref="E238">IF(INDEX(#REF!,ROW()+9)="START",E237+1,E237+0)</f>
        <v>#REF!</v>
      </c>
      <c r="F238" s="82" t="e">
        <f>IF(A238&lt;&gt;"",_xlfn.CONCAT(TEXT(A238,"yyyy-mm-dd"),"T",TEXT(A238,"hh:mm:ss"),'Event Info'!$B$5,",",," ",C238),"")</f>
        <v>#REF!</v>
      </c>
      <c r="G238" t="e">
        <f t="shared" si="6"/>
        <v>#REF!</v>
      </c>
      <c r="H238" s="92" t="str">
        <f t="shared" si="7"/>
        <v/>
      </c>
      <c r="I238" s="91">
        <v>0</v>
      </c>
    </row>
    <row r="239" spans="1:9">
      <c r="A239" s="76" t="e" cm="1">
        <f t="array" ref="A239">IF(OR(INDEX(#REF!,ROW()+10)="START",INDEX(#REF!,ROW()+9)="",INDEX(#REF!,ROW()+9)="START",INDEX(#REF!,ROW()+9)="TBA",INDEX(#REF!,ROW()+9)="TBC"),"",INDEX(#REF!,ROW()+9)+'Date Calculators'!$B$2+E239)</f>
        <v>#REF!</v>
      </c>
      <c r="B239" s="76" t="e" cm="1">
        <f t="array" ref="B239">IF(OR(A239=""),"",IF(INDEX(#REF!,ROW()+9)="",IF(A240="",A239+$Q$10,A240),INDEX(#REF!,ROW()+9)+'Date Calculators'!$B$2+E239))</f>
        <v>#REF!</v>
      </c>
      <c r="C239" s="74" t="e" cm="1">
        <f t="array" ref="C239">IF(A239="","",INDEX(#REF!,ROW()+9))</f>
        <v>#REF!</v>
      </c>
      <c r="D239" s="74" t="str">
        <f>IFERROR(IF(A239="","",'Event Info'!$B$2),"")</f>
        <v/>
      </c>
      <c r="E239" t="e" cm="1">
        <f t="array" ref="E239">IF(INDEX(#REF!,ROW()+9)="START",E238+1,E238+0)</f>
        <v>#REF!</v>
      </c>
      <c r="F239" s="82" t="e">
        <f>IF(A239&lt;&gt;"",_xlfn.CONCAT(TEXT(A239,"yyyy-mm-dd"),"T",TEXT(A239,"hh:mm:ss"),'Event Info'!$B$5,",",," ",C239),"")</f>
        <v>#REF!</v>
      </c>
      <c r="G239" t="e">
        <f t="shared" si="6"/>
        <v>#REF!</v>
      </c>
      <c r="H239" s="92" t="str">
        <f t="shared" si="7"/>
        <v/>
      </c>
      <c r="I239" s="88">
        <v>0</v>
      </c>
    </row>
    <row r="240" spans="1:9">
      <c r="A240" s="76" t="e" cm="1">
        <f t="array" ref="A240">IF(OR(INDEX(#REF!,ROW()+10)="START",INDEX(#REF!,ROW()+9)="",INDEX(#REF!,ROW()+9)="START",INDEX(#REF!,ROW()+9)="TBA",INDEX(#REF!,ROW()+9)="TBC"),"",INDEX(#REF!,ROW()+9)+'Date Calculators'!$B$2+E240)</f>
        <v>#REF!</v>
      </c>
      <c r="B240" s="76" t="e" cm="1">
        <f t="array" ref="B240">IF(OR(A240=""),"",IF(INDEX(#REF!,ROW()+9)="",IF(A241="",A240+$Q$10,A241),INDEX(#REF!,ROW()+9)+'Date Calculators'!$B$2+E240))</f>
        <v>#REF!</v>
      </c>
      <c r="C240" s="74" t="e" cm="1">
        <f t="array" ref="C240">IF(A240="","",INDEX(#REF!,ROW()+9))</f>
        <v>#REF!</v>
      </c>
      <c r="D240" s="74" t="str">
        <f>IFERROR(IF(A240="","",'Event Info'!$B$2),"")</f>
        <v/>
      </c>
      <c r="E240" t="e" cm="1">
        <f t="array" ref="E240">IF(INDEX(#REF!,ROW()+9)="START",E239+1,E239+0)</f>
        <v>#REF!</v>
      </c>
      <c r="F240" s="82" t="e">
        <f>IF(A240&lt;&gt;"",_xlfn.CONCAT(TEXT(A240,"yyyy-mm-dd"),"T",TEXT(A240,"hh:mm:ss"),'Event Info'!$B$5,",",," ",C240),"")</f>
        <v>#REF!</v>
      </c>
      <c r="G240" t="e">
        <f t="shared" si="6"/>
        <v>#REF!</v>
      </c>
      <c r="H240" s="92" t="str">
        <f t="shared" si="7"/>
        <v/>
      </c>
      <c r="I240" s="88">
        <v>0</v>
      </c>
    </row>
    <row r="241" spans="1:9" ht="16.899999999999999">
      <c r="A241" s="76" t="e" cm="1">
        <f t="array" ref="A241">IF(OR(INDEX(#REF!,ROW()+10)="START",INDEX(#REF!,ROW()+9)="",INDEX(#REF!,ROW()+9)="START",INDEX(#REF!,ROW()+9)="TBA",INDEX(#REF!,ROW()+9)="TBC"),"",INDEX(#REF!,ROW()+9)+'Date Calculators'!$B$2+E241)</f>
        <v>#REF!</v>
      </c>
      <c r="B241" s="76" t="e" cm="1">
        <f t="array" ref="B241">IF(OR(A241=""),"",IF(INDEX(#REF!,ROW()+9)="",IF(A242="",A241+$Q$10,A242),INDEX(#REF!,ROW()+9)+'Date Calculators'!$B$2+E241))</f>
        <v>#REF!</v>
      </c>
      <c r="C241" s="74" t="e" cm="1">
        <f t="array" ref="C241">IF(A241="","",INDEX(#REF!,ROW()+9))</f>
        <v>#REF!</v>
      </c>
      <c r="D241" s="74" t="str">
        <f>IFERROR(IF(A241="","",'Event Info'!$B$2),"")</f>
        <v/>
      </c>
      <c r="E241" t="e" cm="1">
        <f t="array" ref="E241">IF(INDEX(#REF!,ROW()+9)="START",E240+1,E240+0)</f>
        <v>#REF!</v>
      </c>
      <c r="F241" s="82" t="e">
        <f>IF(A241&lt;&gt;"",_xlfn.CONCAT(TEXT(A241,"yyyy-mm-dd"),"T",TEXT(A241,"hh:mm:ss"),'Event Info'!$B$5,",",," ",C241),"")</f>
        <v>#REF!</v>
      </c>
      <c r="G241" t="e">
        <f t="shared" si="6"/>
        <v>#REF!</v>
      </c>
      <c r="H241" s="92" t="str">
        <f t="shared" si="7"/>
        <v/>
      </c>
      <c r="I241" s="91">
        <v>0</v>
      </c>
    </row>
    <row r="242" spans="1:9">
      <c r="A242" s="76" t="e" cm="1">
        <f t="array" ref="A242">IF(OR(INDEX(#REF!,ROW()+10)="START",INDEX(#REF!,ROW()+9)="",INDEX(#REF!,ROW()+9)="START",INDEX(#REF!,ROW()+9)="TBA",INDEX(#REF!,ROW()+9)="TBC"),"",INDEX(#REF!,ROW()+9)+'Date Calculators'!$B$2+E242)</f>
        <v>#REF!</v>
      </c>
      <c r="B242" s="76" t="e" cm="1">
        <f t="array" ref="B242">IF(OR(A242=""),"",IF(INDEX(#REF!,ROW()+9)="",IF(A243="",A242+$Q$10,A243),INDEX(#REF!,ROW()+9)+'Date Calculators'!$B$2+E242))</f>
        <v>#REF!</v>
      </c>
      <c r="C242" s="74" t="e" cm="1">
        <f t="array" ref="C242">IF(A242="","",INDEX(#REF!,ROW()+9))</f>
        <v>#REF!</v>
      </c>
      <c r="D242" s="74" t="str">
        <f>IFERROR(IF(A242="","",'Event Info'!$B$2),"")</f>
        <v/>
      </c>
      <c r="E242" t="e" cm="1">
        <f t="array" ref="E242">IF(INDEX(#REF!,ROW()+9)="START",E241+1,E241+0)</f>
        <v>#REF!</v>
      </c>
      <c r="F242" s="82" t="e">
        <f>IF(A242&lt;&gt;"",_xlfn.CONCAT(TEXT(A242,"yyyy-mm-dd"),"T",TEXT(A242,"hh:mm:ss"),'Event Info'!$B$5,",",," ",C242),"")</f>
        <v>#REF!</v>
      </c>
      <c r="G242" t="e">
        <f t="shared" si="6"/>
        <v>#REF!</v>
      </c>
      <c r="H242" s="92" t="str">
        <f t="shared" si="7"/>
        <v/>
      </c>
      <c r="I242" s="88">
        <v>0</v>
      </c>
    </row>
    <row r="243" spans="1:9">
      <c r="A243" s="76" t="e" cm="1">
        <f t="array" ref="A243">IF(OR(INDEX(#REF!,ROW()+10)="START",INDEX(#REF!,ROW()+9)="",INDEX(#REF!,ROW()+9)="START",INDEX(#REF!,ROW()+9)="TBA",INDEX(#REF!,ROW()+9)="TBC"),"",INDEX(#REF!,ROW()+9)+'Date Calculators'!$B$2+E243)</f>
        <v>#REF!</v>
      </c>
      <c r="B243" s="76" t="e" cm="1">
        <f t="array" ref="B243">IF(OR(A243=""),"",IF(INDEX(#REF!,ROW()+9)="",IF(A244="",A243+$Q$10,A244),INDEX(#REF!,ROW()+9)+'Date Calculators'!$B$2+E243))</f>
        <v>#REF!</v>
      </c>
      <c r="C243" s="74" t="e" cm="1">
        <f t="array" ref="C243">IF(A243="","",INDEX(#REF!,ROW()+9))</f>
        <v>#REF!</v>
      </c>
      <c r="D243" s="74" t="str">
        <f>IFERROR(IF(A243="","",'Event Info'!$B$2),"")</f>
        <v/>
      </c>
      <c r="E243" t="e" cm="1">
        <f t="array" ref="E243">IF(INDEX(#REF!,ROW()+9)="START",E242+1,E242+0)</f>
        <v>#REF!</v>
      </c>
      <c r="F243" s="82" t="e">
        <f>IF(A243&lt;&gt;"",_xlfn.CONCAT(TEXT(A243,"yyyy-mm-dd"),"T",TEXT(A243,"hh:mm:ss"),'Event Info'!$B$5,",",," ",C243),"")</f>
        <v>#REF!</v>
      </c>
      <c r="G243" t="e">
        <f t="shared" si="6"/>
        <v>#REF!</v>
      </c>
      <c r="H243" s="92" t="str">
        <f t="shared" si="7"/>
        <v/>
      </c>
      <c r="I243" s="88">
        <v>0</v>
      </c>
    </row>
    <row r="244" spans="1:9" ht="16.899999999999999">
      <c r="A244" s="76" t="e" cm="1">
        <f t="array" ref="A244">IF(OR(INDEX(#REF!,ROW()+10)="START",INDEX(#REF!,ROW()+9)="",INDEX(#REF!,ROW()+9)="START",INDEX(#REF!,ROW()+9)="TBA",INDEX(#REF!,ROW()+9)="TBC"),"",INDEX(#REF!,ROW()+9)+'Date Calculators'!$B$2+E244)</f>
        <v>#REF!</v>
      </c>
      <c r="B244" s="76" t="e" cm="1">
        <f t="array" ref="B244">IF(OR(A244=""),"",IF(INDEX(#REF!,ROW()+9)="",IF(A245="",A244+$Q$10,A245),INDEX(#REF!,ROW()+9)+'Date Calculators'!$B$2+E244))</f>
        <v>#REF!</v>
      </c>
      <c r="C244" s="74" t="e" cm="1">
        <f t="array" ref="C244">IF(A244="","",INDEX(#REF!,ROW()+9))</f>
        <v>#REF!</v>
      </c>
      <c r="D244" s="74" t="str">
        <f>IFERROR(IF(A244="","",'Event Info'!$B$2),"")</f>
        <v/>
      </c>
      <c r="E244" t="e" cm="1">
        <f t="array" ref="E244">IF(INDEX(#REF!,ROW()+9)="START",E243+1,E243+0)</f>
        <v>#REF!</v>
      </c>
      <c r="F244" s="82" t="e">
        <f>IF(A244&lt;&gt;"",_xlfn.CONCAT(TEXT(A244,"yyyy-mm-dd"),"T",TEXT(A244,"hh:mm:ss"),'Event Info'!$B$5,",",," ",C244),"")</f>
        <v>#REF!</v>
      </c>
      <c r="G244" t="e">
        <f t="shared" si="6"/>
        <v>#REF!</v>
      </c>
      <c r="H244" s="92" t="str">
        <f t="shared" si="7"/>
        <v/>
      </c>
      <c r="I244" s="91">
        <v>0</v>
      </c>
    </row>
    <row r="245" spans="1:9">
      <c r="A245" s="76" t="e" cm="1">
        <f t="array" ref="A245">IF(OR(INDEX(#REF!,ROW()+10)="START",INDEX(#REF!,ROW()+9)="",INDEX(#REF!,ROW()+9)="START",INDEX(#REF!,ROW()+9)="TBA",INDEX(#REF!,ROW()+9)="TBC"),"",INDEX(#REF!,ROW()+9)+'Date Calculators'!$B$2+E245)</f>
        <v>#REF!</v>
      </c>
      <c r="B245" s="76" t="e" cm="1">
        <f t="array" ref="B245">IF(OR(A245=""),"",IF(INDEX(#REF!,ROW()+9)="",IF(A246="",A245+$Q$10,A246),INDEX(#REF!,ROW()+9)+'Date Calculators'!$B$2+E245))</f>
        <v>#REF!</v>
      </c>
      <c r="C245" s="74" t="e" cm="1">
        <f t="array" ref="C245">IF(A245="","",INDEX(#REF!,ROW()+9))</f>
        <v>#REF!</v>
      </c>
      <c r="D245" s="74" t="str">
        <f>IFERROR(IF(A245="","",'Event Info'!$B$2),"")</f>
        <v/>
      </c>
      <c r="E245" t="e" cm="1">
        <f t="array" ref="E245">IF(INDEX(#REF!,ROW()+9)="START",E244+1,E244+0)</f>
        <v>#REF!</v>
      </c>
      <c r="F245" s="82" t="e">
        <f>IF(A245&lt;&gt;"",_xlfn.CONCAT(TEXT(A245,"yyyy-mm-dd"),"T",TEXT(A245,"hh:mm:ss"),'Event Info'!$B$5,",",," ",C245),"")</f>
        <v>#REF!</v>
      </c>
      <c r="G245" t="e">
        <f t="shared" si="6"/>
        <v>#REF!</v>
      </c>
      <c r="H245" s="92" t="str">
        <f t="shared" si="7"/>
        <v/>
      </c>
      <c r="I245" s="88">
        <v>0</v>
      </c>
    </row>
    <row r="246" spans="1:9">
      <c r="A246" s="76" t="e" cm="1">
        <f t="array" ref="A246">IF(OR(INDEX(#REF!,ROW()+10)="START",INDEX(#REF!,ROW()+9)="",INDEX(#REF!,ROW()+9)="START",INDEX(#REF!,ROW()+9)="TBA",INDEX(#REF!,ROW()+9)="TBC"),"",INDEX(#REF!,ROW()+9)+'Date Calculators'!$B$2+E246)</f>
        <v>#REF!</v>
      </c>
      <c r="B246" s="76" t="e" cm="1">
        <f t="array" ref="B246">IF(OR(A246=""),"",IF(INDEX(#REF!,ROW()+9)="",IF(A247="",A246+$Q$10,A247),INDEX(#REF!,ROW()+9)+'Date Calculators'!$B$2+E246))</f>
        <v>#REF!</v>
      </c>
      <c r="C246" s="74" t="e" cm="1">
        <f t="array" ref="C246">IF(A246="","",INDEX(#REF!,ROW()+9))</f>
        <v>#REF!</v>
      </c>
      <c r="D246" s="74" t="str">
        <f>IFERROR(IF(A246="","",'Event Info'!$B$2),"")</f>
        <v/>
      </c>
      <c r="E246" t="e" cm="1">
        <f t="array" ref="E246">IF(INDEX(#REF!,ROW()+9)="START",E245+1,E245+0)</f>
        <v>#REF!</v>
      </c>
      <c r="F246" s="82" t="e">
        <f>IF(A246&lt;&gt;"",_xlfn.CONCAT(TEXT(A246,"yyyy-mm-dd"),"T",TEXT(A246,"hh:mm:ss"),'Event Info'!$B$5,",",," ",C246),"")</f>
        <v>#REF!</v>
      </c>
      <c r="G246" t="e">
        <f t="shared" si="6"/>
        <v>#REF!</v>
      </c>
      <c r="H246" s="92" t="str">
        <f t="shared" si="7"/>
        <v/>
      </c>
      <c r="I246" s="88">
        <v>0</v>
      </c>
    </row>
    <row r="247" spans="1:9" ht="16.899999999999999">
      <c r="A247" s="76" t="e" cm="1">
        <f t="array" ref="A247">IF(OR(INDEX(#REF!,ROW()+10)="START",INDEX(#REF!,ROW()+9)="",INDEX(#REF!,ROW()+9)="START",INDEX(#REF!,ROW()+9)="TBA",INDEX(#REF!,ROW()+9)="TBC"),"",INDEX(#REF!,ROW()+9)+'Date Calculators'!$B$2+E247)</f>
        <v>#REF!</v>
      </c>
      <c r="B247" s="76" t="e" cm="1">
        <f t="array" ref="B247">IF(OR(A247=""),"",IF(INDEX(#REF!,ROW()+9)="",IF(A248="",A247+$Q$10,A248),INDEX(#REF!,ROW()+9)+'Date Calculators'!$B$2+E247))</f>
        <v>#REF!</v>
      </c>
      <c r="C247" s="74" t="e" cm="1">
        <f t="array" ref="C247">IF(A247="","",INDEX(#REF!,ROW()+9))</f>
        <v>#REF!</v>
      </c>
      <c r="D247" s="74" t="str">
        <f>IFERROR(IF(A247="","",'Event Info'!$B$2),"")</f>
        <v/>
      </c>
      <c r="E247" t="e" cm="1">
        <f t="array" ref="E247">IF(INDEX(#REF!,ROW()+9)="START",E246+1,E246+0)</f>
        <v>#REF!</v>
      </c>
      <c r="F247" s="82" t="e">
        <f>IF(A247&lt;&gt;"",_xlfn.CONCAT(TEXT(A247,"yyyy-mm-dd"),"T",TEXT(A247,"hh:mm:ss"),'Event Info'!$B$5,",",," ",C247),"")</f>
        <v>#REF!</v>
      </c>
      <c r="G247" t="e">
        <f t="shared" si="6"/>
        <v>#REF!</v>
      </c>
      <c r="H247" s="92" t="str">
        <f t="shared" si="7"/>
        <v/>
      </c>
      <c r="I247" s="91">
        <v>0</v>
      </c>
    </row>
    <row r="248" spans="1:9">
      <c r="A248" s="76" t="e" cm="1">
        <f t="array" ref="A248">IF(OR(INDEX(#REF!,ROW()+10)="START",INDEX(#REF!,ROW()+9)="",INDEX(#REF!,ROW()+9)="START",INDEX(#REF!,ROW()+9)="TBA",INDEX(#REF!,ROW()+9)="TBC"),"",INDEX(#REF!,ROW()+9)+'Date Calculators'!$B$2+E248)</f>
        <v>#REF!</v>
      </c>
      <c r="B248" s="76" t="e" cm="1">
        <f t="array" ref="B248">IF(OR(A248=""),"",IF(INDEX(#REF!,ROW()+9)="",IF(A249="",A248+$Q$10,A249),INDEX(#REF!,ROW()+9)+'Date Calculators'!$B$2+E248))</f>
        <v>#REF!</v>
      </c>
      <c r="C248" s="74" t="e" cm="1">
        <f t="array" ref="C248">IF(A248="","",INDEX(#REF!,ROW()+9))</f>
        <v>#REF!</v>
      </c>
      <c r="D248" s="74" t="str">
        <f>IFERROR(IF(A248="","",'Event Info'!$B$2),"")</f>
        <v/>
      </c>
      <c r="E248" t="e" cm="1">
        <f t="array" ref="E248">IF(INDEX(#REF!,ROW()+9)="START",E247+1,E247+0)</f>
        <v>#REF!</v>
      </c>
      <c r="F248" s="82" t="e">
        <f>IF(A248&lt;&gt;"",_xlfn.CONCAT(TEXT(A248,"yyyy-mm-dd"),"T",TEXT(A248,"hh:mm:ss"),'Event Info'!$B$5,",",," ",C248),"")</f>
        <v>#REF!</v>
      </c>
      <c r="G248" t="e">
        <f t="shared" si="6"/>
        <v>#REF!</v>
      </c>
      <c r="H248" s="92" t="str">
        <f t="shared" si="7"/>
        <v/>
      </c>
      <c r="I248" s="88">
        <v>0</v>
      </c>
    </row>
    <row r="249" spans="1:9">
      <c r="A249" s="76" t="e" cm="1">
        <f t="array" ref="A249">IF(OR(INDEX(#REF!,ROW()+10)="START",INDEX(#REF!,ROW()+9)="",INDEX(#REF!,ROW()+9)="START",INDEX(#REF!,ROW()+9)="TBA",INDEX(#REF!,ROW()+9)="TBC"),"",INDEX(#REF!,ROW()+9)+'Date Calculators'!$B$2+E249)</f>
        <v>#REF!</v>
      </c>
      <c r="B249" s="76" t="e" cm="1">
        <f t="array" ref="B249">IF(OR(A249=""),"",IF(INDEX(#REF!,ROW()+9)="",IF(A250="",A249+$Q$10,A250),INDEX(#REF!,ROW()+9)+'Date Calculators'!$B$2+E249))</f>
        <v>#REF!</v>
      </c>
      <c r="C249" s="74" t="e" cm="1">
        <f t="array" ref="C249">IF(A249="","",INDEX(#REF!,ROW()+9))</f>
        <v>#REF!</v>
      </c>
      <c r="D249" s="74" t="str">
        <f>IFERROR(IF(A249="","",'Event Info'!$B$2),"")</f>
        <v/>
      </c>
      <c r="E249" t="e" cm="1">
        <f t="array" ref="E249">IF(INDEX(#REF!,ROW()+9)="START",E248+1,E248+0)</f>
        <v>#REF!</v>
      </c>
      <c r="F249" s="82" t="e">
        <f>IF(A249&lt;&gt;"",_xlfn.CONCAT(TEXT(A249,"yyyy-mm-dd"),"T",TEXT(A249,"hh:mm:ss"),'Event Info'!$B$5,",",," ",C249),"")</f>
        <v>#REF!</v>
      </c>
      <c r="G249" t="e">
        <f t="shared" si="6"/>
        <v>#REF!</v>
      </c>
      <c r="H249" s="92" t="str">
        <f t="shared" si="7"/>
        <v/>
      </c>
      <c r="I249" s="88">
        <v>0</v>
      </c>
    </row>
    <row r="250" spans="1:9" ht="16.899999999999999">
      <c r="A250" s="76" t="e" cm="1">
        <f t="array" ref="A250">IF(OR(INDEX(#REF!,ROW()+10)="START",INDEX(#REF!,ROW()+9)="",INDEX(#REF!,ROW()+9)="START",INDEX(#REF!,ROW()+9)="TBA",INDEX(#REF!,ROW()+9)="TBC"),"",INDEX(#REF!,ROW()+9)+'Date Calculators'!$B$2+E250)</f>
        <v>#REF!</v>
      </c>
      <c r="B250" s="76" t="e" cm="1">
        <f t="array" ref="B250">IF(OR(A250=""),"",IF(INDEX(#REF!,ROW()+9)="",IF(A251="",A250+$Q$10,A251),INDEX(#REF!,ROW()+9)+'Date Calculators'!$B$2+E250))</f>
        <v>#REF!</v>
      </c>
      <c r="C250" s="74" t="e" cm="1">
        <f t="array" ref="C250">IF(A250="","",INDEX(#REF!,ROW()+9))</f>
        <v>#REF!</v>
      </c>
      <c r="D250" s="74" t="str">
        <f>IFERROR(IF(A250="","",'Event Info'!$B$2),"")</f>
        <v/>
      </c>
      <c r="E250" t="e" cm="1">
        <f t="array" ref="E250">IF(INDEX(#REF!,ROW()+9)="START",E249+1,E249+0)</f>
        <v>#REF!</v>
      </c>
      <c r="F250" s="82" t="e">
        <f>IF(A250&lt;&gt;"",_xlfn.CONCAT(TEXT(A250,"yyyy-mm-dd"),"T",TEXT(A250,"hh:mm:ss"),'Event Info'!$B$5,",",," ",C250),"")</f>
        <v>#REF!</v>
      </c>
      <c r="G250" t="e">
        <f t="shared" si="6"/>
        <v>#REF!</v>
      </c>
      <c r="H250" s="92" t="str">
        <f t="shared" si="7"/>
        <v/>
      </c>
      <c r="I250" s="91">
        <v>0</v>
      </c>
    </row>
    <row r="251" spans="1:9">
      <c r="A251" s="76" t="e" cm="1">
        <f t="array" ref="A251">IF(OR(INDEX(#REF!,ROW()+10)="START",INDEX(#REF!,ROW()+9)="",INDEX(#REF!,ROW()+9)="START",INDEX(#REF!,ROW()+9)="TBA",INDEX(#REF!,ROW()+9)="TBC"),"",INDEX(#REF!,ROW()+9)+'Date Calculators'!$B$2+E251)</f>
        <v>#REF!</v>
      </c>
      <c r="B251" s="76" t="e" cm="1">
        <f t="array" ref="B251">IF(OR(A251=""),"",IF(INDEX(#REF!,ROW()+9)="",IF(A252="",A251+$Q$10,A252),INDEX(#REF!,ROW()+9)+'Date Calculators'!$B$2+E251))</f>
        <v>#REF!</v>
      </c>
      <c r="C251" s="74" t="e" cm="1">
        <f t="array" ref="C251">IF(A251="","",INDEX(#REF!,ROW()+9))</f>
        <v>#REF!</v>
      </c>
      <c r="D251" s="74" t="str">
        <f>IFERROR(IF(A251="","",'Event Info'!$B$2),"")</f>
        <v/>
      </c>
      <c r="E251" t="e" cm="1">
        <f t="array" ref="E251">IF(INDEX(#REF!,ROW()+9)="START",E250+1,E250+0)</f>
        <v>#REF!</v>
      </c>
      <c r="F251" s="82" t="e">
        <f>IF(A251&lt;&gt;"",_xlfn.CONCAT(TEXT(A251,"yyyy-mm-dd"),"T",TEXT(A251,"hh:mm:ss"),'Event Info'!$B$5,",",," ",C251),"")</f>
        <v>#REF!</v>
      </c>
      <c r="G251" t="e">
        <f t="shared" si="6"/>
        <v>#REF!</v>
      </c>
      <c r="H251" s="92" t="str">
        <f t="shared" si="7"/>
        <v/>
      </c>
      <c r="I251" s="88">
        <v>0</v>
      </c>
    </row>
    <row r="252" spans="1:9">
      <c r="A252" s="76" t="e" cm="1">
        <f t="array" ref="A252">IF(OR(INDEX(#REF!,ROW()+10)="START",INDEX(#REF!,ROW()+9)="",INDEX(#REF!,ROW()+9)="START",INDEX(#REF!,ROW()+9)="TBA",INDEX(#REF!,ROW()+9)="TBC"),"",INDEX(#REF!,ROW()+9)+'Date Calculators'!$B$2+E252)</f>
        <v>#REF!</v>
      </c>
      <c r="B252" s="76" t="e" cm="1">
        <f t="array" ref="B252">IF(OR(A252=""),"",IF(INDEX(#REF!,ROW()+9)="",IF(A253="",A252+$Q$10,A253),INDEX(#REF!,ROW()+9)+'Date Calculators'!$B$2+E252))</f>
        <v>#REF!</v>
      </c>
      <c r="C252" s="74" t="e" cm="1">
        <f t="array" ref="C252">IF(A252="","",INDEX(#REF!,ROW()+9))</f>
        <v>#REF!</v>
      </c>
      <c r="D252" s="74" t="str">
        <f>IFERROR(IF(A252="","",'Event Info'!$B$2),"")</f>
        <v/>
      </c>
      <c r="E252" t="e" cm="1">
        <f t="array" ref="E252">IF(INDEX(#REF!,ROW()+9)="START",E251+1,E251+0)</f>
        <v>#REF!</v>
      </c>
      <c r="F252" s="82" t="e">
        <f>IF(A252&lt;&gt;"",_xlfn.CONCAT(TEXT(A252,"yyyy-mm-dd"),"T",TEXT(A252,"hh:mm:ss"),'Event Info'!$B$5,",",," ",C252),"")</f>
        <v>#REF!</v>
      </c>
      <c r="G252" t="e">
        <f t="shared" si="6"/>
        <v>#REF!</v>
      </c>
      <c r="H252" s="92" t="str">
        <f t="shared" si="7"/>
        <v/>
      </c>
      <c r="I252" s="88">
        <v>0</v>
      </c>
    </row>
    <row r="253" spans="1:9" ht="16.899999999999999">
      <c r="A253" s="76" t="e" cm="1">
        <f t="array" ref="A253">IF(OR(INDEX(#REF!,ROW()+10)="START",INDEX(#REF!,ROW()+9)="",INDEX(#REF!,ROW()+9)="START",INDEX(#REF!,ROW()+9)="TBA",INDEX(#REF!,ROW()+9)="TBC"),"",INDEX(#REF!,ROW()+9)+'Date Calculators'!$B$2+E253)</f>
        <v>#REF!</v>
      </c>
      <c r="B253" s="76" t="e" cm="1">
        <f t="array" ref="B253">IF(OR(A253=""),"",IF(INDEX(#REF!,ROW()+9)="",IF(A254="",A253+$Q$10,A254),INDEX(#REF!,ROW()+9)+'Date Calculators'!$B$2+E253))</f>
        <v>#REF!</v>
      </c>
      <c r="C253" s="74" t="e" cm="1">
        <f t="array" ref="C253">IF(A253="","",INDEX(#REF!,ROW()+9))</f>
        <v>#REF!</v>
      </c>
      <c r="D253" s="74" t="str">
        <f>IFERROR(IF(A253="","",'Event Info'!$B$2),"")</f>
        <v/>
      </c>
      <c r="E253" t="e" cm="1">
        <f t="array" ref="E253">IF(INDEX(#REF!,ROW()+9)="START",E252+1,E252+0)</f>
        <v>#REF!</v>
      </c>
      <c r="F253" s="82" t="e">
        <f>IF(A253&lt;&gt;"",_xlfn.CONCAT(TEXT(A253,"yyyy-mm-dd"),"T",TEXT(A253,"hh:mm:ss"),'Event Info'!$B$5,",",," ",C253),"")</f>
        <v>#REF!</v>
      </c>
      <c r="G253" t="e">
        <f t="shared" si="6"/>
        <v>#REF!</v>
      </c>
      <c r="H253" s="92" t="str">
        <f t="shared" si="7"/>
        <v/>
      </c>
      <c r="I253" s="91">
        <v>0</v>
      </c>
    </row>
    <row r="254" spans="1:9">
      <c r="A254" s="76" t="e" cm="1">
        <f t="array" ref="A254">IF(OR(INDEX(#REF!,ROW()+10)="START",INDEX(#REF!,ROW()+9)="",INDEX(#REF!,ROW()+9)="START",INDEX(#REF!,ROW()+9)="TBA",INDEX(#REF!,ROW()+9)="TBC"),"",INDEX(#REF!,ROW()+9)+'Date Calculators'!$B$2+E254)</f>
        <v>#REF!</v>
      </c>
      <c r="B254" s="76" t="e" cm="1">
        <f t="array" ref="B254">IF(OR(A254=""),"",IF(INDEX(#REF!,ROW()+9)="",IF(A255="",A254+$Q$10,A255),INDEX(#REF!,ROW()+9)+'Date Calculators'!$B$2+E254))</f>
        <v>#REF!</v>
      </c>
      <c r="C254" s="74" t="e" cm="1">
        <f t="array" ref="C254">IF(A254="","",INDEX(#REF!,ROW()+9))</f>
        <v>#REF!</v>
      </c>
      <c r="D254" s="74" t="str">
        <f>IFERROR(IF(A254="","",'Event Info'!$B$2),"")</f>
        <v/>
      </c>
      <c r="E254" t="e" cm="1">
        <f t="array" ref="E254">IF(INDEX(#REF!,ROW()+9)="START",E253+1,E253+0)</f>
        <v>#REF!</v>
      </c>
      <c r="F254" s="82" t="e">
        <f>IF(A254&lt;&gt;"",_xlfn.CONCAT(TEXT(A254,"yyyy-mm-dd"),"T",TEXT(A254,"hh:mm:ss"),'Event Info'!$B$5,",",," ",C254),"")</f>
        <v>#REF!</v>
      </c>
      <c r="G254" t="e">
        <f t="shared" si="6"/>
        <v>#REF!</v>
      </c>
      <c r="H254" s="92" t="str">
        <f t="shared" si="7"/>
        <v/>
      </c>
      <c r="I254" s="88">
        <v>0</v>
      </c>
    </row>
    <row r="255" spans="1:9">
      <c r="A255" s="76" t="e" cm="1">
        <f t="array" ref="A255">IF(OR(INDEX(#REF!,ROW()+10)="START",INDEX(#REF!,ROW()+9)="",INDEX(#REF!,ROW()+9)="START",INDEX(#REF!,ROW()+9)="TBA",INDEX(#REF!,ROW()+9)="TBC"),"",INDEX(#REF!,ROW()+9)+'Date Calculators'!$B$2+E255)</f>
        <v>#REF!</v>
      </c>
      <c r="B255" s="76" t="e" cm="1">
        <f t="array" ref="B255">IF(OR(A255=""),"",IF(INDEX(#REF!,ROW()+9)="",IF(A256="",A255+$Q$10,A256),INDEX(#REF!,ROW()+9)+'Date Calculators'!$B$2+E255))</f>
        <v>#REF!</v>
      </c>
      <c r="C255" s="74" t="e" cm="1">
        <f t="array" ref="C255">IF(A255="","",INDEX(#REF!,ROW()+9))</f>
        <v>#REF!</v>
      </c>
      <c r="D255" s="74" t="str">
        <f>IFERROR(IF(A255="","",'Event Info'!$B$2),"")</f>
        <v/>
      </c>
      <c r="E255" t="e" cm="1">
        <f t="array" ref="E255">IF(INDEX(#REF!,ROW()+9)="START",E254+1,E254+0)</f>
        <v>#REF!</v>
      </c>
      <c r="F255" s="82" t="e">
        <f>IF(A255&lt;&gt;"",_xlfn.CONCAT(TEXT(A255,"yyyy-mm-dd"),"T",TEXT(A255,"hh:mm:ss"),'Event Info'!$B$5,",",," ",C255),"")</f>
        <v>#REF!</v>
      </c>
      <c r="G255" t="e">
        <f t="shared" si="6"/>
        <v>#REF!</v>
      </c>
      <c r="H255" s="92" t="str">
        <f t="shared" si="7"/>
        <v/>
      </c>
      <c r="I255" s="88">
        <v>0</v>
      </c>
    </row>
    <row r="256" spans="1:9" ht="16.899999999999999">
      <c r="A256" s="76" t="e" cm="1">
        <f t="array" ref="A256">IF(OR(INDEX(#REF!,ROW()+10)="START",INDEX(#REF!,ROW()+9)="",INDEX(#REF!,ROW()+9)="START",INDEX(#REF!,ROW()+9)="TBA",INDEX(#REF!,ROW()+9)="TBC"),"",INDEX(#REF!,ROW()+9)+'Date Calculators'!$B$2+E256)</f>
        <v>#REF!</v>
      </c>
      <c r="B256" s="76" t="e" cm="1">
        <f t="array" ref="B256">IF(OR(A256=""),"",IF(INDEX(#REF!,ROW()+9)="",IF(A257="",A256+$Q$10,A257),INDEX(#REF!,ROW()+9)+'Date Calculators'!$B$2+E256))</f>
        <v>#REF!</v>
      </c>
      <c r="C256" s="74" t="e" cm="1">
        <f t="array" ref="C256">IF(A256="","",INDEX(#REF!,ROW()+9))</f>
        <v>#REF!</v>
      </c>
      <c r="D256" s="74" t="str">
        <f>IFERROR(IF(A256="","",'Event Info'!$B$2),"")</f>
        <v/>
      </c>
      <c r="E256" t="e" cm="1">
        <f t="array" ref="E256">IF(INDEX(#REF!,ROW()+9)="START",E255+1,E255+0)</f>
        <v>#REF!</v>
      </c>
      <c r="F256" s="82" t="e">
        <f>IF(A256&lt;&gt;"",_xlfn.CONCAT(TEXT(A256,"yyyy-mm-dd"),"T",TEXT(A256,"hh:mm:ss"),'Event Info'!$B$5,",",," ",C256),"")</f>
        <v>#REF!</v>
      </c>
      <c r="G256" t="e">
        <f t="shared" si="6"/>
        <v>#REF!</v>
      </c>
      <c r="H256" s="92" t="str">
        <f t="shared" si="7"/>
        <v/>
      </c>
      <c r="I256" s="91">
        <v>0</v>
      </c>
    </row>
    <row r="257" spans="1:9">
      <c r="A257" s="76" t="e" cm="1">
        <f t="array" ref="A257">IF(OR(INDEX(#REF!,ROW()+10)="START",INDEX(#REF!,ROW()+9)="",INDEX(#REF!,ROW()+9)="START",INDEX(#REF!,ROW()+9)="TBA",INDEX(#REF!,ROW()+9)="TBC"),"",INDEX(#REF!,ROW()+9)+'Date Calculators'!$B$2+E257)</f>
        <v>#REF!</v>
      </c>
      <c r="B257" s="76" t="e" cm="1">
        <f t="array" ref="B257">IF(OR(A257=""),"",IF(INDEX(#REF!,ROW()+9)="",IF(A258="",A257+$Q$10,A258),INDEX(#REF!,ROW()+9)+'Date Calculators'!$B$2+E257))</f>
        <v>#REF!</v>
      </c>
      <c r="C257" s="74" t="e" cm="1">
        <f t="array" ref="C257">IF(A257="","",INDEX(#REF!,ROW()+9))</f>
        <v>#REF!</v>
      </c>
      <c r="D257" s="74" t="str">
        <f>IFERROR(IF(A257="","",'Event Info'!$B$2),"")</f>
        <v/>
      </c>
      <c r="E257" t="e" cm="1">
        <f t="array" ref="E257">IF(INDEX(#REF!,ROW()+9)="START",E256+1,E256+0)</f>
        <v>#REF!</v>
      </c>
      <c r="F257" s="82" t="e">
        <f>IF(A257&lt;&gt;"",_xlfn.CONCAT(TEXT(A257,"yyyy-mm-dd"),"T",TEXT(A257,"hh:mm:ss"),'Event Info'!$B$5,",",," ",C257),"")</f>
        <v>#REF!</v>
      </c>
      <c r="G257" t="e">
        <f t="shared" si="6"/>
        <v>#REF!</v>
      </c>
      <c r="H257" s="92" t="str">
        <f t="shared" si="7"/>
        <v/>
      </c>
      <c r="I257" s="88">
        <v>0</v>
      </c>
    </row>
    <row r="258" spans="1:9">
      <c r="A258" s="76" t="e" cm="1">
        <f t="array" ref="A258">IF(OR(INDEX(#REF!,ROW()+10)="START",INDEX(#REF!,ROW()+9)="",INDEX(#REF!,ROW()+9)="START",INDEX(#REF!,ROW()+9)="TBA",INDEX(#REF!,ROW()+9)="TBC"),"",INDEX(#REF!,ROW()+9)+'Date Calculators'!$B$2+E258)</f>
        <v>#REF!</v>
      </c>
      <c r="B258" s="76" t="e" cm="1">
        <f t="array" ref="B258">IF(OR(A258=""),"",IF(INDEX(#REF!,ROW()+9)="",IF(A259="",A258+$Q$10,A259),INDEX(#REF!,ROW()+9)+'Date Calculators'!$B$2+E258))</f>
        <v>#REF!</v>
      </c>
      <c r="C258" s="74" t="e" cm="1">
        <f t="array" ref="C258">IF(A258="","",INDEX(#REF!,ROW()+9))</f>
        <v>#REF!</v>
      </c>
      <c r="D258" s="74" t="str">
        <f>IFERROR(IF(A258="","",'Event Info'!$B$2),"")</f>
        <v/>
      </c>
      <c r="E258" t="e" cm="1">
        <f t="array" ref="E258">IF(INDEX(#REF!,ROW()+9)="START",E257+1,E257+0)</f>
        <v>#REF!</v>
      </c>
      <c r="F258" s="82" t="e">
        <f>IF(A258&lt;&gt;"",_xlfn.CONCAT(TEXT(A258,"yyyy-mm-dd"),"T",TEXT(A258,"hh:mm:ss"),'Event Info'!$B$5,",",," ",C258),"")</f>
        <v>#REF!</v>
      </c>
      <c r="G258" t="e">
        <f t="shared" si="6"/>
        <v>#REF!</v>
      </c>
      <c r="H258" s="92" t="str">
        <f t="shared" si="7"/>
        <v/>
      </c>
      <c r="I258" s="88">
        <v>0</v>
      </c>
    </row>
    <row r="259" spans="1:9" ht="16.899999999999999">
      <c r="A259" s="76" t="e" cm="1">
        <f t="array" ref="A259">IF(OR(INDEX(#REF!,ROW()+10)="START",INDEX(#REF!,ROW()+9)="",INDEX(#REF!,ROW()+9)="START",INDEX(#REF!,ROW()+9)="TBA",INDEX(#REF!,ROW()+9)="TBC"),"",INDEX(#REF!,ROW()+9)+'Date Calculators'!$B$2+E259)</f>
        <v>#REF!</v>
      </c>
      <c r="B259" s="76" t="e" cm="1">
        <f t="array" ref="B259">IF(OR(A259=""),"",IF(INDEX(#REF!,ROW()+9)="",IF(A260="",A259+$Q$10,A260),INDEX(#REF!,ROW()+9)+'Date Calculators'!$B$2+E259))</f>
        <v>#REF!</v>
      </c>
      <c r="C259" s="74" t="e" cm="1">
        <f t="array" ref="C259">IF(A259="","",INDEX(#REF!,ROW()+9))</f>
        <v>#REF!</v>
      </c>
      <c r="D259" s="74" t="str">
        <f>IFERROR(IF(A259="","",'Event Info'!$B$2),"")</f>
        <v/>
      </c>
      <c r="E259" t="e" cm="1">
        <f t="array" ref="E259">IF(INDEX(#REF!,ROW()+9)="START",E258+1,E258+0)</f>
        <v>#REF!</v>
      </c>
      <c r="F259" s="82" t="e">
        <f>IF(A259&lt;&gt;"",_xlfn.CONCAT(TEXT(A259,"yyyy-mm-dd"),"T",TEXT(A259,"hh:mm:ss"),'Event Info'!$B$5,",",," ",C259),"")</f>
        <v>#REF!</v>
      </c>
      <c r="G259" t="e">
        <f t="shared" ref="G259:G322" si="8">G258+IF(A259&lt;&gt;"",1,0)</f>
        <v>#REF!</v>
      </c>
      <c r="H259" s="92" t="str">
        <f t="shared" si="7"/>
        <v/>
      </c>
      <c r="I259" s="91">
        <v>0</v>
      </c>
    </row>
    <row r="260" spans="1:9">
      <c r="A260" s="76" t="e" cm="1">
        <f t="array" ref="A260">IF(OR(INDEX(#REF!,ROW()+10)="START",INDEX(#REF!,ROW()+9)="",INDEX(#REF!,ROW()+9)="START",INDEX(#REF!,ROW()+9)="TBA",INDEX(#REF!,ROW()+9)="TBC"),"",INDEX(#REF!,ROW()+9)+'Date Calculators'!$B$2+E260)</f>
        <v>#REF!</v>
      </c>
      <c r="B260" s="76" t="e" cm="1">
        <f t="array" ref="B260">IF(OR(A260=""),"",IF(INDEX(#REF!,ROW()+9)="",IF(A261="",A260+$Q$10,A261),INDEX(#REF!,ROW()+9)+'Date Calculators'!$B$2+E260))</f>
        <v>#REF!</v>
      </c>
      <c r="C260" s="74" t="e" cm="1">
        <f t="array" ref="C260">IF(A260="","",INDEX(#REF!,ROW()+9))</f>
        <v>#REF!</v>
      </c>
      <c r="D260" s="74" t="str">
        <f>IFERROR(IF(A260="","",'Event Info'!$B$2),"")</f>
        <v/>
      </c>
      <c r="E260" t="e" cm="1">
        <f t="array" ref="E260">IF(INDEX(#REF!,ROW()+9)="START",E259+1,E259+0)</f>
        <v>#REF!</v>
      </c>
      <c r="F260" s="82" t="e">
        <f>IF(A260&lt;&gt;"",_xlfn.CONCAT(TEXT(A260,"yyyy-mm-dd"),"T",TEXT(A260,"hh:mm:ss"),'Event Info'!$B$5,",",," ",C260),"")</f>
        <v>#REF!</v>
      </c>
      <c r="G260" t="e">
        <f t="shared" si="8"/>
        <v>#REF!</v>
      </c>
      <c r="H260" s="92" t="str">
        <f t="shared" ref="H260:H323" si="9">IFERROR(INDEX($F$2:$F$500,MATCH(ROW()-1,$G$2:$G$500,0)),"")</f>
        <v/>
      </c>
      <c r="I260" s="88">
        <v>0</v>
      </c>
    </row>
    <row r="261" spans="1:9">
      <c r="A261" s="76" t="e" cm="1">
        <f t="array" ref="A261">IF(OR(INDEX(#REF!,ROW()+10)="START",INDEX(#REF!,ROW()+9)="",INDEX(#REF!,ROW()+9)="START",INDEX(#REF!,ROW()+9)="TBA",INDEX(#REF!,ROW()+9)="TBC"),"",INDEX(#REF!,ROW()+9)+'Date Calculators'!$B$2+E261)</f>
        <v>#REF!</v>
      </c>
      <c r="B261" s="76" t="e" cm="1">
        <f t="array" ref="B261">IF(OR(A261=""),"",IF(INDEX(#REF!,ROW()+9)="",IF(A262="",A261+$Q$10,A262),INDEX(#REF!,ROW()+9)+'Date Calculators'!$B$2+E261))</f>
        <v>#REF!</v>
      </c>
      <c r="C261" s="74" t="e" cm="1">
        <f t="array" ref="C261">IF(A261="","",INDEX(#REF!,ROW()+9))</f>
        <v>#REF!</v>
      </c>
      <c r="D261" s="74" t="str">
        <f>IFERROR(IF(A261="","",'Event Info'!$B$2),"")</f>
        <v/>
      </c>
      <c r="E261" t="e" cm="1">
        <f t="array" ref="E261">IF(INDEX(#REF!,ROW()+9)="START",E260+1,E260+0)</f>
        <v>#REF!</v>
      </c>
      <c r="F261" s="82" t="e">
        <f>IF(A261&lt;&gt;"",_xlfn.CONCAT(TEXT(A261,"yyyy-mm-dd"),"T",TEXT(A261,"hh:mm:ss"),'Event Info'!$B$5,",",," ",C261),"")</f>
        <v>#REF!</v>
      </c>
      <c r="G261" t="e">
        <f t="shared" si="8"/>
        <v>#REF!</v>
      </c>
      <c r="H261" s="92" t="str">
        <f t="shared" si="9"/>
        <v/>
      </c>
      <c r="I261" s="88">
        <v>0</v>
      </c>
    </row>
    <row r="262" spans="1:9" ht="16.899999999999999">
      <c r="A262" s="76" t="e" cm="1">
        <f t="array" ref="A262">IF(OR(INDEX(#REF!,ROW()+10)="START",INDEX(#REF!,ROW()+9)="",INDEX(#REF!,ROW()+9)="START",INDEX(#REF!,ROW()+9)="TBA",INDEX(#REF!,ROW()+9)="TBC"),"",INDEX(#REF!,ROW()+9)+'Date Calculators'!$B$2+E262)</f>
        <v>#REF!</v>
      </c>
      <c r="B262" s="76" t="e" cm="1">
        <f t="array" ref="B262">IF(OR(A262=""),"",IF(INDEX(#REF!,ROW()+9)="",IF(A263="",A262+$Q$10,A263),INDEX(#REF!,ROW()+9)+'Date Calculators'!$B$2+E262))</f>
        <v>#REF!</v>
      </c>
      <c r="C262" s="74" t="e" cm="1">
        <f t="array" ref="C262">IF(A262="","",INDEX(#REF!,ROW()+9))</f>
        <v>#REF!</v>
      </c>
      <c r="D262" s="74" t="str">
        <f>IFERROR(IF(A262="","",'Event Info'!$B$2),"")</f>
        <v/>
      </c>
      <c r="E262" t="e" cm="1">
        <f t="array" ref="E262">IF(INDEX(#REF!,ROW()+9)="START",E261+1,E261+0)</f>
        <v>#REF!</v>
      </c>
      <c r="F262" s="82" t="e">
        <f>IF(A262&lt;&gt;"",_xlfn.CONCAT(TEXT(A262,"yyyy-mm-dd"),"T",TEXT(A262,"hh:mm:ss"),'Event Info'!$B$5,",",," ",C262),"")</f>
        <v>#REF!</v>
      </c>
      <c r="G262" t="e">
        <f t="shared" si="8"/>
        <v>#REF!</v>
      </c>
      <c r="H262" s="92" t="str">
        <f t="shared" si="9"/>
        <v/>
      </c>
      <c r="I262" s="91">
        <v>0</v>
      </c>
    </row>
    <row r="263" spans="1:9">
      <c r="A263" s="76" t="e" cm="1">
        <f t="array" ref="A263">IF(OR(INDEX(#REF!,ROW()+10)="START",INDEX(#REF!,ROW()+9)="",INDEX(#REF!,ROW()+9)="START",INDEX(#REF!,ROW()+9)="TBA",INDEX(#REF!,ROW()+9)="TBC"),"",INDEX(#REF!,ROW()+9)+'Date Calculators'!$B$2+E263)</f>
        <v>#REF!</v>
      </c>
      <c r="B263" s="76" t="e" cm="1">
        <f t="array" ref="B263">IF(OR(A263=""),"",IF(INDEX(#REF!,ROW()+9)="",IF(A264="",A263+$Q$10,A264),INDEX(#REF!,ROW()+9)+'Date Calculators'!$B$2+E263))</f>
        <v>#REF!</v>
      </c>
      <c r="C263" s="74" t="e" cm="1">
        <f t="array" ref="C263">IF(A263="","",INDEX(#REF!,ROW()+9))</f>
        <v>#REF!</v>
      </c>
      <c r="D263" s="74" t="str">
        <f>IFERROR(IF(A263="","",'Event Info'!$B$2),"")</f>
        <v/>
      </c>
      <c r="E263" t="e" cm="1">
        <f t="array" ref="E263">IF(INDEX(#REF!,ROW()+9)="START",E262+1,E262+0)</f>
        <v>#REF!</v>
      </c>
      <c r="F263" s="82" t="e">
        <f>IF(A263&lt;&gt;"",_xlfn.CONCAT(TEXT(A263,"yyyy-mm-dd"),"T",TEXT(A263,"hh:mm:ss"),'Event Info'!$B$5,",",," ",C263),"")</f>
        <v>#REF!</v>
      </c>
      <c r="G263" t="e">
        <f t="shared" si="8"/>
        <v>#REF!</v>
      </c>
      <c r="H263" s="92" t="str">
        <f t="shared" si="9"/>
        <v/>
      </c>
      <c r="I263" s="88">
        <v>0</v>
      </c>
    </row>
    <row r="264" spans="1:9">
      <c r="A264" s="76" t="e" cm="1">
        <f t="array" ref="A264">IF(OR(INDEX(#REF!,ROW()+10)="START",INDEX(#REF!,ROW()+9)="",INDEX(#REF!,ROW()+9)="START",INDEX(#REF!,ROW()+9)="TBA",INDEX(#REF!,ROW()+9)="TBC"),"",INDEX(#REF!,ROW()+9)+'Date Calculators'!$B$2+E264)</f>
        <v>#REF!</v>
      </c>
      <c r="B264" s="76" t="e" cm="1">
        <f t="array" ref="B264">IF(OR(A264=""),"",IF(INDEX(#REF!,ROW()+9)="",IF(A265="",A264+$Q$10,A265),INDEX(#REF!,ROW()+9)+'Date Calculators'!$B$2+E264))</f>
        <v>#REF!</v>
      </c>
      <c r="C264" s="74" t="e" cm="1">
        <f t="array" ref="C264">IF(A264="","",INDEX(#REF!,ROW()+9))</f>
        <v>#REF!</v>
      </c>
      <c r="D264" s="74" t="str">
        <f>IFERROR(IF(A264="","",'Event Info'!$B$2),"")</f>
        <v/>
      </c>
      <c r="E264" t="e" cm="1">
        <f t="array" ref="E264">IF(INDEX(#REF!,ROW()+9)="START",E263+1,E263+0)</f>
        <v>#REF!</v>
      </c>
      <c r="F264" s="82" t="e">
        <f>IF(A264&lt;&gt;"",_xlfn.CONCAT(TEXT(A264,"yyyy-mm-dd"),"T",TEXT(A264,"hh:mm:ss"),'Event Info'!$B$5,",",," ",C264),"")</f>
        <v>#REF!</v>
      </c>
      <c r="G264" t="e">
        <f t="shared" si="8"/>
        <v>#REF!</v>
      </c>
      <c r="H264" s="92" t="str">
        <f t="shared" si="9"/>
        <v/>
      </c>
      <c r="I264" s="88">
        <v>0</v>
      </c>
    </row>
    <row r="265" spans="1:9" ht="16.899999999999999">
      <c r="A265" s="76" t="e" cm="1">
        <f t="array" ref="A265">IF(OR(INDEX(#REF!,ROW()+10)="START",INDEX(#REF!,ROW()+9)="",INDEX(#REF!,ROW()+9)="START",INDEX(#REF!,ROW()+9)="TBA",INDEX(#REF!,ROW()+9)="TBC"),"",INDEX(#REF!,ROW()+9)+'Date Calculators'!$B$2+E265)</f>
        <v>#REF!</v>
      </c>
      <c r="B265" s="76" t="e" cm="1">
        <f t="array" ref="B265">IF(OR(A265=""),"",IF(INDEX(#REF!,ROW()+9)="",IF(A266="",A265+$Q$10,A266),INDEX(#REF!,ROW()+9)+'Date Calculators'!$B$2+E265))</f>
        <v>#REF!</v>
      </c>
      <c r="C265" s="74" t="e" cm="1">
        <f t="array" ref="C265">IF(A265="","",INDEX(#REF!,ROW()+9))</f>
        <v>#REF!</v>
      </c>
      <c r="D265" s="74" t="str">
        <f>IFERROR(IF(A265="","",'Event Info'!$B$2),"")</f>
        <v/>
      </c>
      <c r="E265" t="e" cm="1">
        <f t="array" ref="E265">IF(INDEX(#REF!,ROW()+9)="START",E264+1,E264+0)</f>
        <v>#REF!</v>
      </c>
      <c r="F265" s="82" t="e">
        <f>IF(A265&lt;&gt;"",_xlfn.CONCAT(TEXT(A265,"yyyy-mm-dd"),"T",TEXT(A265,"hh:mm:ss"),'Event Info'!$B$5,",",," ",C265),"")</f>
        <v>#REF!</v>
      </c>
      <c r="G265" t="e">
        <f t="shared" si="8"/>
        <v>#REF!</v>
      </c>
      <c r="H265" s="92" t="str">
        <f t="shared" si="9"/>
        <v/>
      </c>
      <c r="I265" s="91">
        <v>0</v>
      </c>
    </row>
    <row r="266" spans="1:9">
      <c r="A266" s="76" t="e" cm="1">
        <f t="array" ref="A266">IF(OR(INDEX(#REF!,ROW()+10)="START",INDEX(#REF!,ROW()+9)="",INDEX(#REF!,ROW()+9)="START",INDEX(#REF!,ROW()+9)="TBA",INDEX(#REF!,ROW()+9)="TBC"),"",INDEX(#REF!,ROW()+9)+'Date Calculators'!$B$2+E266)</f>
        <v>#REF!</v>
      </c>
      <c r="B266" s="76" t="e" cm="1">
        <f t="array" ref="B266">IF(OR(A266=""),"",IF(INDEX(#REF!,ROW()+9)="",IF(A267="",A266+$Q$10,A267),INDEX(#REF!,ROW()+9)+'Date Calculators'!$B$2+E266))</f>
        <v>#REF!</v>
      </c>
      <c r="C266" s="74" t="e" cm="1">
        <f t="array" ref="C266">IF(A266="","",INDEX(#REF!,ROW()+9))</f>
        <v>#REF!</v>
      </c>
      <c r="D266" s="74" t="str">
        <f>IFERROR(IF(A266="","",'Event Info'!$B$2),"")</f>
        <v/>
      </c>
      <c r="E266" t="e" cm="1">
        <f t="array" ref="E266">IF(INDEX(#REF!,ROW()+9)="START",E265+1,E265+0)</f>
        <v>#REF!</v>
      </c>
      <c r="F266" s="82" t="e">
        <f>IF(A266&lt;&gt;"",_xlfn.CONCAT(TEXT(A266,"yyyy-mm-dd"),"T",TEXT(A266,"hh:mm:ss"),'Event Info'!$B$5,",",," ",C266),"")</f>
        <v>#REF!</v>
      </c>
      <c r="G266" t="e">
        <f t="shared" si="8"/>
        <v>#REF!</v>
      </c>
      <c r="H266" s="92" t="str">
        <f t="shared" si="9"/>
        <v/>
      </c>
      <c r="I266" s="88">
        <v>0</v>
      </c>
    </row>
    <row r="267" spans="1:9">
      <c r="A267" s="76" t="e" cm="1">
        <f t="array" ref="A267">IF(OR(INDEX(#REF!,ROW()+10)="START",INDEX(#REF!,ROW()+9)="",INDEX(#REF!,ROW()+9)="START",INDEX(#REF!,ROW()+9)="TBA",INDEX(#REF!,ROW()+9)="TBC"),"",INDEX(#REF!,ROW()+9)+'Date Calculators'!$B$2+E267)</f>
        <v>#REF!</v>
      </c>
      <c r="B267" s="76" t="e" cm="1">
        <f t="array" ref="B267">IF(OR(A267=""),"",IF(INDEX(#REF!,ROW()+9)="",IF(A268="",A267+$Q$10,A268),INDEX(#REF!,ROW()+9)+'Date Calculators'!$B$2+E267))</f>
        <v>#REF!</v>
      </c>
      <c r="C267" s="74" t="e" cm="1">
        <f t="array" ref="C267">IF(A267="","",INDEX(#REF!,ROW()+9))</f>
        <v>#REF!</v>
      </c>
      <c r="D267" s="74" t="str">
        <f>IFERROR(IF(A267="","",'Event Info'!$B$2),"")</f>
        <v/>
      </c>
      <c r="E267" t="e" cm="1">
        <f t="array" ref="E267">IF(INDEX(#REF!,ROW()+9)="START",E266+1,E266+0)</f>
        <v>#REF!</v>
      </c>
      <c r="F267" s="82" t="e">
        <f>IF(A267&lt;&gt;"",_xlfn.CONCAT(TEXT(A267,"yyyy-mm-dd"),"T",TEXT(A267,"hh:mm:ss"),'Event Info'!$B$5,",",," ",C267),"")</f>
        <v>#REF!</v>
      </c>
      <c r="G267" t="e">
        <f t="shared" si="8"/>
        <v>#REF!</v>
      </c>
      <c r="H267" s="92" t="str">
        <f t="shared" si="9"/>
        <v/>
      </c>
      <c r="I267" s="88">
        <v>0</v>
      </c>
    </row>
    <row r="268" spans="1:9" ht="16.899999999999999">
      <c r="A268" s="76" t="e" cm="1">
        <f t="array" ref="A268">IF(OR(INDEX(#REF!,ROW()+10)="START",INDEX(#REF!,ROW()+9)="",INDEX(#REF!,ROW()+9)="START",INDEX(#REF!,ROW()+9)="TBA",INDEX(#REF!,ROW()+9)="TBC"),"",INDEX(#REF!,ROW()+9)+'Date Calculators'!$B$2+E268)</f>
        <v>#REF!</v>
      </c>
      <c r="B268" s="76" t="e" cm="1">
        <f t="array" ref="B268">IF(OR(A268=""),"",IF(INDEX(#REF!,ROW()+9)="",IF(A269="",A268+$Q$10,A269),INDEX(#REF!,ROW()+9)+'Date Calculators'!$B$2+E268))</f>
        <v>#REF!</v>
      </c>
      <c r="C268" s="74" t="e" cm="1">
        <f t="array" ref="C268">IF(A268="","",INDEX(#REF!,ROW()+9))</f>
        <v>#REF!</v>
      </c>
      <c r="D268" s="74" t="str">
        <f>IFERROR(IF(A268="","",'Event Info'!$B$2),"")</f>
        <v/>
      </c>
      <c r="E268" t="e" cm="1">
        <f t="array" ref="E268">IF(INDEX(#REF!,ROW()+9)="START",E267+1,E267+0)</f>
        <v>#REF!</v>
      </c>
      <c r="F268" s="82" t="e">
        <f>IF(A268&lt;&gt;"",_xlfn.CONCAT(TEXT(A268,"yyyy-mm-dd"),"T",TEXT(A268,"hh:mm:ss"),'Event Info'!$B$5,",",," ",C268),"")</f>
        <v>#REF!</v>
      </c>
      <c r="G268" t="e">
        <f t="shared" si="8"/>
        <v>#REF!</v>
      </c>
      <c r="H268" s="92" t="str">
        <f t="shared" si="9"/>
        <v/>
      </c>
      <c r="I268" s="91">
        <v>0</v>
      </c>
    </row>
    <row r="269" spans="1:9">
      <c r="A269" s="76" t="e" cm="1">
        <f t="array" ref="A269">IF(OR(INDEX(#REF!,ROW()+10)="START",INDEX(#REF!,ROW()+9)="",INDEX(#REF!,ROW()+9)="START",INDEX(#REF!,ROW()+9)="TBA",INDEX(#REF!,ROW()+9)="TBC"),"",INDEX(#REF!,ROW()+9)+'Date Calculators'!$B$2+E269)</f>
        <v>#REF!</v>
      </c>
      <c r="B269" s="76" t="e" cm="1">
        <f t="array" ref="B269">IF(OR(A269=""),"",IF(INDEX(#REF!,ROW()+9)="",IF(A270="",A269+$Q$10,A270),INDEX(#REF!,ROW()+9)+'Date Calculators'!$B$2+E269))</f>
        <v>#REF!</v>
      </c>
      <c r="C269" s="74" t="e" cm="1">
        <f t="array" ref="C269">IF(A269="","",INDEX(#REF!,ROW()+9))</f>
        <v>#REF!</v>
      </c>
      <c r="D269" s="74" t="str">
        <f>IFERROR(IF(A269="","",'Event Info'!$B$2),"")</f>
        <v/>
      </c>
      <c r="E269" t="e" cm="1">
        <f t="array" ref="E269">IF(INDEX(#REF!,ROW()+9)="START",E268+1,E268+0)</f>
        <v>#REF!</v>
      </c>
      <c r="F269" s="82" t="e">
        <f>IF(A269&lt;&gt;"",_xlfn.CONCAT(TEXT(A269,"yyyy-mm-dd"),"T",TEXT(A269,"hh:mm:ss"),'Event Info'!$B$5,",",," ",C269),"")</f>
        <v>#REF!</v>
      </c>
      <c r="G269" t="e">
        <f t="shared" si="8"/>
        <v>#REF!</v>
      </c>
      <c r="H269" s="92" t="str">
        <f t="shared" si="9"/>
        <v/>
      </c>
      <c r="I269" s="88">
        <v>0</v>
      </c>
    </row>
    <row r="270" spans="1:9">
      <c r="A270" s="76" t="e" cm="1">
        <f t="array" ref="A270">IF(OR(INDEX(#REF!,ROW()+10)="START",INDEX(#REF!,ROW()+9)="",INDEX(#REF!,ROW()+9)="START",INDEX(#REF!,ROW()+9)="TBA",INDEX(#REF!,ROW()+9)="TBC"),"",INDEX(#REF!,ROW()+9)+'Date Calculators'!$B$2+E270)</f>
        <v>#REF!</v>
      </c>
      <c r="B270" s="76" t="e" cm="1">
        <f t="array" ref="B270">IF(OR(A270=""),"",IF(INDEX(#REF!,ROW()+9)="",IF(A271="",A270+$Q$10,A271),INDEX(#REF!,ROW()+9)+'Date Calculators'!$B$2+E270))</f>
        <v>#REF!</v>
      </c>
      <c r="C270" s="74" t="e" cm="1">
        <f t="array" ref="C270">IF(A270="","",INDEX(#REF!,ROW()+9))</f>
        <v>#REF!</v>
      </c>
      <c r="D270" s="74" t="str">
        <f>IFERROR(IF(A270="","",'Event Info'!$B$2),"")</f>
        <v/>
      </c>
      <c r="E270" t="e" cm="1">
        <f t="array" ref="E270">IF(INDEX(#REF!,ROW()+9)="START",E269+1,E269+0)</f>
        <v>#REF!</v>
      </c>
      <c r="F270" s="82" t="e">
        <f>IF(A270&lt;&gt;"",_xlfn.CONCAT(TEXT(A270,"yyyy-mm-dd"),"T",TEXT(A270,"hh:mm:ss"),'Event Info'!$B$5,",",," ",C270),"")</f>
        <v>#REF!</v>
      </c>
      <c r="G270" t="e">
        <f t="shared" si="8"/>
        <v>#REF!</v>
      </c>
      <c r="H270" s="92" t="str">
        <f t="shared" si="9"/>
        <v/>
      </c>
      <c r="I270" s="88">
        <v>0</v>
      </c>
    </row>
    <row r="271" spans="1:9" ht="16.899999999999999">
      <c r="A271" s="76" t="e" cm="1">
        <f t="array" ref="A271">IF(OR(INDEX(#REF!,ROW()+10)="START",INDEX(#REF!,ROW()+9)="",INDEX(#REF!,ROW()+9)="START",INDEX(#REF!,ROW()+9)="TBA",INDEX(#REF!,ROW()+9)="TBC"),"",INDEX(#REF!,ROW()+9)+'Date Calculators'!$B$2+E271)</f>
        <v>#REF!</v>
      </c>
      <c r="B271" s="76" t="e" cm="1">
        <f t="array" ref="B271">IF(OR(A271=""),"",IF(INDEX(#REF!,ROW()+9)="",IF(A272="",A271+$Q$10,A272),INDEX(#REF!,ROW()+9)+'Date Calculators'!$B$2+E271))</f>
        <v>#REF!</v>
      </c>
      <c r="C271" s="74" t="e" cm="1">
        <f t="array" ref="C271">IF(A271="","",INDEX(#REF!,ROW()+9))</f>
        <v>#REF!</v>
      </c>
      <c r="D271" s="74" t="str">
        <f>IFERROR(IF(A271="","",'Event Info'!$B$2),"")</f>
        <v/>
      </c>
      <c r="E271" t="e" cm="1">
        <f t="array" ref="E271">IF(INDEX(#REF!,ROW()+9)="START",E270+1,E270+0)</f>
        <v>#REF!</v>
      </c>
      <c r="F271" s="82" t="e">
        <f>IF(A271&lt;&gt;"",_xlfn.CONCAT(TEXT(A271,"yyyy-mm-dd"),"T",TEXT(A271,"hh:mm:ss"),'Event Info'!$B$5,",",," ",C271),"")</f>
        <v>#REF!</v>
      </c>
      <c r="G271" t="e">
        <f t="shared" si="8"/>
        <v>#REF!</v>
      </c>
      <c r="H271" s="92" t="str">
        <f t="shared" si="9"/>
        <v/>
      </c>
      <c r="I271" s="91">
        <v>0</v>
      </c>
    </row>
    <row r="272" spans="1:9">
      <c r="A272" s="76" t="e" cm="1">
        <f t="array" ref="A272">IF(OR(INDEX(#REF!,ROW()+10)="START",INDEX(#REF!,ROW()+9)="",INDEX(#REF!,ROW()+9)="START",INDEX(#REF!,ROW()+9)="TBA",INDEX(#REF!,ROW()+9)="TBC"),"",INDEX(#REF!,ROW()+9)+'Date Calculators'!$B$2+E272)</f>
        <v>#REF!</v>
      </c>
      <c r="B272" s="76" t="e" cm="1">
        <f t="array" ref="B272">IF(OR(A272=""),"",IF(INDEX(#REF!,ROW()+9)="",IF(A273="",A272+$Q$10,A273),INDEX(#REF!,ROW()+9)+'Date Calculators'!$B$2+E272))</f>
        <v>#REF!</v>
      </c>
      <c r="C272" s="74" t="e" cm="1">
        <f t="array" ref="C272">IF(A272="","",INDEX(#REF!,ROW()+9))</f>
        <v>#REF!</v>
      </c>
      <c r="D272" s="74" t="str">
        <f>IFERROR(IF(A272="","",'Event Info'!$B$2),"")</f>
        <v/>
      </c>
      <c r="E272" t="e" cm="1">
        <f t="array" ref="E272">IF(INDEX(#REF!,ROW()+9)="START",E271+1,E271+0)</f>
        <v>#REF!</v>
      </c>
      <c r="F272" s="82" t="e">
        <f>IF(A272&lt;&gt;"",_xlfn.CONCAT(TEXT(A272,"yyyy-mm-dd"),"T",TEXT(A272,"hh:mm:ss"),'Event Info'!$B$5,",",," ",C272),"")</f>
        <v>#REF!</v>
      </c>
      <c r="G272" t="e">
        <f t="shared" si="8"/>
        <v>#REF!</v>
      </c>
      <c r="H272" s="92" t="str">
        <f t="shared" si="9"/>
        <v/>
      </c>
      <c r="I272" s="88">
        <v>0</v>
      </c>
    </row>
    <row r="273" spans="1:9">
      <c r="A273" s="76" t="e" cm="1">
        <f t="array" ref="A273">IF(OR(INDEX(#REF!,ROW()+10)="START",INDEX(#REF!,ROW()+9)="",INDEX(#REF!,ROW()+9)="START",INDEX(#REF!,ROW()+9)="TBA",INDEX(#REF!,ROW()+9)="TBC"),"",INDEX(#REF!,ROW()+9)+'Date Calculators'!$B$2+E273)</f>
        <v>#REF!</v>
      </c>
      <c r="B273" s="76" t="e" cm="1">
        <f t="array" ref="B273">IF(OR(A273=""),"",IF(INDEX(#REF!,ROW()+9)="",IF(A274="",A273+$Q$10,A274),INDEX(#REF!,ROW()+9)+'Date Calculators'!$B$2+E273))</f>
        <v>#REF!</v>
      </c>
      <c r="C273" s="74" t="e" cm="1">
        <f t="array" ref="C273">IF(A273="","",INDEX(#REF!,ROW()+9))</f>
        <v>#REF!</v>
      </c>
      <c r="D273" s="74" t="str">
        <f>IFERROR(IF(A273="","",'Event Info'!$B$2),"")</f>
        <v/>
      </c>
      <c r="E273" t="e" cm="1">
        <f t="array" ref="E273">IF(INDEX(#REF!,ROW()+9)="START",E272+1,E272+0)</f>
        <v>#REF!</v>
      </c>
      <c r="F273" s="82" t="e">
        <f>IF(A273&lt;&gt;"",_xlfn.CONCAT(TEXT(A273,"yyyy-mm-dd"),"T",TEXT(A273,"hh:mm:ss"),'Event Info'!$B$5,",",," ",C273),"")</f>
        <v>#REF!</v>
      </c>
      <c r="G273" t="e">
        <f t="shared" si="8"/>
        <v>#REF!</v>
      </c>
      <c r="H273" s="92" t="str">
        <f t="shared" si="9"/>
        <v/>
      </c>
      <c r="I273" s="88">
        <v>0</v>
      </c>
    </row>
    <row r="274" spans="1:9" ht="16.899999999999999">
      <c r="A274" s="76" t="e" cm="1">
        <f t="array" ref="A274">IF(OR(INDEX(#REF!,ROW()+10)="START",INDEX(#REF!,ROW()+9)="",INDEX(#REF!,ROW()+9)="START",INDEX(#REF!,ROW()+9)="TBA",INDEX(#REF!,ROW()+9)="TBC"),"",INDEX(#REF!,ROW()+9)+'Date Calculators'!$B$2+E274)</f>
        <v>#REF!</v>
      </c>
      <c r="B274" s="76" t="e" cm="1">
        <f t="array" ref="B274">IF(OR(A274=""),"",IF(INDEX(#REF!,ROW()+9)="",IF(A275="",A274+$Q$10,A275),INDEX(#REF!,ROW()+9)+'Date Calculators'!$B$2+E274))</f>
        <v>#REF!</v>
      </c>
      <c r="C274" s="74" t="e" cm="1">
        <f t="array" ref="C274">IF(A274="","",INDEX(#REF!,ROW()+9))</f>
        <v>#REF!</v>
      </c>
      <c r="D274" s="74" t="str">
        <f>IFERROR(IF(A274="","",'Event Info'!$B$2),"")</f>
        <v/>
      </c>
      <c r="E274" t="e" cm="1">
        <f t="array" ref="E274">IF(INDEX(#REF!,ROW()+9)="START",E273+1,E273+0)</f>
        <v>#REF!</v>
      </c>
      <c r="F274" s="82" t="e">
        <f>IF(A274&lt;&gt;"",_xlfn.CONCAT(TEXT(A274,"yyyy-mm-dd"),"T",TEXT(A274,"hh:mm:ss"),'Event Info'!$B$5,",",," ",C274),"")</f>
        <v>#REF!</v>
      </c>
      <c r="G274" t="e">
        <f t="shared" si="8"/>
        <v>#REF!</v>
      </c>
      <c r="H274" s="92" t="str">
        <f t="shared" si="9"/>
        <v/>
      </c>
      <c r="I274" s="91">
        <v>0</v>
      </c>
    </row>
    <row r="275" spans="1:9">
      <c r="A275" s="76" t="e" cm="1">
        <f t="array" ref="A275">IF(OR(INDEX(#REF!,ROW()+10)="START",INDEX(#REF!,ROW()+9)="",INDEX(#REF!,ROW()+9)="START",INDEX(#REF!,ROW()+9)="TBA",INDEX(#REF!,ROW()+9)="TBC"),"",INDEX(#REF!,ROW()+9)+'Date Calculators'!$B$2+E275)</f>
        <v>#REF!</v>
      </c>
      <c r="B275" s="76" t="e" cm="1">
        <f t="array" ref="B275">IF(OR(A275=""),"",IF(INDEX(#REF!,ROW()+9)="",IF(A276="",A275+$Q$10,A276),INDEX(#REF!,ROW()+9)+'Date Calculators'!$B$2+E275))</f>
        <v>#REF!</v>
      </c>
      <c r="C275" s="74" t="e" cm="1">
        <f t="array" ref="C275">IF(A275="","",INDEX(#REF!,ROW()+9))</f>
        <v>#REF!</v>
      </c>
      <c r="D275" s="74" t="str">
        <f>IFERROR(IF(A275="","",'Event Info'!$B$2),"")</f>
        <v/>
      </c>
      <c r="E275" t="e" cm="1">
        <f t="array" ref="E275">IF(INDEX(#REF!,ROW()+9)="START",E274+1,E274+0)</f>
        <v>#REF!</v>
      </c>
      <c r="F275" s="82" t="e">
        <f>IF(A275&lt;&gt;"",_xlfn.CONCAT(TEXT(A275,"yyyy-mm-dd"),"T",TEXT(A275,"hh:mm:ss"),'Event Info'!$B$5,",",," ",C275),"")</f>
        <v>#REF!</v>
      </c>
      <c r="G275" t="e">
        <f t="shared" si="8"/>
        <v>#REF!</v>
      </c>
      <c r="H275" s="92" t="str">
        <f t="shared" si="9"/>
        <v/>
      </c>
      <c r="I275" s="88">
        <v>0</v>
      </c>
    </row>
    <row r="276" spans="1:9">
      <c r="A276" s="76" t="e" cm="1">
        <f t="array" ref="A276">IF(OR(INDEX(#REF!,ROW()+10)="START",INDEX(#REF!,ROW()+9)="",INDEX(#REF!,ROW()+9)="START",INDEX(#REF!,ROW()+9)="TBA",INDEX(#REF!,ROW()+9)="TBC"),"",INDEX(#REF!,ROW()+9)+'Date Calculators'!$B$2+E276)</f>
        <v>#REF!</v>
      </c>
      <c r="B276" s="76" t="e" cm="1">
        <f t="array" ref="B276">IF(OR(A276=""),"",IF(INDEX(#REF!,ROW()+9)="",IF(A277="",A276+$Q$10,A277),INDEX(#REF!,ROW()+9)+'Date Calculators'!$B$2+E276))</f>
        <v>#REF!</v>
      </c>
      <c r="C276" s="74" t="e" cm="1">
        <f t="array" ref="C276">IF(A276="","",INDEX(#REF!,ROW()+9))</f>
        <v>#REF!</v>
      </c>
      <c r="D276" s="74" t="str">
        <f>IFERROR(IF(A276="","",'Event Info'!$B$2),"")</f>
        <v/>
      </c>
      <c r="E276" t="e" cm="1">
        <f t="array" ref="E276">IF(INDEX(#REF!,ROW()+9)="START",E275+1,E275+0)</f>
        <v>#REF!</v>
      </c>
      <c r="F276" s="82" t="e">
        <f>IF(A276&lt;&gt;"",_xlfn.CONCAT(TEXT(A276,"yyyy-mm-dd"),"T",TEXT(A276,"hh:mm:ss"),'Event Info'!$B$5,",",," ",C276),"")</f>
        <v>#REF!</v>
      </c>
      <c r="G276" t="e">
        <f t="shared" si="8"/>
        <v>#REF!</v>
      </c>
      <c r="H276" s="92" t="str">
        <f t="shared" si="9"/>
        <v/>
      </c>
      <c r="I276" s="88">
        <v>0</v>
      </c>
    </row>
    <row r="277" spans="1:9" ht="16.899999999999999">
      <c r="A277" s="76" t="e" cm="1">
        <f t="array" ref="A277">IF(OR(INDEX(#REF!,ROW()+10)="START",INDEX(#REF!,ROW()+9)="",INDEX(#REF!,ROW()+9)="START",INDEX(#REF!,ROW()+9)="TBA",INDEX(#REF!,ROW()+9)="TBC"),"",INDEX(#REF!,ROW()+9)+'Date Calculators'!$B$2+E277)</f>
        <v>#REF!</v>
      </c>
      <c r="B277" s="76" t="e" cm="1">
        <f t="array" ref="B277">IF(OR(A277=""),"",IF(INDEX(#REF!,ROW()+9)="",IF(A278="",A277+$Q$10,A278),INDEX(#REF!,ROW()+9)+'Date Calculators'!$B$2+E277))</f>
        <v>#REF!</v>
      </c>
      <c r="C277" s="74" t="e" cm="1">
        <f t="array" ref="C277">IF(A277="","",INDEX(#REF!,ROW()+9))</f>
        <v>#REF!</v>
      </c>
      <c r="D277" s="74" t="str">
        <f>IFERROR(IF(A277="","",'Event Info'!$B$2),"")</f>
        <v/>
      </c>
      <c r="E277" t="e" cm="1">
        <f t="array" ref="E277">IF(INDEX(#REF!,ROW()+9)="START",E276+1,E276+0)</f>
        <v>#REF!</v>
      </c>
      <c r="F277" s="82" t="e">
        <f>IF(A277&lt;&gt;"",_xlfn.CONCAT(TEXT(A277,"yyyy-mm-dd"),"T",TEXT(A277,"hh:mm:ss"),'Event Info'!$B$5,",",," ",C277),"")</f>
        <v>#REF!</v>
      </c>
      <c r="G277" t="e">
        <f t="shared" si="8"/>
        <v>#REF!</v>
      </c>
      <c r="H277" s="92" t="str">
        <f t="shared" si="9"/>
        <v/>
      </c>
      <c r="I277" s="91">
        <v>0</v>
      </c>
    </row>
    <row r="278" spans="1:9">
      <c r="A278" s="76" t="e" cm="1">
        <f t="array" ref="A278">IF(OR(INDEX(#REF!,ROW()+10)="START",INDEX(#REF!,ROW()+9)="",INDEX(#REF!,ROW()+9)="START",INDEX(#REF!,ROW()+9)="TBA",INDEX(#REF!,ROW()+9)="TBC"),"",INDEX(#REF!,ROW()+9)+'Date Calculators'!$B$2+E278)</f>
        <v>#REF!</v>
      </c>
      <c r="B278" s="76" t="e" cm="1">
        <f t="array" ref="B278">IF(OR(A278=""),"",IF(INDEX(#REF!,ROW()+9)="",IF(A279="",A278+$Q$10,A279),INDEX(#REF!,ROW()+9)+'Date Calculators'!$B$2+E278))</f>
        <v>#REF!</v>
      </c>
      <c r="C278" s="74" t="e" cm="1">
        <f t="array" ref="C278">IF(A278="","",INDEX(#REF!,ROW()+9))</f>
        <v>#REF!</v>
      </c>
      <c r="D278" s="74" t="str">
        <f>IFERROR(IF(A278="","",'Event Info'!$B$2),"")</f>
        <v/>
      </c>
      <c r="E278" t="e" cm="1">
        <f t="array" ref="E278">IF(INDEX(#REF!,ROW()+9)="START",E277+1,E277+0)</f>
        <v>#REF!</v>
      </c>
      <c r="F278" s="82" t="e">
        <f>IF(A278&lt;&gt;"",_xlfn.CONCAT(TEXT(A278,"yyyy-mm-dd"),"T",TEXT(A278,"hh:mm:ss"),'Event Info'!$B$5,",",," ",C278),"")</f>
        <v>#REF!</v>
      </c>
      <c r="G278" t="e">
        <f t="shared" si="8"/>
        <v>#REF!</v>
      </c>
      <c r="H278" s="92" t="str">
        <f t="shared" si="9"/>
        <v/>
      </c>
      <c r="I278" s="88">
        <v>0</v>
      </c>
    </row>
    <row r="279" spans="1:9">
      <c r="A279" s="76" t="e" cm="1">
        <f t="array" ref="A279">IF(OR(INDEX(#REF!,ROW()+10)="START",INDEX(#REF!,ROW()+9)="",INDEX(#REF!,ROW()+9)="START",INDEX(#REF!,ROW()+9)="TBA",INDEX(#REF!,ROW()+9)="TBC"),"",INDEX(#REF!,ROW()+9)+'Date Calculators'!$B$2+E279)</f>
        <v>#REF!</v>
      </c>
      <c r="B279" s="76" t="e" cm="1">
        <f t="array" ref="B279">IF(OR(A279=""),"",IF(INDEX(#REF!,ROW()+9)="",IF(A280="",A279+$Q$10,A280),INDEX(#REF!,ROW()+9)+'Date Calculators'!$B$2+E279))</f>
        <v>#REF!</v>
      </c>
      <c r="C279" s="74" t="e" cm="1">
        <f t="array" ref="C279">IF(A279="","",INDEX(#REF!,ROW()+9))</f>
        <v>#REF!</v>
      </c>
      <c r="D279" s="74" t="str">
        <f>IFERROR(IF(A279="","",'Event Info'!$B$2),"")</f>
        <v/>
      </c>
      <c r="E279" t="e" cm="1">
        <f t="array" ref="E279">IF(INDEX(#REF!,ROW()+9)="START",E278+1,E278+0)</f>
        <v>#REF!</v>
      </c>
      <c r="F279" s="82" t="e">
        <f>IF(A279&lt;&gt;"",_xlfn.CONCAT(TEXT(A279,"yyyy-mm-dd"),"T",TEXT(A279,"hh:mm:ss"),'Event Info'!$B$5,",",," ",C279),"")</f>
        <v>#REF!</v>
      </c>
      <c r="G279" t="e">
        <f t="shared" si="8"/>
        <v>#REF!</v>
      </c>
      <c r="H279" s="92" t="str">
        <f t="shared" si="9"/>
        <v/>
      </c>
      <c r="I279" s="88">
        <v>0</v>
      </c>
    </row>
    <row r="280" spans="1:9" ht="16.899999999999999">
      <c r="A280" s="76" t="e" cm="1">
        <f t="array" ref="A280">IF(OR(INDEX(#REF!,ROW()+10)="START",INDEX(#REF!,ROW()+9)="",INDEX(#REF!,ROW()+9)="START",INDEX(#REF!,ROW()+9)="TBA",INDEX(#REF!,ROW()+9)="TBC"),"",INDEX(#REF!,ROW()+9)+'Date Calculators'!$B$2+E280)</f>
        <v>#REF!</v>
      </c>
      <c r="B280" s="76" t="e" cm="1">
        <f t="array" ref="B280">IF(OR(A280=""),"",IF(INDEX(#REF!,ROW()+9)="",IF(A281="",A280+$Q$10,A281),INDEX(#REF!,ROW()+9)+'Date Calculators'!$B$2+E280))</f>
        <v>#REF!</v>
      </c>
      <c r="C280" s="74" t="e" cm="1">
        <f t="array" ref="C280">IF(A280="","",INDEX(#REF!,ROW()+9))</f>
        <v>#REF!</v>
      </c>
      <c r="D280" s="74" t="str">
        <f>IFERROR(IF(A280="","",'Event Info'!$B$2),"")</f>
        <v/>
      </c>
      <c r="E280" t="e" cm="1">
        <f t="array" ref="E280">IF(INDEX(#REF!,ROW()+9)="START",E279+1,E279+0)</f>
        <v>#REF!</v>
      </c>
      <c r="F280" s="82" t="e">
        <f>IF(A280&lt;&gt;"",_xlfn.CONCAT(TEXT(A280,"yyyy-mm-dd"),"T",TEXT(A280,"hh:mm:ss"),'Event Info'!$B$5,",",," ",C280),"")</f>
        <v>#REF!</v>
      </c>
      <c r="G280" t="e">
        <f t="shared" si="8"/>
        <v>#REF!</v>
      </c>
      <c r="H280" s="92" t="str">
        <f t="shared" si="9"/>
        <v/>
      </c>
      <c r="I280" s="91">
        <v>0</v>
      </c>
    </row>
    <row r="281" spans="1:9">
      <c r="A281" s="76" t="e" cm="1">
        <f t="array" ref="A281">IF(OR(INDEX(#REF!,ROW()+10)="START",INDEX(#REF!,ROW()+9)="",INDEX(#REF!,ROW()+9)="START",INDEX(#REF!,ROW()+9)="TBA",INDEX(#REF!,ROW()+9)="TBC"),"",INDEX(#REF!,ROW()+9)+'Date Calculators'!$B$2+E281)</f>
        <v>#REF!</v>
      </c>
      <c r="B281" s="76" t="e" cm="1">
        <f t="array" ref="B281">IF(OR(A281=""),"",IF(INDEX(#REF!,ROW()+9)="",IF(A282="",A281+$Q$10,A282),INDEX(#REF!,ROW()+9)+'Date Calculators'!$B$2+E281))</f>
        <v>#REF!</v>
      </c>
      <c r="C281" s="74" t="e" cm="1">
        <f t="array" ref="C281">IF(A281="","",INDEX(#REF!,ROW()+9))</f>
        <v>#REF!</v>
      </c>
      <c r="D281" s="74" t="str">
        <f>IFERROR(IF(A281="","",'Event Info'!$B$2),"")</f>
        <v/>
      </c>
      <c r="E281" t="e" cm="1">
        <f t="array" ref="E281">IF(INDEX(#REF!,ROW()+9)="START",E280+1,E280+0)</f>
        <v>#REF!</v>
      </c>
      <c r="F281" s="82" t="e">
        <f>IF(A281&lt;&gt;"",_xlfn.CONCAT(TEXT(A281,"yyyy-mm-dd"),"T",TEXT(A281,"hh:mm:ss"),'Event Info'!$B$5,",",," ",C281),"")</f>
        <v>#REF!</v>
      </c>
      <c r="G281" t="e">
        <f t="shared" si="8"/>
        <v>#REF!</v>
      </c>
      <c r="H281" s="92" t="str">
        <f t="shared" si="9"/>
        <v/>
      </c>
      <c r="I281" s="88">
        <v>0</v>
      </c>
    </row>
    <row r="282" spans="1:9">
      <c r="A282" s="76" t="e" cm="1">
        <f t="array" ref="A282">IF(OR(INDEX(#REF!,ROW()+10)="START",INDEX(#REF!,ROW()+9)="",INDEX(#REF!,ROW()+9)="START",INDEX(#REF!,ROW()+9)="TBA",INDEX(#REF!,ROW()+9)="TBC"),"",INDEX(#REF!,ROW()+9)+'Date Calculators'!$B$2+E282)</f>
        <v>#REF!</v>
      </c>
      <c r="B282" s="76" t="e" cm="1">
        <f t="array" ref="B282">IF(OR(A282=""),"",IF(INDEX(#REF!,ROW()+9)="",IF(A283="",A282+$Q$10,A283),INDEX(#REF!,ROW()+9)+'Date Calculators'!$B$2+E282))</f>
        <v>#REF!</v>
      </c>
      <c r="C282" s="74" t="e" cm="1">
        <f t="array" ref="C282">IF(A282="","",INDEX(#REF!,ROW()+9))</f>
        <v>#REF!</v>
      </c>
      <c r="D282" s="74" t="str">
        <f>IFERROR(IF(A282="","",'Event Info'!$B$2),"")</f>
        <v/>
      </c>
      <c r="E282" t="e" cm="1">
        <f t="array" ref="E282">IF(INDEX(#REF!,ROW()+9)="START",E281+1,E281+0)</f>
        <v>#REF!</v>
      </c>
      <c r="F282" s="82" t="e">
        <f>IF(A282&lt;&gt;"",_xlfn.CONCAT(TEXT(A282,"yyyy-mm-dd"),"T",TEXT(A282,"hh:mm:ss"),'Event Info'!$B$5,",",," ",C282),"")</f>
        <v>#REF!</v>
      </c>
      <c r="G282" t="e">
        <f t="shared" si="8"/>
        <v>#REF!</v>
      </c>
      <c r="H282" s="92" t="str">
        <f t="shared" si="9"/>
        <v/>
      </c>
      <c r="I282" s="88">
        <v>0</v>
      </c>
    </row>
    <row r="283" spans="1:9" ht="16.899999999999999">
      <c r="A283" s="76" t="e" cm="1">
        <f t="array" ref="A283">IF(OR(INDEX(#REF!,ROW()+10)="START",INDEX(#REF!,ROW()+9)="",INDEX(#REF!,ROW()+9)="START",INDEX(#REF!,ROW()+9)="TBA",INDEX(#REF!,ROW()+9)="TBC"),"",INDEX(#REF!,ROW()+9)+'Date Calculators'!$B$2+E283)</f>
        <v>#REF!</v>
      </c>
      <c r="B283" s="76" t="e" cm="1">
        <f t="array" ref="B283">IF(OR(A283=""),"",IF(INDEX(#REF!,ROW()+9)="",IF(A284="",A283+$Q$10,A284),INDEX(#REF!,ROW()+9)+'Date Calculators'!$B$2+E283))</f>
        <v>#REF!</v>
      </c>
      <c r="C283" s="74" t="e" cm="1">
        <f t="array" ref="C283">IF(A283="","",INDEX(#REF!,ROW()+9))</f>
        <v>#REF!</v>
      </c>
      <c r="D283" s="74" t="str">
        <f>IFERROR(IF(A283="","",'Event Info'!$B$2),"")</f>
        <v/>
      </c>
      <c r="E283" t="e" cm="1">
        <f t="array" ref="E283">IF(INDEX(#REF!,ROW()+9)="START",E282+1,E282+0)</f>
        <v>#REF!</v>
      </c>
      <c r="F283" s="82" t="e">
        <f>IF(A283&lt;&gt;"",_xlfn.CONCAT(TEXT(A283,"yyyy-mm-dd"),"T",TEXT(A283,"hh:mm:ss"),'Event Info'!$B$5,",",," ",C283),"")</f>
        <v>#REF!</v>
      </c>
      <c r="G283" t="e">
        <f t="shared" si="8"/>
        <v>#REF!</v>
      </c>
      <c r="H283" s="92" t="str">
        <f t="shared" si="9"/>
        <v/>
      </c>
      <c r="I283" s="91">
        <v>0</v>
      </c>
    </row>
    <row r="284" spans="1:9">
      <c r="A284" s="76" t="e" cm="1">
        <f t="array" ref="A284">IF(OR(INDEX(#REF!,ROW()+10)="START",INDEX(#REF!,ROW()+9)="",INDEX(#REF!,ROW()+9)="START",INDEX(#REF!,ROW()+9)="TBA",INDEX(#REF!,ROW()+9)="TBC"),"",INDEX(#REF!,ROW()+9)+'Date Calculators'!$B$2+E284)</f>
        <v>#REF!</v>
      </c>
      <c r="B284" s="76" t="e" cm="1">
        <f t="array" ref="B284">IF(OR(A284=""),"",IF(INDEX(#REF!,ROW()+9)="",IF(A285="",A284+$Q$10,A285),INDEX(#REF!,ROW()+9)+'Date Calculators'!$B$2+E284))</f>
        <v>#REF!</v>
      </c>
      <c r="C284" s="74" t="e" cm="1">
        <f t="array" ref="C284">IF(A284="","",INDEX(#REF!,ROW()+9))</f>
        <v>#REF!</v>
      </c>
      <c r="D284" s="74" t="str">
        <f>IFERROR(IF(A284="","",'Event Info'!$B$2),"")</f>
        <v/>
      </c>
      <c r="E284" t="e" cm="1">
        <f t="array" ref="E284">IF(INDEX(#REF!,ROW()+9)="START",E283+1,E283+0)</f>
        <v>#REF!</v>
      </c>
      <c r="F284" s="82" t="e">
        <f>IF(A284&lt;&gt;"",_xlfn.CONCAT(TEXT(A284,"yyyy-mm-dd"),"T",TEXT(A284,"hh:mm:ss"),'Event Info'!$B$5,",",," ",C284),"")</f>
        <v>#REF!</v>
      </c>
      <c r="G284" t="e">
        <f t="shared" si="8"/>
        <v>#REF!</v>
      </c>
      <c r="H284" s="92" t="str">
        <f t="shared" si="9"/>
        <v/>
      </c>
      <c r="I284" s="88">
        <v>0</v>
      </c>
    </row>
    <row r="285" spans="1:9">
      <c r="A285" s="76" t="e" cm="1">
        <f t="array" ref="A285">IF(OR(INDEX(#REF!,ROW()+10)="START",INDEX(#REF!,ROW()+9)="",INDEX(#REF!,ROW()+9)="START",INDEX(#REF!,ROW()+9)="TBA",INDEX(#REF!,ROW()+9)="TBC"),"",INDEX(#REF!,ROW()+9)+'Date Calculators'!$B$2+E285)</f>
        <v>#REF!</v>
      </c>
      <c r="B285" s="76" t="e" cm="1">
        <f t="array" ref="B285">IF(OR(A285=""),"",IF(INDEX(#REF!,ROW()+9)="",IF(A286="",A285+$Q$10,A286),INDEX(#REF!,ROW()+9)+'Date Calculators'!$B$2+E285))</f>
        <v>#REF!</v>
      </c>
      <c r="C285" s="74" t="e" cm="1">
        <f t="array" ref="C285">IF(A285="","",INDEX(#REF!,ROW()+9))</f>
        <v>#REF!</v>
      </c>
      <c r="D285" s="74" t="str">
        <f>IFERROR(IF(A285="","",'Event Info'!$B$2),"")</f>
        <v/>
      </c>
      <c r="E285" t="e" cm="1">
        <f t="array" ref="E285">IF(INDEX(#REF!,ROW()+9)="START",E284+1,E284+0)</f>
        <v>#REF!</v>
      </c>
      <c r="F285" s="82" t="e">
        <f>IF(A285&lt;&gt;"",_xlfn.CONCAT(TEXT(A285,"yyyy-mm-dd"),"T",TEXT(A285,"hh:mm:ss"),'Event Info'!$B$5,",",," ",C285),"")</f>
        <v>#REF!</v>
      </c>
      <c r="G285" t="e">
        <f t="shared" si="8"/>
        <v>#REF!</v>
      </c>
      <c r="H285" s="92" t="str">
        <f t="shared" si="9"/>
        <v/>
      </c>
      <c r="I285" s="88">
        <v>0</v>
      </c>
    </row>
    <row r="286" spans="1:9" ht="16.899999999999999">
      <c r="A286" s="76" t="e" cm="1">
        <f t="array" ref="A286">IF(OR(INDEX(#REF!,ROW()+10)="START",INDEX(#REF!,ROW()+9)="",INDEX(#REF!,ROW()+9)="START",INDEX(#REF!,ROW()+9)="TBA",INDEX(#REF!,ROW()+9)="TBC"),"",INDEX(#REF!,ROW()+9)+'Date Calculators'!$B$2+E286)</f>
        <v>#REF!</v>
      </c>
      <c r="B286" s="76" t="e" cm="1">
        <f t="array" ref="B286">IF(OR(A286=""),"",IF(INDEX(#REF!,ROW()+9)="",IF(A287="",A286+$Q$10,A287),INDEX(#REF!,ROW()+9)+'Date Calculators'!$B$2+E286))</f>
        <v>#REF!</v>
      </c>
      <c r="C286" s="74" t="e" cm="1">
        <f t="array" ref="C286">IF(A286="","",INDEX(#REF!,ROW()+9))</f>
        <v>#REF!</v>
      </c>
      <c r="D286" s="74" t="str">
        <f>IFERROR(IF(A286="","",'Event Info'!$B$2),"")</f>
        <v/>
      </c>
      <c r="E286" t="e" cm="1">
        <f t="array" ref="E286">IF(INDEX(#REF!,ROW()+9)="START",E285+1,E285+0)</f>
        <v>#REF!</v>
      </c>
      <c r="F286" s="82" t="e">
        <f>IF(A286&lt;&gt;"",_xlfn.CONCAT(TEXT(A286,"yyyy-mm-dd"),"T",TEXT(A286,"hh:mm:ss"),'Event Info'!$B$5,",",," ",C286),"")</f>
        <v>#REF!</v>
      </c>
      <c r="G286" t="e">
        <f t="shared" si="8"/>
        <v>#REF!</v>
      </c>
      <c r="H286" s="92" t="str">
        <f t="shared" si="9"/>
        <v/>
      </c>
      <c r="I286" s="91">
        <v>0</v>
      </c>
    </row>
    <row r="287" spans="1:9">
      <c r="A287" s="76" t="e" cm="1">
        <f t="array" ref="A287">IF(OR(INDEX(#REF!,ROW()+10)="START",INDEX(#REF!,ROW()+9)="",INDEX(#REF!,ROW()+9)="START",INDEX(#REF!,ROW()+9)="TBA",INDEX(#REF!,ROW()+9)="TBC"),"",INDEX(#REF!,ROW()+9)+'Date Calculators'!$B$2+E287)</f>
        <v>#REF!</v>
      </c>
      <c r="B287" s="76" t="e" cm="1">
        <f t="array" ref="B287">IF(OR(A287=""),"",IF(INDEX(#REF!,ROW()+9)="",IF(A288="",A287+$Q$10,A288),INDEX(#REF!,ROW()+9)+'Date Calculators'!$B$2+E287))</f>
        <v>#REF!</v>
      </c>
      <c r="C287" s="74" t="e" cm="1">
        <f t="array" ref="C287">IF(A287="","",INDEX(#REF!,ROW()+9))</f>
        <v>#REF!</v>
      </c>
      <c r="D287" s="74" t="str">
        <f>IFERROR(IF(A287="","",'Event Info'!$B$2),"")</f>
        <v/>
      </c>
      <c r="E287" t="e" cm="1">
        <f t="array" ref="E287">IF(INDEX(#REF!,ROW()+9)="START",E286+1,E286+0)</f>
        <v>#REF!</v>
      </c>
      <c r="F287" s="82" t="e">
        <f>IF(A287&lt;&gt;"",_xlfn.CONCAT(TEXT(A287,"yyyy-mm-dd"),"T",TEXT(A287,"hh:mm:ss"),'Event Info'!$B$5,",",," ",C287),"")</f>
        <v>#REF!</v>
      </c>
      <c r="G287" t="e">
        <f t="shared" si="8"/>
        <v>#REF!</v>
      </c>
      <c r="H287" s="92" t="str">
        <f t="shared" si="9"/>
        <v/>
      </c>
      <c r="I287" s="88">
        <v>0</v>
      </c>
    </row>
    <row r="288" spans="1:9">
      <c r="A288" s="76" t="e" cm="1">
        <f t="array" ref="A288">IF(OR(INDEX(#REF!,ROW()+10)="START",INDEX(#REF!,ROW()+9)="",INDEX(#REF!,ROW()+9)="START",INDEX(#REF!,ROW()+9)="TBA",INDEX(#REF!,ROW()+9)="TBC"),"",INDEX(#REF!,ROW()+9)+'Date Calculators'!$B$2+E288)</f>
        <v>#REF!</v>
      </c>
      <c r="B288" s="76" t="e" cm="1">
        <f t="array" ref="B288">IF(OR(A288=""),"",IF(INDEX(#REF!,ROW()+9)="",IF(A289="",A288+$Q$10,A289),INDEX(#REF!,ROW()+9)+'Date Calculators'!$B$2+E288))</f>
        <v>#REF!</v>
      </c>
      <c r="C288" s="74" t="e" cm="1">
        <f t="array" ref="C288">IF(A288="","",INDEX(#REF!,ROW()+9))</f>
        <v>#REF!</v>
      </c>
      <c r="D288" s="74" t="str">
        <f>IFERROR(IF(A288="","",'Event Info'!$B$2),"")</f>
        <v/>
      </c>
      <c r="E288" t="e" cm="1">
        <f t="array" ref="E288">IF(INDEX(#REF!,ROW()+9)="START",E287+1,E287+0)</f>
        <v>#REF!</v>
      </c>
      <c r="F288" s="82" t="e">
        <f>IF(A288&lt;&gt;"",_xlfn.CONCAT(TEXT(A288,"yyyy-mm-dd"),"T",TEXT(A288,"hh:mm:ss"),'Event Info'!$B$5,",",," ",C288),"")</f>
        <v>#REF!</v>
      </c>
      <c r="G288" t="e">
        <f t="shared" si="8"/>
        <v>#REF!</v>
      </c>
      <c r="H288" s="92" t="str">
        <f t="shared" si="9"/>
        <v/>
      </c>
      <c r="I288" s="88">
        <v>0</v>
      </c>
    </row>
    <row r="289" spans="1:9" ht="16.899999999999999">
      <c r="A289" s="76" t="e" cm="1">
        <f t="array" ref="A289">IF(OR(INDEX(#REF!,ROW()+10)="START",INDEX(#REF!,ROW()+9)="",INDEX(#REF!,ROW()+9)="START",INDEX(#REF!,ROW()+9)="TBA",INDEX(#REF!,ROW()+9)="TBC"),"",INDEX(#REF!,ROW()+9)+'Date Calculators'!$B$2+E289)</f>
        <v>#REF!</v>
      </c>
      <c r="B289" s="76" t="e" cm="1">
        <f t="array" ref="B289">IF(OR(A289=""),"",IF(INDEX(#REF!,ROW()+9)="",IF(A290="",A289+$Q$10,A290),INDEX(#REF!,ROW()+9)+'Date Calculators'!$B$2+E289))</f>
        <v>#REF!</v>
      </c>
      <c r="C289" s="74" t="e" cm="1">
        <f t="array" ref="C289">IF(A289="","",INDEX(#REF!,ROW()+9))</f>
        <v>#REF!</v>
      </c>
      <c r="D289" s="74" t="str">
        <f>IFERROR(IF(A289="","",'Event Info'!$B$2),"")</f>
        <v/>
      </c>
      <c r="E289" t="e" cm="1">
        <f t="array" ref="E289">IF(INDEX(#REF!,ROW()+9)="START",E288+1,E288+0)</f>
        <v>#REF!</v>
      </c>
      <c r="F289" s="82" t="e">
        <f>IF(A289&lt;&gt;"",_xlfn.CONCAT(TEXT(A289,"yyyy-mm-dd"),"T",TEXT(A289,"hh:mm:ss"),'Event Info'!$B$5,",",," ",C289),"")</f>
        <v>#REF!</v>
      </c>
      <c r="G289" t="e">
        <f t="shared" si="8"/>
        <v>#REF!</v>
      </c>
      <c r="H289" s="92" t="str">
        <f t="shared" si="9"/>
        <v/>
      </c>
      <c r="I289" s="91">
        <v>0</v>
      </c>
    </row>
    <row r="290" spans="1:9">
      <c r="A290" s="76" t="e" cm="1">
        <f t="array" ref="A290">IF(OR(INDEX(#REF!,ROW()+10)="START",INDEX(#REF!,ROW()+9)="",INDEX(#REF!,ROW()+9)="START",INDEX(#REF!,ROW()+9)="TBA",INDEX(#REF!,ROW()+9)="TBC"),"",INDEX(#REF!,ROW()+9)+'Date Calculators'!$B$2+E290)</f>
        <v>#REF!</v>
      </c>
      <c r="B290" s="76" t="e" cm="1">
        <f t="array" ref="B290">IF(OR(A290=""),"",IF(INDEX(#REF!,ROW()+9)="",IF(A291="",A290+$Q$10,A291),INDEX(#REF!,ROW()+9)+'Date Calculators'!$B$2+E290))</f>
        <v>#REF!</v>
      </c>
      <c r="C290" s="74" t="e" cm="1">
        <f t="array" ref="C290">IF(A290="","",INDEX(#REF!,ROW()+9))</f>
        <v>#REF!</v>
      </c>
      <c r="D290" s="74" t="str">
        <f>IFERROR(IF(A290="","",'Event Info'!$B$2),"")</f>
        <v/>
      </c>
      <c r="E290" t="e" cm="1">
        <f t="array" ref="E290">IF(INDEX(#REF!,ROW()+9)="START",E289+1,E289+0)</f>
        <v>#REF!</v>
      </c>
      <c r="F290" s="82" t="e">
        <f>IF(A290&lt;&gt;"",_xlfn.CONCAT(TEXT(A290,"yyyy-mm-dd"),"T",TEXT(A290,"hh:mm:ss"),'Event Info'!$B$5,",",," ",C290),"")</f>
        <v>#REF!</v>
      </c>
      <c r="G290" t="e">
        <f t="shared" si="8"/>
        <v>#REF!</v>
      </c>
      <c r="H290" s="92" t="str">
        <f t="shared" si="9"/>
        <v/>
      </c>
      <c r="I290" s="88">
        <v>0</v>
      </c>
    </row>
    <row r="291" spans="1:9">
      <c r="A291" s="76" t="e" cm="1">
        <f t="array" ref="A291">IF(OR(INDEX(#REF!,ROW()+10)="START",INDEX(#REF!,ROW()+9)="",INDEX(#REF!,ROW()+9)="START",INDEX(#REF!,ROW()+9)="TBA",INDEX(#REF!,ROW()+9)="TBC"),"",INDEX(#REF!,ROW()+9)+'Date Calculators'!$B$2+E291)</f>
        <v>#REF!</v>
      </c>
      <c r="B291" s="76" t="e" cm="1">
        <f t="array" ref="B291">IF(OR(A291=""),"",IF(INDEX(#REF!,ROW()+9)="",IF(A292="",A291+$Q$10,A292),INDEX(#REF!,ROW()+9)+'Date Calculators'!$B$2+E291))</f>
        <v>#REF!</v>
      </c>
      <c r="C291" s="74" t="e" cm="1">
        <f t="array" ref="C291">IF(A291="","",INDEX(#REF!,ROW()+9))</f>
        <v>#REF!</v>
      </c>
      <c r="D291" s="74" t="str">
        <f>IFERROR(IF(A291="","",'Event Info'!$B$2),"")</f>
        <v/>
      </c>
      <c r="E291" t="e" cm="1">
        <f t="array" ref="E291">IF(INDEX(#REF!,ROW()+9)="START",E290+1,E290+0)</f>
        <v>#REF!</v>
      </c>
      <c r="F291" s="82" t="e">
        <f>IF(A291&lt;&gt;"",_xlfn.CONCAT(TEXT(A291,"yyyy-mm-dd"),"T",TEXT(A291,"hh:mm:ss"),'Event Info'!$B$5,",",," ",C291),"")</f>
        <v>#REF!</v>
      </c>
      <c r="G291" t="e">
        <f t="shared" si="8"/>
        <v>#REF!</v>
      </c>
      <c r="H291" s="92" t="str">
        <f t="shared" si="9"/>
        <v/>
      </c>
      <c r="I291" s="88">
        <v>0</v>
      </c>
    </row>
    <row r="292" spans="1:9" ht="16.899999999999999">
      <c r="A292" s="76" t="e" cm="1">
        <f t="array" ref="A292">IF(OR(INDEX(#REF!,ROW()+10)="START",INDEX(#REF!,ROW()+9)="",INDEX(#REF!,ROW()+9)="START",INDEX(#REF!,ROW()+9)="TBA",INDEX(#REF!,ROW()+9)="TBC"),"",INDEX(#REF!,ROW()+9)+'Date Calculators'!$B$2+E292)</f>
        <v>#REF!</v>
      </c>
      <c r="B292" s="76" t="e" cm="1">
        <f t="array" ref="B292">IF(OR(A292=""),"",IF(INDEX(#REF!,ROW()+9)="",IF(A293="",A292+$Q$10,A293),INDEX(#REF!,ROW()+9)+'Date Calculators'!$B$2+E292))</f>
        <v>#REF!</v>
      </c>
      <c r="C292" s="74" t="e" cm="1">
        <f t="array" ref="C292">IF(A292="","",INDEX(#REF!,ROW()+9))</f>
        <v>#REF!</v>
      </c>
      <c r="D292" s="74" t="str">
        <f>IFERROR(IF(A292="","",'Event Info'!$B$2),"")</f>
        <v/>
      </c>
      <c r="E292" t="e" cm="1">
        <f t="array" ref="E292">IF(INDEX(#REF!,ROW()+9)="START",E291+1,E291+0)</f>
        <v>#REF!</v>
      </c>
      <c r="F292" s="82" t="e">
        <f>IF(A292&lt;&gt;"",_xlfn.CONCAT(TEXT(A292,"yyyy-mm-dd"),"T",TEXT(A292,"hh:mm:ss"),'Event Info'!$B$5,",",," ",C292),"")</f>
        <v>#REF!</v>
      </c>
      <c r="G292" t="e">
        <f t="shared" si="8"/>
        <v>#REF!</v>
      </c>
      <c r="H292" s="92" t="str">
        <f t="shared" si="9"/>
        <v/>
      </c>
      <c r="I292" s="91">
        <v>0</v>
      </c>
    </row>
    <row r="293" spans="1:9">
      <c r="A293" s="76" t="e" cm="1">
        <f t="array" ref="A293">IF(OR(INDEX(#REF!,ROW()+10)="START",INDEX(#REF!,ROW()+9)="",INDEX(#REF!,ROW()+9)="START",INDEX(#REF!,ROW()+9)="TBA",INDEX(#REF!,ROW()+9)="TBC"),"",INDEX(#REF!,ROW()+9)+'Date Calculators'!$B$2+E293)</f>
        <v>#REF!</v>
      </c>
      <c r="B293" s="76" t="e" cm="1">
        <f t="array" ref="B293">IF(OR(A293=""),"",IF(INDEX(#REF!,ROW()+9)="",IF(A294="",A293+$Q$10,A294),INDEX(#REF!,ROW()+9)+'Date Calculators'!$B$2+E293))</f>
        <v>#REF!</v>
      </c>
      <c r="C293" s="74" t="e" cm="1">
        <f t="array" ref="C293">IF(A293="","",INDEX(#REF!,ROW()+9))</f>
        <v>#REF!</v>
      </c>
      <c r="D293" s="74" t="str">
        <f>IFERROR(IF(A293="","",'Event Info'!$B$2),"")</f>
        <v/>
      </c>
      <c r="E293" t="e" cm="1">
        <f t="array" ref="E293">IF(INDEX(#REF!,ROW()+9)="START",E292+1,E292+0)</f>
        <v>#REF!</v>
      </c>
      <c r="F293" s="82" t="e">
        <f>IF(A293&lt;&gt;"",_xlfn.CONCAT(TEXT(A293,"yyyy-mm-dd"),"T",TEXT(A293,"hh:mm:ss"),'Event Info'!$B$5,",",," ",C293),"")</f>
        <v>#REF!</v>
      </c>
      <c r="G293" t="e">
        <f t="shared" si="8"/>
        <v>#REF!</v>
      </c>
      <c r="H293" s="92" t="str">
        <f t="shared" si="9"/>
        <v/>
      </c>
      <c r="I293" s="88">
        <v>0</v>
      </c>
    </row>
    <row r="294" spans="1:9">
      <c r="A294" s="76" t="e" cm="1">
        <f t="array" ref="A294">IF(OR(INDEX(#REF!,ROW()+10)="START",INDEX(#REF!,ROW()+9)="",INDEX(#REF!,ROW()+9)="START",INDEX(#REF!,ROW()+9)="TBA",INDEX(#REF!,ROW()+9)="TBC"),"",INDEX(#REF!,ROW()+9)+'Date Calculators'!$B$2+E294)</f>
        <v>#REF!</v>
      </c>
      <c r="B294" s="76" t="e" cm="1">
        <f t="array" ref="B294">IF(OR(A294=""),"",IF(INDEX(#REF!,ROW()+9)="",IF(A295="",A294+$Q$10,A295),INDEX(#REF!,ROW()+9)+'Date Calculators'!$B$2+E294))</f>
        <v>#REF!</v>
      </c>
      <c r="C294" s="74" t="e" cm="1">
        <f t="array" ref="C294">IF(A294="","",INDEX(#REF!,ROW()+9))</f>
        <v>#REF!</v>
      </c>
      <c r="D294" s="74" t="str">
        <f>IFERROR(IF(A294="","",'Event Info'!$B$2),"")</f>
        <v/>
      </c>
      <c r="E294" t="e" cm="1">
        <f t="array" ref="E294">IF(INDEX(#REF!,ROW()+9)="START",E293+1,E293+0)</f>
        <v>#REF!</v>
      </c>
      <c r="F294" s="82" t="e">
        <f>IF(A294&lt;&gt;"",_xlfn.CONCAT(TEXT(A294,"yyyy-mm-dd"),"T",TEXT(A294,"hh:mm:ss"),'Event Info'!$B$5,",",," ",C294),"")</f>
        <v>#REF!</v>
      </c>
      <c r="G294" t="e">
        <f t="shared" si="8"/>
        <v>#REF!</v>
      </c>
      <c r="H294" s="92" t="str">
        <f t="shared" si="9"/>
        <v/>
      </c>
      <c r="I294" s="88">
        <v>0</v>
      </c>
    </row>
    <row r="295" spans="1:9" ht="16.899999999999999">
      <c r="A295" s="76" t="e" cm="1">
        <f t="array" ref="A295">IF(OR(INDEX(#REF!,ROW()+10)="START",INDEX(#REF!,ROW()+9)="",INDEX(#REF!,ROW()+9)="START",INDEX(#REF!,ROW()+9)="TBA",INDEX(#REF!,ROW()+9)="TBC"),"",INDEX(#REF!,ROW()+9)+'Date Calculators'!$B$2+E295)</f>
        <v>#REF!</v>
      </c>
      <c r="B295" s="76" t="e" cm="1">
        <f t="array" ref="B295">IF(OR(A295=""),"",IF(INDEX(#REF!,ROW()+9)="",IF(A296="",A295+$Q$10,A296),INDEX(#REF!,ROW()+9)+'Date Calculators'!$B$2+E295))</f>
        <v>#REF!</v>
      </c>
      <c r="C295" s="74" t="e" cm="1">
        <f t="array" ref="C295">IF(A295="","",INDEX(#REF!,ROW()+9))</f>
        <v>#REF!</v>
      </c>
      <c r="D295" s="74" t="str">
        <f>IFERROR(IF(A295="","",'Event Info'!$B$2),"")</f>
        <v/>
      </c>
      <c r="E295" t="e" cm="1">
        <f t="array" ref="E295">IF(INDEX(#REF!,ROW()+9)="START",E294+1,E294+0)</f>
        <v>#REF!</v>
      </c>
      <c r="F295" s="82" t="e">
        <f>IF(A295&lt;&gt;"",_xlfn.CONCAT(TEXT(A295,"yyyy-mm-dd"),"T",TEXT(A295,"hh:mm:ss"),'Event Info'!$B$5,",",," ",C295),"")</f>
        <v>#REF!</v>
      </c>
      <c r="G295" t="e">
        <f t="shared" si="8"/>
        <v>#REF!</v>
      </c>
      <c r="H295" s="92" t="str">
        <f t="shared" si="9"/>
        <v/>
      </c>
      <c r="I295" s="91">
        <v>0</v>
      </c>
    </row>
    <row r="296" spans="1:9">
      <c r="A296" s="76" t="e" cm="1">
        <f t="array" ref="A296">IF(OR(INDEX(#REF!,ROW()+10)="START",INDEX(#REF!,ROW()+9)="",INDEX(#REF!,ROW()+9)="START",INDEX(#REF!,ROW()+9)="TBA",INDEX(#REF!,ROW()+9)="TBC"),"",INDEX(#REF!,ROW()+9)+'Date Calculators'!$B$2+E296)</f>
        <v>#REF!</v>
      </c>
      <c r="B296" s="76" t="e" cm="1">
        <f t="array" ref="B296">IF(OR(A296=""),"",IF(INDEX(#REF!,ROW()+9)="",IF(A297="",A296+$Q$10,A297),INDEX(#REF!,ROW()+9)+'Date Calculators'!$B$2+E296))</f>
        <v>#REF!</v>
      </c>
      <c r="C296" s="74" t="e" cm="1">
        <f t="array" ref="C296">IF(A296="","",INDEX(#REF!,ROW()+9))</f>
        <v>#REF!</v>
      </c>
      <c r="D296" s="74" t="str">
        <f>IFERROR(IF(A296="","",'Event Info'!$B$2),"")</f>
        <v/>
      </c>
      <c r="E296" t="e" cm="1">
        <f t="array" ref="E296">IF(INDEX(#REF!,ROW()+9)="START",E295+1,E295+0)</f>
        <v>#REF!</v>
      </c>
      <c r="F296" s="82" t="e">
        <f>IF(A296&lt;&gt;"",_xlfn.CONCAT(TEXT(A296,"yyyy-mm-dd"),"T",TEXT(A296,"hh:mm:ss"),'Event Info'!$B$5,",",," ",C296),"")</f>
        <v>#REF!</v>
      </c>
      <c r="G296" t="e">
        <f t="shared" si="8"/>
        <v>#REF!</v>
      </c>
      <c r="H296" s="92" t="str">
        <f t="shared" si="9"/>
        <v/>
      </c>
      <c r="I296" s="88">
        <v>0</v>
      </c>
    </row>
    <row r="297" spans="1:9">
      <c r="A297" s="76" t="e" cm="1">
        <f t="array" ref="A297">IF(OR(INDEX(#REF!,ROW()+10)="START",INDEX(#REF!,ROW()+9)="",INDEX(#REF!,ROW()+9)="START",INDEX(#REF!,ROW()+9)="TBA",INDEX(#REF!,ROW()+9)="TBC"),"",INDEX(#REF!,ROW()+9)+'Date Calculators'!$B$2+E297)</f>
        <v>#REF!</v>
      </c>
      <c r="B297" s="76" t="e" cm="1">
        <f t="array" ref="B297">IF(OR(A297=""),"",IF(INDEX(#REF!,ROW()+9)="",IF(A298="",A297+$Q$10,A298),INDEX(#REF!,ROW()+9)+'Date Calculators'!$B$2+E297))</f>
        <v>#REF!</v>
      </c>
      <c r="C297" s="74" t="e" cm="1">
        <f t="array" ref="C297">IF(A297="","",INDEX(#REF!,ROW()+9))</f>
        <v>#REF!</v>
      </c>
      <c r="D297" s="74" t="str">
        <f>IFERROR(IF(A297="","",'Event Info'!$B$2),"")</f>
        <v/>
      </c>
      <c r="E297" t="e" cm="1">
        <f t="array" ref="E297">IF(INDEX(#REF!,ROW()+9)="START",E296+1,E296+0)</f>
        <v>#REF!</v>
      </c>
      <c r="F297" s="82" t="e">
        <f>IF(A297&lt;&gt;"",_xlfn.CONCAT(TEXT(A297,"yyyy-mm-dd"),"T",TEXT(A297,"hh:mm:ss"),'Event Info'!$B$5,",",," ",C297),"")</f>
        <v>#REF!</v>
      </c>
      <c r="G297" t="e">
        <f t="shared" si="8"/>
        <v>#REF!</v>
      </c>
      <c r="H297" s="92" t="str">
        <f t="shared" si="9"/>
        <v/>
      </c>
      <c r="I297" s="88">
        <v>0</v>
      </c>
    </row>
    <row r="298" spans="1:9" ht="16.899999999999999">
      <c r="A298" s="76" t="e" cm="1">
        <f t="array" ref="A298">IF(OR(INDEX(#REF!,ROW()+10)="START",INDEX(#REF!,ROW()+9)="",INDEX(#REF!,ROW()+9)="START",INDEX(#REF!,ROW()+9)="TBA",INDEX(#REF!,ROW()+9)="TBC"),"",INDEX(#REF!,ROW()+9)+'Date Calculators'!$B$2+E298)</f>
        <v>#REF!</v>
      </c>
      <c r="B298" s="76" t="e" cm="1">
        <f t="array" ref="B298">IF(OR(A298=""),"",IF(INDEX(#REF!,ROW()+9)="",IF(A299="",A298+$Q$10,A299),INDEX(#REF!,ROW()+9)+'Date Calculators'!$B$2+E298))</f>
        <v>#REF!</v>
      </c>
      <c r="C298" s="74" t="e" cm="1">
        <f t="array" ref="C298">IF(A298="","",INDEX(#REF!,ROW()+9))</f>
        <v>#REF!</v>
      </c>
      <c r="D298" s="74" t="str">
        <f>IFERROR(IF(A298="","",'Event Info'!$B$2),"")</f>
        <v/>
      </c>
      <c r="E298" t="e" cm="1">
        <f t="array" ref="E298">IF(INDEX(#REF!,ROW()+9)="START",E297+1,E297+0)</f>
        <v>#REF!</v>
      </c>
      <c r="F298" s="82" t="e">
        <f>IF(A298&lt;&gt;"",_xlfn.CONCAT(TEXT(A298,"yyyy-mm-dd"),"T",TEXT(A298,"hh:mm:ss"),'Event Info'!$B$5,",",," ",C298),"")</f>
        <v>#REF!</v>
      </c>
      <c r="G298" t="e">
        <f t="shared" si="8"/>
        <v>#REF!</v>
      </c>
      <c r="H298" s="92" t="str">
        <f t="shared" si="9"/>
        <v/>
      </c>
      <c r="I298" s="91">
        <v>0</v>
      </c>
    </row>
    <row r="299" spans="1:9">
      <c r="A299" s="76" t="e" cm="1">
        <f t="array" ref="A299">IF(OR(INDEX(#REF!,ROW()+10)="START",INDEX(#REF!,ROW()+9)="",INDEX(#REF!,ROW()+9)="START",INDEX(#REF!,ROW()+9)="TBA",INDEX(#REF!,ROW()+9)="TBC"),"",INDEX(#REF!,ROW()+9)+'Date Calculators'!$B$2+E299)</f>
        <v>#REF!</v>
      </c>
      <c r="B299" s="76" t="e" cm="1">
        <f t="array" ref="B299">IF(OR(A299=""),"",IF(INDEX(#REF!,ROW()+9)="",IF(A300="",A299+$Q$10,A300),INDEX(#REF!,ROW()+9)+'Date Calculators'!$B$2+E299))</f>
        <v>#REF!</v>
      </c>
      <c r="C299" s="74" t="e" cm="1">
        <f t="array" ref="C299">IF(A299="","",INDEX(#REF!,ROW()+9))</f>
        <v>#REF!</v>
      </c>
      <c r="D299" s="74" t="str">
        <f>IFERROR(IF(A299="","",'Event Info'!$B$2),"")</f>
        <v/>
      </c>
      <c r="E299" t="e" cm="1">
        <f t="array" ref="E299">IF(INDEX(#REF!,ROW()+9)="START",E298+1,E298+0)</f>
        <v>#REF!</v>
      </c>
      <c r="F299" s="82" t="e">
        <f>IF(A299&lt;&gt;"",_xlfn.CONCAT(TEXT(A299,"yyyy-mm-dd"),"T",TEXT(A299,"hh:mm:ss"),'Event Info'!$B$5,",",," ",C299),"")</f>
        <v>#REF!</v>
      </c>
      <c r="G299" t="e">
        <f t="shared" si="8"/>
        <v>#REF!</v>
      </c>
      <c r="H299" s="92" t="str">
        <f t="shared" si="9"/>
        <v/>
      </c>
      <c r="I299" s="88">
        <v>0</v>
      </c>
    </row>
    <row r="300" spans="1:9">
      <c r="A300" s="76" t="e" cm="1">
        <f t="array" ref="A300">IF(OR(INDEX(#REF!,ROW()+10)="START",INDEX(#REF!,ROW()+9)="",INDEX(#REF!,ROW()+9)="START",INDEX(#REF!,ROW()+9)="TBA",INDEX(#REF!,ROW()+9)="TBC"),"",INDEX(#REF!,ROW()+9)+'Date Calculators'!$B$2+E300)</f>
        <v>#REF!</v>
      </c>
      <c r="B300" s="76" t="e" cm="1">
        <f t="array" ref="B300">IF(OR(A300=""),"",IF(INDEX(#REF!,ROW()+9)="",IF(A301="",A300+$Q$10,A301),INDEX(#REF!,ROW()+9)+'Date Calculators'!$B$2+E300))</f>
        <v>#REF!</v>
      </c>
      <c r="C300" s="74" t="e" cm="1">
        <f t="array" ref="C300">IF(A300="","",INDEX(#REF!,ROW()+9))</f>
        <v>#REF!</v>
      </c>
      <c r="D300" s="74" t="str">
        <f>IFERROR(IF(A300="","",'Event Info'!$B$2),"")</f>
        <v/>
      </c>
      <c r="E300" t="e" cm="1">
        <f t="array" ref="E300">IF(INDEX(#REF!,ROW()+9)="START",E299+1,E299+0)</f>
        <v>#REF!</v>
      </c>
      <c r="F300" s="82" t="e">
        <f>IF(A300&lt;&gt;"",_xlfn.CONCAT(TEXT(A300,"yyyy-mm-dd"),"T",TEXT(A300,"hh:mm:ss"),'Event Info'!$B$5,",",," ",C300),"")</f>
        <v>#REF!</v>
      </c>
      <c r="G300" t="e">
        <f t="shared" si="8"/>
        <v>#REF!</v>
      </c>
      <c r="H300" s="92" t="str">
        <f t="shared" si="9"/>
        <v/>
      </c>
      <c r="I300" s="88">
        <v>0</v>
      </c>
    </row>
    <row r="301" spans="1:9" ht="16.899999999999999">
      <c r="A301" s="76" t="e" cm="1">
        <f t="array" ref="A301">IF(OR(INDEX(#REF!,ROW()+10)="START",INDEX(#REF!,ROW()+9)="",INDEX(#REF!,ROW()+9)="START",INDEX(#REF!,ROW()+9)="TBA",INDEX(#REF!,ROW()+9)="TBC"),"",INDEX(#REF!,ROW()+9)+'Date Calculators'!$B$2+E301)</f>
        <v>#REF!</v>
      </c>
      <c r="B301" s="76" t="e" cm="1">
        <f t="array" ref="B301">IF(OR(A301=""),"",IF(INDEX(#REF!,ROW()+9)="",IF(A302="",A301+$Q$10,A302),INDEX(#REF!,ROW()+9)+'Date Calculators'!$B$2+E301))</f>
        <v>#REF!</v>
      </c>
      <c r="C301" s="74" t="e" cm="1">
        <f t="array" ref="C301">IF(A301="","",INDEX(#REF!,ROW()+9))</f>
        <v>#REF!</v>
      </c>
      <c r="D301" s="74" t="str">
        <f>IFERROR(IF(A301="","",'Event Info'!$B$2),"")</f>
        <v/>
      </c>
      <c r="E301" t="e" cm="1">
        <f t="array" ref="E301">IF(INDEX(#REF!,ROW()+9)="START",E300+1,E300+0)</f>
        <v>#REF!</v>
      </c>
      <c r="F301" s="82" t="e">
        <f>IF(A301&lt;&gt;"",_xlfn.CONCAT(TEXT(A301,"yyyy-mm-dd"),"T",TEXT(A301,"hh:mm:ss"),'Event Info'!$B$5,",",," ",C301),"")</f>
        <v>#REF!</v>
      </c>
      <c r="G301" t="e">
        <f t="shared" si="8"/>
        <v>#REF!</v>
      </c>
      <c r="H301" s="92" t="str">
        <f t="shared" si="9"/>
        <v/>
      </c>
      <c r="I301" s="91">
        <v>0</v>
      </c>
    </row>
    <row r="302" spans="1:9">
      <c r="A302" s="76" t="e" cm="1">
        <f t="array" ref="A302">IF(OR(INDEX(#REF!,ROW()+10)="START",INDEX(#REF!,ROW()+9)="",INDEX(#REF!,ROW()+9)="START",INDEX(#REF!,ROW()+9)="TBA",INDEX(#REF!,ROW()+9)="TBC"),"",INDEX(#REF!,ROW()+9)+'Date Calculators'!$B$2+E302)</f>
        <v>#REF!</v>
      </c>
      <c r="B302" s="76" t="e" cm="1">
        <f t="array" ref="B302">IF(OR(A302=""),"",IF(INDEX(#REF!,ROW()+9)="",IF(A303="",A302+$Q$10,A303),INDEX(#REF!,ROW()+9)+'Date Calculators'!$B$2+E302))</f>
        <v>#REF!</v>
      </c>
      <c r="C302" s="74" t="e" cm="1">
        <f t="array" ref="C302">IF(A302="","",INDEX(#REF!,ROW()+9))</f>
        <v>#REF!</v>
      </c>
      <c r="D302" s="74" t="str">
        <f>IFERROR(IF(A302="","",'Event Info'!$B$2),"")</f>
        <v/>
      </c>
      <c r="E302" t="e" cm="1">
        <f t="array" ref="E302">IF(INDEX(#REF!,ROW()+9)="START",E301+1,E301+0)</f>
        <v>#REF!</v>
      </c>
      <c r="F302" s="82" t="e">
        <f>IF(A302&lt;&gt;"",_xlfn.CONCAT(TEXT(A302,"yyyy-mm-dd"),"T",TEXT(A302,"hh:mm:ss"),'Event Info'!$B$5,",",," ",C302),"")</f>
        <v>#REF!</v>
      </c>
      <c r="G302" t="e">
        <f t="shared" si="8"/>
        <v>#REF!</v>
      </c>
      <c r="H302" s="92" t="str">
        <f t="shared" si="9"/>
        <v/>
      </c>
      <c r="I302" s="88">
        <v>0</v>
      </c>
    </row>
    <row r="303" spans="1:9">
      <c r="A303" s="76" t="e" cm="1">
        <f t="array" ref="A303">IF(OR(INDEX(#REF!,ROW()+10)="START",INDEX(#REF!,ROW()+9)="",INDEX(#REF!,ROW()+9)="START",INDEX(#REF!,ROW()+9)="TBA",INDEX(#REF!,ROW()+9)="TBC"),"",INDEX(#REF!,ROW()+9)+'Date Calculators'!$B$2+E303)</f>
        <v>#REF!</v>
      </c>
      <c r="B303" s="76" t="e" cm="1">
        <f t="array" ref="B303">IF(OR(A303=""),"",IF(INDEX(#REF!,ROW()+9)="",IF(A304="",A303+$Q$10,A304),INDEX(#REF!,ROW()+9)+'Date Calculators'!$B$2+E303))</f>
        <v>#REF!</v>
      </c>
      <c r="C303" s="74" t="e" cm="1">
        <f t="array" ref="C303">IF(A303="","",INDEX(#REF!,ROW()+9))</f>
        <v>#REF!</v>
      </c>
      <c r="D303" s="74" t="str">
        <f>IFERROR(IF(A303="","",'Event Info'!$B$2),"")</f>
        <v/>
      </c>
      <c r="E303" t="e" cm="1">
        <f t="array" ref="E303">IF(INDEX(#REF!,ROW()+9)="START",E302+1,E302+0)</f>
        <v>#REF!</v>
      </c>
      <c r="F303" s="82" t="e">
        <f>IF(A303&lt;&gt;"",_xlfn.CONCAT(TEXT(A303,"yyyy-mm-dd"),"T",TEXT(A303,"hh:mm:ss"),'Event Info'!$B$5,",",," ",C303),"")</f>
        <v>#REF!</v>
      </c>
      <c r="G303" t="e">
        <f t="shared" si="8"/>
        <v>#REF!</v>
      </c>
      <c r="H303" s="92" t="str">
        <f t="shared" si="9"/>
        <v/>
      </c>
      <c r="I303" s="88">
        <v>0</v>
      </c>
    </row>
    <row r="304" spans="1:9" ht="16.899999999999999">
      <c r="A304" s="76" t="e" cm="1">
        <f t="array" ref="A304">IF(OR(INDEX(#REF!,ROW()+10)="START",INDEX(#REF!,ROW()+9)="",INDEX(#REF!,ROW()+9)="START",INDEX(#REF!,ROW()+9)="TBA",INDEX(#REF!,ROW()+9)="TBC"),"",INDEX(#REF!,ROW()+9)+'Date Calculators'!$B$2+E304)</f>
        <v>#REF!</v>
      </c>
      <c r="B304" s="76" t="e" cm="1">
        <f t="array" ref="B304">IF(OR(A304=""),"",IF(INDEX(#REF!,ROW()+9)="",IF(A305="",A304+$Q$10,A305),INDEX(#REF!,ROW()+9)+'Date Calculators'!$B$2+E304))</f>
        <v>#REF!</v>
      </c>
      <c r="C304" s="74" t="e" cm="1">
        <f t="array" ref="C304">IF(A304="","",INDEX(#REF!,ROW()+9))</f>
        <v>#REF!</v>
      </c>
      <c r="D304" s="74" t="str">
        <f>IFERROR(IF(A304="","",'Event Info'!$B$2),"")</f>
        <v/>
      </c>
      <c r="E304" t="e" cm="1">
        <f t="array" ref="E304">IF(INDEX(#REF!,ROW()+9)="START",E303+1,E303+0)</f>
        <v>#REF!</v>
      </c>
      <c r="F304" s="82" t="e">
        <f>IF(A304&lt;&gt;"",_xlfn.CONCAT(TEXT(A304,"yyyy-mm-dd"),"T",TEXT(A304,"hh:mm:ss"),'Event Info'!$B$5,",",," ",C304),"")</f>
        <v>#REF!</v>
      </c>
      <c r="G304" t="e">
        <f t="shared" si="8"/>
        <v>#REF!</v>
      </c>
      <c r="H304" s="92" t="str">
        <f t="shared" si="9"/>
        <v/>
      </c>
      <c r="I304" s="91">
        <v>0</v>
      </c>
    </row>
    <row r="305" spans="1:9">
      <c r="A305" s="76" t="e" cm="1">
        <f t="array" ref="A305">IF(OR(INDEX(#REF!,ROW()+10)="START",INDEX(#REF!,ROW()+9)="",INDEX(#REF!,ROW()+9)="START",INDEX(#REF!,ROW()+9)="TBA",INDEX(#REF!,ROW()+9)="TBC"),"",INDEX(#REF!,ROW()+9)+'Date Calculators'!$B$2+E305)</f>
        <v>#REF!</v>
      </c>
      <c r="B305" s="76" t="e" cm="1">
        <f t="array" ref="B305">IF(OR(A305=""),"",IF(INDEX(#REF!,ROW()+9)="",IF(A306="",A305+$Q$10,A306),INDEX(#REF!,ROW()+9)+'Date Calculators'!$B$2+E305))</f>
        <v>#REF!</v>
      </c>
      <c r="C305" s="74" t="e" cm="1">
        <f t="array" ref="C305">IF(A305="","",INDEX(#REF!,ROW()+9))</f>
        <v>#REF!</v>
      </c>
      <c r="D305" s="74" t="str">
        <f>IFERROR(IF(A305="","",'Event Info'!$B$2),"")</f>
        <v/>
      </c>
      <c r="E305" t="e" cm="1">
        <f t="array" ref="E305">IF(INDEX(#REF!,ROW()+9)="START",E304+1,E304+0)</f>
        <v>#REF!</v>
      </c>
      <c r="F305" s="82" t="e">
        <f>IF(A305&lt;&gt;"",_xlfn.CONCAT(TEXT(A305,"yyyy-mm-dd"),"T",TEXT(A305,"hh:mm:ss"),'Event Info'!$B$5,",",," ",C305),"")</f>
        <v>#REF!</v>
      </c>
      <c r="G305" t="e">
        <f t="shared" si="8"/>
        <v>#REF!</v>
      </c>
      <c r="H305" s="92" t="str">
        <f t="shared" si="9"/>
        <v/>
      </c>
      <c r="I305" s="88">
        <v>0</v>
      </c>
    </row>
    <row r="306" spans="1:9">
      <c r="A306" s="76" t="e" cm="1">
        <f t="array" ref="A306">IF(OR(INDEX(#REF!,ROW()+10)="START",INDEX(#REF!,ROW()+9)="",INDEX(#REF!,ROW()+9)="START",INDEX(#REF!,ROW()+9)="TBA",INDEX(#REF!,ROW()+9)="TBC"),"",INDEX(#REF!,ROW()+9)+'Date Calculators'!$B$2+E306)</f>
        <v>#REF!</v>
      </c>
      <c r="B306" s="76" t="e" cm="1">
        <f t="array" ref="B306">IF(OR(A306=""),"",IF(INDEX(#REF!,ROW()+9)="",IF(A307="",A306+$Q$10,A307),INDEX(#REF!,ROW()+9)+'Date Calculators'!$B$2+E306))</f>
        <v>#REF!</v>
      </c>
      <c r="C306" s="74" t="e" cm="1">
        <f t="array" ref="C306">IF(A306="","",INDEX(#REF!,ROW()+9))</f>
        <v>#REF!</v>
      </c>
      <c r="D306" s="74" t="str">
        <f>IFERROR(IF(A306="","",'Event Info'!$B$2),"")</f>
        <v/>
      </c>
      <c r="E306" t="e" cm="1">
        <f t="array" ref="E306">IF(INDEX(#REF!,ROW()+9)="START",E305+1,E305+0)</f>
        <v>#REF!</v>
      </c>
      <c r="F306" s="82" t="e">
        <f>IF(A306&lt;&gt;"",_xlfn.CONCAT(TEXT(A306,"yyyy-mm-dd"),"T",TEXT(A306,"hh:mm:ss"),'Event Info'!$B$5,",",," ",C306),"")</f>
        <v>#REF!</v>
      </c>
      <c r="G306" t="e">
        <f t="shared" si="8"/>
        <v>#REF!</v>
      </c>
      <c r="H306" s="92" t="str">
        <f t="shared" si="9"/>
        <v/>
      </c>
      <c r="I306" s="88">
        <v>0</v>
      </c>
    </row>
    <row r="307" spans="1:9" ht="16.899999999999999">
      <c r="A307" s="76" t="e" cm="1">
        <f t="array" ref="A307">IF(OR(INDEX(#REF!,ROW()+10)="START",INDEX(#REF!,ROW()+9)="",INDEX(#REF!,ROW()+9)="START",INDEX(#REF!,ROW()+9)="TBA",INDEX(#REF!,ROW()+9)="TBC"),"",INDEX(#REF!,ROW()+9)+'Date Calculators'!$B$2+E307)</f>
        <v>#REF!</v>
      </c>
      <c r="B307" s="76" t="e" cm="1">
        <f t="array" ref="B307">IF(OR(A307=""),"",IF(INDEX(#REF!,ROW()+9)="",IF(A308="",A307+$Q$10,A308),INDEX(#REF!,ROW()+9)+'Date Calculators'!$B$2+E307))</f>
        <v>#REF!</v>
      </c>
      <c r="C307" s="74" t="e" cm="1">
        <f t="array" ref="C307">IF(A307="","",INDEX(#REF!,ROW()+9))</f>
        <v>#REF!</v>
      </c>
      <c r="D307" s="74" t="str">
        <f>IFERROR(IF(A307="","",'Event Info'!$B$2),"")</f>
        <v/>
      </c>
      <c r="E307" t="e" cm="1">
        <f t="array" ref="E307">IF(INDEX(#REF!,ROW()+9)="START",E306+1,E306+0)</f>
        <v>#REF!</v>
      </c>
      <c r="F307" s="82" t="e">
        <f>IF(A307&lt;&gt;"",_xlfn.CONCAT(TEXT(A307,"yyyy-mm-dd"),"T",TEXT(A307,"hh:mm:ss"),'Event Info'!$B$5,",",," ",C307),"")</f>
        <v>#REF!</v>
      </c>
      <c r="G307" t="e">
        <f t="shared" si="8"/>
        <v>#REF!</v>
      </c>
      <c r="H307" s="92" t="str">
        <f t="shared" si="9"/>
        <v/>
      </c>
      <c r="I307" s="91">
        <v>0</v>
      </c>
    </row>
    <row r="308" spans="1:9">
      <c r="A308" s="76" t="e" cm="1">
        <f t="array" ref="A308">IF(OR(INDEX(#REF!,ROW()+10)="START",INDEX(#REF!,ROW()+9)="",INDEX(#REF!,ROW()+9)="START",INDEX(#REF!,ROW()+9)="TBA",INDEX(#REF!,ROW()+9)="TBC"),"",INDEX(#REF!,ROW()+9)+'Date Calculators'!$B$2+E308)</f>
        <v>#REF!</v>
      </c>
      <c r="B308" s="76" t="e" cm="1">
        <f t="array" ref="B308">IF(OR(A308=""),"",IF(INDEX(#REF!,ROW()+9)="",IF(A309="",A308+$Q$10,A309),INDEX(#REF!,ROW()+9)+'Date Calculators'!$B$2+E308))</f>
        <v>#REF!</v>
      </c>
      <c r="C308" s="74" t="e" cm="1">
        <f t="array" ref="C308">IF(A308="","",INDEX(#REF!,ROW()+9))</f>
        <v>#REF!</v>
      </c>
      <c r="D308" s="74" t="str">
        <f>IFERROR(IF(A308="","",'Event Info'!$B$2),"")</f>
        <v/>
      </c>
      <c r="E308" t="e" cm="1">
        <f t="array" ref="E308">IF(INDEX(#REF!,ROW()+9)="START",E307+1,E307+0)</f>
        <v>#REF!</v>
      </c>
      <c r="F308" s="82" t="e">
        <f>IF(A308&lt;&gt;"",_xlfn.CONCAT(TEXT(A308,"yyyy-mm-dd"),"T",TEXT(A308,"hh:mm:ss"),'Event Info'!$B$5,",",," ",C308),"")</f>
        <v>#REF!</v>
      </c>
      <c r="G308" t="e">
        <f t="shared" si="8"/>
        <v>#REF!</v>
      </c>
      <c r="H308" s="92" t="str">
        <f t="shared" si="9"/>
        <v/>
      </c>
      <c r="I308" s="88">
        <v>0</v>
      </c>
    </row>
    <row r="309" spans="1:9">
      <c r="A309" s="76" t="e" cm="1">
        <f t="array" ref="A309">IF(OR(INDEX(#REF!,ROW()+10)="START",INDEX(#REF!,ROW()+9)="",INDEX(#REF!,ROW()+9)="START",INDEX(#REF!,ROW()+9)="TBA",INDEX(#REF!,ROW()+9)="TBC"),"",INDEX(#REF!,ROW()+9)+'Date Calculators'!$B$2+E309)</f>
        <v>#REF!</v>
      </c>
      <c r="B309" s="76" t="e" cm="1">
        <f t="array" ref="B309">IF(OR(A309=""),"",IF(INDEX(#REF!,ROW()+9)="",IF(A310="",A309+$Q$10,A310),INDEX(#REF!,ROW()+9)+'Date Calculators'!$B$2+E309))</f>
        <v>#REF!</v>
      </c>
      <c r="C309" s="74" t="e" cm="1">
        <f t="array" ref="C309">IF(A309="","",INDEX(#REF!,ROW()+9))</f>
        <v>#REF!</v>
      </c>
      <c r="D309" s="74" t="str">
        <f>IFERROR(IF(A309="","",'Event Info'!$B$2),"")</f>
        <v/>
      </c>
      <c r="E309" t="e" cm="1">
        <f t="array" ref="E309">IF(INDEX(#REF!,ROW()+9)="START",E308+1,E308+0)</f>
        <v>#REF!</v>
      </c>
      <c r="F309" s="82" t="e">
        <f>IF(A309&lt;&gt;"",_xlfn.CONCAT(TEXT(A309,"yyyy-mm-dd"),"T",TEXT(A309,"hh:mm:ss"),'Event Info'!$B$5,",",," ",C309),"")</f>
        <v>#REF!</v>
      </c>
      <c r="G309" t="e">
        <f t="shared" si="8"/>
        <v>#REF!</v>
      </c>
      <c r="H309" s="92" t="str">
        <f t="shared" si="9"/>
        <v/>
      </c>
      <c r="I309" s="88">
        <v>0</v>
      </c>
    </row>
    <row r="310" spans="1:9" ht="16.899999999999999">
      <c r="A310" s="76" t="e" cm="1">
        <f t="array" ref="A310">IF(OR(INDEX(#REF!,ROW()+10)="START",INDEX(#REF!,ROW()+9)="",INDEX(#REF!,ROW()+9)="START",INDEX(#REF!,ROW()+9)="TBA",INDEX(#REF!,ROW()+9)="TBC"),"",INDEX(#REF!,ROW()+9)+'Date Calculators'!$B$2+E310)</f>
        <v>#REF!</v>
      </c>
      <c r="B310" s="76" t="e" cm="1">
        <f t="array" ref="B310">IF(OR(A310=""),"",IF(INDEX(#REF!,ROW()+9)="",IF(A311="",A310+$Q$10,A311),INDEX(#REF!,ROW()+9)+'Date Calculators'!$B$2+E310))</f>
        <v>#REF!</v>
      </c>
      <c r="C310" s="74" t="e" cm="1">
        <f t="array" ref="C310">IF(A310="","",INDEX(#REF!,ROW()+9))</f>
        <v>#REF!</v>
      </c>
      <c r="D310" s="74" t="str">
        <f>IFERROR(IF(A310="","",'Event Info'!$B$2),"")</f>
        <v/>
      </c>
      <c r="E310" t="e" cm="1">
        <f t="array" ref="E310">IF(INDEX(#REF!,ROW()+9)="START",E309+1,E309+0)</f>
        <v>#REF!</v>
      </c>
      <c r="F310" s="82" t="e">
        <f>IF(A310&lt;&gt;"",_xlfn.CONCAT(TEXT(A310,"yyyy-mm-dd"),"T",TEXT(A310,"hh:mm:ss"),'Event Info'!$B$5,",",," ",C310),"")</f>
        <v>#REF!</v>
      </c>
      <c r="G310" t="e">
        <f t="shared" si="8"/>
        <v>#REF!</v>
      </c>
      <c r="H310" s="92" t="str">
        <f t="shared" si="9"/>
        <v/>
      </c>
      <c r="I310" s="91">
        <v>0</v>
      </c>
    </row>
    <row r="311" spans="1:9">
      <c r="A311" s="76" t="e" cm="1">
        <f t="array" ref="A311">IF(OR(INDEX(#REF!,ROW()+10)="START",INDEX(#REF!,ROW()+9)="",INDEX(#REF!,ROW()+9)="START",INDEX(#REF!,ROW()+9)="TBA",INDEX(#REF!,ROW()+9)="TBC"),"",INDEX(#REF!,ROW()+9)+'Date Calculators'!$B$2+E311)</f>
        <v>#REF!</v>
      </c>
      <c r="B311" s="76" t="e" cm="1">
        <f t="array" ref="B311">IF(OR(A311=""),"",IF(INDEX(#REF!,ROW()+9)="",IF(A312="",A311+$Q$10,A312),INDEX(#REF!,ROW()+9)+'Date Calculators'!$B$2+E311))</f>
        <v>#REF!</v>
      </c>
      <c r="C311" s="74" t="e" cm="1">
        <f t="array" ref="C311">IF(A311="","",INDEX(#REF!,ROW()+9))</f>
        <v>#REF!</v>
      </c>
      <c r="D311" s="74" t="str">
        <f>IFERROR(IF(A311="","",'Event Info'!$B$2),"")</f>
        <v/>
      </c>
      <c r="E311" t="e" cm="1">
        <f t="array" ref="E311">IF(INDEX(#REF!,ROW()+9)="START",E310+1,E310+0)</f>
        <v>#REF!</v>
      </c>
      <c r="F311" s="82" t="e">
        <f>IF(A311&lt;&gt;"",_xlfn.CONCAT(TEXT(A311,"yyyy-mm-dd"),"T",TEXT(A311,"hh:mm:ss"),'Event Info'!$B$5,",",," ",C311),"")</f>
        <v>#REF!</v>
      </c>
      <c r="G311" t="e">
        <f t="shared" si="8"/>
        <v>#REF!</v>
      </c>
      <c r="H311" s="92" t="str">
        <f t="shared" si="9"/>
        <v/>
      </c>
      <c r="I311" s="88">
        <v>0</v>
      </c>
    </row>
    <row r="312" spans="1:9">
      <c r="A312" s="76" t="e" cm="1">
        <f t="array" ref="A312">IF(OR(INDEX(#REF!,ROW()+10)="START",INDEX(#REF!,ROW()+9)="",INDEX(#REF!,ROW()+9)="START",INDEX(#REF!,ROW()+9)="TBA",INDEX(#REF!,ROW()+9)="TBC"),"",INDEX(#REF!,ROW()+9)+'Date Calculators'!$B$2+E312)</f>
        <v>#REF!</v>
      </c>
      <c r="B312" s="76" t="e" cm="1">
        <f t="array" ref="B312">IF(OR(A312=""),"",IF(INDEX(#REF!,ROW()+9)="",IF(A313="",A312+$Q$10,A313),INDEX(#REF!,ROW()+9)+'Date Calculators'!$B$2+E312))</f>
        <v>#REF!</v>
      </c>
      <c r="C312" s="74" t="e" cm="1">
        <f t="array" ref="C312">IF(A312="","",INDEX(#REF!,ROW()+9))</f>
        <v>#REF!</v>
      </c>
      <c r="D312" s="74" t="str">
        <f>IFERROR(IF(A312="","",'Event Info'!$B$2),"")</f>
        <v/>
      </c>
      <c r="E312" t="e" cm="1">
        <f t="array" ref="E312">IF(INDEX(#REF!,ROW()+9)="START",E311+1,E311+0)</f>
        <v>#REF!</v>
      </c>
      <c r="F312" s="82" t="e">
        <f>IF(A312&lt;&gt;"",_xlfn.CONCAT(TEXT(A312,"yyyy-mm-dd"),"T",TEXT(A312,"hh:mm:ss"),'Event Info'!$B$5,",",," ",C312),"")</f>
        <v>#REF!</v>
      </c>
      <c r="G312" t="e">
        <f t="shared" si="8"/>
        <v>#REF!</v>
      </c>
      <c r="H312" s="92" t="str">
        <f t="shared" si="9"/>
        <v/>
      </c>
      <c r="I312" s="88">
        <v>0</v>
      </c>
    </row>
    <row r="313" spans="1:9" ht="16.899999999999999">
      <c r="A313" s="76" t="e" cm="1">
        <f t="array" ref="A313">IF(OR(INDEX(#REF!,ROW()+10)="START",INDEX(#REF!,ROW()+9)="",INDEX(#REF!,ROW()+9)="START",INDEX(#REF!,ROW()+9)="TBA",INDEX(#REF!,ROW()+9)="TBC"),"",INDEX(#REF!,ROW()+9)+'Date Calculators'!$B$2+E313)</f>
        <v>#REF!</v>
      </c>
      <c r="B313" s="76" t="e" cm="1">
        <f t="array" ref="B313">IF(OR(A313=""),"",IF(INDEX(#REF!,ROW()+9)="",IF(A314="",A313+$Q$10,A314),INDEX(#REF!,ROW()+9)+'Date Calculators'!$B$2+E313))</f>
        <v>#REF!</v>
      </c>
      <c r="C313" s="74" t="e" cm="1">
        <f t="array" ref="C313">IF(A313="","",INDEX(#REF!,ROW()+9))</f>
        <v>#REF!</v>
      </c>
      <c r="D313" s="74" t="str">
        <f>IFERROR(IF(A313="","",'Event Info'!$B$2),"")</f>
        <v/>
      </c>
      <c r="E313" t="e" cm="1">
        <f t="array" ref="E313">IF(INDEX(#REF!,ROW()+9)="START",E312+1,E312+0)</f>
        <v>#REF!</v>
      </c>
      <c r="F313" s="82" t="e">
        <f>IF(A313&lt;&gt;"",_xlfn.CONCAT(TEXT(A313,"yyyy-mm-dd"),"T",TEXT(A313,"hh:mm:ss"),'Event Info'!$B$5,",",," ",C313),"")</f>
        <v>#REF!</v>
      </c>
      <c r="G313" t="e">
        <f t="shared" si="8"/>
        <v>#REF!</v>
      </c>
      <c r="H313" s="92" t="str">
        <f t="shared" si="9"/>
        <v/>
      </c>
      <c r="I313" s="91">
        <v>0</v>
      </c>
    </row>
    <row r="314" spans="1:9">
      <c r="A314" s="76" t="e" cm="1">
        <f t="array" ref="A314">IF(OR(INDEX(#REF!,ROW()+10)="START",INDEX(#REF!,ROW()+9)="",INDEX(#REF!,ROW()+9)="START",INDEX(#REF!,ROW()+9)="TBA",INDEX(#REF!,ROW()+9)="TBC"),"",INDEX(#REF!,ROW()+9)+'Date Calculators'!$B$2+E314)</f>
        <v>#REF!</v>
      </c>
      <c r="B314" s="76" t="e" cm="1">
        <f t="array" ref="B314">IF(OR(A314=""),"",IF(INDEX(#REF!,ROW()+9)="",IF(A315="",A314+$Q$10,A315),INDEX(#REF!,ROW()+9)+'Date Calculators'!$B$2+E314))</f>
        <v>#REF!</v>
      </c>
      <c r="C314" s="74" t="e" cm="1">
        <f t="array" ref="C314">IF(A314="","",INDEX(#REF!,ROW()+9))</f>
        <v>#REF!</v>
      </c>
      <c r="D314" s="74" t="str">
        <f>IFERROR(IF(A314="","",'Event Info'!$B$2),"")</f>
        <v/>
      </c>
      <c r="E314" t="e" cm="1">
        <f t="array" ref="E314">IF(INDEX(#REF!,ROW()+9)="START",E313+1,E313+0)</f>
        <v>#REF!</v>
      </c>
      <c r="F314" s="82" t="e">
        <f>IF(A314&lt;&gt;"",_xlfn.CONCAT(TEXT(A314,"yyyy-mm-dd"),"T",TEXT(A314,"hh:mm:ss"),'Event Info'!$B$5,",",," ",C314),"")</f>
        <v>#REF!</v>
      </c>
      <c r="G314" t="e">
        <f t="shared" si="8"/>
        <v>#REF!</v>
      </c>
      <c r="H314" s="92" t="str">
        <f t="shared" si="9"/>
        <v/>
      </c>
      <c r="I314" s="88">
        <v>0</v>
      </c>
    </row>
    <row r="315" spans="1:9">
      <c r="A315" s="76" t="e" cm="1">
        <f t="array" ref="A315">IF(OR(INDEX(#REF!,ROW()+10)="START",INDEX(#REF!,ROW()+9)="",INDEX(#REF!,ROW()+9)="START",INDEX(#REF!,ROW()+9)="TBA",INDEX(#REF!,ROW()+9)="TBC"),"",INDEX(#REF!,ROW()+9)+'Date Calculators'!$B$2+E315)</f>
        <v>#REF!</v>
      </c>
      <c r="B315" s="76" t="e" cm="1">
        <f t="array" ref="B315">IF(OR(A315=""),"",IF(INDEX(#REF!,ROW()+9)="",IF(A316="",A315+$Q$10,A316),INDEX(#REF!,ROW()+9)+'Date Calculators'!$B$2+E315))</f>
        <v>#REF!</v>
      </c>
      <c r="C315" s="74" t="e" cm="1">
        <f t="array" ref="C315">IF(A315="","",INDEX(#REF!,ROW()+9))</f>
        <v>#REF!</v>
      </c>
      <c r="D315" s="74" t="str">
        <f>IFERROR(IF(A315="","",'Event Info'!$B$2),"")</f>
        <v/>
      </c>
      <c r="E315" t="e" cm="1">
        <f t="array" ref="E315">IF(INDEX(#REF!,ROW()+9)="START",E314+1,E314+0)</f>
        <v>#REF!</v>
      </c>
      <c r="F315" s="82" t="e">
        <f>IF(A315&lt;&gt;"",_xlfn.CONCAT(TEXT(A315,"yyyy-mm-dd"),"T",TEXT(A315,"hh:mm:ss"),'Event Info'!$B$5,",",," ",C315),"")</f>
        <v>#REF!</v>
      </c>
      <c r="G315" t="e">
        <f t="shared" si="8"/>
        <v>#REF!</v>
      </c>
      <c r="H315" s="92" t="str">
        <f t="shared" si="9"/>
        <v/>
      </c>
      <c r="I315" s="88">
        <v>0</v>
      </c>
    </row>
    <row r="316" spans="1:9" ht="16.899999999999999">
      <c r="A316" s="76" t="e" cm="1">
        <f t="array" ref="A316">IF(OR(INDEX(#REF!,ROW()+10)="START",INDEX(#REF!,ROW()+9)="",INDEX(#REF!,ROW()+9)="START",INDEX(#REF!,ROW()+9)="TBA",INDEX(#REF!,ROW()+9)="TBC"),"",INDEX(#REF!,ROW()+9)+'Date Calculators'!$B$2+E316)</f>
        <v>#REF!</v>
      </c>
      <c r="B316" s="76" t="e" cm="1">
        <f t="array" ref="B316">IF(OR(A316=""),"",IF(INDEX(#REF!,ROW()+9)="",IF(A317="",A316+$Q$10,A317),INDEX(#REF!,ROW()+9)+'Date Calculators'!$B$2+E316))</f>
        <v>#REF!</v>
      </c>
      <c r="C316" s="74" t="e" cm="1">
        <f t="array" ref="C316">IF(A316="","",INDEX(#REF!,ROW()+9))</f>
        <v>#REF!</v>
      </c>
      <c r="D316" s="74" t="str">
        <f>IFERROR(IF(A316="","",'Event Info'!$B$2),"")</f>
        <v/>
      </c>
      <c r="E316" t="e" cm="1">
        <f t="array" ref="E316">IF(INDEX(#REF!,ROW()+9)="START",E315+1,E315+0)</f>
        <v>#REF!</v>
      </c>
      <c r="F316" s="82" t="e">
        <f>IF(A316&lt;&gt;"",_xlfn.CONCAT(TEXT(A316,"yyyy-mm-dd"),"T",TEXT(A316,"hh:mm:ss"),'Event Info'!$B$5,",",," ",C316),"")</f>
        <v>#REF!</v>
      </c>
      <c r="G316" t="e">
        <f t="shared" si="8"/>
        <v>#REF!</v>
      </c>
      <c r="H316" s="92" t="str">
        <f t="shared" si="9"/>
        <v/>
      </c>
      <c r="I316" s="91">
        <v>0</v>
      </c>
    </row>
    <row r="317" spans="1:9">
      <c r="A317" s="76" t="e" cm="1">
        <f t="array" ref="A317">IF(OR(INDEX(#REF!,ROW()+10)="START",INDEX(#REF!,ROW()+9)="",INDEX(#REF!,ROW()+9)="START",INDEX(#REF!,ROW()+9)="TBA",INDEX(#REF!,ROW()+9)="TBC"),"",INDEX(#REF!,ROW()+9)+'Date Calculators'!$B$2+E317)</f>
        <v>#REF!</v>
      </c>
      <c r="B317" s="76" t="e" cm="1">
        <f t="array" ref="B317">IF(OR(A317=""),"",IF(INDEX(#REF!,ROW()+9)="",IF(A318="",A317+$Q$10,A318),INDEX(#REF!,ROW()+9)+'Date Calculators'!$B$2+E317))</f>
        <v>#REF!</v>
      </c>
      <c r="C317" s="74" t="e" cm="1">
        <f t="array" ref="C317">IF(A317="","",INDEX(#REF!,ROW()+9))</f>
        <v>#REF!</v>
      </c>
      <c r="D317" s="74" t="str">
        <f>IFERROR(IF(A317="","",'Event Info'!$B$2),"")</f>
        <v/>
      </c>
      <c r="E317" t="e" cm="1">
        <f t="array" ref="E317">IF(INDEX(#REF!,ROW()+9)="START",E316+1,E316+0)</f>
        <v>#REF!</v>
      </c>
      <c r="F317" s="82" t="e">
        <f>IF(A317&lt;&gt;"",_xlfn.CONCAT(TEXT(A317,"yyyy-mm-dd"),"T",TEXT(A317,"hh:mm:ss"),'Event Info'!$B$5,",",," ",C317),"")</f>
        <v>#REF!</v>
      </c>
      <c r="G317" t="e">
        <f t="shared" si="8"/>
        <v>#REF!</v>
      </c>
      <c r="H317" s="92" t="str">
        <f t="shared" si="9"/>
        <v/>
      </c>
      <c r="I317" s="88">
        <v>0</v>
      </c>
    </row>
    <row r="318" spans="1:9">
      <c r="A318" s="76" t="e" cm="1">
        <f t="array" ref="A318">IF(OR(INDEX(#REF!,ROW()+10)="START",INDEX(#REF!,ROW()+9)="",INDEX(#REF!,ROW()+9)="START",INDEX(#REF!,ROW()+9)="TBA",INDEX(#REF!,ROW()+9)="TBC"),"",INDEX(#REF!,ROW()+9)+'Date Calculators'!$B$2+E318)</f>
        <v>#REF!</v>
      </c>
      <c r="B318" s="76" t="e" cm="1">
        <f t="array" ref="B318">IF(OR(A318=""),"",IF(INDEX(#REF!,ROW()+9)="",IF(A319="",A318+$Q$10,A319),INDEX(#REF!,ROW()+9)+'Date Calculators'!$B$2+E318))</f>
        <v>#REF!</v>
      </c>
      <c r="C318" s="74" t="e" cm="1">
        <f t="array" ref="C318">IF(A318="","",INDEX(#REF!,ROW()+9))</f>
        <v>#REF!</v>
      </c>
      <c r="D318" s="74" t="str">
        <f>IFERROR(IF(A318="","",'Event Info'!$B$2),"")</f>
        <v/>
      </c>
      <c r="E318" t="e" cm="1">
        <f t="array" ref="E318">IF(INDEX(#REF!,ROW()+9)="START",E317+1,E317+0)</f>
        <v>#REF!</v>
      </c>
      <c r="F318" s="82" t="e">
        <f>IF(A318&lt;&gt;"",_xlfn.CONCAT(TEXT(A318,"yyyy-mm-dd"),"T",TEXT(A318,"hh:mm:ss"),'Event Info'!$B$5,",",," ",C318),"")</f>
        <v>#REF!</v>
      </c>
      <c r="G318" t="e">
        <f t="shared" si="8"/>
        <v>#REF!</v>
      </c>
      <c r="H318" s="92" t="str">
        <f t="shared" si="9"/>
        <v/>
      </c>
      <c r="I318" s="88">
        <v>0</v>
      </c>
    </row>
    <row r="319" spans="1:9" ht="16.899999999999999">
      <c r="A319" s="76" t="e" cm="1">
        <f t="array" ref="A319">IF(OR(INDEX(#REF!,ROW()+10)="START",INDEX(#REF!,ROW()+9)="",INDEX(#REF!,ROW()+9)="START",INDEX(#REF!,ROW()+9)="TBA",INDEX(#REF!,ROW()+9)="TBC"),"",INDEX(#REF!,ROW()+9)+'Date Calculators'!$B$2+E319)</f>
        <v>#REF!</v>
      </c>
      <c r="B319" s="76" t="e" cm="1">
        <f t="array" ref="B319">IF(OR(A319=""),"",IF(INDEX(#REF!,ROW()+9)="",IF(A320="",A319+$Q$10,A320),INDEX(#REF!,ROW()+9)+'Date Calculators'!$B$2+E319))</f>
        <v>#REF!</v>
      </c>
      <c r="C319" s="74" t="e" cm="1">
        <f t="array" ref="C319">IF(A319="","",INDEX(#REF!,ROW()+9))</f>
        <v>#REF!</v>
      </c>
      <c r="D319" s="74" t="str">
        <f>IFERROR(IF(A319="","",'Event Info'!$B$2),"")</f>
        <v/>
      </c>
      <c r="E319" t="e" cm="1">
        <f t="array" ref="E319">IF(INDEX(#REF!,ROW()+9)="START",E318+1,E318+0)</f>
        <v>#REF!</v>
      </c>
      <c r="F319" s="82" t="e">
        <f>IF(A319&lt;&gt;"",_xlfn.CONCAT(TEXT(A319,"yyyy-mm-dd"),"T",TEXT(A319,"hh:mm:ss"),'Event Info'!$B$5,",",," ",C319),"")</f>
        <v>#REF!</v>
      </c>
      <c r="G319" t="e">
        <f t="shared" si="8"/>
        <v>#REF!</v>
      </c>
      <c r="H319" s="92" t="str">
        <f t="shared" si="9"/>
        <v/>
      </c>
      <c r="I319" s="91">
        <v>0</v>
      </c>
    </row>
    <row r="320" spans="1:9">
      <c r="A320" s="76" t="e" cm="1">
        <f t="array" ref="A320">IF(OR(INDEX(#REF!,ROW()+10)="START",INDEX(#REF!,ROW()+9)="",INDEX(#REF!,ROW()+9)="START",INDEX(#REF!,ROW()+9)="TBA",INDEX(#REF!,ROW()+9)="TBC"),"",INDEX(#REF!,ROW()+9)+'Date Calculators'!$B$2+E320)</f>
        <v>#REF!</v>
      </c>
      <c r="B320" s="76" t="e" cm="1">
        <f t="array" ref="B320">IF(OR(A320=""),"",IF(INDEX(#REF!,ROW()+9)="",IF(A321="",A320+$Q$10,A321),INDEX(#REF!,ROW()+9)+'Date Calculators'!$B$2+E320))</f>
        <v>#REF!</v>
      </c>
      <c r="C320" s="74" t="e" cm="1">
        <f t="array" ref="C320">IF(A320="","",INDEX(#REF!,ROW()+9))</f>
        <v>#REF!</v>
      </c>
      <c r="D320" s="74" t="str">
        <f>IFERROR(IF(A320="","",'Event Info'!$B$2),"")</f>
        <v/>
      </c>
      <c r="E320" t="e" cm="1">
        <f t="array" ref="E320">IF(INDEX(#REF!,ROW()+9)="START",E319+1,E319+0)</f>
        <v>#REF!</v>
      </c>
      <c r="F320" s="82" t="e">
        <f>IF(A320&lt;&gt;"",_xlfn.CONCAT(TEXT(A320,"yyyy-mm-dd"),"T",TEXT(A320,"hh:mm:ss"),'Event Info'!$B$5,",",," ",C320),"")</f>
        <v>#REF!</v>
      </c>
      <c r="G320" t="e">
        <f t="shared" si="8"/>
        <v>#REF!</v>
      </c>
      <c r="H320" s="92" t="str">
        <f t="shared" si="9"/>
        <v/>
      </c>
      <c r="I320" s="88">
        <v>0</v>
      </c>
    </row>
    <row r="321" spans="1:9">
      <c r="A321" s="76" t="e" cm="1">
        <f t="array" ref="A321">IF(OR(INDEX(#REF!,ROW()+10)="START",INDEX(#REF!,ROW()+9)="",INDEX(#REF!,ROW()+9)="START",INDEX(#REF!,ROW()+9)="TBA",INDEX(#REF!,ROW()+9)="TBC"),"",INDEX(#REF!,ROW()+9)+'Date Calculators'!$B$2+E321)</f>
        <v>#REF!</v>
      </c>
      <c r="B321" s="76" t="e" cm="1">
        <f t="array" ref="B321">IF(OR(A321=""),"",IF(INDEX(#REF!,ROW()+9)="",IF(A322="",A321+$Q$10,A322),INDEX(#REF!,ROW()+9)+'Date Calculators'!$B$2+E321))</f>
        <v>#REF!</v>
      </c>
      <c r="C321" s="74" t="e" cm="1">
        <f t="array" ref="C321">IF(A321="","",INDEX(#REF!,ROW()+9))</f>
        <v>#REF!</v>
      </c>
      <c r="D321" s="74" t="str">
        <f>IFERROR(IF(A321="","",'Event Info'!$B$2),"")</f>
        <v/>
      </c>
      <c r="E321" t="e" cm="1">
        <f t="array" ref="E321">IF(INDEX(#REF!,ROW()+9)="START",E320+1,E320+0)</f>
        <v>#REF!</v>
      </c>
      <c r="F321" s="82" t="e">
        <f>IF(A321&lt;&gt;"",_xlfn.CONCAT(TEXT(A321,"yyyy-mm-dd"),"T",TEXT(A321,"hh:mm:ss"),'Event Info'!$B$5,",",," ",C321),"")</f>
        <v>#REF!</v>
      </c>
      <c r="G321" t="e">
        <f t="shared" si="8"/>
        <v>#REF!</v>
      </c>
      <c r="H321" s="92" t="str">
        <f t="shared" si="9"/>
        <v/>
      </c>
      <c r="I321" s="88">
        <v>0</v>
      </c>
    </row>
    <row r="322" spans="1:9" ht="16.899999999999999">
      <c r="A322" s="76" t="e" cm="1">
        <f t="array" ref="A322">IF(OR(INDEX(#REF!,ROW()+10)="START",INDEX(#REF!,ROW()+9)="",INDEX(#REF!,ROW()+9)="START",INDEX(#REF!,ROW()+9)="TBA",INDEX(#REF!,ROW()+9)="TBC"),"",INDEX(#REF!,ROW()+9)+'Date Calculators'!$B$2+E322)</f>
        <v>#REF!</v>
      </c>
      <c r="B322" s="76" t="e" cm="1">
        <f t="array" ref="B322">IF(OR(A322=""),"",IF(INDEX(#REF!,ROW()+9)="",IF(A323="",A322+$Q$10,A323),INDEX(#REF!,ROW()+9)+'Date Calculators'!$B$2+E322))</f>
        <v>#REF!</v>
      </c>
      <c r="C322" s="74" t="e" cm="1">
        <f t="array" ref="C322">IF(A322="","",INDEX(#REF!,ROW()+9))</f>
        <v>#REF!</v>
      </c>
      <c r="D322" s="74" t="str">
        <f>IFERROR(IF(A322="","",'Event Info'!$B$2),"")</f>
        <v/>
      </c>
      <c r="E322" t="e" cm="1">
        <f t="array" ref="E322">IF(INDEX(#REF!,ROW()+9)="START",E321+1,E321+0)</f>
        <v>#REF!</v>
      </c>
      <c r="F322" s="82" t="e">
        <f>IF(A322&lt;&gt;"",_xlfn.CONCAT(TEXT(A322,"yyyy-mm-dd"),"T",TEXT(A322,"hh:mm:ss"),'Event Info'!$B$5,",",," ",C322),"")</f>
        <v>#REF!</v>
      </c>
      <c r="G322" t="e">
        <f t="shared" si="8"/>
        <v>#REF!</v>
      </c>
      <c r="H322" s="92" t="str">
        <f t="shared" si="9"/>
        <v/>
      </c>
      <c r="I322" s="91">
        <v>0</v>
      </c>
    </row>
    <row r="323" spans="1:9">
      <c r="A323" s="76" t="e" cm="1">
        <f t="array" ref="A323">IF(OR(INDEX(#REF!,ROW()+10)="START",INDEX(#REF!,ROW()+9)="",INDEX(#REF!,ROW()+9)="START",INDEX(#REF!,ROW()+9)="TBA",INDEX(#REF!,ROW()+9)="TBC"),"",INDEX(#REF!,ROW()+9)+'Date Calculators'!$B$2+E323)</f>
        <v>#REF!</v>
      </c>
      <c r="B323" s="76" t="e" cm="1">
        <f t="array" ref="B323">IF(OR(A323=""),"",IF(INDEX(#REF!,ROW()+9)="",IF(A324="",A323+$Q$10,A324),INDEX(#REF!,ROW()+9)+'Date Calculators'!$B$2+E323))</f>
        <v>#REF!</v>
      </c>
      <c r="C323" s="74" t="e" cm="1">
        <f t="array" ref="C323">IF(A323="","",INDEX(#REF!,ROW()+9))</f>
        <v>#REF!</v>
      </c>
      <c r="D323" s="74" t="str">
        <f>IFERROR(IF(A323="","",'Event Info'!$B$2),"")</f>
        <v/>
      </c>
      <c r="E323" t="e" cm="1">
        <f t="array" ref="E323">IF(INDEX(#REF!,ROW()+9)="START",E322+1,E322+0)</f>
        <v>#REF!</v>
      </c>
      <c r="F323" s="82" t="e">
        <f>IF(A323&lt;&gt;"",_xlfn.CONCAT(TEXT(A323,"yyyy-mm-dd"),"T",TEXT(A323,"hh:mm:ss"),'Event Info'!$B$5,",",," ",C323),"")</f>
        <v>#REF!</v>
      </c>
      <c r="G323" t="e">
        <f t="shared" ref="G323:G386" si="10">G322+IF(A323&lt;&gt;"",1,0)</f>
        <v>#REF!</v>
      </c>
      <c r="H323" s="92" t="str">
        <f t="shared" si="9"/>
        <v/>
      </c>
      <c r="I323" s="88">
        <v>0</v>
      </c>
    </row>
    <row r="324" spans="1:9">
      <c r="A324" s="76" t="e" cm="1">
        <f t="array" ref="A324">IF(OR(INDEX(#REF!,ROW()+10)="START",INDEX(#REF!,ROW()+9)="",INDEX(#REF!,ROW()+9)="START",INDEX(#REF!,ROW()+9)="TBA",INDEX(#REF!,ROW()+9)="TBC"),"",INDEX(#REF!,ROW()+9)+'Date Calculators'!$B$2+E324)</f>
        <v>#REF!</v>
      </c>
      <c r="B324" s="76" t="e" cm="1">
        <f t="array" ref="B324">IF(OR(A324=""),"",IF(INDEX(#REF!,ROW()+9)="",IF(A325="",A324+$Q$10,A325),INDEX(#REF!,ROW()+9)+'Date Calculators'!$B$2+E324))</f>
        <v>#REF!</v>
      </c>
      <c r="C324" s="74" t="e" cm="1">
        <f t="array" ref="C324">IF(A324="","",INDEX(#REF!,ROW()+9))</f>
        <v>#REF!</v>
      </c>
      <c r="D324" s="74" t="str">
        <f>IFERROR(IF(A324="","",'Event Info'!$B$2),"")</f>
        <v/>
      </c>
      <c r="E324" t="e" cm="1">
        <f t="array" ref="E324">IF(INDEX(#REF!,ROW()+9)="START",E323+1,E323+0)</f>
        <v>#REF!</v>
      </c>
      <c r="F324" s="82" t="e">
        <f>IF(A324&lt;&gt;"",_xlfn.CONCAT(TEXT(A324,"yyyy-mm-dd"),"T",TEXT(A324,"hh:mm:ss"),'Event Info'!$B$5,",",," ",C324),"")</f>
        <v>#REF!</v>
      </c>
      <c r="G324" t="e">
        <f t="shared" si="10"/>
        <v>#REF!</v>
      </c>
      <c r="H324" s="92" t="str">
        <f t="shared" ref="H324:H387" si="11">IFERROR(INDEX($F$2:$F$500,MATCH(ROW()-1,$G$2:$G$500,0)),"")</f>
        <v/>
      </c>
      <c r="I324" s="88">
        <v>0</v>
      </c>
    </row>
    <row r="325" spans="1:9" ht="16.899999999999999">
      <c r="A325" s="76" t="e" cm="1">
        <f t="array" ref="A325">IF(OR(INDEX(#REF!,ROW()+10)="START",INDEX(#REF!,ROW()+9)="",INDEX(#REF!,ROW()+9)="START",INDEX(#REF!,ROW()+9)="TBA",INDEX(#REF!,ROW()+9)="TBC"),"",INDEX(#REF!,ROW()+9)+'Date Calculators'!$B$2+E325)</f>
        <v>#REF!</v>
      </c>
      <c r="B325" s="76" t="e" cm="1">
        <f t="array" ref="B325">IF(OR(A325=""),"",IF(INDEX(#REF!,ROW()+9)="",IF(A326="",A325+$Q$10,A326),INDEX(#REF!,ROW()+9)+'Date Calculators'!$B$2+E325))</f>
        <v>#REF!</v>
      </c>
      <c r="C325" s="74" t="e" cm="1">
        <f t="array" ref="C325">IF(A325="","",INDEX(#REF!,ROW()+9))</f>
        <v>#REF!</v>
      </c>
      <c r="D325" s="74" t="str">
        <f>IFERROR(IF(A325="","",'Event Info'!$B$2),"")</f>
        <v/>
      </c>
      <c r="E325" t="e" cm="1">
        <f t="array" ref="E325">IF(INDEX(#REF!,ROW()+9)="START",E324+1,E324+0)</f>
        <v>#REF!</v>
      </c>
      <c r="F325" s="82" t="e">
        <f>IF(A325&lt;&gt;"",_xlfn.CONCAT(TEXT(A325,"yyyy-mm-dd"),"T",TEXT(A325,"hh:mm:ss"),'Event Info'!$B$5,",",," ",C325),"")</f>
        <v>#REF!</v>
      </c>
      <c r="G325" t="e">
        <f t="shared" si="10"/>
        <v>#REF!</v>
      </c>
      <c r="H325" s="92" t="str">
        <f t="shared" si="11"/>
        <v/>
      </c>
      <c r="I325" s="91">
        <v>0</v>
      </c>
    </row>
    <row r="326" spans="1:9">
      <c r="A326" s="76" t="e" cm="1">
        <f t="array" ref="A326">IF(OR(INDEX(#REF!,ROW()+10)="START",INDEX(#REF!,ROW()+9)="",INDEX(#REF!,ROW()+9)="START",INDEX(#REF!,ROW()+9)="TBA",INDEX(#REF!,ROW()+9)="TBC"),"",INDEX(#REF!,ROW()+9)+'Date Calculators'!$B$2+E326)</f>
        <v>#REF!</v>
      </c>
      <c r="B326" s="76" t="e" cm="1">
        <f t="array" ref="B326">IF(OR(A326=""),"",IF(INDEX(#REF!,ROW()+9)="",IF(A327="",A326+$Q$10,A327),INDEX(#REF!,ROW()+9)+'Date Calculators'!$B$2+E326))</f>
        <v>#REF!</v>
      </c>
      <c r="C326" s="74" t="e" cm="1">
        <f t="array" ref="C326">IF(A326="","",INDEX(#REF!,ROW()+9))</f>
        <v>#REF!</v>
      </c>
      <c r="D326" s="74" t="str">
        <f>IFERROR(IF(A326="","",'Event Info'!$B$2),"")</f>
        <v/>
      </c>
      <c r="E326" t="e" cm="1">
        <f t="array" ref="E326">IF(INDEX(#REF!,ROW()+9)="START",E325+1,E325+0)</f>
        <v>#REF!</v>
      </c>
      <c r="F326" s="82" t="e">
        <f>IF(A326&lt;&gt;"",_xlfn.CONCAT(TEXT(A326,"yyyy-mm-dd"),"T",TEXT(A326,"hh:mm:ss"),'Event Info'!$B$5,",",," ",C326),"")</f>
        <v>#REF!</v>
      </c>
      <c r="G326" t="e">
        <f t="shared" si="10"/>
        <v>#REF!</v>
      </c>
      <c r="H326" s="92" t="str">
        <f t="shared" si="11"/>
        <v/>
      </c>
      <c r="I326" s="88">
        <v>0</v>
      </c>
    </row>
    <row r="327" spans="1:9">
      <c r="A327" s="76" t="e" cm="1">
        <f t="array" ref="A327">IF(OR(INDEX(#REF!,ROW()+10)="START",INDEX(#REF!,ROW()+9)="",INDEX(#REF!,ROW()+9)="START",INDEX(#REF!,ROW()+9)="TBA",INDEX(#REF!,ROW()+9)="TBC"),"",INDEX(#REF!,ROW()+9)+'Date Calculators'!$B$2+E327)</f>
        <v>#REF!</v>
      </c>
      <c r="B327" s="76" t="e" cm="1">
        <f t="array" ref="B327">IF(OR(A327=""),"",IF(INDEX(#REF!,ROW()+9)="",IF(A328="",A327+$Q$10,A328),INDEX(#REF!,ROW()+9)+'Date Calculators'!$B$2+E327))</f>
        <v>#REF!</v>
      </c>
      <c r="C327" s="74" t="e" cm="1">
        <f t="array" ref="C327">IF(A327="","",INDEX(#REF!,ROW()+9))</f>
        <v>#REF!</v>
      </c>
      <c r="D327" s="74" t="str">
        <f>IFERROR(IF(A327="","",'Event Info'!$B$2),"")</f>
        <v/>
      </c>
      <c r="E327" t="e" cm="1">
        <f t="array" ref="E327">IF(INDEX(#REF!,ROW()+9)="START",E326+1,E326+0)</f>
        <v>#REF!</v>
      </c>
      <c r="F327" s="82" t="e">
        <f>IF(A327&lt;&gt;"",_xlfn.CONCAT(TEXT(A327,"yyyy-mm-dd"),"T",TEXT(A327,"hh:mm:ss"),'Event Info'!$B$5,",",," ",C327),"")</f>
        <v>#REF!</v>
      </c>
      <c r="G327" t="e">
        <f t="shared" si="10"/>
        <v>#REF!</v>
      </c>
      <c r="H327" s="92" t="str">
        <f t="shared" si="11"/>
        <v/>
      </c>
      <c r="I327" s="88">
        <v>0</v>
      </c>
    </row>
    <row r="328" spans="1:9" ht="16.899999999999999">
      <c r="A328" s="76" t="e" cm="1">
        <f t="array" ref="A328">IF(OR(INDEX(#REF!,ROW()+10)="START",INDEX(#REF!,ROW()+9)="",INDEX(#REF!,ROW()+9)="START",INDEX(#REF!,ROW()+9)="TBA",INDEX(#REF!,ROW()+9)="TBC"),"",INDEX(#REF!,ROW()+9)+'Date Calculators'!$B$2+E328)</f>
        <v>#REF!</v>
      </c>
      <c r="B328" s="76" t="e" cm="1">
        <f t="array" ref="B328">IF(OR(A328=""),"",IF(INDEX(#REF!,ROW()+9)="",IF(A329="",A328+$Q$10,A329),INDEX(#REF!,ROW()+9)+'Date Calculators'!$B$2+E328))</f>
        <v>#REF!</v>
      </c>
      <c r="C328" s="74" t="e" cm="1">
        <f t="array" ref="C328">IF(A328="","",INDEX(#REF!,ROW()+9))</f>
        <v>#REF!</v>
      </c>
      <c r="D328" s="74" t="str">
        <f>IFERROR(IF(A328="","",'Event Info'!$B$2),"")</f>
        <v/>
      </c>
      <c r="E328" t="e" cm="1">
        <f t="array" ref="E328">IF(INDEX(#REF!,ROW()+9)="START",E327+1,E327+0)</f>
        <v>#REF!</v>
      </c>
      <c r="F328" s="82" t="e">
        <f>IF(A328&lt;&gt;"",_xlfn.CONCAT(TEXT(A328,"yyyy-mm-dd"),"T",TEXT(A328,"hh:mm:ss"),'Event Info'!$B$5,",",," ",C328),"")</f>
        <v>#REF!</v>
      </c>
      <c r="G328" t="e">
        <f t="shared" si="10"/>
        <v>#REF!</v>
      </c>
      <c r="H328" s="92" t="str">
        <f t="shared" si="11"/>
        <v/>
      </c>
      <c r="I328" s="91">
        <v>0</v>
      </c>
    </row>
    <row r="329" spans="1:9">
      <c r="A329" s="76" t="e" cm="1">
        <f t="array" ref="A329">IF(OR(INDEX(#REF!,ROW()+10)="START",INDEX(#REF!,ROW()+9)="",INDEX(#REF!,ROW()+9)="START",INDEX(#REF!,ROW()+9)="TBA",INDEX(#REF!,ROW()+9)="TBC"),"",INDEX(#REF!,ROW()+9)+'Date Calculators'!$B$2+E329)</f>
        <v>#REF!</v>
      </c>
      <c r="B329" s="76" t="e" cm="1">
        <f t="array" ref="B329">IF(OR(A329=""),"",IF(INDEX(#REF!,ROW()+9)="",IF(A330="",A329+$Q$10,A330),INDEX(#REF!,ROW()+9)+'Date Calculators'!$B$2+E329))</f>
        <v>#REF!</v>
      </c>
      <c r="C329" s="74" t="e" cm="1">
        <f t="array" ref="C329">IF(A329="","",INDEX(#REF!,ROW()+9))</f>
        <v>#REF!</v>
      </c>
      <c r="D329" s="74" t="str">
        <f>IFERROR(IF(A329="","",'Event Info'!$B$2),"")</f>
        <v/>
      </c>
      <c r="E329" t="e" cm="1">
        <f t="array" ref="E329">IF(INDEX(#REF!,ROW()+9)="START",E328+1,E328+0)</f>
        <v>#REF!</v>
      </c>
      <c r="F329" s="82" t="e">
        <f>IF(A329&lt;&gt;"",_xlfn.CONCAT(TEXT(A329,"yyyy-mm-dd"),"T",TEXT(A329,"hh:mm:ss"),'Event Info'!$B$5,",",," ",C329),"")</f>
        <v>#REF!</v>
      </c>
      <c r="G329" t="e">
        <f t="shared" si="10"/>
        <v>#REF!</v>
      </c>
      <c r="H329" s="92" t="str">
        <f t="shared" si="11"/>
        <v/>
      </c>
      <c r="I329" s="88">
        <v>0</v>
      </c>
    </row>
    <row r="330" spans="1:9">
      <c r="A330" s="76" t="e" cm="1">
        <f t="array" ref="A330">IF(OR(INDEX(#REF!,ROW()+10)="START",INDEX(#REF!,ROW()+9)="",INDEX(#REF!,ROW()+9)="START",INDEX(#REF!,ROW()+9)="TBA",INDEX(#REF!,ROW()+9)="TBC"),"",INDEX(#REF!,ROW()+9)+'Date Calculators'!$B$2+E330)</f>
        <v>#REF!</v>
      </c>
      <c r="B330" s="76" t="e" cm="1">
        <f t="array" ref="B330">IF(OR(A330=""),"",IF(INDEX(#REF!,ROW()+9)="",IF(A331="",A330+$Q$10,A331),INDEX(#REF!,ROW()+9)+'Date Calculators'!$B$2+E330))</f>
        <v>#REF!</v>
      </c>
      <c r="C330" s="74" t="e" cm="1">
        <f t="array" ref="C330">IF(A330="","",INDEX(#REF!,ROW()+9))</f>
        <v>#REF!</v>
      </c>
      <c r="D330" s="74" t="str">
        <f>IFERROR(IF(A330="","",'Event Info'!$B$2),"")</f>
        <v/>
      </c>
      <c r="E330" t="e" cm="1">
        <f t="array" ref="E330">IF(INDEX(#REF!,ROW()+9)="START",E329+1,E329+0)</f>
        <v>#REF!</v>
      </c>
      <c r="F330" s="82" t="e">
        <f>IF(A330&lt;&gt;"",_xlfn.CONCAT(TEXT(A330,"yyyy-mm-dd"),"T",TEXT(A330,"hh:mm:ss"),'Event Info'!$B$5,",",," ",C330),"")</f>
        <v>#REF!</v>
      </c>
      <c r="G330" t="e">
        <f t="shared" si="10"/>
        <v>#REF!</v>
      </c>
      <c r="H330" s="92" t="str">
        <f t="shared" si="11"/>
        <v/>
      </c>
      <c r="I330" s="88">
        <v>0</v>
      </c>
    </row>
    <row r="331" spans="1:9" ht="16.899999999999999">
      <c r="A331" s="76" t="e" cm="1">
        <f t="array" ref="A331">IF(OR(INDEX(#REF!,ROW()+10)="START",INDEX(#REF!,ROW()+9)="",INDEX(#REF!,ROW()+9)="START",INDEX(#REF!,ROW()+9)="TBA",INDEX(#REF!,ROW()+9)="TBC"),"",INDEX(#REF!,ROW()+9)+'Date Calculators'!$B$2+E331)</f>
        <v>#REF!</v>
      </c>
      <c r="B331" s="76" t="e" cm="1">
        <f t="array" ref="B331">IF(OR(A331=""),"",IF(INDEX(#REF!,ROW()+9)="",IF(A332="",A331+$Q$10,A332),INDEX(#REF!,ROW()+9)+'Date Calculators'!$B$2+E331))</f>
        <v>#REF!</v>
      </c>
      <c r="C331" s="74" t="e" cm="1">
        <f t="array" ref="C331">IF(A331="","",INDEX(#REF!,ROW()+9))</f>
        <v>#REF!</v>
      </c>
      <c r="D331" s="74" t="str">
        <f>IFERROR(IF(A331="","",'Event Info'!$B$2),"")</f>
        <v/>
      </c>
      <c r="E331" t="e" cm="1">
        <f t="array" ref="E331">IF(INDEX(#REF!,ROW()+9)="START",E330+1,E330+0)</f>
        <v>#REF!</v>
      </c>
      <c r="F331" s="82" t="e">
        <f>IF(A331&lt;&gt;"",_xlfn.CONCAT(TEXT(A331,"yyyy-mm-dd"),"T",TEXT(A331,"hh:mm:ss"),'Event Info'!$B$5,",",," ",C331),"")</f>
        <v>#REF!</v>
      </c>
      <c r="G331" t="e">
        <f t="shared" si="10"/>
        <v>#REF!</v>
      </c>
      <c r="H331" s="92" t="str">
        <f t="shared" si="11"/>
        <v/>
      </c>
      <c r="I331" s="91">
        <v>0</v>
      </c>
    </row>
    <row r="332" spans="1:9">
      <c r="A332" s="76" t="e" cm="1">
        <f t="array" ref="A332">IF(OR(INDEX(#REF!,ROW()+10)="START",INDEX(#REF!,ROW()+9)="",INDEX(#REF!,ROW()+9)="START",INDEX(#REF!,ROW()+9)="TBA",INDEX(#REF!,ROW()+9)="TBC"),"",INDEX(#REF!,ROW()+9)+'Date Calculators'!$B$2+E332)</f>
        <v>#REF!</v>
      </c>
      <c r="B332" s="76" t="e" cm="1">
        <f t="array" ref="B332">IF(OR(A332=""),"",IF(INDEX(#REF!,ROW()+9)="",IF(A333="",A332+$Q$10,A333),INDEX(#REF!,ROW()+9)+'Date Calculators'!$B$2+E332))</f>
        <v>#REF!</v>
      </c>
      <c r="C332" s="74" t="e" cm="1">
        <f t="array" ref="C332">IF(A332="","",INDEX(#REF!,ROW()+9))</f>
        <v>#REF!</v>
      </c>
      <c r="D332" s="74" t="str">
        <f>IFERROR(IF(A332="","",'Event Info'!$B$2),"")</f>
        <v/>
      </c>
      <c r="E332" t="e" cm="1">
        <f t="array" ref="E332">IF(INDEX(#REF!,ROW()+9)="START",E331+1,E331+0)</f>
        <v>#REF!</v>
      </c>
      <c r="F332" s="82" t="e">
        <f>IF(A332&lt;&gt;"",_xlfn.CONCAT(TEXT(A332,"yyyy-mm-dd"),"T",TEXT(A332,"hh:mm:ss"),'Event Info'!$B$5,",",," ",C332),"")</f>
        <v>#REF!</v>
      </c>
      <c r="G332" t="e">
        <f t="shared" si="10"/>
        <v>#REF!</v>
      </c>
      <c r="H332" s="92" t="str">
        <f t="shared" si="11"/>
        <v/>
      </c>
      <c r="I332" s="88">
        <v>0</v>
      </c>
    </row>
    <row r="333" spans="1:9">
      <c r="A333" s="76" t="e" cm="1">
        <f t="array" ref="A333">IF(OR(INDEX(#REF!,ROW()+10)="START",INDEX(#REF!,ROW()+9)="",INDEX(#REF!,ROW()+9)="START",INDEX(#REF!,ROW()+9)="TBA",INDEX(#REF!,ROW()+9)="TBC"),"",INDEX(#REF!,ROW()+9)+'Date Calculators'!$B$2+E333)</f>
        <v>#REF!</v>
      </c>
      <c r="B333" s="76" t="e" cm="1">
        <f t="array" ref="B333">IF(OR(A333=""),"",IF(INDEX(#REF!,ROW()+9)="",IF(A334="",A333+$Q$10,A334),INDEX(#REF!,ROW()+9)+'Date Calculators'!$B$2+E333))</f>
        <v>#REF!</v>
      </c>
      <c r="C333" s="74" t="e" cm="1">
        <f t="array" ref="C333">IF(A333="","",INDEX(#REF!,ROW()+9))</f>
        <v>#REF!</v>
      </c>
      <c r="D333" s="74" t="str">
        <f>IFERROR(IF(A333="","",'Event Info'!$B$2),"")</f>
        <v/>
      </c>
      <c r="E333" t="e" cm="1">
        <f t="array" ref="E333">IF(INDEX(#REF!,ROW()+9)="START",E332+1,E332+0)</f>
        <v>#REF!</v>
      </c>
      <c r="F333" s="82" t="e">
        <f>IF(A333&lt;&gt;"",_xlfn.CONCAT(TEXT(A333,"yyyy-mm-dd"),"T",TEXT(A333,"hh:mm:ss"),'Event Info'!$B$5,",",," ",C333),"")</f>
        <v>#REF!</v>
      </c>
      <c r="G333" t="e">
        <f t="shared" si="10"/>
        <v>#REF!</v>
      </c>
      <c r="H333" s="92" t="str">
        <f t="shared" si="11"/>
        <v/>
      </c>
      <c r="I333" s="88">
        <v>0</v>
      </c>
    </row>
    <row r="334" spans="1:9" ht="16.899999999999999">
      <c r="A334" s="76" t="e" cm="1">
        <f t="array" ref="A334">IF(OR(INDEX(#REF!,ROW()+10)="START",INDEX(#REF!,ROW()+9)="",INDEX(#REF!,ROW()+9)="START",INDEX(#REF!,ROW()+9)="TBA",INDEX(#REF!,ROW()+9)="TBC"),"",INDEX(#REF!,ROW()+9)+'Date Calculators'!$B$2+E334)</f>
        <v>#REF!</v>
      </c>
      <c r="B334" s="76" t="e" cm="1">
        <f t="array" ref="B334">IF(OR(A334=""),"",IF(INDEX(#REF!,ROW()+9)="",IF(A335="",A334+$Q$10,A335),INDEX(#REF!,ROW()+9)+'Date Calculators'!$B$2+E334))</f>
        <v>#REF!</v>
      </c>
      <c r="C334" s="74" t="e" cm="1">
        <f t="array" ref="C334">IF(A334="","",INDEX(#REF!,ROW()+9))</f>
        <v>#REF!</v>
      </c>
      <c r="D334" s="74" t="str">
        <f>IFERROR(IF(A334="","",'Event Info'!$B$2),"")</f>
        <v/>
      </c>
      <c r="E334" t="e" cm="1">
        <f t="array" ref="E334">IF(INDEX(#REF!,ROW()+9)="START",E333+1,E333+0)</f>
        <v>#REF!</v>
      </c>
      <c r="F334" s="82" t="e">
        <f>IF(A334&lt;&gt;"",_xlfn.CONCAT(TEXT(A334,"yyyy-mm-dd"),"T",TEXT(A334,"hh:mm:ss"),'Event Info'!$B$5,",",," ",C334),"")</f>
        <v>#REF!</v>
      </c>
      <c r="G334" t="e">
        <f t="shared" si="10"/>
        <v>#REF!</v>
      </c>
      <c r="H334" s="92" t="str">
        <f t="shared" si="11"/>
        <v/>
      </c>
      <c r="I334" s="91">
        <v>0</v>
      </c>
    </row>
    <row r="335" spans="1:9">
      <c r="A335" s="76" t="e" cm="1">
        <f t="array" ref="A335">IF(OR(INDEX(#REF!,ROW()+10)="START",INDEX(#REF!,ROW()+9)="",INDEX(#REF!,ROW()+9)="START",INDEX(#REF!,ROW()+9)="TBA",INDEX(#REF!,ROW()+9)="TBC"),"",INDEX(#REF!,ROW()+9)+'Date Calculators'!$B$2+E335)</f>
        <v>#REF!</v>
      </c>
      <c r="B335" s="76" t="e" cm="1">
        <f t="array" ref="B335">IF(OR(A335=""),"",IF(INDEX(#REF!,ROW()+9)="",IF(A336="",A335+$Q$10,A336),INDEX(#REF!,ROW()+9)+'Date Calculators'!$B$2+E335))</f>
        <v>#REF!</v>
      </c>
      <c r="C335" s="74" t="e" cm="1">
        <f t="array" ref="C335">IF(A335="","",INDEX(#REF!,ROW()+9))</f>
        <v>#REF!</v>
      </c>
      <c r="D335" s="74" t="str">
        <f>IFERROR(IF(A335="","",'Event Info'!$B$2),"")</f>
        <v/>
      </c>
      <c r="E335" t="e" cm="1">
        <f t="array" ref="E335">IF(INDEX(#REF!,ROW()+9)="START",E334+1,E334+0)</f>
        <v>#REF!</v>
      </c>
      <c r="F335" s="82" t="e">
        <f>IF(A335&lt;&gt;"",_xlfn.CONCAT(TEXT(A335,"yyyy-mm-dd"),"T",TEXT(A335,"hh:mm:ss"),'Event Info'!$B$5,",",," ",C335),"")</f>
        <v>#REF!</v>
      </c>
      <c r="G335" t="e">
        <f t="shared" si="10"/>
        <v>#REF!</v>
      </c>
      <c r="H335" s="92" t="str">
        <f t="shared" si="11"/>
        <v/>
      </c>
      <c r="I335" s="88">
        <v>0</v>
      </c>
    </row>
    <row r="336" spans="1:9">
      <c r="A336" s="76" t="e" cm="1">
        <f t="array" ref="A336">IF(OR(INDEX(#REF!,ROW()+10)="START",INDEX(#REF!,ROW()+9)="",INDEX(#REF!,ROW()+9)="START",INDEX(#REF!,ROW()+9)="TBA",INDEX(#REF!,ROW()+9)="TBC"),"",INDEX(#REF!,ROW()+9)+'Date Calculators'!$B$2+E336)</f>
        <v>#REF!</v>
      </c>
      <c r="B336" s="76" t="e" cm="1">
        <f t="array" ref="B336">IF(OR(A336=""),"",IF(INDEX(#REF!,ROW()+9)="",IF(A337="",A336+$Q$10,A337),INDEX(#REF!,ROW()+9)+'Date Calculators'!$B$2+E336))</f>
        <v>#REF!</v>
      </c>
      <c r="C336" s="74" t="e" cm="1">
        <f t="array" ref="C336">IF(A336="","",INDEX(#REF!,ROW()+9))</f>
        <v>#REF!</v>
      </c>
      <c r="D336" s="74" t="str">
        <f>IFERROR(IF(A336="","",'Event Info'!$B$2),"")</f>
        <v/>
      </c>
      <c r="E336" t="e" cm="1">
        <f t="array" ref="E336">IF(INDEX(#REF!,ROW()+9)="START",E335+1,E335+0)</f>
        <v>#REF!</v>
      </c>
      <c r="F336" s="82" t="e">
        <f>IF(A336&lt;&gt;"",_xlfn.CONCAT(TEXT(A336,"yyyy-mm-dd"),"T",TEXT(A336,"hh:mm:ss"),'Event Info'!$B$5,",",," ",C336),"")</f>
        <v>#REF!</v>
      </c>
      <c r="G336" t="e">
        <f t="shared" si="10"/>
        <v>#REF!</v>
      </c>
      <c r="H336" s="92" t="str">
        <f t="shared" si="11"/>
        <v/>
      </c>
      <c r="I336" s="88">
        <v>0</v>
      </c>
    </row>
    <row r="337" spans="1:9" ht="16.899999999999999">
      <c r="A337" s="76" t="e" cm="1">
        <f t="array" ref="A337">IF(OR(INDEX(#REF!,ROW()+10)="START",INDEX(#REF!,ROW()+9)="",INDEX(#REF!,ROW()+9)="START",INDEX(#REF!,ROW()+9)="TBA",INDEX(#REF!,ROW()+9)="TBC"),"",INDEX(#REF!,ROW()+9)+'Date Calculators'!$B$2+E337)</f>
        <v>#REF!</v>
      </c>
      <c r="B337" s="76" t="e" cm="1">
        <f t="array" ref="B337">IF(OR(A337=""),"",IF(INDEX(#REF!,ROW()+9)="",IF(A338="",A337+$Q$10,A338),INDEX(#REF!,ROW()+9)+'Date Calculators'!$B$2+E337))</f>
        <v>#REF!</v>
      </c>
      <c r="C337" s="74" t="e" cm="1">
        <f t="array" ref="C337">IF(A337="","",INDEX(#REF!,ROW()+9))</f>
        <v>#REF!</v>
      </c>
      <c r="D337" s="74" t="str">
        <f>IFERROR(IF(A337="","",'Event Info'!$B$2),"")</f>
        <v/>
      </c>
      <c r="E337" t="e" cm="1">
        <f t="array" ref="E337">IF(INDEX(#REF!,ROW()+9)="START",E336+1,E336+0)</f>
        <v>#REF!</v>
      </c>
      <c r="F337" s="82" t="e">
        <f>IF(A337&lt;&gt;"",_xlfn.CONCAT(TEXT(A337,"yyyy-mm-dd"),"T",TEXT(A337,"hh:mm:ss"),'Event Info'!$B$5,",",," ",C337),"")</f>
        <v>#REF!</v>
      </c>
      <c r="G337" t="e">
        <f t="shared" si="10"/>
        <v>#REF!</v>
      </c>
      <c r="H337" s="92" t="str">
        <f t="shared" si="11"/>
        <v/>
      </c>
      <c r="I337" s="91">
        <v>0</v>
      </c>
    </row>
    <row r="338" spans="1:9">
      <c r="A338" s="76" t="e" cm="1">
        <f t="array" ref="A338">IF(OR(INDEX(#REF!,ROW()+10)="START",INDEX(#REF!,ROW()+9)="",INDEX(#REF!,ROW()+9)="START",INDEX(#REF!,ROW()+9)="TBA",INDEX(#REF!,ROW()+9)="TBC"),"",INDEX(#REF!,ROW()+9)+'Date Calculators'!$B$2+E338)</f>
        <v>#REF!</v>
      </c>
      <c r="B338" s="76" t="e" cm="1">
        <f t="array" ref="B338">IF(OR(A338=""),"",IF(INDEX(#REF!,ROW()+9)="",IF(A339="",A338+$Q$10,A339),INDEX(#REF!,ROW()+9)+'Date Calculators'!$B$2+E338))</f>
        <v>#REF!</v>
      </c>
      <c r="C338" s="74" t="e" cm="1">
        <f t="array" ref="C338">IF(A338="","",INDEX(#REF!,ROW()+9))</f>
        <v>#REF!</v>
      </c>
      <c r="D338" s="74" t="str">
        <f>IFERROR(IF(A338="","",'Event Info'!$B$2),"")</f>
        <v/>
      </c>
      <c r="E338" t="e" cm="1">
        <f t="array" ref="E338">IF(INDEX(#REF!,ROW()+9)="START",E337+1,E337+0)</f>
        <v>#REF!</v>
      </c>
      <c r="F338" s="82" t="e">
        <f>IF(A338&lt;&gt;"",_xlfn.CONCAT(TEXT(A338,"yyyy-mm-dd"),"T",TEXT(A338,"hh:mm:ss"),'Event Info'!$B$5,",",," ",C338),"")</f>
        <v>#REF!</v>
      </c>
      <c r="G338" t="e">
        <f t="shared" si="10"/>
        <v>#REF!</v>
      </c>
      <c r="H338" s="92" t="str">
        <f t="shared" si="11"/>
        <v/>
      </c>
      <c r="I338" s="88">
        <v>0</v>
      </c>
    </row>
    <row r="339" spans="1:9">
      <c r="A339" s="76" t="e" cm="1">
        <f t="array" ref="A339">IF(OR(INDEX(#REF!,ROW()+10)="START",INDEX(#REF!,ROW()+9)="",INDEX(#REF!,ROW()+9)="START",INDEX(#REF!,ROW()+9)="TBA",INDEX(#REF!,ROW()+9)="TBC"),"",INDEX(#REF!,ROW()+9)+'Date Calculators'!$B$2+E339)</f>
        <v>#REF!</v>
      </c>
      <c r="B339" s="76" t="e" cm="1">
        <f t="array" ref="B339">IF(OR(A339=""),"",IF(INDEX(#REF!,ROW()+9)="",IF(A340="",A339+$Q$10,A340),INDEX(#REF!,ROW()+9)+'Date Calculators'!$B$2+E339))</f>
        <v>#REF!</v>
      </c>
      <c r="C339" s="74" t="e" cm="1">
        <f t="array" ref="C339">IF(A339="","",INDEX(#REF!,ROW()+9))</f>
        <v>#REF!</v>
      </c>
      <c r="D339" s="74" t="str">
        <f>IFERROR(IF(A339="","",'Event Info'!$B$2),"")</f>
        <v/>
      </c>
      <c r="E339" t="e" cm="1">
        <f t="array" ref="E339">IF(INDEX(#REF!,ROW()+9)="START",E338+1,E338+0)</f>
        <v>#REF!</v>
      </c>
      <c r="F339" s="82" t="e">
        <f>IF(A339&lt;&gt;"",_xlfn.CONCAT(TEXT(A339,"yyyy-mm-dd"),"T",TEXT(A339,"hh:mm:ss"),'Event Info'!$B$5,",",," ",C339),"")</f>
        <v>#REF!</v>
      </c>
      <c r="G339" t="e">
        <f t="shared" si="10"/>
        <v>#REF!</v>
      </c>
      <c r="H339" s="92" t="str">
        <f t="shared" si="11"/>
        <v/>
      </c>
      <c r="I339" s="88">
        <v>0</v>
      </c>
    </row>
    <row r="340" spans="1:9" ht="16.899999999999999">
      <c r="A340" s="76" t="e" cm="1">
        <f t="array" ref="A340">IF(OR(INDEX(#REF!,ROW()+10)="START",INDEX(#REF!,ROW()+9)="",INDEX(#REF!,ROW()+9)="START",INDEX(#REF!,ROW()+9)="TBA",INDEX(#REF!,ROW()+9)="TBC"),"",INDEX(#REF!,ROW()+9)+'Date Calculators'!$B$2+E340)</f>
        <v>#REF!</v>
      </c>
      <c r="B340" s="76" t="e" cm="1">
        <f t="array" ref="B340">IF(OR(A340=""),"",IF(INDEX(#REF!,ROW()+9)="",IF(A341="",A340+$Q$10,A341),INDEX(#REF!,ROW()+9)+'Date Calculators'!$B$2+E340))</f>
        <v>#REF!</v>
      </c>
      <c r="C340" s="74" t="e" cm="1">
        <f t="array" ref="C340">IF(A340="","",INDEX(#REF!,ROW()+9))</f>
        <v>#REF!</v>
      </c>
      <c r="D340" s="74" t="str">
        <f>IFERROR(IF(A340="","",'Event Info'!$B$2),"")</f>
        <v/>
      </c>
      <c r="E340" t="e" cm="1">
        <f t="array" ref="E340">IF(INDEX(#REF!,ROW()+9)="START",E339+1,E339+0)</f>
        <v>#REF!</v>
      </c>
      <c r="F340" s="82" t="e">
        <f>IF(A340&lt;&gt;"",_xlfn.CONCAT(TEXT(A340,"yyyy-mm-dd"),"T",TEXT(A340,"hh:mm:ss"),'Event Info'!$B$5,",",," ",C340),"")</f>
        <v>#REF!</v>
      </c>
      <c r="G340" t="e">
        <f t="shared" si="10"/>
        <v>#REF!</v>
      </c>
      <c r="H340" s="92" t="str">
        <f t="shared" si="11"/>
        <v/>
      </c>
      <c r="I340" s="91">
        <v>0</v>
      </c>
    </row>
    <row r="341" spans="1:9">
      <c r="A341" s="76" t="e" cm="1">
        <f t="array" ref="A341">IF(OR(INDEX(#REF!,ROW()+10)="START",INDEX(#REF!,ROW()+9)="",INDEX(#REF!,ROW()+9)="START",INDEX(#REF!,ROW()+9)="TBA",INDEX(#REF!,ROW()+9)="TBC"),"",INDEX(#REF!,ROW()+9)+'Date Calculators'!$B$2+E341)</f>
        <v>#REF!</v>
      </c>
      <c r="B341" s="76" t="e" cm="1">
        <f t="array" ref="B341">IF(OR(A341=""),"",IF(INDEX(#REF!,ROW()+9)="",IF(A342="",A341+$Q$10,A342),INDEX(#REF!,ROW()+9)+'Date Calculators'!$B$2+E341))</f>
        <v>#REF!</v>
      </c>
      <c r="C341" s="74" t="e" cm="1">
        <f t="array" ref="C341">IF(A341="","",INDEX(#REF!,ROW()+9))</f>
        <v>#REF!</v>
      </c>
      <c r="D341" s="74" t="str">
        <f>IFERROR(IF(A341="","",'Event Info'!$B$2),"")</f>
        <v/>
      </c>
      <c r="E341" t="e" cm="1">
        <f t="array" ref="E341">IF(INDEX(#REF!,ROW()+9)="START",E340+1,E340+0)</f>
        <v>#REF!</v>
      </c>
      <c r="F341" s="82" t="e">
        <f>IF(A341&lt;&gt;"",_xlfn.CONCAT(TEXT(A341,"yyyy-mm-dd"),"T",TEXT(A341,"hh:mm:ss"),'Event Info'!$B$5,",",," ",C341),"")</f>
        <v>#REF!</v>
      </c>
      <c r="G341" t="e">
        <f t="shared" si="10"/>
        <v>#REF!</v>
      </c>
      <c r="H341" s="92" t="str">
        <f t="shared" si="11"/>
        <v/>
      </c>
      <c r="I341" s="88">
        <v>0</v>
      </c>
    </row>
    <row r="342" spans="1:9">
      <c r="A342" s="76" t="e" cm="1">
        <f t="array" ref="A342">IF(OR(INDEX(#REF!,ROW()+10)="START",INDEX(#REF!,ROW()+9)="",INDEX(#REF!,ROW()+9)="START",INDEX(#REF!,ROW()+9)="TBA",INDEX(#REF!,ROW()+9)="TBC"),"",INDEX(#REF!,ROW()+9)+'Date Calculators'!$B$2+E342)</f>
        <v>#REF!</v>
      </c>
      <c r="B342" s="76" t="e" cm="1">
        <f t="array" ref="B342">IF(OR(A342=""),"",IF(INDEX(#REF!,ROW()+9)="",IF(A343="",A342+$Q$10,A343),INDEX(#REF!,ROW()+9)+'Date Calculators'!$B$2+E342))</f>
        <v>#REF!</v>
      </c>
      <c r="C342" s="74" t="e" cm="1">
        <f t="array" ref="C342">IF(A342="","",INDEX(#REF!,ROW()+9))</f>
        <v>#REF!</v>
      </c>
      <c r="D342" s="74" t="str">
        <f>IFERROR(IF(A342="","",'Event Info'!$B$2),"")</f>
        <v/>
      </c>
      <c r="E342" t="e" cm="1">
        <f t="array" ref="E342">IF(INDEX(#REF!,ROW()+9)="START",E341+1,E341+0)</f>
        <v>#REF!</v>
      </c>
      <c r="F342" s="82" t="e">
        <f>IF(A342&lt;&gt;"",_xlfn.CONCAT(TEXT(A342,"yyyy-mm-dd"),"T",TEXT(A342,"hh:mm:ss"),'Event Info'!$B$5,",",," ",C342),"")</f>
        <v>#REF!</v>
      </c>
      <c r="G342" t="e">
        <f t="shared" si="10"/>
        <v>#REF!</v>
      </c>
      <c r="H342" s="92" t="str">
        <f t="shared" si="11"/>
        <v/>
      </c>
      <c r="I342" s="88">
        <v>0</v>
      </c>
    </row>
    <row r="343" spans="1:9" ht="16.899999999999999">
      <c r="A343" s="76" t="e" cm="1">
        <f t="array" ref="A343">IF(OR(INDEX(#REF!,ROW()+10)="START",INDEX(#REF!,ROW()+9)="",INDEX(#REF!,ROW()+9)="START",INDEX(#REF!,ROW()+9)="TBA",INDEX(#REF!,ROW()+9)="TBC"),"",INDEX(#REF!,ROW()+9)+'Date Calculators'!$B$2+E343)</f>
        <v>#REF!</v>
      </c>
      <c r="B343" s="76" t="e" cm="1">
        <f t="array" ref="B343">IF(OR(A343=""),"",IF(INDEX(#REF!,ROW()+9)="",IF(A344="",A343+$Q$10,A344),INDEX(#REF!,ROW()+9)+'Date Calculators'!$B$2+E343))</f>
        <v>#REF!</v>
      </c>
      <c r="C343" s="74" t="e" cm="1">
        <f t="array" ref="C343">IF(A343="","",INDEX(#REF!,ROW()+9))</f>
        <v>#REF!</v>
      </c>
      <c r="D343" s="74" t="str">
        <f>IFERROR(IF(A343="","",'Event Info'!$B$2),"")</f>
        <v/>
      </c>
      <c r="E343" t="e" cm="1">
        <f t="array" ref="E343">IF(INDEX(#REF!,ROW()+9)="START",E342+1,E342+0)</f>
        <v>#REF!</v>
      </c>
      <c r="F343" s="82" t="e">
        <f>IF(A343&lt;&gt;"",_xlfn.CONCAT(TEXT(A343,"yyyy-mm-dd"),"T",TEXT(A343,"hh:mm:ss"),'Event Info'!$B$5,",",," ",C343),"")</f>
        <v>#REF!</v>
      </c>
      <c r="G343" t="e">
        <f t="shared" si="10"/>
        <v>#REF!</v>
      </c>
      <c r="H343" s="92" t="str">
        <f t="shared" si="11"/>
        <v/>
      </c>
      <c r="I343" s="91">
        <v>0</v>
      </c>
    </row>
    <row r="344" spans="1:9">
      <c r="A344" s="76" t="e" cm="1">
        <f t="array" ref="A344">IF(OR(INDEX(#REF!,ROW()+10)="START",INDEX(#REF!,ROW()+9)="",INDEX(#REF!,ROW()+9)="START",INDEX(#REF!,ROW()+9)="TBA",INDEX(#REF!,ROW()+9)="TBC"),"",INDEX(#REF!,ROW()+9)+'Date Calculators'!$B$2+E344)</f>
        <v>#REF!</v>
      </c>
      <c r="B344" s="76" t="e" cm="1">
        <f t="array" ref="B344">IF(OR(A344=""),"",IF(INDEX(#REF!,ROW()+9)="",IF(A345="",A344+$Q$10,A345),INDEX(#REF!,ROW()+9)+'Date Calculators'!$B$2+E344))</f>
        <v>#REF!</v>
      </c>
      <c r="C344" s="74" t="e" cm="1">
        <f t="array" ref="C344">IF(A344="","",INDEX(#REF!,ROW()+9))</f>
        <v>#REF!</v>
      </c>
      <c r="D344" s="74" t="str">
        <f>IFERROR(IF(A344="","",'Event Info'!$B$2),"")</f>
        <v/>
      </c>
      <c r="E344" t="e" cm="1">
        <f t="array" ref="E344">IF(INDEX(#REF!,ROW()+9)="START",E343+1,E343+0)</f>
        <v>#REF!</v>
      </c>
      <c r="F344" s="82" t="e">
        <f>IF(A344&lt;&gt;"",_xlfn.CONCAT(TEXT(A344,"yyyy-mm-dd"),"T",TEXT(A344,"hh:mm:ss"),'Event Info'!$B$5,",",," ",C344),"")</f>
        <v>#REF!</v>
      </c>
      <c r="G344" t="e">
        <f t="shared" si="10"/>
        <v>#REF!</v>
      </c>
      <c r="H344" s="92" t="str">
        <f t="shared" si="11"/>
        <v/>
      </c>
      <c r="I344" s="88">
        <v>0</v>
      </c>
    </row>
    <row r="345" spans="1:9">
      <c r="A345" s="76" t="e" cm="1">
        <f t="array" ref="A345">IF(OR(INDEX(#REF!,ROW()+10)="START",INDEX(#REF!,ROW()+9)="",INDEX(#REF!,ROW()+9)="START",INDEX(#REF!,ROW()+9)="TBA",INDEX(#REF!,ROW()+9)="TBC"),"",INDEX(#REF!,ROW()+9)+'Date Calculators'!$B$2+E345)</f>
        <v>#REF!</v>
      </c>
      <c r="B345" s="76" t="e" cm="1">
        <f t="array" ref="B345">IF(OR(A345=""),"",IF(INDEX(#REF!,ROW()+9)="",IF(A346="",A345+$Q$10,A346),INDEX(#REF!,ROW()+9)+'Date Calculators'!$B$2+E345))</f>
        <v>#REF!</v>
      </c>
      <c r="C345" s="74" t="e" cm="1">
        <f t="array" ref="C345">IF(A345="","",INDEX(#REF!,ROW()+9))</f>
        <v>#REF!</v>
      </c>
      <c r="D345" s="74" t="str">
        <f>IFERROR(IF(A345="","",'Event Info'!$B$2),"")</f>
        <v/>
      </c>
      <c r="E345" t="e" cm="1">
        <f t="array" ref="E345">IF(INDEX(#REF!,ROW()+9)="START",E344+1,E344+0)</f>
        <v>#REF!</v>
      </c>
      <c r="F345" s="82" t="e">
        <f>IF(A345&lt;&gt;"",_xlfn.CONCAT(TEXT(A345,"yyyy-mm-dd"),"T",TEXT(A345,"hh:mm:ss"),'Event Info'!$B$5,",",," ",C345),"")</f>
        <v>#REF!</v>
      </c>
      <c r="G345" t="e">
        <f t="shared" si="10"/>
        <v>#REF!</v>
      </c>
      <c r="H345" s="92" t="str">
        <f t="shared" si="11"/>
        <v/>
      </c>
      <c r="I345" s="88">
        <v>0</v>
      </c>
    </row>
    <row r="346" spans="1:9" ht="16.899999999999999">
      <c r="A346" s="76" t="e" cm="1">
        <f t="array" ref="A346">IF(OR(INDEX(#REF!,ROW()+10)="START",INDEX(#REF!,ROW()+9)="",INDEX(#REF!,ROW()+9)="START",INDEX(#REF!,ROW()+9)="TBA",INDEX(#REF!,ROW()+9)="TBC"),"",INDEX(#REF!,ROW()+9)+'Date Calculators'!$B$2+E346)</f>
        <v>#REF!</v>
      </c>
      <c r="B346" s="76" t="e" cm="1">
        <f t="array" ref="B346">IF(OR(A346=""),"",IF(INDEX(#REF!,ROW()+9)="",IF(A347="",A346+$Q$10,A347),INDEX(#REF!,ROW()+9)+'Date Calculators'!$B$2+E346))</f>
        <v>#REF!</v>
      </c>
      <c r="C346" s="74" t="e" cm="1">
        <f t="array" ref="C346">IF(A346="","",INDEX(#REF!,ROW()+9))</f>
        <v>#REF!</v>
      </c>
      <c r="D346" s="74" t="str">
        <f>IFERROR(IF(A346="","",'Event Info'!$B$2),"")</f>
        <v/>
      </c>
      <c r="E346" t="e" cm="1">
        <f t="array" ref="E346">IF(INDEX(#REF!,ROW()+9)="START",E345+1,E345+0)</f>
        <v>#REF!</v>
      </c>
      <c r="F346" s="82" t="e">
        <f>IF(A346&lt;&gt;"",_xlfn.CONCAT(TEXT(A346,"yyyy-mm-dd"),"T",TEXT(A346,"hh:mm:ss"),'Event Info'!$B$5,",",," ",C346),"")</f>
        <v>#REF!</v>
      </c>
      <c r="G346" t="e">
        <f t="shared" si="10"/>
        <v>#REF!</v>
      </c>
      <c r="H346" s="92" t="str">
        <f t="shared" si="11"/>
        <v/>
      </c>
      <c r="I346" s="91">
        <v>0</v>
      </c>
    </row>
    <row r="347" spans="1:9">
      <c r="A347" s="76" t="e" cm="1">
        <f t="array" ref="A347">IF(OR(INDEX(#REF!,ROW()+10)="START",INDEX(#REF!,ROW()+9)="",INDEX(#REF!,ROW()+9)="START",INDEX(#REF!,ROW()+9)="TBA",INDEX(#REF!,ROW()+9)="TBC"),"",INDEX(#REF!,ROW()+9)+'Date Calculators'!$B$2+E347)</f>
        <v>#REF!</v>
      </c>
      <c r="B347" s="76" t="e" cm="1">
        <f t="array" ref="B347">IF(OR(A347=""),"",IF(INDEX(#REF!,ROW()+9)="",IF(A348="",A347+$Q$10,A348),INDEX(#REF!,ROW()+9)+'Date Calculators'!$B$2+E347))</f>
        <v>#REF!</v>
      </c>
      <c r="C347" s="74" t="e" cm="1">
        <f t="array" ref="C347">IF(A347="","",INDEX(#REF!,ROW()+9))</f>
        <v>#REF!</v>
      </c>
      <c r="D347" s="74" t="str">
        <f>IFERROR(IF(A347="","",'Event Info'!$B$2),"")</f>
        <v/>
      </c>
      <c r="E347" t="e" cm="1">
        <f t="array" ref="E347">IF(INDEX(#REF!,ROW()+9)="START",E346+1,E346+0)</f>
        <v>#REF!</v>
      </c>
      <c r="F347" s="82" t="e">
        <f>IF(A347&lt;&gt;"",_xlfn.CONCAT(TEXT(A347,"yyyy-mm-dd"),"T",TEXT(A347,"hh:mm:ss"),'Event Info'!$B$5,",",," ",C347),"")</f>
        <v>#REF!</v>
      </c>
      <c r="G347" t="e">
        <f t="shared" si="10"/>
        <v>#REF!</v>
      </c>
      <c r="H347" s="92" t="str">
        <f t="shared" si="11"/>
        <v/>
      </c>
      <c r="I347" s="88">
        <v>0</v>
      </c>
    </row>
    <row r="348" spans="1:9">
      <c r="A348" s="76" t="e" cm="1">
        <f t="array" ref="A348">IF(OR(INDEX(#REF!,ROW()+10)="START",INDEX(#REF!,ROW()+9)="",INDEX(#REF!,ROW()+9)="START",INDEX(#REF!,ROW()+9)="TBA",INDEX(#REF!,ROW()+9)="TBC"),"",INDEX(#REF!,ROW()+9)+'Date Calculators'!$B$2+E348)</f>
        <v>#REF!</v>
      </c>
      <c r="B348" s="76" t="e" cm="1">
        <f t="array" ref="B348">IF(OR(A348=""),"",IF(INDEX(#REF!,ROW()+9)="",IF(A349="",A348+$Q$10,A349),INDEX(#REF!,ROW()+9)+'Date Calculators'!$B$2+E348))</f>
        <v>#REF!</v>
      </c>
      <c r="C348" s="74" t="e" cm="1">
        <f t="array" ref="C348">IF(A348="","",INDEX(#REF!,ROW()+9))</f>
        <v>#REF!</v>
      </c>
      <c r="D348" s="74" t="str">
        <f>IFERROR(IF(A348="","",'Event Info'!$B$2),"")</f>
        <v/>
      </c>
      <c r="E348" t="e" cm="1">
        <f t="array" ref="E348">IF(INDEX(#REF!,ROW()+9)="START",E347+1,E347+0)</f>
        <v>#REF!</v>
      </c>
      <c r="F348" s="82" t="e">
        <f>IF(A348&lt;&gt;"",_xlfn.CONCAT(TEXT(A348,"yyyy-mm-dd"),"T",TEXT(A348,"hh:mm:ss"),'Event Info'!$B$5,",",," ",C348),"")</f>
        <v>#REF!</v>
      </c>
      <c r="G348" t="e">
        <f t="shared" si="10"/>
        <v>#REF!</v>
      </c>
      <c r="H348" s="92" t="str">
        <f t="shared" si="11"/>
        <v/>
      </c>
      <c r="I348" s="88">
        <v>0</v>
      </c>
    </row>
    <row r="349" spans="1:9" ht="16.899999999999999">
      <c r="A349" s="76" t="e" cm="1">
        <f t="array" ref="A349">IF(OR(INDEX(#REF!,ROW()+10)="START",INDEX(#REF!,ROW()+9)="",INDEX(#REF!,ROW()+9)="START",INDEX(#REF!,ROW()+9)="TBA",INDEX(#REF!,ROW()+9)="TBC"),"",INDEX(#REF!,ROW()+9)+'Date Calculators'!$B$2+E349)</f>
        <v>#REF!</v>
      </c>
      <c r="B349" s="76" t="e" cm="1">
        <f t="array" ref="B349">IF(OR(A349=""),"",IF(INDEX(#REF!,ROW()+9)="",IF(A350="",A349+$Q$10,A350),INDEX(#REF!,ROW()+9)+'Date Calculators'!$B$2+E349))</f>
        <v>#REF!</v>
      </c>
      <c r="C349" s="74" t="e" cm="1">
        <f t="array" ref="C349">IF(A349="","",INDEX(#REF!,ROW()+9))</f>
        <v>#REF!</v>
      </c>
      <c r="D349" s="74" t="str">
        <f>IFERROR(IF(A349="","",'Event Info'!$B$2),"")</f>
        <v/>
      </c>
      <c r="E349" t="e" cm="1">
        <f t="array" ref="E349">IF(INDEX(#REF!,ROW()+9)="START",E348+1,E348+0)</f>
        <v>#REF!</v>
      </c>
      <c r="F349" s="82" t="e">
        <f>IF(A349&lt;&gt;"",_xlfn.CONCAT(TEXT(A349,"yyyy-mm-dd"),"T",TEXT(A349,"hh:mm:ss"),'Event Info'!$B$5,",",," ",C349),"")</f>
        <v>#REF!</v>
      </c>
      <c r="G349" t="e">
        <f t="shared" si="10"/>
        <v>#REF!</v>
      </c>
      <c r="H349" s="92" t="str">
        <f t="shared" si="11"/>
        <v/>
      </c>
      <c r="I349" s="91">
        <v>0</v>
      </c>
    </row>
    <row r="350" spans="1:9">
      <c r="A350" s="76" t="e" cm="1">
        <f t="array" ref="A350">IF(OR(INDEX(#REF!,ROW()+10)="START",INDEX(#REF!,ROW()+9)="",INDEX(#REF!,ROW()+9)="START",INDEX(#REF!,ROW()+9)="TBA",INDEX(#REF!,ROW()+9)="TBC"),"",INDEX(#REF!,ROW()+9)+'Date Calculators'!$B$2+E350)</f>
        <v>#REF!</v>
      </c>
      <c r="B350" s="76" t="e" cm="1">
        <f t="array" ref="B350">IF(OR(A350=""),"",IF(INDEX(#REF!,ROW()+9)="",IF(A351="",A350+$Q$10,A351),INDEX(#REF!,ROW()+9)+'Date Calculators'!$B$2+E350))</f>
        <v>#REF!</v>
      </c>
      <c r="C350" s="74" t="e" cm="1">
        <f t="array" ref="C350">IF(A350="","",INDEX(#REF!,ROW()+9))</f>
        <v>#REF!</v>
      </c>
      <c r="D350" s="74" t="str">
        <f>IFERROR(IF(A350="","",'Event Info'!$B$2),"")</f>
        <v/>
      </c>
      <c r="E350" t="e" cm="1">
        <f t="array" ref="E350">IF(INDEX(#REF!,ROW()+9)="START",E349+1,E349+0)</f>
        <v>#REF!</v>
      </c>
      <c r="F350" s="82" t="e">
        <f>IF(A350&lt;&gt;"",_xlfn.CONCAT(TEXT(A350,"yyyy-mm-dd"),"T",TEXT(A350,"hh:mm:ss"),'Event Info'!$B$5,",",," ",C350),"")</f>
        <v>#REF!</v>
      </c>
      <c r="G350" t="e">
        <f t="shared" si="10"/>
        <v>#REF!</v>
      </c>
      <c r="H350" s="92" t="str">
        <f t="shared" si="11"/>
        <v/>
      </c>
      <c r="I350" s="88">
        <v>0</v>
      </c>
    </row>
    <row r="351" spans="1:9">
      <c r="A351" s="76" t="e" cm="1">
        <f t="array" ref="A351">IF(OR(INDEX(#REF!,ROW()+10)="START",INDEX(#REF!,ROW()+9)="",INDEX(#REF!,ROW()+9)="START",INDEX(#REF!,ROW()+9)="TBA",INDEX(#REF!,ROW()+9)="TBC"),"",INDEX(#REF!,ROW()+9)+'Date Calculators'!$B$2+E351)</f>
        <v>#REF!</v>
      </c>
      <c r="B351" s="76" t="e" cm="1">
        <f t="array" ref="B351">IF(OR(A351=""),"",IF(INDEX(#REF!,ROW()+9)="",IF(A352="",A351+$Q$10,A352),INDEX(#REF!,ROW()+9)+'Date Calculators'!$B$2+E351))</f>
        <v>#REF!</v>
      </c>
      <c r="C351" s="74" t="e" cm="1">
        <f t="array" ref="C351">IF(A351="","",INDEX(#REF!,ROW()+9))</f>
        <v>#REF!</v>
      </c>
      <c r="D351" s="74" t="str">
        <f>IFERROR(IF(A351="","",'Event Info'!$B$2),"")</f>
        <v/>
      </c>
      <c r="E351" t="e" cm="1">
        <f t="array" ref="E351">IF(INDEX(#REF!,ROW()+9)="START",E350+1,E350+0)</f>
        <v>#REF!</v>
      </c>
      <c r="F351" s="82" t="e">
        <f>IF(A351&lt;&gt;"",_xlfn.CONCAT(TEXT(A351,"yyyy-mm-dd"),"T",TEXT(A351,"hh:mm:ss"),'Event Info'!$B$5,",",," ",C351),"")</f>
        <v>#REF!</v>
      </c>
      <c r="G351" t="e">
        <f t="shared" si="10"/>
        <v>#REF!</v>
      </c>
      <c r="H351" s="92" t="str">
        <f t="shared" si="11"/>
        <v/>
      </c>
      <c r="I351" s="88">
        <v>0</v>
      </c>
    </row>
    <row r="352" spans="1:9" ht="16.899999999999999">
      <c r="A352" s="76" t="e" cm="1">
        <f t="array" ref="A352">IF(OR(INDEX(#REF!,ROW()+10)="START",INDEX(#REF!,ROW()+9)="",INDEX(#REF!,ROW()+9)="START",INDEX(#REF!,ROW()+9)="TBA",INDEX(#REF!,ROW()+9)="TBC"),"",INDEX(#REF!,ROW()+9)+'Date Calculators'!$B$2+E352)</f>
        <v>#REF!</v>
      </c>
      <c r="B352" s="76" t="e" cm="1">
        <f t="array" ref="B352">IF(OR(A352=""),"",IF(INDEX(#REF!,ROW()+9)="",IF(A353="",A352+$Q$10,A353),INDEX(#REF!,ROW()+9)+'Date Calculators'!$B$2+E352))</f>
        <v>#REF!</v>
      </c>
      <c r="C352" s="74" t="e" cm="1">
        <f t="array" ref="C352">IF(A352="","",INDEX(#REF!,ROW()+9))</f>
        <v>#REF!</v>
      </c>
      <c r="D352" s="74" t="str">
        <f>IFERROR(IF(A352="","",'Event Info'!$B$2),"")</f>
        <v/>
      </c>
      <c r="E352" t="e" cm="1">
        <f t="array" ref="E352">IF(INDEX(#REF!,ROW()+9)="START",E351+1,E351+0)</f>
        <v>#REF!</v>
      </c>
      <c r="F352" s="82" t="e">
        <f>IF(A352&lt;&gt;"",_xlfn.CONCAT(TEXT(A352,"yyyy-mm-dd"),"T",TEXT(A352,"hh:mm:ss"),'Event Info'!$B$5,",",," ",C352),"")</f>
        <v>#REF!</v>
      </c>
      <c r="G352" t="e">
        <f t="shared" si="10"/>
        <v>#REF!</v>
      </c>
      <c r="H352" s="92" t="str">
        <f t="shared" si="11"/>
        <v/>
      </c>
      <c r="I352" s="91">
        <v>0</v>
      </c>
    </row>
    <row r="353" spans="1:9">
      <c r="A353" s="76" t="e" cm="1">
        <f t="array" ref="A353">IF(OR(INDEX(#REF!,ROW()+10)="START",INDEX(#REF!,ROW()+9)="",INDEX(#REF!,ROW()+9)="START",INDEX(#REF!,ROW()+9)="TBA",INDEX(#REF!,ROW()+9)="TBC"),"",INDEX(#REF!,ROW()+9)+'Date Calculators'!$B$2+E353)</f>
        <v>#REF!</v>
      </c>
      <c r="B353" s="76" t="e" cm="1">
        <f t="array" ref="B353">IF(OR(A353=""),"",IF(INDEX(#REF!,ROW()+9)="",IF(A354="",A353+$Q$10,A354),INDEX(#REF!,ROW()+9)+'Date Calculators'!$B$2+E353))</f>
        <v>#REF!</v>
      </c>
      <c r="C353" s="74" t="e" cm="1">
        <f t="array" ref="C353">IF(A353="","",INDEX(#REF!,ROW()+9))</f>
        <v>#REF!</v>
      </c>
      <c r="D353" s="74" t="str">
        <f>IFERROR(IF(A353="","",'Event Info'!$B$2),"")</f>
        <v/>
      </c>
      <c r="E353" t="e" cm="1">
        <f t="array" ref="E353">IF(INDEX(#REF!,ROW()+9)="START",E352+1,E352+0)</f>
        <v>#REF!</v>
      </c>
      <c r="F353" s="82" t="e">
        <f>IF(A353&lt;&gt;"",_xlfn.CONCAT(TEXT(A353,"yyyy-mm-dd"),"T",TEXT(A353,"hh:mm:ss"),'Event Info'!$B$5,",",," ",C353),"")</f>
        <v>#REF!</v>
      </c>
      <c r="G353" t="e">
        <f t="shared" si="10"/>
        <v>#REF!</v>
      </c>
      <c r="H353" s="92" t="str">
        <f t="shared" si="11"/>
        <v/>
      </c>
      <c r="I353" s="88">
        <v>0</v>
      </c>
    </row>
    <row r="354" spans="1:9">
      <c r="A354" s="76" t="e" cm="1">
        <f t="array" ref="A354">IF(OR(INDEX(#REF!,ROW()+10)="START",INDEX(#REF!,ROW()+9)="",INDEX(#REF!,ROW()+9)="START",INDEX(#REF!,ROW()+9)="TBA",INDEX(#REF!,ROW()+9)="TBC"),"",INDEX(#REF!,ROW()+9)+'Date Calculators'!$B$2+E354)</f>
        <v>#REF!</v>
      </c>
      <c r="B354" s="76" t="e" cm="1">
        <f t="array" ref="B354">IF(OR(A354=""),"",IF(INDEX(#REF!,ROW()+9)="",IF(A355="",A354+$Q$10,A355),INDEX(#REF!,ROW()+9)+'Date Calculators'!$B$2+E354))</f>
        <v>#REF!</v>
      </c>
      <c r="C354" s="74" t="e" cm="1">
        <f t="array" ref="C354">IF(A354="","",INDEX(#REF!,ROW()+9))</f>
        <v>#REF!</v>
      </c>
      <c r="D354" s="74" t="str">
        <f>IFERROR(IF(A354="","",'Event Info'!$B$2),"")</f>
        <v/>
      </c>
      <c r="E354" t="e" cm="1">
        <f t="array" ref="E354">IF(INDEX(#REF!,ROW()+9)="START",E353+1,E353+0)</f>
        <v>#REF!</v>
      </c>
      <c r="F354" s="82" t="e">
        <f>IF(A354&lt;&gt;"",_xlfn.CONCAT(TEXT(A354,"yyyy-mm-dd"),"T",TEXT(A354,"hh:mm:ss"),'Event Info'!$B$5,",",," ",C354),"")</f>
        <v>#REF!</v>
      </c>
      <c r="G354" t="e">
        <f t="shared" si="10"/>
        <v>#REF!</v>
      </c>
      <c r="H354" s="92" t="str">
        <f t="shared" si="11"/>
        <v/>
      </c>
      <c r="I354" s="88">
        <v>0</v>
      </c>
    </row>
    <row r="355" spans="1:9" ht="16.899999999999999">
      <c r="A355" s="76" t="e" cm="1">
        <f t="array" ref="A355">IF(OR(INDEX(#REF!,ROW()+10)="START",INDEX(#REF!,ROW()+9)="",INDEX(#REF!,ROW()+9)="START",INDEX(#REF!,ROW()+9)="TBA",INDEX(#REF!,ROW()+9)="TBC"),"",INDEX(#REF!,ROW()+9)+'Date Calculators'!$B$2+E355)</f>
        <v>#REF!</v>
      </c>
      <c r="B355" s="76" t="e" cm="1">
        <f t="array" ref="B355">IF(OR(A355=""),"",IF(INDEX(#REF!,ROW()+9)="",IF(A356="",A355+$Q$10,A356),INDEX(#REF!,ROW()+9)+'Date Calculators'!$B$2+E355))</f>
        <v>#REF!</v>
      </c>
      <c r="C355" s="74" t="e" cm="1">
        <f t="array" ref="C355">IF(A355="","",INDEX(#REF!,ROW()+9))</f>
        <v>#REF!</v>
      </c>
      <c r="D355" s="74" t="str">
        <f>IFERROR(IF(A355="","",'Event Info'!$B$2),"")</f>
        <v/>
      </c>
      <c r="E355" t="e" cm="1">
        <f t="array" ref="E355">IF(INDEX(#REF!,ROW()+9)="START",E354+1,E354+0)</f>
        <v>#REF!</v>
      </c>
      <c r="F355" s="82" t="e">
        <f>IF(A355&lt;&gt;"",_xlfn.CONCAT(TEXT(A355,"yyyy-mm-dd"),"T",TEXT(A355,"hh:mm:ss"),'Event Info'!$B$5,",",," ",C355),"")</f>
        <v>#REF!</v>
      </c>
      <c r="G355" t="e">
        <f t="shared" si="10"/>
        <v>#REF!</v>
      </c>
      <c r="H355" s="92" t="str">
        <f t="shared" si="11"/>
        <v/>
      </c>
      <c r="I355" s="91">
        <v>0</v>
      </c>
    </row>
    <row r="356" spans="1:9">
      <c r="A356" s="76" t="e" cm="1">
        <f t="array" ref="A356">IF(OR(INDEX(#REF!,ROW()+10)="START",INDEX(#REF!,ROW()+9)="",INDEX(#REF!,ROW()+9)="START",INDEX(#REF!,ROW()+9)="TBA",INDEX(#REF!,ROW()+9)="TBC"),"",INDEX(#REF!,ROW()+9)+'Date Calculators'!$B$2+E356)</f>
        <v>#REF!</v>
      </c>
      <c r="B356" s="76" t="e" cm="1">
        <f t="array" ref="B356">IF(OR(A356=""),"",IF(INDEX(#REF!,ROW()+9)="",IF(A357="",A356+$Q$10,A357),INDEX(#REF!,ROW()+9)+'Date Calculators'!$B$2+E356))</f>
        <v>#REF!</v>
      </c>
      <c r="C356" s="74" t="e" cm="1">
        <f t="array" ref="C356">IF(A356="","",INDEX(#REF!,ROW()+9))</f>
        <v>#REF!</v>
      </c>
      <c r="D356" s="74" t="str">
        <f>IFERROR(IF(A356="","",'Event Info'!$B$2),"")</f>
        <v/>
      </c>
      <c r="E356" t="e" cm="1">
        <f t="array" ref="E356">IF(INDEX(#REF!,ROW()+9)="START",E355+1,E355+0)</f>
        <v>#REF!</v>
      </c>
      <c r="F356" s="82" t="e">
        <f>IF(A356&lt;&gt;"",_xlfn.CONCAT(TEXT(A356,"yyyy-mm-dd"),"T",TEXT(A356,"hh:mm:ss"),'Event Info'!$B$5,",",," ",C356),"")</f>
        <v>#REF!</v>
      </c>
      <c r="G356" t="e">
        <f t="shared" si="10"/>
        <v>#REF!</v>
      </c>
      <c r="H356" s="92" t="str">
        <f t="shared" si="11"/>
        <v/>
      </c>
      <c r="I356" s="88">
        <v>0</v>
      </c>
    </row>
    <row r="357" spans="1:9">
      <c r="A357" s="76" t="e" cm="1">
        <f t="array" ref="A357">IF(OR(INDEX(#REF!,ROW()+10)="START",INDEX(#REF!,ROW()+9)="",INDEX(#REF!,ROW()+9)="START",INDEX(#REF!,ROW()+9)="TBA",INDEX(#REF!,ROW()+9)="TBC"),"",INDEX(#REF!,ROW()+9)+'Date Calculators'!$B$2+E357)</f>
        <v>#REF!</v>
      </c>
      <c r="B357" s="76" t="e" cm="1">
        <f t="array" ref="B357">IF(OR(A357=""),"",IF(INDEX(#REF!,ROW()+9)="",IF(A358="",A357+$Q$10,A358),INDEX(#REF!,ROW()+9)+'Date Calculators'!$B$2+E357))</f>
        <v>#REF!</v>
      </c>
      <c r="C357" s="74" t="e" cm="1">
        <f t="array" ref="C357">IF(A357="","",INDEX(#REF!,ROW()+9))</f>
        <v>#REF!</v>
      </c>
      <c r="D357" s="74" t="str">
        <f>IFERROR(IF(A357="","",'Event Info'!$B$2),"")</f>
        <v/>
      </c>
      <c r="E357" t="e" cm="1">
        <f t="array" ref="E357">IF(INDEX(#REF!,ROW()+9)="START",E356+1,E356+0)</f>
        <v>#REF!</v>
      </c>
      <c r="F357" s="82" t="e">
        <f>IF(A357&lt;&gt;"",_xlfn.CONCAT(TEXT(A357,"yyyy-mm-dd"),"T",TEXT(A357,"hh:mm:ss"),'Event Info'!$B$5,",",," ",C357),"")</f>
        <v>#REF!</v>
      </c>
      <c r="G357" t="e">
        <f t="shared" si="10"/>
        <v>#REF!</v>
      </c>
      <c r="H357" s="92" t="str">
        <f t="shared" si="11"/>
        <v/>
      </c>
      <c r="I357" s="88">
        <v>0</v>
      </c>
    </row>
    <row r="358" spans="1:9" ht="16.899999999999999">
      <c r="A358" s="76" t="e" cm="1">
        <f t="array" ref="A358">IF(OR(INDEX(#REF!,ROW()+10)="START",INDEX(#REF!,ROW()+9)="",INDEX(#REF!,ROW()+9)="START",INDEX(#REF!,ROW()+9)="TBA",INDEX(#REF!,ROW()+9)="TBC"),"",INDEX(#REF!,ROW()+9)+'Date Calculators'!$B$2+E358)</f>
        <v>#REF!</v>
      </c>
      <c r="B358" s="76" t="e" cm="1">
        <f t="array" ref="B358">IF(OR(A358=""),"",IF(INDEX(#REF!,ROW()+9)="",IF(A359="",A358+$Q$10,A359),INDEX(#REF!,ROW()+9)+'Date Calculators'!$B$2+E358))</f>
        <v>#REF!</v>
      </c>
      <c r="C358" s="74" t="e" cm="1">
        <f t="array" ref="C358">IF(A358="","",INDEX(#REF!,ROW()+9))</f>
        <v>#REF!</v>
      </c>
      <c r="D358" s="74" t="str">
        <f>IFERROR(IF(A358="","",'Event Info'!$B$2),"")</f>
        <v/>
      </c>
      <c r="E358" t="e" cm="1">
        <f t="array" ref="E358">IF(INDEX(#REF!,ROW()+9)="START",E357+1,E357+0)</f>
        <v>#REF!</v>
      </c>
      <c r="F358" s="82" t="e">
        <f>IF(A358&lt;&gt;"",_xlfn.CONCAT(TEXT(A358,"yyyy-mm-dd"),"T",TEXT(A358,"hh:mm:ss"),'Event Info'!$B$5,",",," ",C358),"")</f>
        <v>#REF!</v>
      </c>
      <c r="G358" t="e">
        <f t="shared" si="10"/>
        <v>#REF!</v>
      </c>
      <c r="H358" s="92" t="str">
        <f t="shared" si="11"/>
        <v/>
      </c>
      <c r="I358" s="91">
        <v>0</v>
      </c>
    </row>
    <row r="359" spans="1:9">
      <c r="A359" s="76" t="e" cm="1">
        <f t="array" ref="A359">IF(OR(INDEX(#REF!,ROW()+10)="START",INDEX(#REF!,ROW()+9)="",INDEX(#REF!,ROW()+9)="START",INDEX(#REF!,ROW()+9)="TBA",INDEX(#REF!,ROW()+9)="TBC"),"",INDEX(#REF!,ROW()+9)+'Date Calculators'!$B$2+E359)</f>
        <v>#REF!</v>
      </c>
      <c r="B359" s="76" t="e" cm="1">
        <f t="array" ref="B359">IF(OR(A359=""),"",IF(INDEX(#REF!,ROW()+9)="",IF(A360="",A359+$Q$10,A360),INDEX(#REF!,ROW()+9)+'Date Calculators'!$B$2+E359))</f>
        <v>#REF!</v>
      </c>
      <c r="C359" s="74" t="e" cm="1">
        <f t="array" ref="C359">IF(A359="","",INDEX(#REF!,ROW()+9))</f>
        <v>#REF!</v>
      </c>
      <c r="D359" s="74" t="str">
        <f>IFERROR(IF(A359="","",'Event Info'!$B$2),"")</f>
        <v/>
      </c>
      <c r="E359" t="e" cm="1">
        <f t="array" ref="E359">IF(INDEX(#REF!,ROW()+9)="START",E358+1,E358+0)</f>
        <v>#REF!</v>
      </c>
      <c r="F359" s="82" t="e">
        <f>IF(A359&lt;&gt;"",_xlfn.CONCAT(TEXT(A359,"yyyy-mm-dd"),"T",TEXT(A359,"hh:mm:ss"),'Event Info'!$B$5,",",," ",C359),"")</f>
        <v>#REF!</v>
      </c>
      <c r="G359" t="e">
        <f t="shared" si="10"/>
        <v>#REF!</v>
      </c>
      <c r="H359" s="92" t="str">
        <f t="shared" si="11"/>
        <v/>
      </c>
      <c r="I359" s="88">
        <v>0</v>
      </c>
    </row>
    <row r="360" spans="1:9">
      <c r="A360" s="76" t="e" cm="1">
        <f t="array" ref="A360">IF(OR(INDEX(#REF!,ROW()+10)="START",INDEX(#REF!,ROW()+9)="",INDEX(#REF!,ROW()+9)="START",INDEX(#REF!,ROW()+9)="TBA",INDEX(#REF!,ROW()+9)="TBC"),"",INDEX(#REF!,ROW()+9)+'Date Calculators'!$B$2+E360)</f>
        <v>#REF!</v>
      </c>
      <c r="B360" s="76" t="e" cm="1">
        <f t="array" ref="B360">IF(OR(A360=""),"",IF(INDEX(#REF!,ROW()+9)="",IF(A361="",A360+$Q$10,A361),INDEX(#REF!,ROW()+9)+'Date Calculators'!$B$2+E360))</f>
        <v>#REF!</v>
      </c>
      <c r="C360" s="74" t="e" cm="1">
        <f t="array" ref="C360">IF(A360="","",INDEX(#REF!,ROW()+9))</f>
        <v>#REF!</v>
      </c>
      <c r="D360" s="74" t="str">
        <f>IFERROR(IF(A360="","",'Event Info'!$B$2),"")</f>
        <v/>
      </c>
      <c r="E360" t="e" cm="1">
        <f t="array" ref="E360">IF(INDEX(#REF!,ROW()+9)="START",E359+1,E359+0)</f>
        <v>#REF!</v>
      </c>
      <c r="F360" s="82" t="e">
        <f>IF(A360&lt;&gt;"",_xlfn.CONCAT(TEXT(A360,"yyyy-mm-dd"),"T",TEXT(A360,"hh:mm:ss"),'Event Info'!$B$5,",",," ",C360),"")</f>
        <v>#REF!</v>
      </c>
      <c r="G360" t="e">
        <f t="shared" si="10"/>
        <v>#REF!</v>
      </c>
      <c r="H360" s="92" t="str">
        <f t="shared" si="11"/>
        <v/>
      </c>
      <c r="I360" s="88">
        <v>0</v>
      </c>
    </row>
    <row r="361" spans="1:9" ht="16.899999999999999">
      <c r="A361" s="76" t="e" cm="1">
        <f t="array" ref="A361">IF(OR(INDEX(#REF!,ROW()+10)="START",INDEX(#REF!,ROW()+9)="",INDEX(#REF!,ROW()+9)="START",INDEX(#REF!,ROW()+9)="TBA",INDEX(#REF!,ROW()+9)="TBC"),"",INDEX(#REF!,ROW()+9)+'Date Calculators'!$B$2+E361)</f>
        <v>#REF!</v>
      </c>
      <c r="B361" s="76" t="e" cm="1">
        <f t="array" ref="B361">IF(OR(A361=""),"",IF(INDEX(#REF!,ROW()+9)="",IF(A362="",A361+$Q$10,A362),INDEX(#REF!,ROW()+9)+'Date Calculators'!$B$2+E361))</f>
        <v>#REF!</v>
      </c>
      <c r="C361" s="74" t="e" cm="1">
        <f t="array" ref="C361">IF(A361="","",INDEX(#REF!,ROW()+9))</f>
        <v>#REF!</v>
      </c>
      <c r="D361" s="74" t="str">
        <f>IFERROR(IF(A361="","",'Event Info'!$B$2),"")</f>
        <v/>
      </c>
      <c r="E361" t="e" cm="1">
        <f t="array" ref="E361">IF(INDEX(#REF!,ROW()+9)="START",E360+1,E360+0)</f>
        <v>#REF!</v>
      </c>
      <c r="F361" s="82" t="e">
        <f>IF(A361&lt;&gt;"",_xlfn.CONCAT(TEXT(A361,"yyyy-mm-dd"),"T",TEXT(A361,"hh:mm:ss"),'Event Info'!$B$5,",",," ",C361),"")</f>
        <v>#REF!</v>
      </c>
      <c r="G361" t="e">
        <f t="shared" si="10"/>
        <v>#REF!</v>
      </c>
      <c r="H361" s="92" t="str">
        <f t="shared" si="11"/>
        <v/>
      </c>
      <c r="I361" s="91">
        <v>0</v>
      </c>
    </row>
    <row r="362" spans="1:9">
      <c r="A362" s="76" t="e" cm="1">
        <f t="array" ref="A362">IF(OR(INDEX(#REF!,ROW()+10)="START",INDEX(#REF!,ROW()+9)="",INDEX(#REF!,ROW()+9)="START",INDEX(#REF!,ROW()+9)="TBA",INDEX(#REF!,ROW()+9)="TBC"),"",INDEX(#REF!,ROW()+9)+'Date Calculators'!$B$2+E362)</f>
        <v>#REF!</v>
      </c>
      <c r="B362" s="76" t="e" cm="1">
        <f t="array" ref="B362">IF(OR(A362=""),"",IF(INDEX(#REF!,ROW()+9)="",IF(A363="",A362+$Q$10,A363),INDEX(#REF!,ROW()+9)+'Date Calculators'!$B$2+E362))</f>
        <v>#REF!</v>
      </c>
      <c r="C362" s="74" t="e" cm="1">
        <f t="array" ref="C362">IF(A362="","",INDEX(#REF!,ROW()+9))</f>
        <v>#REF!</v>
      </c>
      <c r="D362" s="74" t="str">
        <f>IFERROR(IF(A362="","",'Event Info'!$B$2),"")</f>
        <v/>
      </c>
      <c r="E362" t="e" cm="1">
        <f t="array" ref="E362">IF(INDEX(#REF!,ROW()+9)="START",E361+1,E361+0)</f>
        <v>#REF!</v>
      </c>
      <c r="F362" s="82" t="e">
        <f>IF(A362&lt;&gt;"",_xlfn.CONCAT(TEXT(A362,"yyyy-mm-dd"),"T",TEXT(A362,"hh:mm:ss"),'Event Info'!$B$5,",",," ",C362),"")</f>
        <v>#REF!</v>
      </c>
      <c r="G362" t="e">
        <f t="shared" si="10"/>
        <v>#REF!</v>
      </c>
      <c r="H362" s="92" t="str">
        <f t="shared" si="11"/>
        <v/>
      </c>
      <c r="I362" s="88">
        <v>0</v>
      </c>
    </row>
    <row r="363" spans="1:9">
      <c r="A363" s="76" t="e" cm="1">
        <f t="array" ref="A363">IF(OR(INDEX(#REF!,ROW()+10)="START",INDEX(#REF!,ROW()+9)="",INDEX(#REF!,ROW()+9)="START",INDEX(#REF!,ROW()+9)="TBA",INDEX(#REF!,ROW()+9)="TBC"),"",INDEX(#REF!,ROW()+9)+'Date Calculators'!$B$2+E363)</f>
        <v>#REF!</v>
      </c>
      <c r="B363" s="76" t="e" cm="1">
        <f t="array" ref="B363">IF(OR(A363=""),"",IF(INDEX(#REF!,ROW()+9)="",IF(A364="",A363+$Q$10,A364),INDEX(#REF!,ROW()+9)+'Date Calculators'!$B$2+E363))</f>
        <v>#REF!</v>
      </c>
      <c r="C363" s="74" t="e" cm="1">
        <f t="array" ref="C363">IF(A363="","",INDEX(#REF!,ROW()+9))</f>
        <v>#REF!</v>
      </c>
      <c r="D363" s="74" t="str">
        <f>IFERROR(IF(A363="","",'Event Info'!$B$2),"")</f>
        <v/>
      </c>
      <c r="E363" t="e" cm="1">
        <f t="array" ref="E363">IF(INDEX(#REF!,ROW()+9)="START",E362+1,E362+0)</f>
        <v>#REF!</v>
      </c>
      <c r="F363" s="82" t="e">
        <f>IF(A363&lt;&gt;"",_xlfn.CONCAT(TEXT(A363,"yyyy-mm-dd"),"T",TEXT(A363,"hh:mm:ss"),'Event Info'!$B$5,",",," ",C363),"")</f>
        <v>#REF!</v>
      </c>
      <c r="G363" t="e">
        <f t="shared" si="10"/>
        <v>#REF!</v>
      </c>
      <c r="H363" s="92" t="str">
        <f t="shared" si="11"/>
        <v/>
      </c>
      <c r="I363" s="88">
        <v>0</v>
      </c>
    </row>
    <row r="364" spans="1:9" ht="16.899999999999999">
      <c r="A364" s="76" t="e" cm="1">
        <f t="array" ref="A364">IF(OR(INDEX(#REF!,ROW()+10)="START",INDEX(#REF!,ROW()+9)="",INDEX(#REF!,ROW()+9)="START",INDEX(#REF!,ROW()+9)="TBA",INDEX(#REF!,ROW()+9)="TBC"),"",INDEX(#REF!,ROW()+9)+'Date Calculators'!$B$2+E364)</f>
        <v>#REF!</v>
      </c>
      <c r="B364" s="76" t="e" cm="1">
        <f t="array" ref="B364">IF(OR(A364=""),"",IF(INDEX(#REF!,ROW()+9)="",IF(A365="",A364+$Q$10,A365),INDEX(#REF!,ROW()+9)+'Date Calculators'!$B$2+E364))</f>
        <v>#REF!</v>
      </c>
      <c r="C364" s="74" t="e" cm="1">
        <f t="array" ref="C364">IF(A364="","",INDEX(#REF!,ROW()+9))</f>
        <v>#REF!</v>
      </c>
      <c r="D364" s="74" t="str">
        <f>IFERROR(IF(A364="","",'Event Info'!$B$2),"")</f>
        <v/>
      </c>
      <c r="E364" t="e" cm="1">
        <f t="array" ref="E364">IF(INDEX(#REF!,ROW()+9)="START",E363+1,E363+0)</f>
        <v>#REF!</v>
      </c>
      <c r="F364" s="82" t="e">
        <f>IF(A364&lt;&gt;"",_xlfn.CONCAT(TEXT(A364,"yyyy-mm-dd"),"T",TEXT(A364,"hh:mm:ss"),'Event Info'!$B$5,",",," ",C364),"")</f>
        <v>#REF!</v>
      </c>
      <c r="G364" t="e">
        <f t="shared" si="10"/>
        <v>#REF!</v>
      </c>
      <c r="H364" s="92" t="str">
        <f t="shared" si="11"/>
        <v/>
      </c>
      <c r="I364" s="91">
        <v>0</v>
      </c>
    </row>
    <row r="365" spans="1:9">
      <c r="A365" s="76" t="e" cm="1">
        <f t="array" ref="A365">IF(OR(INDEX(#REF!,ROW()+10)="START",INDEX(#REF!,ROW()+9)="",INDEX(#REF!,ROW()+9)="START",INDEX(#REF!,ROW()+9)="TBA",INDEX(#REF!,ROW()+9)="TBC"),"",INDEX(#REF!,ROW()+9)+'Date Calculators'!$B$2+E365)</f>
        <v>#REF!</v>
      </c>
      <c r="B365" s="76" t="e" cm="1">
        <f t="array" ref="B365">IF(OR(A365=""),"",IF(INDEX(#REF!,ROW()+9)="",IF(A366="",A365+$Q$10,A366),INDEX(#REF!,ROW()+9)+'Date Calculators'!$B$2+E365))</f>
        <v>#REF!</v>
      </c>
      <c r="C365" s="74" t="e" cm="1">
        <f t="array" ref="C365">IF(A365="","",INDEX(#REF!,ROW()+9))</f>
        <v>#REF!</v>
      </c>
      <c r="D365" s="74" t="str">
        <f>IFERROR(IF(A365="","",'Event Info'!$B$2),"")</f>
        <v/>
      </c>
      <c r="E365" t="e" cm="1">
        <f t="array" ref="E365">IF(INDEX(#REF!,ROW()+9)="START",E364+1,E364+0)</f>
        <v>#REF!</v>
      </c>
      <c r="F365" s="82" t="e">
        <f>IF(A365&lt;&gt;"",_xlfn.CONCAT(TEXT(A365,"yyyy-mm-dd"),"T",TEXT(A365,"hh:mm:ss"),'Event Info'!$B$5,",",," ",C365),"")</f>
        <v>#REF!</v>
      </c>
      <c r="G365" t="e">
        <f t="shared" si="10"/>
        <v>#REF!</v>
      </c>
      <c r="H365" s="92" t="str">
        <f t="shared" si="11"/>
        <v/>
      </c>
      <c r="I365" s="88">
        <v>0</v>
      </c>
    </row>
    <row r="366" spans="1:9">
      <c r="A366" s="76" t="e" cm="1">
        <f t="array" ref="A366">IF(OR(INDEX(#REF!,ROW()+10)="START",INDEX(#REF!,ROW()+9)="",INDEX(#REF!,ROW()+9)="START",INDEX(#REF!,ROW()+9)="TBA",INDEX(#REF!,ROW()+9)="TBC"),"",INDEX(#REF!,ROW()+9)+'Date Calculators'!$B$2+E366)</f>
        <v>#REF!</v>
      </c>
      <c r="B366" s="76" t="e" cm="1">
        <f t="array" ref="B366">IF(OR(A366=""),"",IF(INDEX(#REF!,ROW()+9)="",IF(A367="",A366+$Q$10,A367),INDEX(#REF!,ROW()+9)+'Date Calculators'!$B$2+E366))</f>
        <v>#REF!</v>
      </c>
      <c r="C366" s="74" t="e" cm="1">
        <f t="array" ref="C366">IF(A366="","",INDEX(#REF!,ROW()+9))</f>
        <v>#REF!</v>
      </c>
      <c r="D366" s="74" t="str">
        <f>IFERROR(IF(A366="","",'Event Info'!$B$2),"")</f>
        <v/>
      </c>
      <c r="E366" t="e" cm="1">
        <f t="array" ref="E366">IF(INDEX(#REF!,ROW()+9)="START",E365+1,E365+0)</f>
        <v>#REF!</v>
      </c>
      <c r="F366" s="82" t="e">
        <f>IF(A366&lt;&gt;"",_xlfn.CONCAT(TEXT(A366,"yyyy-mm-dd"),"T",TEXT(A366,"hh:mm:ss"),'Event Info'!$B$5,",",," ",C366),"")</f>
        <v>#REF!</v>
      </c>
      <c r="G366" t="e">
        <f t="shared" si="10"/>
        <v>#REF!</v>
      </c>
      <c r="H366" s="92" t="str">
        <f t="shared" si="11"/>
        <v/>
      </c>
      <c r="I366" s="88">
        <v>0</v>
      </c>
    </row>
    <row r="367" spans="1:9" ht="16.899999999999999">
      <c r="A367" s="76" t="e" cm="1">
        <f t="array" ref="A367">IF(OR(INDEX(#REF!,ROW()+10)="START",INDEX(#REF!,ROW()+9)="",INDEX(#REF!,ROW()+9)="START",INDEX(#REF!,ROW()+9)="TBA",INDEX(#REF!,ROW()+9)="TBC"),"",INDEX(#REF!,ROW()+9)+'Date Calculators'!$B$2+E367)</f>
        <v>#REF!</v>
      </c>
      <c r="B367" s="76" t="e" cm="1">
        <f t="array" ref="B367">IF(OR(A367=""),"",IF(INDEX(#REF!,ROW()+9)="",IF(A368="",A367+$Q$10,A368),INDEX(#REF!,ROW()+9)+'Date Calculators'!$B$2+E367))</f>
        <v>#REF!</v>
      </c>
      <c r="C367" s="74" t="e" cm="1">
        <f t="array" ref="C367">IF(A367="","",INDEX(#REF!,ROW()+9))</f>
        <v>#REF!</v>
      </c>
      <c r="D367" s="74" t="str">
        <f>IFERROR(IF(A367="","",'Event Info'!$B$2),"")</f>
        <v/>
      </c>
      <c r="E367" t="e" cm="1">
        <f t="array" ref="E367">IF(INDEX(#REF!,ROW()+9)="START",E366+1,E366+0)</f>
        <v>#REF!</v>
      </c>
      <c r="F367" s="82" t="e">
        <f>IF(A367&lt;&gt;"",_xlfn.CONCAT(TEXT(A367,"yyyy-mm-dd"),"T",TEXT(A367,"hh:mm:ss"),'Event Info'!$B$5,",",," ",C367),"")</f>
        <v>#REF!</v>
      </c>
      <c r="G367" t="e">
        <f t="shared" si="10"/>
        <v>#REF!</v>
      </c>
      <c r="H367" s="92" t="str">
        <f t="shared" si="11"/>
        <v/>
      </c>
      <c r="I367" s="91">
        <v>0</v>
      </c>
    </row>
    <row r="368" spans="1:9">
      <c r="A368" s="76" t="e" cm="1">
        <f t="array" ref="A368">IF(OR(INDEX(#REF!,ROW()+10)="START",INDEX(#REF!,ROW()+9)="",INDEX(#REF!,ROW()+9)="START",INDEX(#REF!,ROW()+9)="TBA",INDEX(#REF!,ROW()+9)="TBC"),"",INDEX(#REF!,ROW()+9)+'Date Calculators'!$B$2+E368)</f>
        <v>#REF!</v>
      </c>
      <c r="B368" s="76" t="e" cm="1">
        <f t="array" ref="B368">IF(OR(A368=""),"",IF(INDEX(#REF!,ROW()+9)="",IF(A369="",A368+$Q$10,A369),INDEX(#REF!,ROW()+9)+'Date Calculators'!$B$2+E368))</f>
        <v>#REF!</v>
      </c>
      <c r="C368" s="74" t="e" cm="1">
        <f t="array" ref="C368">IF(A368="","",INDEX(#REF!,ROW()+9))</f>
        <v>#REF!</v>
      </c>
      <c r="D368" s="74" t="str">
        <f>IFERROR(IF(A368="","",'Event Info'!$B$2),"")</f>
        <v/>
      </c>
      <c r="E368" t="e" cm="1">
        <f t="array" ref="E368">IF(INDEX(#REF!,ROW()+9)="START",E367+1,E367+0)</f>
        <v>#REF!</v>
      </c>
      <c r="F368" s="82" t="e">
        <f>IF(A368&lt;&gt;"",_xlfn.CONCAT(TEXT(A368,"yyyy-mm-dd"),"T",TEXT(A368,"hh:mm:ss"),'Event Info'!$B$5,",",," ",C368),"")</f>
        <v>#REF!</v>
      </c>
      <c r="G368" t="e">
        <f t="shared" si="10"/>
        <v>#REF!</v>
      </c>
      <c r="H368" s="92" t="str">
        <f t="shared" si="11"/>
        <v/>
      </c>
      <c r="I368" s="88">
        <v>0</v>
      </c>
    </row>
    <row r="369" spans="1:9">
      <c r="A369" s="76" t="e" cm="1">
        <f t="array" ref="A369">IF(OR(INDEX(#REF!,ROW()+10)="START",INDEX(#REF!,ROW()+9)="",INDEX(#REF!,ROW()+9)="START",INDEX(#REF!,ROW()+9)="TBA",INDEX(#REF!,ROW()+9)="TBC"),"",INDEX(#REF!,ROW()+9)+'Date Calculators'!$B$2+E369)</f>
        <v>#REF!</v>
      </c>
      <c r="B369" s="76" t="e" cm="1">
        <f t="array" ref="B369">IF(OR(A369=""),"",IF(INDEX(#REF!,ROW()+9)="",IF(A370="",A369+$Q$10,A370),INDEX(#REF!,ROW()+9)+'Date Calculators'!$B$2+E369))</f>
        <v>#REF!</v>
      </c>
      <c r="C369" s="74" t="e" cm="1">
        <f t="array" ref="C369">IF(A369="","",INDEX(#REF!,ROW()+9))</f>
        <v>#REF!</v>
      </c>
      <c r="D369" s="74" t="str">
        <f>IFERROR(IF(A369="","",'Event Info'!$B$2),"")</f>
        <v/>
      </c>
      <c r="E369" t="e" cm="1">
        <f t="array" ref="E369">IF(INDEX(#REF!,ROW()+9)="START",E368+1,E368+0)</f>
        <v>#REF!</v>
      </c>
      <c r="F369" s="82" t="e">
        <f>IF(A369&lt;&gt;"",_xlfn.CONCAT(TEXT(A369,"yyyy-mm-dd"),"T",TEXT(A369,"hh:mm:ss"),'Event Info'!$B$5,",",," ",C369),"")</f>
        <v>#REF!</v>
      </c>
      <c r="G369" t="e">
        <f t="shared" si="10"/>
        <v>#REF!</v>
      </c>
      <c r="H369" s="92" t="str">
        <f t="shared" si="11"/>
        <v/>
      </c>
      <c r="I369" s="88">
        <v>0</v>
      </c>
    </row>
    <row r="370" spans="1:9" ht="16.899999999999999">
      <c r="A370" s="76" t="e" cm="1">
        <f t="array" ref="A370">IF(OR(INDEX(#REF!,ROW()+10)="START",INDEX(#REF!,ROW()+9)="",INDEX(#REF!,ROW()+9)="START",INDEX(#REF!,ROW()+9)="TBA",INDEX(#REF!,ROW()+9)="TBC"),"",INDEX(#REF!,ROW()+9)+'Date Calculators'!$B$2+E370)</f>
        <v>#REF!</v>
      </c>
      <c r="B370" s="76" t="e" cm="1">
        <f t="array" ref="B370">IF(OR(A370=""),"",IF(INDEX(#REF!,ROW()+9)="",IF(A371="",A370+$Q$10,A371),INDEX(#REF!,ROW()+9)+'Date Calculators'!$B$2+E370))</f>
        <v>#REF!</v>
      </c>
      <c r="C370" s="74" t="e" cm="1">
        <f t="array" ref="C370">IF(A370="","",INDEX(#REF!,ROW()+9))</f>
        <v>#REF!</v>
      </c>
      <c r="D370" s="74" t="str">
        <f>IFERROR(IF(A370="","",'Event Info'!$B$2),"")</f>
        <v/>
      </c>
      <c r="E370" t="e" cm="1">
        <f t="array" ref="E370">IF(INDEX(#REF!,ROW()+9)="START",E369+1,E369+0)</f>
        <v>#REF!</v>
      </c>
      <c r="F370" s="82" t="e">
        <f>IF(A370&lt;&gt;"",_xlfn.CONCAT(TEXT(A370,"yyyy-mm-dd"),"T",TEXT(A370,"hh:mm:ss"),'Event Info'!$B$5,",",," ",C370),"")</f>
        <v>#REF!</v>
      </c>
      <c r="G370" t="e">
        <f t="shared" si="10"/>
        <v>#REF!</v>
      </c>
      <c r="H370" s="92" t="str">
        <f t="shared" si="11"/>
        <v/>
      </c>
      <c r="I370" s="91">
        <v>0</v>
      </c>
    </row>
    <row r="371" spans="1:9">
      <c r="A371" s="76" t="e" cm="1">
        <f t="array" ref="A371">IF(OR(INDEX(#REF!,ROW()+10)="START",INDEX(#REF!,ROW()+9)="",INDEX(#REF!,ROW()+9)="START",INDEX(#REF!,ROW()+9)="TBA",INDEX(#REF!,ROW()+9)="TBC"),"",INDEX(#REF!,ROW()+9)+'Date Calculators'!$B$2+E371)</f>
        <v>#REF!</v>
      </c>
      <c r="B371" s="76" t="e" cm="1">
        <f t="array" ref="B371">IF(OR(A371=""),"",IF(INDEX(#REF!,ROW()+9)="",IF(A372="",A371+$Q$10,A372),INDEX(#REF!,ROW()+9)+'Date Calculators'!$B$2+E371))</f>
        <v>#REF!</v>
      </c>
      <c r="C371" s="74" t="e" cm="1">
        <f t="array" ref="C371">IF(A371="","",INDEX(#REF!,ROW()+9))</f>
        <v>#REF!</v>
      </c>
      <c r="D371" s="74" t="str">
        <f>IFERROR(IF(A371="","",'Event Info'!$B$2),"")</f>
        <v/>
      </c>
      <c r="E371" t="e" cm="1">
        <f t="array" ref="E371">IF(INDEX(#REF!,ROW()+9)="START",E370+1,E370+0)</f>
        <v>#REF!</v>
      </c>
      <c r="F371" s="82" t="e">
        <f>IF(A371&lt;&gt;"",_xlfn.CONCAT(TEXT(A371,"yyyy-mm-dd"),"T",TEXT(A371,"hh:mm:ss"),'Event Info'!$B$5,",",," ",C371),"")</f>
        <v>#REF!</v>
      </c>
      <c r="G371" t="e">
        <f t="shared" si="10"/>
        <v>#REF!</v>
      </c>
      <c r="H371" s="92" t="str">
        <f t="shared" si="11"/>
        <v/>
      </c>
      <c r="I371" s="88">
        <v>0</v>
      </c>
    </row>
    <row r="372" spans="1:9">
      <c r="A372" s="76" t="e" cm="1">
        <f t="array" ref="A372">IF(OR(INDEX(#REF!,ROW()+10)="START",INDEX(#REF!,ROW()+9)="",INDEX(#REF!,ROW()+9)="START",INDEX(#REF!,ROW()+9)="TBA",INDEX(#REF!,ROW()+9)="TBC"),"",INDEX(#REF!,ROW()+9)+'Date Calculators'!$B$2+E372)</f>
        <v>#REF!</v>
      </c>
      <c r="B372" s="76" t="e" cm="1">
        <f t="array" ref="B372">IF(OR(A372=""),"",IF(INDEX(#REF!,ROW()+9)="",IF(A373="",A372+$Q$10,A373),INDEX(#REF!,ROW()+9)+'Date Calculators'!$B$2+E372))</f>
        <v>#REF!</v>
      </c>
      <c r="C372" s="74" t="e" cm="1">
        <f t="array" ref="C372">IF(A372="","",INDEX(#REF!,ROW()+9))</f>
        <v>#REF!</v>
      </c>
      <c r="D372" s="74" t="str">
        <f>IFERROR(IF(A372="","",'Event Info'!$B$2),"")</f>
        <v/>
      </c>
      <c r="E372" t="e" cm="1">
        <f t="array" ref="E372">IF(INDEX(#REF!,ROW()+9)="START",E371+1,E371+0)</f>
        <v>#REF!</v>
      </c>
      <c r="F372" s="82" t="e">
        <f>IF(A372&lt;&gt;"",_xlfn.CONCAT(TEXT(A372,"yyyy-mm-dd"),"T",TEXT(A372,"hh:mm:ss"),'Event Info'!$B$5,",",," ",C372),"")</f>
        <v>#REF!</v>
      </c>
      <c r="G372" t="e">
        <f t="shared" si="10"/>
        <v>#REF!</v>
      </c>
      <c r="H372" s="92" t="str">
        <f t="shared" si="11"/>
        <v/>
      </c>
      <c r="I372" s="88">
        <v>0</v>
      </c>
    </row>
    <row r="373" spans="1:9" ht="16.899999999999999">
      <c r="A373" s="76" t="e" cm="1">
        <f t="array" ref="A373">IF(OR(INDEX(#REF!,ROW()+10)="START",INDEX(#REF!,ROW()+9)="",INDEX(#REF!,ROW()+9)="START",INDEX(#REF!,ROW()+9)="TBA",INDEX(#REF!,ROW()+9)="TBC"),"",INDEX(#REF!,ROW()+9)+'Date Calculators'!$B$2+E373)</f>
        <v>#REF!</v>
      </c>
      <c r="B373" s="76" t="e" cm="1">
        <f t="array" ref="B373">IF(OR(A373=""),"",IF(INDEX(#REF!,ROW()+9)="",IF(A374="",A373+$Q$10,A374),INDEX(#REF!,ROW()+9)+'Date Calculators'!$B$2+E373))</f>
        <v>#REF!</v>
      </c>
      <c r="C373" s="74" t="e" cm="1">
        <f t="array" ref="C373">IF(A373="","",INDEX(#REF!,ROW()+9))</f>
        <v>#REF!</v>
      </c>
      <c r="D373" s="74" t="str">
        <f>IFERROR(IF(A373="","",'Event Info'!$B$2),"")</f>
        <v/>
      </c>
      <c r="E373" t="e" cm="1">
        <f t="array" ref="E373">IF(INDEX(#REF!,ROW()+9)="START",E372+1,E372+0)</f>
        <v>#REF!</v>
      </c>
      <c r="F373" s="82" t="e">
        <f>IF(A373&lt;&gt;"",_xlfn.CONCAT(TEXT(A373,"yyyy-mm-dd"),"T",TEXT(A373,"hh:mm:ss"),'Event Info'!$B$5,",",," ",C373),"")</f>
        <v>#REF!</v>
      </c>
      <c r="G373" t="e">
        <f t="shared" si="10"/>
        <v>#REF!</v>
      </c>
      <c r="H373" s="92" t="str">
        <f t="shared" si="11"/>
        <v/>
      </c>
      <c r="I373" s="91">
        <v>0</v>
      </c>
    </row>
    <row r="374" spans="1:9">
      <c r="A374" s="76" t="e" cm="1">
        <f t="array" ref="A374">IF(OR(INDEX(#REF!,ROW()+10)="START",INDEX(#REF!,ROW()+9)="",INDEX(#REF!,ROW()+9)="START",INDEX(#REF!,ROW()+9)="TBA",INDEX(#REF!,ROW()+9)="TBC"),"",INDEX(#REF!,ROW()+9)+'Date Calculators'!$B$2+E374)</f>
        <v>#REF!</v>
      </c>
      <c r="B374" s="76" t="e" cm="1">
        <f t="array" ref="B374">IF(OR(A374=""),"",IF(INDEX(#REF!,ROW()+9)="",IF(A375="",A374+$Q$10,A375),INDEX(#REF!,ROW()+9)+'Date Calculators'!$B$2+E374))</f>
        <v>#REF!</v>
      </c>
      <c r="C374" s="74" t="e" cm="1">
        <f t="array" ref="C374">IF(A374="","",INDEX(#REF!,ROW()+9))</f>
        <v>#REF!</v>
      </c>
      <c r="D374" s="74" t="str">
        <f>IFERROR(IF(A374="","",'Event Info'!$B$2),"")</f>
        <v/>
      </c>
      <c r="E374" t="e" cm="1">
        <f t="array" ref="E374">IF(INDEX(#REF!,ROW()+9)="START",E373+1,E373+0)</f>
        <v>#REF!</v>
      </c>
      <c r="F374" s="82" t="e">
        <f>IF(A374&lt;&gt;"",_xlfn.CONCAT(TEXT(A374,"yyyy-mm-dd"),"T",TEXT(A374,"hh:mm:ss"),'Event Info'!$B$5,",",," ",C374),"")</f>
        <v>#REF!</v>
      </c>
      <c r="G374" t="e">
        <f t="shared" si="10"/>
        <v>#REF!</v>
      </c>
      <c r="H374" s="92" t="str">
        <f t="shared" si="11"/>
        <v/>
      </c>
      <c r="I374" s="88">
        <v>0</v>
      </c>
    </row>
    <row r="375" spans="1:9">
      <c r="A375" s="76" t="e" cm="1">
        <f t="array" ref="A375">IF(OR(INDEX(#REF!,ROW()+10)="START",INDEX(#REF!,ROW()+9)="",INDEX(#REF!,ROW()+9)="START",INDEX(#REF!,ROW()+9)="TBA",INDEX(#REF!,ROW()+9)="TBC"),"",INDEX(#REF!,ROW()+9)+'Date Calculators'!$B$2+E375)</f>
        <v>#REF!</v>
      </c>
      <c r="B375" s="76" t="e" cm="1">
        <f t="array" ref="B375">IF(OR(A375=""),"",IF(INDEX(#REF!,ROW()+9)="",IF(A376="",A375+$Q$10,A376),INDEX(#REF!,ROW()+9)+'Date Calculators'!$B$2+E375))</f>
        <v>#REF!</v>
      </c>
      <c r="C375" s="74" t="e" cm="1">
        <f t="array" ref="C375">IF(A375="","",INDEX(#REF!,ROW()+9))</f>
        <v>#REF!</v>
      </c>
      <c r="D375" s="74" t="str">
        <f>IFERROR(IF(A375="","",'Event Info'!$B$2),"")</f>
        <v/>
      </c>
      <c r="E375" t="e" cm="1">
        <f t="array" ref="E375">IF(INDEX(#REF!,ROW()+9)="START",E374+1,E374+0)</f>
        <v>#REF!</v>
      </c>
      <c r="F375" s="82" t="e">
        <f>IF(A375&lt;&gt;"",_xlfn.CONCAT(TEXT(A375,"yyyy-mm-dd"),"T",TEXT(A375,"hh:mm:ss"),'Event Info'!$B$5,",",," ",C375),"")</f>
        <v>#REF!</v>
      </c>
      <c r="G375" t="e">
        <f t="shared" si="10"/>
        <v>#REF!</v>
      </c>
      <c r="H375" s="92" t="str">
        <f t="shared" si="11"/>
        <v/>
      </c>
      <c r="I375" s="88">
        <v>0</v>
      </c>
    </row>
    <row r="376" spans="1:9" ht="16.899999999999999">
      <c r="A376" s="76" t="e" cm="1">
        <f t="array" ref="A376">IF(OR(INDEX(#REF!,ROW()+10)="START",INDEX(#REF!,ROW()+9)="",INDEX(#REF!,ROW()+9)="START",INDEX(#REF!,ROW()+9)="TBA",INDEX(#REF!,ROW()+9)="TBC"),"",INDEX(#REF!,ROW()+9)+'Date Calculators'!$B$2+E376)</f>
        <v>#REF!</v>
      </c>
      <c r="B376" s="76" t="e" cm="1">
        <f t="array" ref="B376">IF(OR(A376=""),"",IF(INDEX(#REF!,ROW()+9)="",IF(A377="",A376+$Q$10,A377),INDEX(#REF!,ROW()+9)+'Date Calculators'!$B$2+E376))</f>
        <v>#REF!</v>
      </c>
      <c r="C376" s="74" t="e" cm="1">
        <f t="array" ref="C376">IF(A376="","",INDEX(#REF!,ROW()+9))</f>
        <v>#REF!</v>
      </c>
      <c r="D376" s="74" t="str">
        <f>IFERROR(IF(A376="","",'Event Info'!$B$2),"")</f>
        <v/>
      </c>
      <c r="E376" t="e" cm="1">
        <f t="array" ref="E376">IF(INDEX(#REF!,ROW()+9)="START",E375+1,E375+0)</f>
        <v>#REF!</v>
      </c>
      <c r="F376" s="82" t="e">
        <f>IF(A376&lt;&gt;"",_xlfn.CONCAT(TEXT(A376,"yyyy-mm-dd"),"T",TEXT(A376,"hh:mm:ss"),'Event Info'!$B$5,",",," ",C376),"")</f>
        <v>#REF!</v>
      </c>
      <c r="G376" t="e">
        <f t="shared" si="10"/>
        <v>#REF!</v>
      </c>
      <c r="H376" s="92" t="str">
        <f t="shared" si="11"/>
        <v/>
      </c>
      <c r="I376" s="91">
        <v>0</v>
      </c>
    </row>
    <row r="377" spans="1:9">
      <c r="A377" s="76" t="e" cm="1">
        <f t="array" ref="A377">IF(OR(INDEX(#REF!,ROW()+10)="START",INDEX(#REF!,ROW()+9)="",INDEX(#REF!,ROW()+9)="START",INDEX(#REF!,ROW()+9)="TBA",INDEX(#REF!,ROW()+9)="TBC"),"",INDEX(#REF!,ROW()+9)+'Date Calculators'!$B$2+E377)</f>
        <v>#REF!</v>
      </c>
      <c r="B377" s="76" t="e" cm="1">
        <f t="array" ref="B377">IF(OR(A377=""),"",IF(INDEX(#REF!,ROW()+9)="",IF(A378="",A377+$Q$10,A378),INDEX(#REF!,ROW()+9)+'Date Calculators'!$B$2+E377))</f>
        <v>#REF!</v>
      </c>
      <c r="C377" s="74" t="e" cm="1">
        <f t="array" ref="C377">IF(A377="","",INDEX(#REF!,ROW()+9))</f>
        <v>#REF!</v>
      </c>
      <c r="D377" s="74" t="str">
        <f>IFERROR(IF(A377="","",'Event Info'!$B$2),"")</f>
        <v/>
      </c>
      <c r="E377" t="e" cm="1">
        <f t="array" ref="E377">IF(INDEX(#REF!,ROW()+9)="START",E376+1,E376+0)</f>
        <v>#REF!</v>
      </c>
      <c r="F377" s="82" t="e">
        <f>IF(A377&lt;&gt;"",_xlfn.CONCAT(TEXT(A377,"yyyy-mm-dd"),"T",TEXT(A377,"hh:mm:ss"),'Event Info'!$B$5,",",," ",C377),"")</f>
        <v>#REF!</v>
      </c>
      <c r="G377" t="e">
        <f t="shared" si="10"/>
        <v>#REF!</v>
      </c>
      <c r="H377" s="92" t="str">
        <f t="shared" si="11"/>
        <v/>
      </c>
      <c r="I377" s="88">
        <v>0</v>
      </c>
    </row>
    <row r="378" spans="1:9">
      <c r="A378" s="76" t="e" cm="1">
        <f t="array" ref="A378">IF(OR(INDEX(#REF!,ROW()+10)="START",INDEX(#REF!,ROW()+9)="",INDEX(#REF!,ROW()+9)="START",INDEX(#REF!,ROW()+9)="TBA",INDEX(#REF!,ROW()+9)="TBC"),"",INDEX(#REF!,ROW()+9)+'Date Calculators'!$B$2+E378)</f>
        <v>#REF!</v>
      </c>
      <c r="B378" s="76" t="e" cm="1">
        <f t="array" ref="B378">IF(OR(A378=""),"",IF(INDEX(#REF!,ROW()+9)="",IF(A379="",A378+$Q$10,A379),INDEX(#REF!,ROW()+9)+'Date Calculators'!$B$2+E378))</f>
        <v>#REF!</v>
      </c>
      <c r="C378" s="74" t="e" cm="1">
        <f t="array" ref="C378">IF(A378="","",INDEX(#REF!,ROW()+9))</f>
        <v>#REF!</v>
      </c>
      <c r="D378" s="74" t="str">
        <f>IFERROR(IF(A378="","",'Event Info'!$B$2),"")</f>
        <v/>
      </c>
      <c r="E378" t="e" cm="1">
        <f t="array" ref="E378">IF(INDEX(#REF!,ROW()+9)="START",E377+1,E377+0)</f>
        <v>#REF!</v>
      </c>
      <c r="F378" s="82" t="e">
        <f>IF(A378&lt;&gt;"",_xlfn.CONCAT(TEXT(A378,"yyyy-mm-dd"),"T",TEXT(A378,"hh:mm:ss"),'Event Info'!$B$5,",",," ",C378),"")</f>
        <v>#REF!</v>
      </c>
      <c r="G378" t="e">
        <f t="shared" si="10"/>
        <v>#REF!</v>
      </c>
      <c r="H378" s="92" t="str">
        <f t="shared" si="11"/>
        <v/>
      </c>
      <c r="I378" s="88">
        <v>0</v>
      </c>
    </row>
    <row r="379" spans="1:9" ht="16.899999999999999">
      <c r="A379" s="76" t="e" cm="1">
        <f t="array" ref="A379">IF(OR(INDEX(#REF!,ROW()+10)="START",INDEX(#REF!,ROW()+9)="",INDEX(#REF!,ROW()+9)="START",INDEX(#REF!,ROW()+9)="TBA",INDEX(#REF!,ROW()+9)="TBC"),"",INDEX(#REF!,ROW()+9)+'Date Calculators'!$B$2+E379)</f>
        <v>#REF!</v>
      </c>
      <c r="B379" s="76" t="e" cm="1">
        <f t="array" ref="B379">IF(OR(A379=""),"",IF(INDEX(#REF!,ROW()+9)="",IF(A380="",A379+$Q$10,A380),INDEX(#REF!,ROW()+9)+'Date Calculators'!$B$2+E379))</f>
        <v>#REF!</v>
      </c>
      <c r="C379" s="74" t="e" cm="1">
        <f t="array" ref="C379">IF(A379="","",INDEX(#REF!,ROW()+9))</f>
        <v>#REF!</v>
      </c>
      <c r="D379" s="74" t="str">
        <f>IFERROR(IF(A379="","",'Event Info'!$B$2),"")</f>
        <v/>
      </c>
      <c r="E379" t="e" cm="1">
        <f t="array" ref="E379">IF(INDEX(#REF!,ROW()+9)="START",E378+1,E378+0)</f>
        <v>#REF!</v>
      </c>
      <c r="F379" s="82" t="e">
        <f>IF(A379&lt;&gt;"",_xlfn.CONCAT(TEXT(A379,"yyyy-mm-dd"),"T",TEXT(A379,"hh:mm:ss"),'Event Info'!$B$5,",",," ",C379),"")</f>
        <v>#REF!</v>
      </c>
      <c r="G379" t="e">
        <f t="shared" si="10"/>
        <v>#REF!</v>
      </c>
      <c r="H379" s="92" t="str">
        <f t="shared" si="11"/>
        <v/>
      </c>
      <c r="I379" s="91">
        <v>0</v>
      </c>
    </row>
    <row r="380" spans="1:9">
      <c r="A380" s="76" t="e" cm="1">
        <f t="array" ref="A380">IF(OR(INDEX(#REF!,ROW()+10)="START",INDEX(#REF!,ROW()+9)="",INDEX(#REF!,ROW()+9)="START",INDEX(#REF!,ROW()+9)="TBA",INDEX(#REF!,ROW()+9)="TBC"),"",INDEX(#REF!,ROW()+9)+'Date Calculators'!$B$2+E380)</f>
        <v>#REF!</v>
      </c>
      <c r="B380" s="76" t="e" cm="1">
        <f t="array" ref="B380">IF(OR(A380=""),"",IF(INDEX(#REF!,ROW()+9)="",IF(A381="",A380+$Q$10,A381),INDEX(#REF!,ROW()+9)+'Date Calculators'!$B$2+E380))</f>
        <v>#REF!</v>
      </c>
      <c r="C380" s="74" t="e" cm="1">
        <f t="array" ref="C380">IF(A380="","",INDEX(#REF!,ROW()+9))</f>
        <v>#REF!</v>
      </c>
      <c r="D380" s="74" t="str">
        <f>IFERROR(IF(A380="","",'Event Info'!$B$2),"")</f>
        <v/>
      </c>
      <c r="E380" t="e" cm="1">
        <f t="array" ref="E380">IF(INDEX(#REF!,ROW()+9)="START",E379+1,E379+0)</f>
        <v>#REF!</v>
      </c>
      <c r="F380" s="82" t="e">
        <f>IF(A380&lt;&gt;"",_xlfn.CONCAT(TEXT(A380,"yyyy-mm-dd"),"T",TEXT(A380,"hh:mm:ss"),'Event Info'!$B$5,",",," ",C380),"")</f>
        <v>#REF!</v>
      </c>
      <c r="G380" t="e">
        <f t="shared" si="10"/>
        <v>#REF!</v>
      </c>
      <c r="H380" s="92" t="str">
        <f t="shared" si="11"/>
        <v/>
      </c>
      <c r="I380" s="88">
        <v>0</v>
      </c>
    </row>
    <row r="381" spans="1:9">
      <c r="A381" s="76" t="e" cm="1">
        <f t="array" ref="A381">IF(OR(INDEX(#REF!,ROW()+10)="START",INDEX(#REF!,ROW()+9)="",INDEX(#REF!,ROW()+9)="START",INDEX(#REF!,ROW()+9)="TBA",INDEX(#REF!,ROW()+9)="TBC"),"",INDEX(#REF!,ROW()+9)+'Date Calculators'!$B$2+E381)</f>
        <v>#REF!</v>
      </c>
      <c r="B381" s="76" t="e" cm="1">
        <f t="array" ref="B381">IF(OR(A381=""),"",IF(INDEX(#REF!,ROW()+9)="",IF(A382="",A381+$Q$10,A382),INDEX(#REF!,ROW()+9)+'Date Calculators'!$B$2+E381))</f>
        <v>#REF!</v>
      </c>
      <c r="C381" s="74" t="e" cm="1">
        <f t="array" ref="C381">IF(A381="","",INDEX(#REF!,ROW()+9))</f>
        <v>#REF!</v>
      </c>
      <c r="D381" s="74" t="str">
        <f>IFERROR(IF(A381="","",'Event Info'!$B$2),"")</f>
        <v/>
      </c>
      <c r="E381" t="e" cm="1">
        <f t="array" ref="E381">IF(INDEX(#REF!,ROW()+9)="START",E380+1,E380+0)</f>
        <v>#REF!</v>
      </c>
      <c r="F381" s="82" t="e">
        <f>IF(A381&lt;&gt;"",_xlfn.CONCAT(TEXT(A381,"yyyy-mm-dd"),"T",TEXT(A381,"hh:mm:ss"),'Event Info'!$B$5,",",," ",C381),"")</f>
        <v>#REF!</v>
      </c>
      <c r="G381" t="e">
        <f t="shared" si="10"/>
        <v>#REF!</v>
      </c>
      <c r="H381" s="92" t="str">
        <f t="shared" si="11"/>
        <v/>
      </c>
      <c r="I381" s="88">
        <v>0</v>
      </c>
    </row>
    <row r="382" spans="1:9" ht="16.899999999999999">
      <c r="A382" s="76" t="e" cm="1">
        <f t="array" ref="A382">IF(OR(INDEX(#REF!,ROW()+10)="START",INDEX(#REF!,ROW()+9)="",INDEX(#REF!,ROW()+9)="START",INDEX(#REF!,ROW()+9)="TBA",INDEX(#REF!,ROW()+9)="TBC"),"",INDEX(#REF!,ROW()+9)+'Date Calculators'!$B$2+E382)</f>
        <v>#REF!</v>
      </c>
      <c r="B382" s="76" t="e" cm="1">
        <f t="array" ref="B382">IF(OR(A382=""),"",IF(INDEX(#REF!,ROW()+9)="",IF(A383="",A382+$Q$10,A383),INDEX(#REF!,ROW()+9)+'Date Calculators'!$B$2+E382))</f>
        <v>#REF!</v>
      </c>
      <c r="C382" s="74" t="e" cm="1">
        <f t="array" ref="C382">IF(A382="","",INDEX(#REF!,ROW()+9))</f>
        <v>#REF!</v>
      </c>
      <c r="D382" s="74" t="str">
        <f>IFERROR(IF(A382="","",'Event Info'!$B$2),"")</f>
        <v/>
      </c>
      <c r="E382" t="e" cm="1">
        <f t="array" ref="E382">IF(INDEX(#REF!,ROW()+9)="START",E381+1,E381+0)</f>
        <v>#REF!</v>
      </c>
      <c r="F382" s="82" t="e">
        <f>IF(A382&lt;&gt;"",_xlfn.CONCAT(TEXT(A382,"yyyy-mm-dd"),"T",TEXT(A382,"hh:mm:ss"),'Event Info'!$B$5,",",," ",C382),"")</f>
        <v>#REF!</v>
      </c>
      <c r="G382" t="e">
        <f t="shared" si="10"/>
        <v>#REF!</v>
      </c>
      <c r="H382" s="92" t="str">
        <f t="shared" si="11"/>
        <v/>
      </c>
      <c r="I382" s="91">
        <v>0</v>
      </c>
    </row>
    <row r="383" spans="1:9">
      <c r="A383" s="76" t="e" cm="1">
        <f t="array" ref="A383">IF(OR(INDEX(#REF!,ROW()+10)="START",INDEX(#REF!,ROW()+9)="",INDEX(#REF!,ROW()+9)="START",INDEX(#REF!,ROW()+9)="TBA",INDEX(#REF!,ROW()+9)="TBC"),"",INDEX(#REF!,ROW()+9)+'Date Calculators'!$B$2+E383)</f>
        <v>#REF!</v>
      </c>
      <c r="B383" s="76" t="e" cm="1">
        <f t="array" ref="B383">IF(OR(A383=""),"",IF(INDEX(#REF!,ROW()+9)="",IF(A384="",A383+$Q$10,A384),INDEX(#REF!,ROW()+9)+'Date Calculators'!$B$2+E383))</f>
        <v>#REF!</v>
      </c>
      <c r="C383" s="74" t="e" cm="1">
        <f t="array" ref="C383">IF(A383="","",INDEX(#REF!,ROW()+9))</f>
        <v>#REF!</v>
      </c>
      <c r="D383" s="74" t="str">
        <f>IFERROR(IF(A383="","",'Event Info'!$B$2),"")</f>
        <v/>
      </c>
      <c r="E383" t="e" cm="1">
        <f t="array" ref="E383">IF(INDEX(#REF!,ROW()+9)="START",E382+1,E382+0)</f>
        <v>#REF!</v>
      </c>
      <c r="F383" s="82" t="e">
        <f>IF(A383&lt;&gt;"",_xlfn.CONCAT(TEXT(A383,"yyyy-mm-dd"),"T",TEXT(A383,"hh:mm:ss"),'Event Info'!$B$5,",",," ",C383),"")</f>
        <v>#REF!</v>
      </c>
      <c r="G383" t="e">
        <f t="shared" si="10"/>
        <v>#REF!</v>
      </c>
      <c r="H383" s="92" t="str">
        <f t="shared" si="11"/>
        <v/>
      </c>
      <c r="I383" s="88">
        <v>0</v>
      </c>
    </row>
    <row r="384" spans="1:9">
      <c r="A384" s="76" t="e" cm="1">
        <f t="array" ref="A384">IF(OR(INDEX(#REF!,ROW()+10)="START",INDEX(#REF!,ROW()+9)="",INDEX(#REF!,ROW()+9)="START",INDEX(#REF!,ROW()+9)="TBA",INDEX(#REF!,ROW()+9)="TBC"),"",INDEX(#REF!,ROW()+9)+'Date Calculators'!$B$2+E384)</f>
        <v>#REF!</v>
      </c>
      <c r="B384" s="76" t="e" cm="1">
        <f t="array" ref="B384">IF(OR(A384=""),"",IF(INDEX(#REF!,ROW()+9)="",IF(A385="",A384+$Q$10,A385),INDEX(#REF!,ROW()+9)+'Date Calculators'!$B$2+E384))</f>
        <v>#REF!</v>
      </c>
      <c r="C384" s="74" t="e" cm="1">
        <f t="array" ref="C384">IF(A384="","",INDEX(#REF!,ROW()+9))</f>
        <v>#REF!</v>
      </c>
      <c r="D384" s="74" t="str">
        <f>IFERROR(IF(A384="","",'Event Info'!$B$2),"")</f>
        <v/>
      </c>
      <c r="E384" t="e" cm="1">
        <f t="array" ref="E384">IF(INDEX(#REF!,ROW()+9)="START",E383+1,E383+0)</f>
        <v>#REF!</v>
      </c>
      <c r="F384" s="82" t="e">
        <f>IF(A384&lt;&gt;"",_xlfn.CONCAT(TEXT(A384,"yyyy-mm-dd"),"T",TEXT(A384,"hh:mm:ss"),'Event Info'!$B$5,",",," ",C384),"")</f>
        <v>#REF!</v>
      </c>
      <c r="G384" t="e">
        <f t="shared" si="10"/>
        <v>#REF!</v>
      </c>
      <c r="H384" s="92" t="str">
        <f t="shared" si="11"/>
        <v/>
      </c>
      <c r="I384" s="88">
        <v>0</v>
      </c>
    </row>
    <row r="385" spans="1:9" ht="16.899999999999999">
      <c r="A385" s="76" t="e" cm="1">
        <f t="array" ref="A385">IF(OR(INDEX(#REF!,ROW()+10)="START",INDEX(#REF!,ROW()+9)="",INDEX(#REF!,ROW()+9)="START",INDEX(#REF!,ROW()+9)="TBA",INDEX(#REF!,ROW()+9)="TBC"),"",INDEX(#REF!,ROW()+9)+'Date Calculators'!$B$2+E385)</f>
        <v>#REF!</v>
      </c>
      <c r="B385" s="76" t="e" cm="1">
        <f t="array" ref="B385">IF(OR(A385=""),"",IF(INDEX(#REF!,ROW()+9)="",IF(A386="",A385+$Q$10,A386),INDEX(#REF!,ROW()+9)+'Date Calculators'!$B$2+E385))</f>
        <v>#REF!</v>
      </c>
      <c r="C385" s="74" t="e" cm="1">
        <f t="array" ref="C385">IF(A385="","",INDEX(#REF!,ROW()+9))</f>
        <v>#REF!</v>
      </c>
      <c r="D385" s="74" t="str">
        <f>IFERROR(IF(A385="","",'Event Info'!$B$2),"")</f>
        <v/>
      </c>
      <c r="E385" t="e" cm="1">
        <f t="array" ref="E385">IF(INDEX(#REF!,ROW()+9)="START",E384+1,E384+0)</f>
        <v>#REF!</v>
      </c>
      <c r="F385" s="82" t="e">
        <f>IF(A385&lt;&gt;"",_xlfn.CONCAT(TEXT(A385,"yyyy-mm-dd"),"T",TEXT(A385,"hh:mm:ss"),'Event Info'!$B$5,",",," ",C385),"")</f>
        <v>#REF!</v>
      </c>
      <c r="G385" t="e">
        <f t="shared" si="10"/>
        <v>#REF!</v>
      </c>
      <c r="H385" s="92" t="str">
        <f t="shared" si="11"/>
        <v/>
      </c>
      <c r="I385" s="91">
        <v>0</v>
      </c>
    </row>
    <row r="386" spans="1:9">
      <c r="A386" s="76" t="e" cm="1">
        <f t="array" ref="A386">IF(OR(INDEX(#REF!,ROW()+10)="START",INDEX(#REF!,ROW()+9)="",INDEX(#REF!,ROW()+9)="START",INDEX(#REF!,ROW()+9)="TBA",INDEX(#REF!,ROW()+9)="TBC"),"",INDEX(#REF!,ROW()+9)+'Date Calculators'!$B$2+E386)</f>
        <v>#REF!</v>
      </c>
      <c r="B386" s="76" t="e" cm="1">
        <f t="array" ref="B386">IF(OR(A386=""),"",IF(INDEX(#REF!,ROW()+9)="",IF(A387="",A386+$Q$10,A387),INDEX(#REF!,ROW()+9)+'Date Calculators'!$B$2+E386))</f>
        <v>#REF!</v>
      </c>
      <c r="C386" s="74" t="e" cm="1">
        <f t="array" ref="C386">IF(A386="","",INDEX(#REF!,ROW()+9))</f>
        <v>#REF!</v>
      </c>
      <c r="D386" s="74" t="str">
        <f>IFERROR(IF(A386="","",'Event Info'!$B$2),"")</f>
        <v/>
      </c>
      <c r="E386" t="e" cm="1">
        <f t="array" ref="E386">IF(INDEX(#REF!,ROW()+9)="START",E385+1,E385+0)</f>
        <v>#REF!</v>
      </c>
      <c r="F386" s="82" t="e">
        <f>IF(A386&lt;&gt;"",_xlfn.CONCAT(TEXT(A386,"yyyy-mm-dd"),"T",TEXT(A386,"hh:mm:ss"),'Event Info'!$B$5,",",," ",C386),"")</f>
        <v>#REF!</v>
      </c>
      <c r="G386" t="e">
        <f t="shared" si="10"/>
        <v>#REF!</v>
      </c>
      <c r="H386" s="92" t="str">
        <f t="shared" si="11"/>
        <v/>
      </c>
      <c r="I386" s="88">
        <v>0</v>
      </c>
    </row>
    <row r="387" spans="1:9">
      <c r="A387" s="76" t="e" cm="1">
        <f t="array" ref="A387">IF(OR(INDEX(#REF!,ROW()+10)="START",INDEX(#REF!,ROW()+9)="",INDEX(#REF!,ROW()+9)="START",INDEX(#REF!,ROW()+9)="TBA",INDEX(#REF!,ROW()+9)="TBC"),"",INDEX(#REF!,ROW()+9)+'Date Calculators'!$B$2+E387)</f>
        <v>#REF!</v>
      </c>
      <c r="B387" s="76" t="e" cm="1">
        <f t="array" ref="B387">IF(OR(A387=""),"",IF(INDEX(#REF!,ROW()+9)="",IF(A388="",A387+$Q$10,A388),INDEX(#REF!,ROW()+9)+'Date Calculators'!$B$2+E387))</f>
        <v>#REF!</v>
      </c>
      <c r="C387" s="74" t="e" cm="1">
        <f t="array" ref="C387">IF(A387="","",INDEX(#REF!,ROW()+9))</f>
        <v>#REF!</v>
      </c>
      <c r="D387" s="74" t="str">
        <f>IFERROR(IF(A387="","",'Event Info'!$B$2),"")</f>
        <v/>
      </c>
      <c r="E387" t="e" cm="1">
        <f t="array" ref="E387">IF(INDEX(#REF!,ROW()+9)="START",E386+1,E386+0)</f>
        <v>#REF!</v>
      </c>
      <c r="F387" s="82" t="e">
        <f>IF(A387&lt;&gt;"",_xlfn.CONCAT(TEXT(A387,"yyyy-mm-dd"),"T",TEXT(A387,"hh:mm:ss"),'Event Info'!$B$5,",",," ",C387),"")</f>
        <v>#REF!</v>
      </c>
      <c r="G387" t="e">
        <f t="shared" ref="G387:G450" si="12">G386+IF(A387&lt;&gt;"",1,0)</f>
        <v>#REF!</v>
      </c>
      <c r="H387" s="92" t="str">
        <f t="shared" si="11"/>
        <v/>
      </c>
      <c r="I387" s="88">
        <v>0</v>
      </c>
    </row>
    <row r="388" spans="1:9" ht="16.899999999999999">
      <c r="A388" s="76" t="e" cm="1">
        <f t="array" ref="A388">IF(OR(INDEX(#REF!,ROW()+10)="START",INDEX(#REF!,ROW()+9)="",INDEX(#REF!,ROW()+9)="START",INDEX(#REF!,ROW()+9)="TBA",INDEX(#REF!,ROW()+9)="TBC"),"",INDEX(#REF!,ROW()+9)+'Date Calculators'!$B$2+E388)</f>
        <v>#REF!</v>
      </c>
      <c r="B388" s="76" t="e" cm="1">
        <f t="array" ref="B388">IF(OR(A388=""),"",IF(INDEX(#REF!,ROW()+9)="",IF(A389="",A388+$Q$10,A389),INDEX(#REF!,ROW()+9)+'Date Calculators'!$B$2+E388))</f>
        <v>#REF!</v>
      </c>
      <c r="C388" s="74" t="e" cm="1">
        <f t="array" ref="C388">IF(A388="","",INDEX(#REF!,ROW()+9))</f>
        <v>#REF!</v>
      </c>
      <c r="D388" s="74" t="str">
        <f>IFERROR(IF(A388="","",'Event Info'!$B$2),"")</f>
        <v/>
      </c>
      <c r="E388" t="e" cm="1">
        <f t="array" ref="E388">IF(INDEX(#REF!,ROW()+9)="START",E387+1,E387+0)</f>
        <v>#REF!</v>
      </c>
      <c r="F388" s="82" t="e">
        <f>IF(A388&lt;&gt;"",_xlfn.CONCAT(TEXT(A388,"yyyy-mm-dd"),"T",TEXT(A388,"hh:mm:ss"),'Event Info'!$B$5,",",," ",C388),"")</f>
        <v>#REF!</v>
      </c>
      <c r="G388" t="e">
        <f t="shared" si="12"/>
        <v>#REF!</v>
      </c>
      <c r="H388" s="92" t="str">
        <f t="shared" ref="H388:H451" si="13">IFERROR(INDEX($F$2:$F$500,MATCH(ROW()-1,$G$2:$G$500,0)),"")</f>
        <v/>
      </c>
      <c r="I388" s="91">
        <v>0</v>
      </c>
    </row>
    <row r="389" spans="1:9">
      <c r="A389" s="76" t="e" cm="1">
        <f t="array" ref="A389">IF(OR(INDEX(#REF!,ROW()+10)="START",INDEX(#REF!,ROW()+9)="",INDEX(#REF!,ROW()+9)="START",INDEX(#REF!,ROW()+9)="TBA",INDEX(#REF!,ROW()+9)="TBC"),"",INDEX(#REF!,ROW()+9)+'Date Calculators'!$B$2+E389)</f>
        <v>#REF!</v>
      </c>
      <c r="B389" s="76" t="e" cm="1">
        <f t="array" ref="B389">IF(OR(A389=""),"",IF(INDEX(#REF!,ROW()+9)="",IF(A390="",A389+$Q$10,A390),INDEX(#REF!,ROW()+9)+'Date Calculators'!$B$2+E389))</f>
        <v>#REF!</v>
      </c>
      <c r="C389" s="74" t="e" cm="1">
        <f t="array" ref="C389">IF(A389="","",INDEX(#REF!,ROW()+9))</f>
        <v>#REF!</v>
      </c>
      <c r="D389" s="74" t="str">
        <f>IFERROR(IF(A389="","",'Event Info'!$B$2),"")</f>
        <v/>
      </c>
      <c r="E389" t="e" cm="1">
        <f t="array" ref="E389">IF(INDEX(#REF!,ROW()+9)="START",E388+1,E388+0)</f>
        <v>#REF!</v>
      </c>
      <c r="F389" s="82" t="e">
        <f>IF(A389&lt;&gt;"",_xlfn.CONCAT(TEXT(A389,"yyyy-mm-dd"),"T",TEXT(A389,"hh:mm:ss"),'Event Info'!$B$5,",",," ",C389),"")</f>
        <v>#REF!</v>
      </c>
      <c r="G389" t="e">
        <f t="shared" si="12"/>
        <v>#REF!</v>
      </c>
      <c r="H389" s="92" t="str">
        <f t="shared" si="13"/>
        <v/>
      </c>
      <c r="I389" s="88">
        <v>0</v>
      </c>
    </row>
    <row r="390" spans="1:9">
      <c r="A390" s="76" t="e" cm="1">
        <f t="array" ref="A390">IF(OR(INDEX(#REF!,ROW()+10)="START",INDEX(#REF!,ROW()+9)="",INDEX(#REF!,ROW()+9)="START",INDEX(#REF!,ROW()+9)="TBA",INDEX(#REF!,ROW()+9)="TBC"),"",INDEX(#REF!,ROW()+9)+'Date Calculators'!$B$2+E390)</f>
        <v>#REF!</v>
      </c>
      <c r="B390" s="76" t="e" cm="1">
        <f t="array" ref="B390">IF(OR(A390=""),"",IF(INDEX(#REF!,ROW()+9)="",IF(A391="",A390+$Q$10,A391),INDEX(#REF!,ROW()+9)+'Date Calculators'!$B$2+E390))</f>
        <v>#REF!</v>
      </c>
      <c r="C390" s="74" t="e" cm="1">
        <f t="array" ref="C390">IF(A390="","",INDEX(#REF!,ROW()+9))</f>
        <v>#REF!</v>
      </c>
      <c r="D390" s="74" t="str">
        <f>IFERROR(IF(A390="","",'Event Info'!$B$2),"")</f>
        <v/>
      </c>
      <c r="E390" t="e" cm="1">
        <f t="array" ref="E390">IF(INDEX(#REF!,ROW()+9)="START",E389+1,E389+0)</f>
        <v>#REF!</v>
      </c>
      <c r="F390" s="82" t="e">
        <f>IF(A390&lt;&gt;"",_xlfn.CONCAT(TEXT(A390,"yyyy-mm-dd"),"T",TEXT(A390,"hh:mm:ss"),'Event Info'!$B$5,",",," ",C390),"")</f>
        <v>#REF!</v>
      </c>
      <c r="G390" t="e">
        <f t="shared" si="12"/>
        <v>#REF!</v>
      </c>
      <c r="H390" s="92" t="str">
        <f t="shared" si="13"/>
        <v/>
      </c>
      <c r="I390" s="88">
        <v>0</v>
      </c>
    </row>
    <row r="391" spans="1:9" ht="16.899999999999999">
      <c r="A391" s="76" t="e" cm="1">
        <f t="array" ref="A391">IF(OR(INDEX(#REF!,ROW()+10)="START",INDEX(#REF!,ROW()+9)="",INDEX(#REF!,ROW()+9)="START",INDEX(#REF!,ROW()+9)="TBA",INDEX(#REF!,ROW()+9)="TBC"),"",INDEX(#REF!,ROW()+9)+'Date Calculators'!$B$2+E391)</f>
        <v>#REF!</v>
      </c>
      <c r="B391" s="76" t="e" cm="1">
        <f t="array" ref="B391">IF(OR(A391=""),"",IF(INDEX(#REF!,ROW()+9)="",IF(A392="",A391+$Q$10,A392),INDEX(#REF!,ROW()+9)+'Date Calculators'!$B$2+E391))</f>
        <v>#REF!</v>
      </c>
      <c r="C391" s="74" t="e" cm="1">
        <f t="array" ref="C391">IF(A391="","",INDEX(#REF!,ROW()+9))</f>
        <v>#REF!</v>
      </c>
      <c r="D391" s="74" t="str">
        <f>IFERROR(IF(A391="","",'Event Info'!$B$2),"")</f>
        <v/>
      </c>
      <c r="E391" t="e" cm="1">
        <f t="array" ref="E391">IF(INDEX(#REF!,ROW()+9)="START",E390+1,E390+0)</f>
        <v>#REF!</v>
      </c>
      <c r="F391" s="82" t="e">
        <f>IF(A391&lt;&gt;"",_xlfn.CONCAT(TEXT(A391,"yyyy-mm-dd"),"T",TEXT(A391,"hh:mm:ss"),'Event Info'!$B$5,",",," ",C391),"")</f>
        <v>#REF!</v>
      </c>
      <c r="G391" t="e">
        <f t="shared" si="12"/>
        <v>#REF!</v>
      </c>
      <c r="H391" s="92" t="str">
        <f t="shared" si="13"/>
        <v/>
      </c>
      <c r="I391" s="91">
        <v>0</v>
      </c>
    </row>
    <row r="392" spans="1:9">
      <c r="A392" s="76" t="e" cm="1">
        <f t="array" ref="A392">IF(OR(INDEX(#REF!,ROW()+10)="START",INDEX(#REF!,ROW()+9)="",INDEX(#REF!,ROW()+9)="START",INDEX(#REF!,ROW()+9)="TBA",INDEX(#REF!,ROW()+9)="TBC"),"",INDEX(#REF!,ROW()+9)+'Date Calculators'!$B$2+E392)</f>
        <v>#REF!</v>
      </c>
      <c r="B392" s="76" t="e" cm="1">
        <f t="array" ref="B392">IF(OR(A392=""),"",IF(INDEX(#REF!,ROW()+9)="",IF(A393="",A392+$Q$10,A393),INDEX(#REF!,ROW()+9)+'Date Calculators'!$B$2+E392))</f>
        <v>#REF!</v>
      </c>
      <c r="C392" s="74" t="e" cm="1">
        <f t="array" ref="C392">IF(A392="","",INDEX(#REF!,ROW()+9))</f>
        <v>#REF!</v>
      </c>
      <c r="D392" s="74" t="str">
        <f>IFERROR(IF(A392="","",'Event Info'!$B$2),"")</f>
        <v/>
      </c>
      <c r="E392" t="e" cm="1">
        <f t="array" ref="E392">IF(INDEX(#REF!,ROW()+9)="START",E391+1,E391+0)</f>
        <v>#REF!</v>
      </c>
      <c r="F392" s="82" t="e">
        <f>IF(A392&lt;&gt;"",_xlfn.CONCAT(TEXT(A392,"yyyy-mm-dd"),"T",TEXT(A392,"hh:mm:ss"),'Event Info'!$B$5,",",," ",C392),"")</f>
        <v>#REF!</v>
      </c>
      <c r="G392" t="e">
        <f t="shared" si="12"/>
        <v>#REF!</v>
      </c>
      <c r="H392" s="92" t="str">
        <f t="shared" si="13"/>
        <v/>
      </c>
      <c r="I392" s="88">
        <v>0</v>
      </c>
    </row>
    <row r="393" spans="1:9">
      <c r="A393" s="76" t="e" cm="1">
        <f t="array" ref="A393">IF(OR(INDEX(#REF!,ROW()+10)="START",INDEX(#REF!,ROW()+9)="",INDEX(#REF!,ROW()+9)="START",INDEX(#REF!,ROW()+9)="TBA",INDEX(#REF!,ROW()+9)="TBC"),"",INDEX(#REF!,ROW()+9)+'Date Calculators'!$B$2+E393)</f>
        <v>#REF!</v>
      </c>
      <c r="B393" s="76" t="e" cm="1">
        <f t="array" ref="B393">IF(OR(A393=""),"",IF(INDEX(#REF!,ROW()+9)="",IF(A394="",A393+$Q$10,A394),INDEX(#REF!,ROW()+9)+'Date Calculators'!$B$2+E393))</f>
        <v>#REF!</v>
      </c>
      <c r="C393" s="74" t="e" cm="1">
        <f t="array" ref="C393">IF(A393="","",INDEX(#REF!,ROW()+9))</f>
        <v>#REF!</v>
      </c>
      <c r="D393" s="74" t="str">
        <f>IFERROR(IF(A393="","",'Event Info'!$B$2),"")</f>
        <v/>
      </c>
      <c r="E393" t="e" cm="1">
        <f t="array" ref="E393">IF(INDEX(#REF!,ROW()+9)="START",E392+1,E392+0)</f>
        <v>#REF!</v>
      </c>
      <c r="F393" s="82" t="e">
        <f>IF(A393&lt;&gt;"",_xlfn.CONCAT(TEXT(A393,"yyyy-mm-dd"),"T",TEXT(A393,"hh:mm:ss"),'Event Info'!$B$5,",",," ",C393),"")</f>
        <v>#REF!</v>
      </c>
      <c r="G393" t="e">
        <f t="shared" si="12"/>
        <v>#REF!</v>
      </c>
      <c r="H393" s="92" t="str">
        <f t="shared" si="13"/>
        <v/>
      </c>
      <c r="I393" s="88">
        <v>0</v>
      </c>
    </row>
    <row r="394" spans="1:9" ht="16.899999999999999">
      <c r="A394" s="76" t="e" cm="1">
        <f t="array" ref="A394">IF(OR(INDEX(#REF!,ROW()+10)="START",INDEX(#REF!,ROW()+9)="",INDEX(#REF!,ROW()+9)="START",INDEX(#REF!,ROW()+9)="TBA",INDEX(#REF!,ROW()+9)="TBC"),"",INDEX(#REF!,ROW()+9)+'Date Calculators'!$B$2+E394)</f>
        <v>#REF!</v>
      </c>
      <c r="B394" s="76" t="e" cm="1">
        <f t="array" ref="B394">IF(OR(A394=""),"",IF(INDEX(#REF!,ROW()+9)="",IF(A395="",A394+$Q$10,A395),INDEX(#REF!,ROW()+9)+'Date Calculators'!$B$2+E394))</f>
        <v>#REF!</v>
      </c>
      <c r="C394" s="74" t="e" cm="1">
        <f t="array" ref="C394">IF(A394="","",INDEX(#REF!,ROW()+9))</f>
        <v>#REF!</v>
      </c>
      <c r="D394" s="74" t="str">
        <f>IFERROR(IF(A394="","",'Event Info'!$B$2),"")</f>
        <v/>
      </c>
      <c r="E394" t="e" cm="1">
        <f t="array" ref="E394">IF(INDEX(#REF!,ROW()+9)="START",E393+1,E393+0)</f>
        <v>#REF!</v>
      </c>
      <c r="F394" s="82" t="e">
        <f>IF(A394&lt;&gt;"",_xlfn.CONCAT(TEXT(A394,"yyyy-mm-dd"),"T",TEXT(A394,"hh:mm:ss"),'Event Info'!$B$5,",",," ",C394),"")</f>
        <v>#REF!</v>
      </c>
      <c r="G394" t="e">
        <f t="shared" si="12"/>
        <v>#REF!</v>
      </c>
      <c r="H394" s="92" t="str">
        <f t="shared" si="13"/>
        <v/>
      </c>
      <c r="I394" s="91">
        <v>0</v>
      </c>
    </row>
    <row r="395" spans="1:9">
      <c r="A395" s="76" t="e" cm="1">
        <f t="array" ref="A395">IF(OR(INDEX(#REF!,ROW()+10)="START",INDEX(#REF!,ROW()+9)="",INDEX(#REF!,ROW()+9)="START",INDEX(#REF!,ROW()+9)="TBA",INDEX(#REF!,ROW()+9)="TBC"),"",INDEX(#REF!,ROW()+9)+'Date Calculators'!$B$2+E395)</f>
        <v>#REF!</v>
      </c>
      <c r="B395" s="76" t="e" cm="1">
        <f t="array" ref="B395">IF(OR(A395=""),"",IF(INDEX(#REF!,ROW()+9)="",IF(A396="",A395+$Q$10,A396),INDEX(#REF!,ROW()+9)+'Date Calculators'!$B$2+E395))</f>
        <v>#REF!</v>
      </c>
      <c r="C395" s="74" t="e" cm="1">
        <f t="array" ref="C395">IF(A395="","",INDEX(#REF!,ROW()+9))</f>
        <v>#REF!</v>
      </c>
      <c r="D395" s="74" t="str">
        <f>IFERROR(IF(A395="","",'Event Info'!$B$2),"")</f>
        <v/>
      </c>
      <c r="E395" t="e" cm="1">
        <f t="array" ref="E395">IF(INDEX(#REF!,ROW()+9)="START",E394+1,E394+0)</f>
        <v>#REF!</v>
      </c>
      <c r="F395" s="82" t="e">
        <f>IF(A395&lt;&gt;"",_xlfn.CONCAT(TEXT(A395,"yyyy-mm-dd"),"T",TEXT(A395,"hh:mm:ss"),'Event Info'!$B$5,",",," ",C395),"")</f>
        <v>#REF!</v>
      </c>
      <c r="G395" t="e">
        <f t="shared" si="12"/>
        <v>#REF!</v>
      </c>
      <c r="H395" s="92" t="str">
        <f t="shared" si="13"/>
        <v/>
      </c>
      <c r="I395" s="88">
        <v>0</v>
      </c>
    </row>
    <row r="396" spans="1:9">
      <c r="A396" s="76" t="e" cm="1">
        <f t="array" ref="A396">IF(OR(INDEX(#REF!,ROW()+10)="START",INDEX(#REF!,ROW()+9)="",INDEX(#REF!,ROW()+9)="START",INDEX(#REF!,ROW()+9)="TBA",INDEX(#REF!,ROW()+9)="TBC"),"",INDEX(#REF!,ROW()+9)+'Date Calculators'!$B$2+E396)</f>
        <v>#REF!</v>
      </c>
      <c r="B396" s="76" t="e" cm="1">
        <f t="array" ref="B396">IF(OR(A396=""),"",IF(INDEX(#REF!,ROW()+9)="",IF(A397="",A396+$Q$10,A397),INDEX(#REF!,ROW()+9)+'Date Calculators'!$B$2+E396))</f>
        <v>#REF!</v>
      </c>
      <c r="C396" s="74" t="e" cm="1">
        <f t="array" ref="C396">IF(A396="","",INDEX(#REF!,ROW()+9))</f>
        <v>#REF!</v>
      </c>
      <c r="D396" s="74" t="str">
        <f>IFERROR(IF(A396="","",'Event Info'!$B$2),"")</f>
        <v/>
      </c>
      <c r="E396" t="e" cm="1">
        <f t="array" ref="E396">IF(INDEX(#REF!,ROW()+9)="START",E395+1,E395+0)</f>
        <v>#REF!</v>
      </c>
      <c r="F396" s="82" t="e">
        <f>IF(A396&lt;&gt;"",_xlfn.CONCAT(TEXT(A396,"yyyy-mm-dd"),"T",TEXT(A396,"hh:mm:ss"),'Event Info'!$B$5,",",," ",C396),"")</f>
        <v>#REF!</v>
      </c>
      <c r="G396" t="e">
        <f t="shared" si="12"/>
        <v>#REF!</v>
      </c>
      <c r="H396" s="92" t="str">
        <f t="shared" si="13"/>
        <v/>
      </c>
      <c r="I396" s="88">
        <v>0</v>
      </c>
    </row>
    <row r="397" spans="1:9" ht="16.899999999999999">
      <c r="A397" s="76" t="e" cm="1">
        <f t="array" ref="A397">IF(OR(INDEX(#REF!,ROW()+10)="START",INDEX(#REF!,ROW()+9)="",INDEX(#REF!,ROW()+9)="START",INDEX(#REF!,ROW()+9)="TBA",INDEX(#REF!,ROW()+9)="TBC"),"",INDEX(#REF!,ROW()+9)+'Date Calculators'!$B$2+E397)</f>
        <v>#REF!</v>
      </c>
      <c r="B397" s="76" t="e" cm="1">
        <f t="array" ref="B397">IF(OR(A397=""),"",IF(INDEX(#REF!,ROW()+9)="",IF(A398="",A397+$Q$10,A398),INDEX(#REF!,ROW()+9)+'Date Calculators'!$B$2+E397))</f>
        <v>#REF!</v>
      </c>
      <c r="C397" s="74" t="e" cm="1">
        <f t="array" ref="C397">IF(A397="","",INDEX(#REF!,ROW()+9))</f>
        <v>#REF!</v>
      </c>
      <c r="D397" s="74" t="str">
        <f>IFERROR(IF(A397="","",'Event Info'!$B$2),"")</f>
        <v/>
      </c>
      <c r="E397" t="e" cm="1">
        <f t="array" ref="E397">IF(INDEX(#REF!,ROW()+9)="START",E396+1,E396+0)</f>
        <v>#REF!</v>
      </c>
      <c r="F397" s="82" t="e">
        <f>IF(A397&lt;&gt;"",_xlfn.CONCAT(TEXT(A397,"yyyy-mm-dd"),"T",TEXT(A397,"hh:mm:ss"),'Event Info'!$B$5,",",," ",C397),"")</f>
        <v>#REF!</v>
      </c>
      <c r="G397" t="e">
        <f t="shared" si="12"/>
        <v>#REF!</v>
      </c>
      <c r="H397" s="92" t="str">
        <f t="shared" si="13"/>
        <v/>
      </c>
      <c r="I397" s="91">
        <v>0</v>
      </c>
    </row>
    <row r="398" spans="1:9">
      <c r="A398" s="76" t="e" cm="1">
        <f t="array" ref="A398">IF(OR(INDEX(#REF!,ROW()+10)="START",INDEX(#REF!,ROW()+9)="",INDEX(#REF!,ROW()+9)="START",INDEX(#REF!,ROW()+9)="TBA",INDEX(#REF!,ROW()+9)="TBC"),"",INDEX(#REF!,ROW()+9)+'Date Calculators'!$B$2+E398)</f>
        <v>#REF!</v>
      </c>
      <c r="B398" s="76" t="e" cm="1">
        <f t="array" ref="B398">IF(OR(A398=""),"",IF(INDEX(#REF!,ROW()+9)="",IF(A399="",A398+$Q$10,A399),INDEX(#REF!,ROW()+9)+'Date Calculators'!$B$2+E398))</f>
        <v>#REF!</v>
      </c>
      <c r="C398" s="74" t="e" cm="1">
        <f t="array" ref="C398">IF(A398="","",INDEX(#REF!,ROW()+9))</f>
        <v>#REF!</v>
      </c>
      <c r="D398" s="74" t="str">
        <f>IFERROR(IF(A398="","",'Event Info'!$B$2),"")</f>
        <v/>
      </c>
      <c r="E398" t="e" cm="1">
        <f t="array" ref="E398">IF(INDEX(#REF!,ROW()+9)="START",E397+1,E397+0)</f>
        <v>#REF!</v>
      </c>
      <c r="F398" s="82" t="e">
        <f>IF(A398&lt;&gt;"",_xlfn.CONCAT(TEXT(A398,"yyyy-mm-dd"),"T",TEXT(A398,"hh:mm:ss"),'Event Info'!$B$5,",",," ",C398),"")</f>
        <v>#REF!</v>
      </c>
      <c r="G398" t="e">
        <f t="shared" si="12"/>
        <v>#REF!</v>
      </c>
      <c r="H398" s="92" t="str">
        <f t="shared" si="13"/>
        <v/>
      </c>
      <c r="I398" s="88">
        <v>0</v>
      </c>
    </row>
    <row r="399" spans="1:9">
      <c r="A399" s="76" t="e" cm="1">
        <f t="array" ref="A399">IF(OR(INDEX(#REF!,ROW()+10)="START",INDEX(#REF!,ROW()+9)="",INDEX(#REF!,ROW()+9)="START",INDEX(#REF!,ROW()+9)="TBA",INDEX(#REF!,ROW()+9)="TBC"),"",INDEX(#REF!,ROW()+9)+'Date Calculators'!$B$2+E399)</f>
        <v>#REF!</v>
      </c>
      <c r="B399" s="76" t="e" cm="1">
        <f t="array" ref="B399">IF(OR(A399=""),"",IF(INDEX(#REF!,ROW()+9)="",IF(A400="",A399+$Q$10,A400),INDEX(#REF!,ROW()+9)+'Date Calculators'!$B$2+E399))</f>
        <v>#REF!</v>
      </c>
      <c r="C399" s="74" t="e" cm="1">
        <f t="array" ref="C399">IF(A399="","",INDEX(#REF!,ROW()+9))</f>
        <v>#REF!</v>
      </c>
      <c r="D399" s="74" t="str">
        <f>IFERROR(IF(A399="","",'Event Info'!$B$2),"")</f>
        <v/>
      </c>
      <c r="E399" t="e" cm="1">
        <f t="array" ref="E399">IF(INDEX(#REF!,ROW()+9)="START",E398+1,E398+0)</f>
        <v>#REF!</v>
      </c>
      <c r="F399" s="82" t="e">
        <f>IF(A399&lt;&gt;"",_xlfn.CONCAT(TEXT(A399,"yyyy-mm-dd"),"T",TEXT(A399,"hh:mm:ss"),'Event Info'!$B$5,",",," ",C399),"")</f>
        <v>#REF!</v>
      </c>
      <c r="G399" t="e">
        <f t="shared" si="12"/>
        <v>#REF!</v>
      </c>
      <c r="H399" s="92" t="str">
        <f t="shared" si="13"/>
        <v/>
      </c>
      <c r="I399" s="88">
        <v>0</v>
      </c>
    </row>
    <row r="400" spans="1:9" ht="16.899999999999999">
      <c r="A400" s="76" t="e" cm="1">
        <f t="array" ref="A400">IF(OR(INDEX(#REF!,ROW()+10)="START",INDEX(#REF!,ROW()+9)="",INDEX(#REF!,ROW()+9)="START",INDEX(#REF!,ROW()+9)="TBA",INDEX(#REF!,ROW()+9)="TBC"),"",INDEX(#REF!,ROW()+9)+'Date Calculators'!$B$2+E400)</f>
        <v>#REF!</v>
      </c>
      <c r="B400" s="76" t="e" cm="1">
        <f t="array" ref="B400">IF(OR(A400=""),"",IF(INDEX(#REF!,ROW()+9)="",IF(A401="",A400+$Q$10,A401),INDEX(#REF!,ROW()+9)+'Date Calculators'!$B$2+E400))</f>
        <v>#REF!</v>
      </c>
      <c r="C400" s="74" t="e" cm="1">
        <f t="array" ref="C400">IF(A400="","",INDEX(#REF!,ROW()+9))</f>
        <v>#REF!</v>
      </c>
      <c r="D400" s="74" t="str">
        <f>IFERROR(IF(A400="","",'Event Info'!$B$2),"")</f>
        <v/>
      </c>
      <c r="E400" t="e" cm="1">
        <f t="array" ref="E400">IF(INDEX(#REF!,ROW()+9)="START",E399+1,E399+0)</f>
        <v>#REF!</v>
      </c>
      <c r="F400" s="82" t="e">
        <f>IF(A400&lt;&gt;"",_xlfn.CONCAT(TEXT(A400,"yyyy-mm-dd"),"T",TEXT(A400,"hh:mm:ss"),'Event Info'!$B$5,",",," ",C400),"")</f>
        <v>#REF!</v>
      </c>
      <c r="G400" t="e">
        <f t="shared" si="12"/>
        <v>#REF!</v>
      </c>
      <c r="H400" s="92" t="str">
        <f t="shared" si="13"/>
        <v/>
      </c>
      <c r="I400" s="91">
        <v>0</v>
      </c>
    </row>
    <row r="401" spans="1:9">
      <c r="A401" s="76" t="e" cm="1">
        <f t="array" ref="A401">IF(OR(INDEX(#REF!,ROW()+10)="START",INDEX(#REF!,ROW()+9)="",INDEX(#REF!,ROW()+9)="START",INDEX(#REF!,ROW()+9)="TBA",INDEX(#REF!,ROW()+9)="TBC"),"",INDEX(#REF!,ROW()+9)+'Date Calculators'!$B$2+E401)</f>
        <v>#REF!</v>
      </c>
      <c r="B401" s="76" t="e" cm="1">
        <f t="array" ref="B401">IF(OR(A401=""),"",IF(INDEX(#REF!,ROW()+9)="",IF(A402="",A401+$Q$10,A402),INDEX(#REF!,ROW()+9)+'Date Calculators'!$B$2+E401))</f>
        <v>#REF!</v>
      </c>
      <c r="C401" s="74" t="e" cm="1">
        <f t="array" ref="C401">IF(A401="","",INDEX(#REF!,ROW()+9))</f>
        <v>#REF!</v>
      </c>
      <c r="D401" s="74" t="str">
        <f>IFERROR(IF(A401="","",'Event Info'!$B$2),"")</f>
        <v/>
      </c>
      <c r="E401" t="e" cm="1">
        <f t="array" ref="E401">IF(INDEX(#REF!,ROW()+9)="START",E400+1,E400+0)</f>
        <v>#REF!</v>
      </c>
      <c r="F401" s="82" t="e">
        <f>IF(A401&lt;&gt;"",_xlfn.CONCAT(TEXT(A401,"yyyy-mm-dd"),"T",TEXT(A401,"hh:mm:ss"),'Event Info'!$B$5,",",," ",C401),"")</f>
        <v>#REF!</v>
      </c>
      <c r="G401" t="e">
        <f t="shared" si="12"/>
        <v>#REF!</v>
      </c>
      <c r="H401" s="92" t="str">
        <f t="shared" si="13"/>
        <v/>
      </c>
      <c r="I401" s="88">
        <v>0</v>
      </c>
    </row>
    <row r="402" spans="1:9">
      <c r="A402" s="76" t="e" cm="1">
        <f t="array" ref="A402">IF(OR(INDEX(#REF!,ROW()+10)="START",INDEX(#REF!,ROW()+9)="",INDEX(#REF!,ROW()+9)="START",INDEX(#REF!,ROW()+9)="TBA",INDEX(#REF!,ROW()+9)="TBC"),"",INDEX(#REF!,ROW()+9)+'Date Calculators'!$B$2+E402)</f>
        <v>#REF!</v>
      </c>
      <c r="B402" s="76" t="e" cm="1">
        <f t="array" ref="B402">IF(OR(A402=""),"",IF(INDEX(#REF!,ROW()+9)="",IF(A403="",A402+$Q$10,A403),INDEX(#REF!,ROW()+9)+'Date Calculators'!$B$2+E402))</f>
        <v>#REF!</v>
      </c>
      <c r="C402" s="74" t="e" cm="1">
        <f t="array" ref="C402">IF(A402="","",INDEX(#REF!,ROW()+9))</f>
        <v>#REF!</v>
      </c>
      <c r="D402" s="74" t="str">
        <f>IFERROR(IF(A402="","",'Event Info'!$B$2),"")</f>
        <v/>
      </c>
      <c r="E402" t="e" cm="1">
        <f t="array" ref="E402">IF(INDEX(#REF!,ROW()+9)="START",E401+1,E401+0)</f>
        <v>#REF!</v>
      </c>
      <c r="F402" s="82" t="e">
        <f>IF(A402&lt;&gt;"",_xlfn.CONCAT(TEXT(A402,"yyyy-mm-dd"),"T",TEXT(A402,"hh:mm:ss"),'Event Info'!$B$5,",",," ",C402),"")</f>
        <v>#REF!</v>
      </c>
      <c r="G402" t="e">
        <f t="shared" si="12"/>
        <v>#REF!</v>
      </c>
      <c r="H402" s="92" t="str">
        <f t="shared" si="13"/>
        <v/>
      </c>
      <c r="I402" s="88">
        <v>0</v>
      </c>
    </row>
    <row r="403" spans="1:9" ht="16.899999999999999">
      <c r="A403" s="76" t="e" cm="1">
        <f t="array" ref="A403">IF(OR(INDEX(#REF!,ROW()+10)="START",INDEX(#REF!,ROW()+9)="",INDEX(#REF!,ROW()+9)="START",INDEX(#REF!,ROW()+9)="TBA",INDEX(#REF!,ROW()+9)="TBC"),"",INDEX(#REF!,ROW()+9)+'Date Calculators'!$B$2+E403)</f>
        <v>#REF!</v>
      </c>
      <c r="B403" s="76" t="e" cm="1">
        <f t="array" ref="B403">IF(OR(A403=""),"",IF(INDEX(#REF!,ROW()+9)="",IF(A404="",A403+$Q$10,A404),INDEX(#REF!,ROW()+9)+'Date Calculators'!$B$2+E403))</f>
        <v>#REF!</v>
      </c>
      <c r="C403" s="74" t="e" cm="1">
        <f t="array" ref="C403">IF(A403="","",INDEX(#REF!,ROW()+9))</f>
        <v>#REF!</v>
      </c>
      <c r="D403" s="74" t="str">
        <f>IFERROR(IF(A403="","",'Event Info'!$B$2),"")</f>
        <v/>
      </c>
      <c r="E403" t="e" cm="1">
        <f t="array" ref="E403">IF(INDEX(#REF!,ROW()+9)="START",E402+1,E402+0)</f>
        <v>#REF!</v>
      </c>
      <c r="F403" s="82" t="e">
        <f>IF(A403&lt;&gt;"",_xlfn.CONCAT(TEXT(A403,"yyyy-mm-dd"),"T",TEXT(A403,"hh:mm:ss"),'Event Info'!$B$5,",",," ",C403),"")</f>
        <v>#REF!</v>
      </c>
      <c r="G403" t="e">
        <f t="shared" si="12"/>
        <v>#REF!</v>
      </c>
      <c r="H403" s="92" t="str">
        <f t="shared" si="13"/>
        <v/>
      </c>
      <c r="I403" s="91">
        <v>0</v>
      </c>
    </row>
    <row r="404" spans="1:9">
      <c r="A404" s="76" t="e" cm="1">
        <f t="array" ref="A404">IF(OR(INDEX(#REF!,ROW()+10)="START",INDEX(#REF!,ROW()+9)="",INDEX(#REF!,ROW()+9)="START",INDEX(#REF!,ROW()+9)="TBA",INDEX(#REF!,ROW()+9)="TBC"),"",INDEX(#REF!,ROW()+9)+'Date Calculators'!$B$2+E404)</f>
        <v>#REF!</v>
      </c>
      <c r="B404" s="76" t="e" cm="1">
        <f t="array" ref="B404">IF(OR(A404=""),"",IF(INDEX(#REF!,ROW()+9)="",IF(A405="",A404+$Q$10,A405),INDEX(#REF!,ROW()+9)+'Date Calculators'!$B$2+E404))</f>
        <v>#REF!</v>
      </c>
      <c r="C404" s="74" t="e" cm="1">
        <f t="array" ref="C404">IF(A404="","",INDEX(#REF!,ROW()+9))</f>
        <v>#REF!</v>
      </c>
      <c r="D404" s="74" t="str">
        <f>IFERROR(IF(A404="","",'Event Info'!$B$2),"")</f>
        <v/>
      </c>
      <c r="E404" t="e" cm="1">
        <f t="array" ref="E404">IF(INDEX(#REF!,ROW()+9)="START",E403+1,E403+0)</f>
        <v>#REF!</v>
      </c>
      <c r="F404" s="82" t="e">
        <f>IF(A404&lt;&gt;"",_xlfn.CONCAT(TEXT(A404,"yyyy-mm-dd"),"T",TEXT(A404,"hh:mm:ss"),'Event Info'!$B$5,",",," ",C404),"")</f>
        <v>#REF!</v>
      </c>
      <c r="G404" t="e">
        <f t="shared" si="12"/>
        <v>#REF!</v>
      </c>
      <c r="H404" s="92" t="str">
        <f t="shared" si="13"/>
        <v/>
      </c>
      <c r="I404" s="88">
        <v>0</v>
      </c>
    </row>
    <row r="405" spans="1:9">
      <c r="A405" s="76" t="e" cm="1">
        <f t="array" ref="A405">IF(OR(INDEX(#REF!,ROW()+10)="START",INDEX(#REF!,ROW()+9)="",INDEX(#REF!,ROW()+9)="START",INDEX(#REF!,ROW()+9)="TBA",INDEX(#REF!,ROW()+9)="TBC"),"",INDEX(#REF!,ROW()+9)+'Date Calculators'!$B$2+E405)</f>
        <v>#REF!</v>
      </c>
      <c r="B405" s="76" t="e" cm="1">
        <f t="array" ref="B405">IF(OR(A405=""),"",IF(INDEX(#REF!,ROW()+9)="",IF(A406="",A405+$Q$10,A406),INDEX(#REF!,ROW()+9)+'Date Calculators'!$B$2+E405))</f>
        <v>#REF!</v>
      </c>
      <c r="C405" s="74" t="e" cm="1">
        <f t="array" ref="C405">IF(A405="","",INDEX(#REF!,ROW()+9))</f>
        <v>#REF!</v>
      </c>
      <c r="D405" s="74" t="str">
        <f>IFERROR(IF(A405="","",'Event Info'!$B$2),"")</f>
        <v/>
      </c>
      <c r="E405" t="e" cm="1">
        <f t="array" ref="E405">IF(INDEX(#REF!,ROW()+9)="START",E404+1,E404+0)</f>
        <v>#REF!</v>
      </c>
      <c r="F405" s="82" t="e">
        <f>IF(A405&lt;&gt;"",_xlfn.CONCAT(TEXT(A405,"yyyy-mm-dd"),"T",TEXT(A405,"hh:mm:ss"),'Event Info'!$B$5,",",," ",C405),"")</f>
        <v>#REF!</v>
      </c>
      <c r="G405" t="e">
        <f t="shared" si="12"/>
        <v>#REF!</v>
      </c>
      <c r="H405" s="92" t="str">
        <f t="shared" si="13"/>
        <v/>
      </c>
      <c r="I405" s="88">
        <v>0</v>
      </c>
    </row>
    <row r="406" spans="1:9" ht="16.899999999999999">
      <c r="A406" s="76" t="e" cm="1">
        <f t="array" ref="A406">IF(OR(INDEX(#REF!,ROW()+10)="START",INDEX(#REF!,ROW()+9)="",INDEX(#REF!,ROW()+9)="START",INDEX(#REF!,ROW()+9)="TBA",INDEX(#REF!,ROW()+9)="TBC"),"",INDEX(#REF!,ROW()+9)+'Date Calculators'!$B$2+E406)</f>
        <v>#REF!</v>
      </c>
      <c r="B406" s="76" t="e" cm="1">
        <f t="array" ref="B406">IF(OR(A406=""),"",IF(INDEX(#REF!,ROW()+9)="",IF(A407="",A406+$Q$10,A407),INDEX(#REF!,ROW()+9)+'Date Calculators'!$B$2+E406))</f>
        <v>#REF!</v>
      </c>
      <c r="C406" s="74" t="e" cm="1">
        <f t="array" ref="C406">IF(A406="","",INDEX(#REF!,ROW()+9))</f>
        <v>#REF!</v>
      </c>
      <c r="D406" s="74" t="str">
        <f>IFERROR(IF(A406="","",'Event Info'!$B$2),"")</f>
        <v/>
      </c>
      <c r="E406" t="e" cm="1">
        <f t="array" ref="E406">IF(INDEX(#REF!,ROW()+9)="START",E405+1,E405+0)</f>
        <v>#REF!</v>
      </c>
      <c r="F406" s="82" t="e">
        <f>IF(A406&lt;&gt;"",_xlfn.CONCAT(TEXT(A406,"yyyy-mm-dd"),"T",TEXT(A406,"hh:mm:ss"),'Event Info'!$B$5,",",," ",C406),"")</f>
        <v>#REF!</v>
      </c>
      <c r="G406" t="e">
        <f t="shared" si="12"/>
        <v>#REF!</v>
      </c>
      <c r="H406" s="92" t="str">
        <f t="shared" si="13"/>
        <v/>
      </c>
      <c r="I406" s="91">
        <v>0</v>
      </c>
    </row>
    <row r="407" spans="1:9">
      <c r="A407" s="76" t="e" cm="1">
        <f t="array" ref="A407">IF(OR(INDEX(#REF!,ROW()+10)="START",INDEX(#REF!,ROW()+9)="",INDEX(#REF!,ROW()+9)="START",INDEX(#REF!,ROW()+9)="TBA",INDEX(#REF!,ROW()+9)="TBC"),"",INDEX(#REF!,ROW()+9)+'Date Calculators'!$B$2+E407)</f>
        <v>#REF!</v>
      </c>
      <c r="B407" s="76" t="e" cm="1">
        <f t="array" ref="B407">IF(OR(A407=""),"",IF(INDEX(#REF!,ROW()+9)="",IF(A408="",A407+$Q$10,A408),INDEX(#REF!,ROW()+9)+'Date Calculators'!$B$2+E407))</f>
        <v>#REF!</v>
      </c>
      <c r="C407" s="74" t="e" cm="1">
        <f t="array" ref="C407">IF(A407="","",INDEX(#REF!,ROW()+9))</f>
        <v>#REF!</v>
      </c>
      <c r="D407" s="74" t="str">
        <f>IFERROR(IF(A407="","",'Event Info'!$B$2),"")</f>
        <v/>
      </c>
      <c r="E407" t="e" cm="1">
        <f t="array" ref="E407">IF(INDEX(#REF!,ROW()+9)="START",E406+1,E406+0)</f>
        <v>#REF!</v>
      </c>
      <c r="F407" s="82" t="e">
        <f>IF(A407&lt;&gt;"",_xlfn.CONCAT(TEXT(A407,"yyyy-mm-dd"),"T",TEXT(A407,"hh:mm:ss"),'Event Info'!$B$5,",",," ",C407),"")</f>
        <v>#REF!</v>
      </c>
      <c r="G407" t="e">
        <f t="shared" si="12"/>
        <v>#REF!</v>
      </c>
      <c r="H407" s="92" t="str">
        <f t="shared" si="13"/>
        <v/>
      </c>
      <c r="I407" s="88">
        <v>0</v>
      </c>
    </row>
    <row r="408" spans="1:9">
      <c r="A408" s="76" t="e" cm="1">
        <f t="array" ref="A408">IF(OR(INDEX(#REF!,ROW()+10)="START",INDEX(#REF!,ROW()+9)="",INDEX(#REF!,ROW()+9)="START",INDEX(#REF!,ROW()+9)="TBA",INDEX(#REF!,ROW()+9)="TBC"),"",INDEX(#REF!,ROW()+9)+'Date Calculators'!$B$2+E408)</f>
        <v>#REF!</v>
      </c>
      <c r="B408" s="76" t="e" cm="1">
        <f t="array" ref="B408">IF(OR(A408=""),"",IF(INDEX(#REF!,ROW()+9)="",IF(A409="",A408+$Q$10,A409),INDEX(#REF!,ROW()+9)+'Date Calculators'!$B$2+E408))</f>
        <v>#REF!</v>
      </c>
      <c r="C408" s="74" t="e" cm="1">
        <f t="array" ref="C408">IF(A408="","",INDEX(#REF!,ROW()+9))</f>
        <v>#REF!</v>
      </c>
      <c r="D408" s="74" t="str">
        <f>IFERROR(IF(A408="","",'Event Info'!$B$2),"")</f>
        <v/>
      </c>
      <c r="E408" t="e" cm="1">
        <f t="array" ref="E408">IF(INDEX(#REF!,ROW()+9)="START",E407+1,E407+0)</f>
        <v>#REF!</v>
      </c>
      <c r="F408" s="82" t="e">
        <f>IF(A408&lt;&gt;"",_xlfn.CONCAT(TEXT(A408,"yyyy-mm-dd"),"T",TEXT(A408,"hh:mm:ss"),'Event Info'!$B$5,",",," ",C408),"")</f>
        <v>#REF!</v>
      </c>
      <c r="G408" t="e">
        <f t="shared" si="12"/>
        <v>#REF!</v>
      </c>
      <c r="H408" s="92" t="str">
        <f t="shared" si="13"/>
        <v/>
      </c>
      <c r="I408" s="88">
        <v>0</v>
      </c>
    </row>
    <row r="409" spans="1:9" ht="16.899999999999999">
      <c r="A409" s="76" t="e" cm="1">
        <f t="array" ref="A409">IF(OR(INDEX(#REF!,ROW()+10)="START",INDEX(#REF!,ROW()+9)="",INDEX(#REF!,ROW()+9)="START",INDEX(#REF!,ROW()+9)="TBA",INDEX(#REF!,ROW()+9)="TBC"),"",INDEX(#REF!,ROW()+9)+'Date Calculators'!$B$2+E409)</f>
        <v>#REF!</v>
      </c>
      <c r="B409" s="76" t="e" cm="1">
        <f t="array" ref="B409">IF(OR(A409=""),"",IF(INDEX(#REF!,ROW()+9)="",IF(A410="",A409+$Q$10,A410),INDEX(#REF!,ROW()+9)+'Date Calculators'!$B$2+E409))</f>
        <v>#REF!</v>
      </c>
      <c r="C409" s="74" t="e" cm="1">
        <f t="array" ref="C409">IF(A409="","",INDEX(#REF!,ROW()+9))</f>
        <v>#REF!</v>
      </c>
      <c r="D409" s="74" t="str">
        <f>IFERROR(IF(A409="","",'Event Info'!$B$2),"")</f>
        <v/>
      </c>
      <c r="E409" t="e" cm="1">
        <f t="array" ref="E409">IF(INDEX(#REF!,ROW()+9)="START",E408+1,E408+0)</f>
        <v>#REF!</v>
      </c>
      <c r="F409" s="82" t="e">
        <f>IF(A409&lt;&gt;"",_xlfn.CONCAT(TEXT(A409,"yyyy-mm-dd"),"T",TEXT(A409,"hh:mm:ss"),'Event Info'!$B$5,",",," ",C409),"")</f>
        <v>#REF!</v>
      </c>
      <c r="G409" t="e">
        <f t="shared" si="12"/>
        <v>#REF!</v>
      </c>
      <c r="H409" s="92" t="str">
        <f t="shared" si="13"/>
        <v/>
      </c>
      <c r="I409" s="91">
        <v>0</v>
      </c>
    </row>
    <row r="410" spans="1:9">
      <c r="A410" s="76" t="e" cm="1">
        <f t="array" ref="A410">IF(OR(INDEX(#REF!,ROW()+10)="START",INDEX(#REF!,ROW()+9)="",INDEX(#REF!,ROW()+9)="START",INDEX(#REF!,ROW()+9)="TBA",INDEX(#REF!,ROW()+9)="TBC"),"",INDEX(#REF!,ROW()+9)+'Date Calculators'!$B$2+E410)</f>
        <v>#REF!</v>
      </c>
      <c r="B410" s="76" t="e" cm="1">
        <f t="array" ref="B410">IF(OR(A410=""),"",IF(INDEX(#REF!,ROW()+9)="",IF(A411="",A410+$Q$10,A411),INDEX(#REF!,ROW()+9)+'Date Calculators'!$B$2+E410))</f>
        <v>#REF!</v>
      </c>
      <c r="C410" s="74" t="e" cm="1">
        <f t="array" ref="C410">IF(A410="","",INDEX(#REF!,ROW()+9))</f>
        <v>#REF!</v>
      </c>
      <c r="D410" s="74" t="str">
        <f>IFERROR(IF(A410="","",'Event Info'!$B$2),"")</f>
        <v/>
      </c>
      <c r="E410" t="e" cm="1">
        <f t="array" ref="E410">IF(INDEX(#REF!,ROW()+9)="START",E409+1,E409+0)</f>
        <v>#REF!</v>
      </c>
      <c r="F410" s="82" t="e">
        <f>IF(A410&lt;&gt;"",_xlfn.CONCAT(TEXT(A410,"yyyy-mm-dd"),"T",TEXT(A410,"hh:mm:ss"),'Event Info'!$B$5,",",," ",C410),"")</f>
        <v>#REF!</v>
      </c>
      <c r="G410" t="e">
        <f t="shared" si="12"/>
        <v>#REF!</v>
      </c>
      <c r="H410" s="92" t="str">
        <f t="shared" si="13"/>
        <v/>
      </c>
      <c r="I410" s="88">
        <v>0</v>
      </c>
    </row>
    <row r="411" spans="1:9">
      <c r="A411" s="76" t="e" cm="1">
        <f t="array" ref="A411">IF(OR(INDEX(#REF!,ROW()+10)="START",INDEX(#REF!,ROW()+9)="",INDEX(#REF!,ROW()+9)="START",INDEX(#REF!,ROW()+9)="TBA",INDEX(#REF!,ROW()+9)="TBC"),"",INDEX(#REF!,ROW()+9)+'Date Calculators'!$B$2+E411)</f>
        <v>#REF!</v>
      </c>
      <c r="B411" s="76" t="e" cm="1">
        <f t="array" ref="B411">IF(OR(A411=""),"",IF(INDEX(#REF!,ROW()+9)="",IF(A412="",A411+$Q$10,A412),INDEX(#REF!,ROW()+9)+'Date Calculators'!$B$2+E411))</f>
        <v>#REF!</v>
      </c>
      <c r="C411" s="74" t="e" cm="1">
        <f t="array" ref="C411">IF(A411="","",INDEX(#REF!,ROW()+9))</f>
        <v>#REF!</v>
      </c>
      <c r="D411" s="74" t="str">
        <f>IFERROR(IF(A411="","",'Event Info'!$B$2),"")</f>
        <v/>
      </c>
      <c r="E411" t="e" cm="1">
        <f t="array" ref="E411">IF(INDEX(#REF!,ROW()+9)="START",E410+1,E410+0)</f>
        <v>#REF!</v>
      </c>
      <c r="F411" s="82" t="e">
        <f>IF(A411&lt;&gt;"",_xlfn.CONCAT(TEXT(A411,"yyyy-mm-dd"),"T",TEXT(A411,"hh:mm:ss"),'Event Info'!$B$5,",",," ",C411),"")</f>
        <v>#REF!</v>
      </c>
      <c r="G411" t="e">
        <f t="shared" si="12"/>
        <v>#REF!</v>
      </c>
      <c r="H411" s="92" t="str">
        <f t="shared" si="13"/>
        <v/>
      </c>
      <c r="I411" s="88">
        <v>0</v>
      </c>
    </row>
    <row r="412" spans="1:9" ht="16.899999999999999">
      <c r="A412" s="76" t="e" cm="1">
        <f t="array" ref="A412">IF(OR(INDEX(#REF!,ROW()+10)="START",INDEX(#REF!,ROW()+9)="",INDEX(#REF!,ROW()+9)="START",INDEX(#REF!,ROW()+9)="TBA",INDEX(#REF!,ROW()+9)="TBC"),"",INDEX(#REF!,ROW()+9)+'Date Calculators'!$B$2+E412)</f>
        <v>#REF!</v>
      </c>
      <c r="B412" s="76" t="e" cm="1">
        <f t="array" ref="B412">IF(OR(A412=""),"",IF(INDEX(#REF!,ROW()+9)="",IF(A413="",A412+$Q$10,A413),INDEX(#REF!,ROW()+9)+'Date Calculators'!$B$2+E412))</f>
        <v>#REF!</v>
      </c>
      <c r="C412" s="74" t="e" cm="1">
        <f t="array" ref="C412">IF(A412="","",INDEX(#REF!,ROW()+9))</f>
        <v>#REF!</v>
      </c>
      <c r="D412" s="74" t="str">
        <f>IFERROR(IF(A412="","",'Event Info'!$B$2),"")</f>
        <v/>
      </c>
      <c r="E412" t="e" cm="1">
        <f t="array" ref="E412">IF(INDEX(#REF!,ROW()+9)="START",E411+1,E411+0)</f>
        <v>#REF!</v>
      </c>
      <c r="F412" s="82" t="e">
        <f>IF(A412&lt;&gt;"",_xlfn.CONCAT(TEXT(A412,"yyyy-mm-dd"),"T",TEXT(A412,"hh:mm:ss"),'Event Info'!$B$5,",",," ",C412),"")</f>
        <v>#REF!</v>
      </c>
      <c r="G412" t="e">
        <f t="shared" si="12"/>
        <v>#REF!</v>
      </c>
      <c r="H412" s="92" t="str">
        <f t="shared" si="13"/>
        <v/>
      </c>
      <c r="I412" s="91">
        <v>0</v>
      </c>
    </row>
    <row r="413" spans="1:9">
      <c r="A413" s="76" t="e" cm="1">
        <f t="array" ref="A413">IF(OR(INDEX(#REF!,ROW()+10)="START",INDEX(#REF!,ROW()+9)="",INDEX(#REF!,ROW()+9)="START",INDEX(#REF!,ROW()+9)="TBA",INDEX(#REF!,ROW()+9)="TBC"),"",INDEX(#REF!,ROW()+9)+'Date Calculators'!$B$2+E413)</f>
        <v>#REF!</v>
      </c>
      <c r="B413" s="76" t="e" cm="1">
        <f t="array" ref="B413">IF(OR(A413=""),"",IF(INDEX(#REF!,ROW()+9)="",IF(A414="",A413+$Q$10,A414),INDEX(#REF!,ROW()+9)+'Date Calculators'!$B$2+E413))</f>
        <v>#REF!</v>
      </c>
      <c r="C413" s="74" t="e" cm="1">
        <f t="array" ref="C413">IF(A413="","",INDEX(#REF!,ROW()+9))</f>
        <v>#REF!</v>
      </c>
      <c r="D413" s="74" t="str">
        <f>IFERROR(IF(A413="","",'Event Info'!$B$2),"")</f>
        <v/>
      </c>
      <c r="E413" t="e" cm="1">
        <f t="array" ref="E413">IF(INDEX(#REF!,ROW()+9)="START",E412+1,E412+0)</f>
        <v>#REF!</v>
      </c>
      <c r="F413" s="82" t="e">
        <f>IF(A413&lt;&gt;"",_xlfn.CONCAT(TEXT(A413,"yyyy-mm-dd"),"T",TEXT(A413,"hh:mm:ss"),'Event Info'!$B$5,",",," ",C413),"")</f>
        <v>#REF!</v>
      </c>
      <c r="G413" t="e">
        <f t="shared" si="12"/>
        <v>#REF!</v>
      </c>
      <c r="H413" s="92" t="str">
        <f t="shared" si="13"/>
        <v/>
      </c>
      <c r="I413" s="88">
        <v>0</v>
      </c>
    </row>
    <row r="414" spans="1:9">
      <c r="A414" s="76" t="e" cm="1">
        <f t="array" ref="A414">IF(OR(INDEX(#REF!,ROW()+10)="START",INDEX(#REF!,ROW()+9)="",INDEX(#REF!,ROW()+9)="START",INDEX(#REF!,ROW()+9)="TBA",INDEX(#REF!,ROW()+9)="TBC"),"",INDEX(#REF!,ROW()+9)+'Date Calculators'!$B$2+E414)</f>
        <v>#REF!</v>
      </c>
      <c r="B414" s="76" t="e" cm="1">
        <f t="array" ref="B414">IF(OR(A414=""),"",IF(INDEX(#REF!,ROW()+9)="",IF(A415="",A414+$Q$10,A415),INDEX(#REF!,ROW()+9)+'Date Calculators'!$B$2+E414))</f>
        <v>#REF!</v>
      </c>
      <c r="C414" s="74" t="e" cm="1">
        <f t="array" ref="C414">IF(A414="","",INDEX(#REF!,ROW()+9))</f>
        <v>#REF!</v>
      </c>
      <c r="D414" s="74" t="str">
        <f>IFERROR(IF(A414="","",'Event Info'!$B$2),"")</f>
        <v/>
      </c>
      <c r="E414" t="e" cm="1">
        <f t="array" ref="E414">IF(INDEX(#REF!,ROW()+9)="START",E413+1,E413+0)</f>
        <v>#REF!</v>
      </c>
      <c r="F414" s="82" t="e">
        <f>IF(A414&lt;&gt;"",_xlfn.CONCAT(TEXT(A414,"yyyy-mm-dd"),"T",TEXT(A414,"hh:mm:ss"),'Event Info'!$B$5,",",," ",C414),"")</f>
        <v>#REF!</v>
      </c>
      <c r="G414" t="e">
        <f t="shared" si="12"/>
        <v>#REF!</v>
      </c>
      <c r="H414" s="92" t="str">
        <f t="shared" si="13"/>
        <v/>
      </c>
      <c r="I414" s="88">
        <v>0</v>
      </c>
    </row>
    <row r="415" spans="1:9" ht="16.899999999999999">
      <c r="A415" s="76" t="e" cm="1">
        <f t="array" ref="A415">IF(OR(INDEX(#REF!,ROW()+10)="START",INDEX(#REF!,ROW()+9)="",INDEX(#REF!,ROW()+9)="START",INDEX(#REF!,ROW()+9)="TBA",INDEX(#REF!,ROW()+9)="TBC"),"",INDEX(#REF!,ROW()+9)+'Date Calculators'!$B$2+E415)</f>
        <v>#REF!</v>
      </c>
      <c r="B415" s="76" t="e" cm="1">
        <f t="array" ref="B415">IF(OR(A415=""),"",IF(INDEX(#REF!,ROW()+9)="",IF(A416="",A415+$Q$10,A416),INDEX(#REF!,ROW()+9)+'Date Calculators'!$B$2+E415))</f>
        <v>#REF!</v>
      </c>
      <c r="C415" s="74" t="e" cm="1">
        <f t="array" ref="C415">IF(A415="","",INDEX(#REF!,ROW()+9))</f>
        <v>#REF!</v>
      </c>
      <c r="D415" s="74" t="str">
        <f>IFERROR(IF(A415="","",'Event Info'!$B$2),"")</f>
        <v/>
      </c>
      <c r="E415" t="e" cm="1">
        <f t="array" ref="E415">IF(INDEX(#REF!,ROW()+9)="START",E414+1,E414+0)</f>
        <v>#REF!</v>
      </c>
      <c r="F415" s="82" t="e">
        <f>IF(A415&lt;&gt;"",_xlfn.CONCAT(TEXT(A415,"yyyy-mm-dd"),"T",TEXT(A415,"hh:mm:ss"),'Event Info'!$B$5,",",," ",C415),"")</f>
        <v>#REF!</v>
      </c>
      <c r="G415" t="e">
        <f t="shared" si="12"/>
        <v>#REF!</v>
      </c>
      <c r="H415" s="92" t="str">
        <f t="shared" si="13"/>
        <v/>
      </c>
      <c r="I415" s="91">
        <v>0</v>
      </c>
    </row>
    <row r="416" spans="1:9">
      <c r="A416" s="76" t="e" cm="1">
        <f t="array" ref="A416">IF(OR(INDEX(#REF!,ROW()+10)="START",INDEX(#REF!,ROW()+9)="",INDEX(#REF!,ROW()+9)="START",INDEX(#REF!,ROW()+9)="TBA",INDEX(#REF!,ROW()+9)="TBC"),"",INDEX(#REF!,ROW()+9)+'Date Calculators'!$B$2+E416)</f>
        <v>#REF!</v>
      </c>
      <c r="B416" s="76" t="e" cm="1">
        <f t="array" ref="B416">IF(OR(A416=""),"",IF(INDEX(#REF!,ROW()+9)="",IF(A417="",A416+$Q$10,A417),INDEX(#REF!,ROW()+9)+'Date Calculators'!$B$2+E416))</f>
        <v>#REF!</v>
      </c>
      <c r="C416" s="74" t="e" cm="1">
        <f t="array" ref="C416">IF(A416="","",INDEX(#REF!,ROW()+9))</f>
        <v>#REF!</v>
      </c>
      <c r="D416" s="74" t="str">
        <f>IFERROR(IF(A416="","",'Event Info'!$B$2),"")</f>
        <v/>
      </c>
      <c r="E416" t="e" cm="1">
        <f t="array" ref="E416">IF(INDEX(#REF!,ROW()+9)="START",E415+1,E415+0)</f>
        <v>#REF!</v>
      </c>
      <c r="F416" s="82" t="e">
        <f>IF(A416&lt;&gt;"",_xlfn.CONCAT(TEXT(A416,"yyyy-mm-dd"),"T",TEXT(A416,"hh:mm:ss"),'Event Info'!$B$5,",",," ",C416),"")</f>
        <v>#REF!</v>
      </c>
      <c r="G416" t="e">
        <f t="shared" si="12"/>
        <v>#REF!</v>
      </c>
      <c r="H416" s="92" t="str">
        <f t="shared" si="13"/>
        <v/>
      </c>
      <c r="I416" s="88">
        <v>0</v>
      </c>
    </row>
    <row r="417" spans="1:9">
      <c r="A417" s="76" t="e" cm="1">
        <f t="array" ref="A417">IF(OR(INDEX(#REF!,ROW()+10)="START",INDEX(#REF!,ROW()+9)="",INDEX(#REF!,ROW()+9)="START",INDEX(#REF!,ROW()+9)="TBA",INDEX(#REF!,ROW()+9)="TBC"),"",INDEX(#REF!,ROW()+9)+'Date Calculators'!$B$2+E417)</f>
        <v>#REF!</v>
      </c>
      <c r="B417" s="76" t="e" cm="1">
        <f t="array" ref="B417">IF(OR(A417=""),"",IF(INDEX(#REF!,ROW()+9)="",IF(A418="",A417+$Q$10,A418),INDEX(#REF!,ROW()+9)+'Date Calculators'!$B$2+E417))</f>
        <v>#REF!</v>
      </c>
      <c r="C417" s="74" t="e" cm="1">
        <f t="array" ref="C417">IF(A417="","",INDEX(#REF!,ROW()+9))</f>
        <v>#REF!</v>
      </c>
      <c r="D417" s="74" t="str">
        <f>IFERROR(IF(A417="","",'Event Info'!$B$2),"")</f>
        <v/>
      </c>
      <c r="E417" t="e" cm="1">
        <f t="array" ref="E417">IF(INDEX(#REF!,ROW()+9)="START",E416+1,E416+0)</f>
        <v>#REF!</v>
      </c>
      <c r="F417" s="82" t="e">
        <f>IF(A417&lt;&gt;"",_xlfn.CONCAT(TEXT(A417,"yyyy-mm-dd"),"T",TEXT(A417,"hh:mm:ss"),'Event Info'!$B$5,",",," ",C417),"")</f>
        <v>#REF!</v>
      </c>
      <c r="G417" t="e">
        <f t="shared" si="12"/>
        <v>#REF!</v>
      </c>
      <c r="H417" s="92" t="str">
        <f t="shared" si="13"/>
        <v/>
      </c>
      <c r="I417" s="88">
        <v>0</v>
      </c>
    </row>
    <row r="418" spans="1:9" ht="16.899999999999999">
      <c r="A418" s="76" t="e" cm="1">
        <f t="array" ref="A418">IF(OR(INDEX(#REF!,ROW()+10)="START",INDEX(#REF!,ROW()+9)="",INDEX(#REF!,ROW()+9)="START",INDEX(#REF!,ROW()+9)="TBA",INDEX(#REF!,ROW()+9)="TBC"),"",INDEX(#REF!,ROW()+9)+'Date Calculators'!$B$2+E418)</f>
        <v>#REF!</v>
      </c>
      <c r="B418" s="76" t="e" cm="1">
        <f t="array" ref="B418">IF(OR(A418=""),"",IF(INDEX(#REF!,ROW()+9)="",IF(A419="",A418+$Q$10,A419),INDEX(#REF!,ROW()+9)+'Date Calculators'!$B$2+E418))</f>
        <v>#REF!</v>
      </c>
      <c r="C418" s="74" t="e" cm="1">
        <f t="array" ref="C418">IF(A418="","",INDEX(#REF!,ROW()+9))</f>
        <v>#REF!</v>
      </c>
      <c r="D418" s="74" t="str">
        <f>IFERROR(IF(A418="","",'Event Info'!$B$2),"")</f>
        <v/>
      </c>
      <c r="E418" t="e" cm="1">
        <f t="array" ref="E418">IF(INDEX(#REF!,ROW()+9)="START",E417+1,E417+0)</f>
        <v>#REF!</v>
      </c>
      <c r="F418" s="82" t="e">
        <f>IF(A418&lt;&gt;"",_xlfn.CONCAT(TEXT(A418,"yyyy-mm-dd"),"T",TEXT(A418,"hh:mm:ss"),'Event Info'!$B$5,",",," ",C418),"")</f>
        <v>#REF!</v>
      </c>
      <c r="G418" t="e">
        <f t="shared" si="12"/>
        <v>#REF!</v>
      </c>
      <c r="H418" s="92" t="str">
        <f t="shared" si="13"/>
        <v/>
      </c>
      <c r="I418" s="91">
        <v>0</v>
      </c>
    </row>
    <row r="419" spans="1:9">
      <c r="A419" s="76" t="e" cm="1">
        <f t="array" ref="A419">IF(OR(INDEX(#REF!,ROW()+10)="START",INDEX(#REF!,ROW()+9)="",INDEX(#REF!,ROW()+9)="START",INDEX(#REF!,ROW()+9)="TBA",INDEX(#REF!,ROW()+9)="TBC"),"",INDEX(#REF!,ROW()+9)+'Date Calculators'!$B$2+E419)</f>
        <v>#REF!</v>
      </c>
      <c r="B419" s="76" t="e" cm="1">
        <f t="array" ref="B419">IF(OR(A419=""),"",IF(INDEX(#REF!,ROW()+9)="",IF(A420="",A419+$Q$10,A420),INDEX(#REF!,ROW()+9)+'Date Calculators'!$B$2+E419))</f>
        <v>#REF!</v>
      </c>
      <c r="C419" s="74" t="e" cm="1">
        <f t="array" ref="C419">IF(A419="","",INDEX(#REF!,ROW()+9))</f>
        <v>#REF!</v>
      </c>
      <c r="D419" s="74" t="str">
        <f>IFERROR(IF(A419="","",'Event Info'!$B$2),"")</f>
        <v/>
      </c>
      <c r="E419" t="e" cm="1">
        <f t="array" ref="E419">IF(INDEX(#REF!,ROW()+9)="START",E418+1,E418+0)</f>
        <v>#REF!</v>
      </c>
      <c r="F419" s="82" t="e">
        <f>IF(A419&lt;&gt;"",_xlfn.CONCAT(TEXT(A419,"yyyy-mm-dd"),"T",TEXT(A419,"hh:mm:ss"),'Event Info'!$B$5,",",," ",C419),"")</f>
        <v>#REF!</v>
      </c>
      <c r="G419" t="e">
        <f t="shared" si="12"/>
        <v>#REF!</v>
      </c>
      <c r="H419" s="92" t="str">
        <f t="shared" si="13"/>
        <v/>
      </c>
      <c r="I419" s="88">
        <v>0</v>
      </c>
    </row>
    <row r="420" spans="1:9">
      <c r="A420" s="76" t="e" cm="1">
        <f t="array" ref="A420">IF(OR(INDEX(#REF!,ROW()+10)="START",INDEX(#REF!,ROW()+9)="",INDEX(#REF!,ROW()+9)="START",INDEX(#REF!,ROW()+9)="TBA",INDEX(#REF!,ROW()+9)="TBC"),"",INDEX(#REF!,ROW()+9)+'Date Calculators'!$B$2+E420)</f>
        <v>#REF!</v>
      </c>
      <c r="B420" s="76" t="e" cm="1">
        <f t="array" ref="B420">IF(OR(A420=""),"",IF(INDEX(#REF!,ROW()+9)="",IF(A421="",A420+$Q$10,A421),INDEX(#REF!,ROW()+9)+'Date Calculators'!$B$2+E420))</f>
        <v>#REF!</v>
      </c>
      <c r="C420" s="74" t="e" cm="1">
        <f t="array" ref="C420">IF(A420="","",INDEX(#REF!,ROW()+9))</f>
        <v>#REF!</v>
      </c>
      <c r="D420" s="74" t="str">
        <f>IFERROR(IF(A420="","",'Event Info'!$B$2),"")</f>
        <v/>
      </c>
      <c r="E420" t="e" cm="1">
        <f t="array" ref="E420">IF(INDEX(#REF!,ROW()+9)="START",E419+1,E419+0)</f>
        <v>#REF!</v>
      </c>
      <c r="F420" s="82" t="e">
        <f>IF(A420&lt;&gt;"",_xlfn.CONCAT(TEXT(A420,"yyyy-mm-dd"),"T",TEXT(A420,"hh:mm:ss"),'Event Info'!$B$5,",",," ",C420),"")</f>
        <v>#REF!</v>
      </c>
      <c r="G420" t="e">
        <f t="shared" si="12"/>
        <v>#REF!</v>
      </c>
      <c r="H420" s="92" t="str">
        <f t="shared" si="13"/>
        <v/>
      </c>
      <c r="I420" s="88">
        <v>0</v>
      </c>
    </row>
    <row r="421" spans="1:9" ht="16.899999999999999">
      <c r="A421" s="76" t="e" cm="1">
        <f t="array" ref="A421">IF(OR(INDEX(#REF!,ROW()+10)="START",INDEX(#REF!,ROW()+9)="",INDEX(#REF!,ROW()+9)="START",INDEX(#REF!,ROW()+9)="TBA",INDEX(#REF!,ROW()+9)="TBC"),"",INDEX(#REF!,ROW()+9)+'Date Calculators'!$B$2+E421)</f>
        <v>#REF!</v>
      </c>
      <c r="B421" s="76" t="e" cm="1">
        <f t="array" ref="B421">IF(OR(A421=""),"",IF(INDEX(#REF!,ROW()+9)="",IF(A422="",A421+$Q$10,A422),INDEX(#REF!,ROW()+9)+'Date Calculators'!$B$2+E421))</f>
        <v>#REF!</v>
      </c>
      <c r="C421" s="74" t="e" cm="1">
        <f t="array" ref="C421">IF(A421="","",INDEX(#REF!,ROW()+9))</f>
        <v>#REF!</v>
      </c>
      <c r="D421" s="74" t="str">
        <f>IFERROR(IF(A421="","",'Event Info'!$B$2),"")</f>
        <v/>
      </c>
      <c r="E421" t="e" cm="1">
        <f t="array" ref="E421">IF(INDEX(#REF!,ROW()+9)="START",E420+1,E420+0)</f>
        <v>#REF!</v>
      </c>
      <c r="F421" s="82" t="e">
        <f>IF(A421&lt;&gt;"",_xlfn.CONCAT(TEXT(A421,"yyyy-mm-dd"),"T",TEXT(A421,"hh:mm:ss"),'Event Info'!$B$5,",",," ",C421),"")</f>
        <v>#REF!</v>
      </c>
      <c r="G421" t="e">
        <f t="shared" si="12"/>
        <v>#REF!</v>
      </c>
      <c r="H421" s="92" t="str">
        <f t="shared" si="13"/>
        <v/>
      </c>
      <c r="I421" s="91">
        <v>0</v>
      </c>
    </row>
    <row r="422" spans="1:9">
      <c r="A422" s="76" t="e" cm="1">
        <f t="array" ref="A422">IF(OR(INDEX(#REF!,ROW()+10)="START",INDEX(#REF!,ROW()+9)="",INDEX(#REF!,ROW()+9)="START",INDEX(#REF!,ROW()+9)="TBA",INDEX(#REF!,ROW()+9)="TBC"),"",INDEX(#REF!,ROW()+9)+'Date Calculators'!$B$2+E422)</f>
        <v>#REF!</v>
      </c>
      <c r="B422" s="76" t="e" cm="1">
        <f t="array" ref="B422">IF(OR(A422=""),"",IF(INDEX(#REF!,ROW()+9)="",IF(A423="",A422+$Q$10,A423),INDEX(#REF!,ROW()+9)+'Date Calculators'!$B$2+E422))</f>
        <v>#REF!</v>
      </c>
      <c r="C422" s="74" t="e" cm="1">
        <f t="array" ref="C422">IF(A422="","",INDEX(#REF!,ROW()+9))</f>
        <v>#REF!</v>
      </c>
      <c r="D422" s="74" t="str">
        <f>IFERROR(IF(A422="","",'Event Info'!$B$2),"")</f>
        <v/>
      </c>
      <c r="E422" t="e" cm="1">
        <f t="array" ref="E422">IF(INDEX(#REF!,ROW()+9)="START",E421+1,E421+0)</f>
        <v>#REF!</v>
      </c>
      <c r="F422" s="82" t="e">
        <f>IF(A422&lt;&gt;"",_xlfn.CONCAT(TEXT(A422,"yyyy-mm-dd"),"T",TEXT(A422,"hh:mm:ss"),'Event Info'!$B$5,",",," ",C422),"")</f>
        <v>#REF!</v>
      </c>
      <c r="G422" t="e">
        <f t="shared" si="12"/>
        <v>#REF!</v>
      </c>
      <c r="H422" s="92" t="str">
        <f t="shared" si="13"/>
        <v/>
      </c>
      <c r="I422" s="88">
        <v>0</v>
      </c>
    </row>
    <row r="423" spans="1:9">
      <c r="A423" s="76" t="e" cm="1">
        <f t="array" ref="A423">IF(OR(INDEX(#REF!,ROW()+10)="START",INDEX(#REF!,ROW()+9)="",INDEX(#REF!,ROW()+9)="START",INDEX(#REF!,ROW()+9)="TBA",INDEX(#REF!,ROW()+9)="TBC"),"",INDEX(#REF!,ROW()+9)+'Date Calculators'!$B$2+E423)</f>
        <v>#REF!</v>
      </c>
      <c r="B423" s="76" t="e" cm="1">
        <f t="array" ref="B423">IF(OR(A423=""),"",IF(INDEX(#REF!,ROW()+9)="",IF(A424="",A423+$Q$10,A424),INDEX(#REF!,ROW()+9)+'Date Calculators'!$B$2+E423))</f>
        <v>#REF!</v>
      </c>
      <c r="C423" s="74" t="e" cm="1">
        <f t="array" ref="C423">IF(A423="","",INDEX(#REF!,ROW()+9))</f>
        <v>#REF!</v>
      </c>
      <c r="D423" s="74" t="str">
        <f>IFERROR(IF(A423="","",'Event Info'!$B$2),"")</f>
        <v/>
      </c>
      <c r="E423" t="e" cm="1">
        <f t="array" ref="E423">IF(INDEX(#REF!,ROW()+9)="START",E422+1,E422+0)</f>
        <v>#REF!</v>
      </c>
      <c r="F423" s="82" t="e">
        <f>IF(A423&lt;&gt;"",_xlfn.CONCAT(TEXT(A423,"yyyy-mm-dd"),"T",TEXT(A423,"hh:mm:ss"),'Event Info'!$B$5,",",," ",C423),"")</f>
        <v>#REF!</v>
      </c>
      <c r="G423" t="e">
        <f t="shared" si="12"/>
        <v>#REF!</v>
      </c>
      <c r="H423" s="92" t="str">
        <f t="shared" si="13"/>
        <v/>
      </c>
      <c r="I423" s="88">
        <v>0</v>
      </c>
    </row>
    <row r="424" spans="1:9" ht="16.899999999999999">
      <c r="A424" s="76" t="e" cm="1">
        <f t="array" ref="A424">IF(OR(INDEX(#REF!,ROW()+10)="START",INDEX(#REF!,ROW()+9)="",INDEX(#REF!,ROW()+9)="START",INDEX(#REF!,ROW()+9)="TBA",INDEX(#REF!,ROW()+9)="TBC"),"",INDEX(#REF!,ROW()+9)+'Date Calculators'!$B$2+E424)</f>
        <v>#REF!</v>
      </c>
      <c r="B424" s="76" t="e" cm="1">
        <f t="array" ref="B424">IF(OR(A424=""),"",IF(INDEX(#REF!,ROW()+9)="",IF(A425="",A424+$Q$10,A425),INDEX(#REF!,ROW()+9)+'Date Calculators'!$B$2+E424))</f>
        <v>#REF!</v>
      </c>
      <c r="C424" s="74" t="e" cm="1">
        <f t="array" ref="C424">IF(A424="","",INDEX(#REF!,ROW()+9))</f>
        <v>#REF!</v>
      </c>
      <c r="D424" s="74" t="str">
        <f>IFERROR(IF(A424="","",'Event Info'!$B$2),"")</f>
        <v/>
      </c>
      <c r="E424" t="e" cm="1">
        <f t="array" ref="E424">IF(INDEX(#REF!,ROW()+9)="START",E423+1,E423+0)</f>
        <v>#REF!</v>
      </c>
      <c r="F424" s="82" t="e">
        <f>IF(A424&lt;&gt;"",_xlfn.CONCAT(TEXT(A424,"yyyy-mm-dd"),"T",TEXT(A424,"hh:mm:ss"),'Event Info'!$B$5,",",," ",C424),"")</f>
        <v>#REF!</v>
      </c>
      <c r="G424" t="e">
        <f t="shared" si="12"/>
        <v>#REF!</v>
      </c>
      <c r="H424" s="92" t="str">
        <f t="shared" si="13"/>
        <v/>
      </c>
      <c r="I424" s="91">
        <v>0</v>
      </c>
    </row>
    <row r="425" spans="1:9">
      <c r="A425" s="76" t="e" cm="1">
        <f t="array" ref="A425">IF(OR(INDEX(#REF!,ROW()+10)="START",INDEX(#REF!,ROW()+9)="",INDEX(#REF!,ROW()+9)="START",INDEX(#REF!,ROW()+9)="TBA",INDEX(#REF!,ROW()+9)="TBC"),"",INDEX(#REF!,ROW()+9)+'Date Calculators'!$B$2+E425)</f>
        <v>#REF!</v>
      </c>
      <c r="B425" s="76" t="e" cm="1">
        <f t="array" ref="B425">IF(OR(A425=""),"",IF(INDEX(#REF!,ROW()+9)="",IF(A426="",A425+$Q$10,A426),INDEX(#REF!,ROW()+9)+'Date Calculators'!$B$2+E425))</f>
        <v>#REF!</v>
      </c>
      <c r="C425" s="74" t="e" cm="1">
        <f t="array" ref="C425">IF(A425="","",INDEX(#REF!,ROW()+9))</f>
        <v>#REF!</v>
      </c>
      <c r="D425" s="74" t="str">
        <f>IFERROR(IF(A425="","",'Event Info'!$B$2),"")</f>
        <v/>
      </c>
      <c r="E425" t="e" cm="1">
        <f t="array" ref="E425">IF(INDEX(#REF!,ROW()+9)="START",E424+1,E424+0)</f>
        <v>#REF!</v>
      </c>
      <c r="F425" s="82" t="e">
        <f>IF(A425&lt;&gt;"",_xlfn.CONCAT(TEXT(A425,"yyyy-mm-dd"),"T",TEXT(A425,"hh:mm:ss"),'Event Info'!$B$5,",",," ",C425),"")</f>
        <v>#REF!</v>
      </c>
      <c r="G425" t="e">
        <f t="shared" si="12"/>
        <v>#REF!</v>
      </c>
      <c r="H425" s="92" t="str">
        <f t="shared" si="13"/>
        <v/>
      </c>
      <c r="I425" s="88">
        <v>0</v>
      </c>
    </row>
    <row r="426" spans="1:9">
      <c r="A426" s="76" t="e" cm="1">
        <f t="array" ref="A426">IF(OR(INDEX(#REF!,ROW()+10)="START",INDEX(#REF!,ROW()+9)="",INDEX(#REF!,ROW()+9)="START",INDEX(#REF!,ROW()+9)="TBA",INDEX(#REF!,ROW()+9)="TBC"),"",INDEX(#REF!,ROW()+9)+'Date Calculators'!$B$2+E426)</f>
        <v>#REF!</v>
      </c>
      <c r="B426" s="76" t="e" cm="1">
        <f t="array" ref="B426">IF(OR(A426=""),"",IF(INDEX(#REF!,ROW()+9)="",IF(A427="",A426+$Q$10,A427),INDEX(#REF!,ROW()+9)+'Date Calculators'!$B$2+E426))</f>
        <v>#REF!</v>
      </c>
      <c r="C426" s="74" t="e" cm="1">
        <f t="array" ref="C426">IF(A426="","",INDEX(#REF!,ROW()+9))</f>
        <v>#REF!</v>
      </c>
      <c r="D426" s="74" t="str">
        <f>IFERROR(IF(A426="","",'Event Info'!$B$2),"")</f>
        <v/>
      </c>
      <c r="E426" t="e" cm="1">
        <f t="array" ref="E426">IF(INDEX(#REF!,ROW()+9)="START",E425+1,E425+0)</f>
        <v>#REF!</v>
      </c>
      <c r="F426" s="82" t="e">
        <f>IF(A426&lt;&gt;"",_xlfn.CONCAT(TEXT(A426,"yyyy-mm-dd"),"T",TEXT(A426,"hh:mm:ss"),'Event Info'!$B$5,",",," ",C426),"")</f>
        <v>#REF!</v>
      </c>
      <c r="G426" t="e">
        <f t="shared" si="12"/>
        <v>#REF!</v>
      </c>
      <c r="H426" s="92" t="str">
        <f t="shared" si="13"/>
        <v/>
      </c>
      <c r="I426" s="88">
        <v>0</v>
      </c>
    </row>
    <row r="427" spans="1:9" ht="16.899999999999999">
      <c r="A427" s="76" t="e" cm="1">
        <f t="array" ref="A427">IF(OR(INDEX(#REF!,ROW()+10)="START",INDEX(#REF!,ROW()+9)="",INDEX(#REF!,ROW()+9)="START",INDEX(#REF!,ROW()+9)="TBA",INDEX(#REF!,ROW()+9)="TBC"),"",INDEX(#REF!,ROW()+9)+'Date Calculators'!$B$2+E427)</f>
        <v>#REF!</v>
      </c>
      <c r="B427" s="76" t="e" cm="1">
        <f t="array" ref="B427">IF(OR(A427=""),"",IF(INDEX(#REF!,ROW()+9)="",IF(A428="",A427+$Q$10,A428),INDEX(#REF!,ROW()+9)+'Date Calculators'!$B$2+E427))</f>
        <v>#REF!</v>
      </c>
      <c r="C427" s="74" t="e" cm="1">
        <f t="array" ref="C427">IF(A427="","",INDEX(#REF!,ROW()+9))</f>
        <v>#REF!</v>
      </c>
      <c r="D427" s="74" t="str">
        <f>IFERROR(IF(A427="","",'Event Info'!$B$2),"")</f>
        <v/>
      </c>
      <c r="E427" t="e" cm="1">
        <f t="array" ref="E427">IF(INDEX(#REF!,ROW()+9)="START",E426+1,E426+0)</f>
        <v>#REF!</v>
      </c>
      <c r="F427" s="82" t="e">
        <f>IF(A427&lt;&gt;"",_xlfn.CONCAT(TEXT(A427,"yyyy-mm-dd"),"T",TEXT(A427,"hh:mm:ss"),'Event Info'!$B$5,",",," ",C427),"")</f>
        <v>#REF!</v>
      </c>
      <c r="G427" t="e">
        <f t="shared" si="12"/>
        <v>#REF!</v>
      </c>
      <c r="H427" s="92" t="str">
        <f t="shared" si="13"/>
        <v/>
      </c>
      <c r="I427" s="91">
        <v>0</v>
      </c>
    </row>
    <row r="428" spans="1:9">
      <c r="A428" s="76" t="e" cm="1">
        <f t="array" ref="A428">IF(OR(INDEX(#REF!,ROW()+10)="START",INDEX(#REF!,ROW()+9)="",INDEX(#REF!,ROW()+9)="START",INDEX(#REF!,ROW()+9)="TBA",INDEX(#REF!,ROW()+9)="TBC"),"",INDEX(#REF!,ROW()+9)+'Date Calculators'!$B$2+E428)</f>
        <v>#REF!</v>
      </c>
      <c r="B428" s="76" t="e" cm="1">
        <f t="array" ref="B428">IF(OR(A428=""),"",IF(INDEX(#REF!,ROW()+9)="",IF(A429="",A428+$Q$10,A429),INDEX(#REF!,ROW()+9)+'Date Calculators'!$B$2+E428))</f>
        <v>#REF!</v>
      </c>
      <c r="C428" s="74" t="e" cm="1">
        <f t="array" ref="C428">IF(A428="","",INDEX(#REF!,ROW()+9))</f>
        <v>#REF!</v>
      </c>
      <c r="D428" s="74" t="str">
        <f>IFERROR(IF(A428="","",'Event Info'!$B$2),"")</f>
        <v/>
      </c>
      <c r="E428" t="e" cm="1">
        <f t="array" ref="E428">IF(INDEX(#REF!,ROW()+9)="START",E427+1,E427+0)</f>
        <v>#REF!</v>
      </c>
      <c r="F428" s="82" t="e">
        <f>IF(A428&lt;&gt;"",_xlfn.CONCAT(TEXT(A428,"yyyy-mm-dd"),"T",TEXT(A428,"hh:mm:ss"),'Event Info'!$B$5,",",," ",C428),"")</f>
        <v>#REF!</v>
      </c>
      <c r="G428" t="e">
        <f t="shared" si="12"/>
        <v>#REF!</v>
      </c>
      <c r="H428" s="92" t="str">
        <f t="shared" si="13"/>
        <v/>
      </c>
      <c r="I428" s="88">
        <v>0</v>
      </c>
    </row>
    <row r="429" spans="1:9">
      <c r="A429" s="76" t="e" cm="1">
        <f t="array" ref="A429">IF(OR(INDEX(#REF!,ROW()+10)="START",INDEX(#REF!,ROW()+9)="",INDEX(#REF!,ROW()+9)="START",INDEX(#REF!,ROW()+9)="TBA",INDEX(#REF!,ROW()+9)="TBC"),"",INDEX(#REF!,ROW()+9)+'Date Calculators'!$B$2+E429)</f>
        <v>#REF!</v>
      </c>
      <c r="B429" s="76" t="e" cm="1">
        <f t="array" ref="B429">IF(OR(A429=""),"",IF(INDEX(#REF!,ROW()+9)="",IF(A430="",A429+$Q$10,A430),INDEX(#REF!,ROW()+9)+'Date Calculators'!$B$2+E429))</f>
        <v>#REF!</v>
      </c>
      <c r="C429" s="74" t="e" cm="1">
        <f t="array" ref="C429">IF(A429="","",INDEX(#REF!,ROW()+9))</f>
        <v>#REF!</v>
      </c>
      <c r="D429" s="74" t="str">
        <f>IFERROR(IF(A429="","",'Event Info'!$B$2),"")</f>
        <v/>
      </c>
      <c r="E429" t="e" cm="1">
        <f t="array" ref="E429">IF(INDEX(#REF!,ROW()+9)="START",E428+1,E428+0)</f>
        <v>#REF!</v>
      </c>
      <c r="F429" s="82" t="e">
        <f>IF(A429&lt;&gt;"",_xlfn.CONCAT(TEXT(A429,"yyyy-mm-dd"),"T",TEXT(A429,"hh:mm:ss"),'Event Info'!$B$5,",",," ",C429),"")</f>
        <v>#REF!</v>
      </c>
      <c r="G429" t="e">
        <f t="shared" si="12"/>
        <v>#REF!</v>
      </c>
      <c r="H429" s="92" t="str">
        <f t="shared" si="13"/>
        <v/>
      </c>
      <c r="I429" s="88">
        <v>0</v>
      </c>
    </row>
    <row r="430" spans="1:9" ht="16.899999999999999">
      <c r="A430" s="76" t="e" cm="1">
        <f t="array" ref="A430">IF(OR(INDEX(#REF!,ROW()+10)="START",INDEX(#REF!,ROW()+9)="",INDEX(#REF!,ROW()+9)="START",INDEX(#REF!,ROW()+9)="TBA",INDEX(#REF!,ROW()+9)="TBC"),"",INDEX(#REF!,ROW()+9)+'Date Calculators'!$B$2+E430)</f>
        <v>#REF!</v>
      </c>
      <c r="B430" s="76" t="e" cm="1">
        <f t="array" ref="B430">IF(OR(A430=""),"",IF(INDEX(#REF!,ROW()+9)="",IF(A431="",A430+$Q$10,A431),INDEX(#REF!,ROW()+9)+'Date Calculators'!$B$2+E430))</f>
        <v>#REF!</v>
      </c>
      <c r="C430" s="74" t="e" cm="1">
        <f t="array" ref="C430">IF(A430="","",INDEX(#REF!,ROW()+9))</f>
        <v>#REF!</v>
      </c>
      <c r="D430" s="74" t="str">
        <f>IFERROR(IF(A430="","",'Event Info'!$B$2),"")</f>
        <v/>
      </c>
      <c r="E430" t="e" cm="1">
        <f t="array" ref="E430">IF(INDEX(#REF!,ROW()+9)="START",E429+1,E429+0)</f>
        <v>#REF!</v>
      </c>
      <c r="F430" s="82" t="e">
        <f>IF(A430&lt;&gt;"",_xlfn.CONCAT(TEXT(A430,"yyyy-mm-dd"),"T",TEXT(A430,"hh:mm:ss"),'Event Info'!$B$5,",",," ",C430),"")</f>
        <v>#REF!</v>
      </c>
      <c r="G430" t="e">
        <f t="shared" si="12"/>
        <v>#REF!</v>
      </c>
      <c r="H430" s="92" t="str">
        <f t="shared" si="13"/>
        <v/>
      </c>
      <c r="I430" s="91">
        <v>0</v>
      </c>
    </row>
    <row r="431" spans="1:9">
      <c r="A431" s="76" t="e" cm="1">
        <f t="array" ref="A431">IF(OR(INDEX(#REF!,ROW()+10)="START",INDEX(#REF!,ROW()+9)="",INDEX(#REF!,ROW()+9)="START",INDEX(#REF!,ROW()+9)="TBA",INDEX(#REF!,ROW()+9)="TBC"),"",INDEX(#REF!,ROW()+9)+'Date Calculators'!$B$2+E431)</f>
        <v>#REF!</v>
      </c>
      <c r="B431" s="76" t="e" cm="1">
        <f t="array" ref="B431">IF(OR(A431=""),"",IF(INDEX(#REF!,ROW()+9)="",IF(A432="",A431+$Q$10,A432),INDEX(#REF!,ROW()+9)+'Date Calculators'!$B$2+E431))</f>
        <v>#REF!</v>
      </c>
      <c r="C431" s="74" t="e" cm="1">
        <f t="array" ref="C431">IF(A431="","",INDEX(#REF!,ROW()+9))</f>
        <v>#REF!</v>
      </c>
      <c r="D431" s="74" t="str">
        <f>IFERROR(IF(A431="","",'Event Info'!$B$2),"")</f>
        <v/>
      </c>
      <c r="E431" t="e" cm="1">
        <f t="array" ref="E431">IF(INDEX(#REF!,ROW()+9)="START",E430+1,E430+0)</f>
        <v>#REF!</v>
      </c>
      <c r="F431" s="82" t="e">
        <f>IF(A431&lt;&gt;"",_xlfn.CONCAT(TEXT(A431,"yyyy-mm-dd"),"T",TEXT(A431,"hh:mm:ss"),'Event Info'!$B$5,",",," ",C431),"")</f>
        <v>#REF!</v>
      </c>
      <c r="G431" t="e">
        <f t="shared" si="12"/>
        <v>#REF!</v>
      </c>
      <c r="H431" s="92" t="str">
        <f t="shared" si="13"/>
        <v/>
      </c>
      <c r="I431" s="88">
        <v>0</v>
      </c>
    </row>
    <row r="432" spans="1:9">
      <c r="A432" s="76" t="e" cm="1">
        <f t="array" ref="A432">IF(OR(INDEX(#REF!,ROW()+10)="START",INDEX(#REF!,ROW()+9)="",INDEX(#REF!,ROW()+9)="START",INDEX(#REF!,ROW()+9)="TBA",INDEX(#REF!,ROW()+9)="TBC"),"",INDEX(#REF!,ROW()+9)+'Date Calculators'!$B$2+E432)</f>
        <v>#REF!</v>
      </c>
      <c r="B432" s="76" t="e" cm="1">
        <f t="array" ref="B432">IF(OR(A432=""),"",IF(INDEX(#REF!,ROW()+9)="",IF(A433="",A432+$Q$10,A433),INDEX(#REF!,ROW()+9)+'Date Calculators'!$B$2+E432))</f>
        <v>#REF!</v>
      </c>
      <c r="C432" s="74" t="e" cm="1">
        <f t="array" ref="C432">IF(A432="","",INDEX(#REF!,ROW()+9))</f>
        <v>#REF!</v>
      </c>
      <c r="D432" s="74" t="str">
        <f>IFERROR(IF(A432="","",'Event Info'!$B$2),"")</f>
        <v/>
      </c>
      <c r="E432" t="e" cm="1">
        <f t="array" ref="E432">IF(INDEX(#REF!,ROW()+9)="START",E431+1,E431+0)</f>
        <v>#REF!</v>
      </c>
      <c r="F432" s="82" t="e">
        <f>IF(A432&lt;&gt;"",_xlfn.CONCAT(TEXT(A432,"yyyy-mm-dd"),"T",TEXT(A432,"hh:mm:ss"),'Event Info'!$B$5,",",," ",C432),"")</f>
        <v>#REF!</v>
      </c>
      <c r="G432" t="e">
        <f t="shared" si="12"/>
        <v>#REF!</v>
      </c>
      <c r="H432" s="92" t="str">
        <f t="shared" si="13"/>
        <v/>
      </c>
      <c r="I432" s="88">
        <v>0</v>
      </c>
    </row>
    <row r="433" spans="1:9" ht="16.899999999999999">
      <c r="A433" s="76" t="e" cm="1">
        <f t="array" ref="A433">IF(OR(INDEX(#REF!,ROW()+10)="START",INDEX(#REF!,ROW()+9)="",INDEX(#REF!,ROW()+9)="START",INDEX(#REF!,ROW()+9)="TBA",INDEX(#REF!,ROW()+9)="TBC"),"",INDEX(#REF!,ROW()+9)+'Date Calculators'!$B$2+E433)</f>
        <v>#REF!</v>
      </c>
      <c r="B433" s="76" t="e" cm="1">
        <f t="array" ref="B433">IF(OR(A433=""),"",IF(INDEX(#REF!,ROW()+9)="",IF(A434="",A433+$Q$10,A434),INDEX(#REF!,ROW()+9)+'Date Calculators'!$B$2+E433))</f>
        <v>#REF!</v>
      </c>
      <c r="C433" s="74" t="e" cm="1">
        <f t="array" ref="C433">IF(A433="","",INDEX(#REF!,ROW()+9))</f>
        <v>#REF!</v>
      </c>
      <c r="D433" s="74" t="str">
        <f>IFERROR(IF(A433="","",'Event Info'!$B$2),"")</f>
        <v/>
      </c>
      <c r="E433" t="e" cm="1">
        <f t="array" ref="E433">IF(INDEX(#REF!,ROW()+9)="START",E432+1,E432+0)</f>
        <v>#REF!</v>
      </c>
      <c r="F433" s="82" t="e">
        <f>IF(A433&lt;&gt;"",_xlfn.CONCAT(TEXT(A433,"yyyy-mm-dd"),"T",TEXT(A433,"hh:mm:ss"),'Event Info'!$B$5,",",," ",C433),"")</f>
        <v>#REF!</v>
      </c>
      <c r="G433" t="e">
        <f t="shared" si="12"/>
        <v>#REF!</v>
      </c>
      <c r="H433" s="92" t="str">
        <f t="shared" si="13"/>
        <v/>
      </c>
      <c r="I433" s="91">
        <v>0</v>
      </c>
    </row>
    <row r="434" spans="1:9">
      <c r="A434" s="76" t="e" cm="1">
        <f t="array" ref="A434">IF(OR(INDEX(#REF!,ROW()+10)="START",INDEX(#REF!,ROW()+9)="",INDEX(#REF!,ROW()+9)="START",INDEX(#REF!,ROW()+9)="TBA",INDEX(#REF!,ROW()+9)="TBC"),"",INDEX(#REF!,ROW()+9)+'Date Calculators'!$B$2+E434)</f>
        <v>#REF!</v>
      </c>
      <c r="B434" s="76" t="e" cm="1">
        <f t="array" ref="B434">IF(OR(A434=""),"",IF(INDEX(#REF!,ROW()+9)="",IF(A435="",A434+$Q$10,A435),INDEX(#REF!,ROW()+9)+'Date Calculators'!$B$2+E434))</f>
        <v>#REF!</v>
      </c>
      <c r="C434" s="74" t="e" cm="1">
        <f t="array" ref="C434">IF(A434="","",INDEX(#REF!,ROW()+9))</f>
        <v>#REF!</v>
      </c>
      <c r="D434" s="74" t="str">
        <f>IFERROR(IF(A434="","",'Event Info'!$B$2),"")</f>
        <v/>
      </c>
      <c r="E434" t="e" cm="1">
        <f t="array" ref="E434">IF(INDEX(#REF!,ROW()+9)="START",E433+1,E433+0)</f>
        <v>#REF!</v>
      </c>
      <c r="F434" s="82" t="e">
        <f>IF(A434&lt;&gt;"",_xlfn.CONCAT(TEXT(A434,"yyyy-mm-dd"),"T",TEXT(A434,"hh:mm:ss"),'Event Info'!$B$5,",",," ",C434),"")</f>
        <v>#REF!</v>
      </c>
      <c r="G434" t="e">
        <f t="shared" si="12"/>
        <v>#REF!</v>
      </c>
      <c r="H434" s="92" t="str">
        <f t="shared" si="13"/>
        <v/>
      </c>
      <c r="I434" s="88">
        <v>0</v>
      </c>
    </row>
    <row r="435" spans="1:9">
      <c r="A435" s="76" t="e" cm="1">
        <f t="array" ref="A435">IF(OR(INDEX(#REF!,ROW()+10)="START",INDEX(#REF!,ROW()+9)="",INDEX(#REF!,ROW()+9)="START",INDEX(#REF!,ROW()+9)="TBA",INDEX(#REF!,ROW()+9)="TBC"),"",INDEX(#REF!,ROW()+9)+'Date Calculators'!$B$2+E435)</f>
        <v>#REF!</v>
      </c>
      <c r="B435" s="76" t="e" cm="1">
        <f t="array" ref="B435">IF(OR(A435=""),"",IF(INDEX(#REF!,ROW()+9)="",IF(A436="",A435+$Q$10,A436),INDEX(#REF!,ROW()+9)+'Date Calculators'!$B$2+E435))</f>
        <v>#REF!</v>
      </c>
      <c r="C435" s="74" t="e" cm="1">
        <f t="array" ref="C435">IF(A435="","",INDEX(#REF!,ROW()+9))</f>
        <v>#REF!</v>
      </c>
      <c r="D435" s="74" t="str">
        <f>IFERROR(IF(A435="","",'Event Info'!$B$2),"")</f>
        <v/>
      </c>
      <c r="E435" t="e" cm="1">
        <f t="array" ref="E435">IF(INDEX(#REF!,ROW()+9)="START",E434+1,E434+0)</f>
        <v>#REF!</v>
      </c>
      <c r="F435" s="82" t="e">
        <f>IF(A435&lt;&gt;"",_xlfn.CONCAT(TEXT(A435,"yyyy-mm-dd"),"T",TEXT(A435,"hh:mm:ss"),'Event Info'!$B$5,",",," ",C435),"")</f>
        <v>#REF!</v>
      </c>
      <c r="G435" t="e">
        <f t="shared" si="12"/>
        <v>#REF!</v>
      </c>
      <c r="H435" s="92" t="str">
        <f t="shared" si="13"/>
        <v/>
      </c>
      <c r="I435" s="88">
        <v>0</v>
      </c>
    </row>
    <row r="436" spans="1:9" ht="16.899999999999999">
      <c r="A436" s="76" t="e" cm="1">
        <f t="array" ref="A436">IF(OR(INDEX(#REF!,ROW()+10)="START",INDEX(#REF!,ROW()+9)="",INDEX(#REF!,ROW()+9)="START",INDEX(#REF!,ROW()+9)="TBA",INDEX(#REF!,ROW()+9)="TBC"),"",INDEX(#REF!,ROW()+9)+'Date Calculators'!$B$2+E436)</f>
        <v>#REF!</v>
      </c>
      <c r="B436" s="76" t="e" cm="1">
        <f t="array" ref="B436">IF(OR(A436=""),"",IF(INDEX(#REF!,ROW()+9)="",IF(A437="",A436+$Q$10,A437),INDEX(#REF!,ROW()+9)+'Date Calculators'!$B$2+E436))</f>
        <v>#REF!</v>
      </c>
      <c r="C436" s="74" t="e" cm="1">
        <f t="array" ref="C436">IF(A436="","",INDEX(#REF!,ROW()+9))</f>
        <v>#REF!</v>
      </c>
      <c r="D436" s="74" t="str">
        <f>IFERROR(IF(A436="","",'Event Info'!$B$2),"")</f>
        <v/>
      </c>
      <c r="E436" t="e" cm="1">
        <f t="array" ref="E436">IF(INDEX(#REF!,ROW()+9)="START",E435+1,E435+0)</f>
        <v>#REF!</v>
      </c>
      <c r="F436" s="82" t="e">
        <f>IF(A436&lt;&gt;"",_xlfn.CONCAT(TEXT(A436,"yyyy-mm-dd"),"T",TEXT(A436,"hh:mm:ss"),'Event Info'!$B$5,",",," ",C436),"")</f>
        <v>#REF!</v>
      </c>
      <c r="G436" t="e">
        <f t="shared" si="12"/>
        <v>#REF!</v>
      </c>
      <c r="H436" s="92" t="str">
        <f t="shared" si="13"/>
        <v/>
      </c>
      <c r="I436" s="91">
        <v>0</v>
      </c>
    </row>
    <row r="437" spans="1:9">
      <c r="A437" s="76" t="e" cm="1">
        <f t="array" ref="A437">IF(OR(INDEX(#REF!,ROW()+10)="START",INDEX(#REF!,ROW()+9)="",INDEX(#REF!,ROW()+9)="START",INDEX(#REF!,ROW()+9)="TBA",INDEX(#REF!,ROW()+9)="TBC"),"",INDEX(#REF!,ROW()+9)+'Date Calculators'!$B$2+E437)</f>
        <v>#REF!</v>
      </c>
      <c r="B437" s="76" t="e" cm="1">
        <f t="array" ref="B437">IF(OR(A437=""),"",IF(INDEX(#REF!,ROW()+9)="",IF(A438="",A437+$Q$10,A438),INDEX(#REF!,ROW()+9)+'Date Calculators'!$B$2+E437))</f>
        <v>#REF!</v>
      </c>
      <c r="C437" s="74" t="e" cm="1">
        <f t="array" ref="C437">IF(A437="","",INDEX(#REF!,ROW()+9))</f>
        <v>#REF!</v>
      </c>
      <c r="D437" s="74" t="str">
        <f>IFERROR(IF(A437="","",'Event Info'!$B$2),"")</f>
        <v/>
      </c>
      <c r="E437" t="e" cm="1">
        <f t="array" ref="E437">IF(INDEX(#REF!,ROW()+9)="START",E436+1,E436+0)</f>
        <v>#REF!</v>
      </c>
      <c r="F437" s="82" t="e">
        <f>IF(A437&lt;&gt;"",_xlfn.CONCAT(TEXT(A437,"yyyy-mm-dd"),"T",TEXT(A437,"hh:mm:ss"),'Event Info'!$B$5,",",," ",C437),"")</f>
        <v>#REF!</v>
      </c>
      <c r="G437" t="e">
        <f t="shared" si="12"/>
        <v>#REF!</v>
      </c>
      <c r="H437" s="92" t="str">
        <f t="shared" si="13"/>
        <v/>
      </c>
      <c r="I437" s="88">
        <v>0</v>
      </c>
    </row>
    <row r="438" spans="1:9">
      <c r="A438" s="76" t="e" cm="1">
        <f t="array" ref="A438">IF(OR(INDEX(#REF!,ROW()+10)="START",INDEX(#REF!,ROW()+9)="",INDEX(#REF!,ROW()+9)="START",INDEX(#REF!,ROW()+9)="TBA",INDEX(#REF!,ROW()+9)="TBC"),"",INDEX(#REF!,ROW()+9)+'Date Calculators'!$B$2+E438)</f>
        <v>#REF!</v>
      </c>
      <c r="B438" s="76" t="e" cm="1">
        <f t="array" ref="B438">IF(OR(A438=""),"",IF(INDEX(#REF!,ROW()+9)="",IF(A439="",A438+$Q$10,A439),INDEX(#REF!,ROW()+9)+'Date Calculators'!$B$2+E438))</f>
        <v>#REF!</v>
      </c>
      <c r="C438" s="74" t="e" cm="1">
        <f t="array" ref="C438">IF(A438="","",INDEX(#REF!,ROW()+9))</f>
        <v>#REF!</v>
      </c>
      <c r="D438" s="74" t="str">
        <f>IFERROR(IF(A438="","",'Event Info'!$B$2),"")</f>
        <v/>
      </c>
      <c r="E438" t="e" cm="1">
        <f t="array" ref="E438">IF(INDEX(#REF!,ROW()+9)="START",E437+1,E437+0)</f>
        <v>#REF!</v>
      </c>
      <c r="F438" s="82" t="e">
        <f>IF(A438&lt;&gt;"",_xlfn.CONCAT(TEXT(A438,"yyyy-mm-dd"),"T",TEXT(A438,"hh:mm:ss"),'Event Info'!$B$5,",",," ",C438),"")</f>
        <v>#REF!</v>
      </c>
      <c r="G438" t="e">
        <f t="shared" si="12"/>
        <v>#REF!</v>
      </c>
      <c r="H438" s="92" t="str">
        <f t="shared" si="13"/>
        <v/>
      </c>
      <c r="I438" s="88">
        <v>0</v>
      </c>
    </row>
    <row r="439" spans="1:9" ht="16.899999999999999">
      <c r="A439" s="76" t="e" cm="1">
        <f t="array" ref="A439">IF(OR(INDEX(#REF!,ROW()+10)="START",INDEX(#REF!,ROW()+9)="",INDEX(#REF!,ROW()+9)="START",INDEX(#REF!,ROW()+9)="TBA",INDEX(#REF!,ROW()+9)="TBC"),"",INDEX(#REF!,ROW()+9)+'Date Calculators'!$B$2+E439)</f>
        <v>#REF!</v>
      </c>
      <c r="B439" s="76" t="e" cm="1">
        <f t="array" ref="B439">IF(OR(A439=""),"",IF(INDEX(#REF!,ROW()+9)="",IF(A440="",A439+$Q$10,A440),INDEX(#REF!,ROW()+9)+'Date Calculators'!$B$2+E439))</f>
        <v>#REF!</v>
      </c>
      <c r="C439" s="74" t="e" cm="1">
        <f t="array" ref="C439">IF(A439="","",INDEX(#REF!,ROW()+9))</f>
        <v>#REF!</v>
      </c>
      <c r="D439" s="74" t="str">
        <f>IFERROR(IF(A439="","",'Event Info'!$B$2),"")</f>
        <v/>
      </c>
      <c r="E439" t="e" cm="1">
        <f t="array" ref="E439">IF(INDEX(#REF!,ROW()+9)="START",E438+1,E438+0)</f>
        <v>#REF!</v>
      </c>
      <c r="F439" s="82" t="e">
        <f>IF(A439&lt;&gt;"",_xlfn.CONCAT(TEXT(A439,"yyyy-mm-dd"),"T",TEXT(A439,"hh:mm:ss"),'Event Info'!$B$5,",",," ",C439),"")</f>
        <v>#REF!</v>
      </c>
      <c r="G439" t="e">
        <f t="shared" si="12"/>
        <v>#REF!</v>
      </c>
      <c r="H439" s="92" t="str">
        <f t="shared" si="13"/>
        <v/>
      </c>
      <c r="I439" s="91">
        <v>0</v>
      </c>
    </row>
    <row r="440" spans="1:9">
      <c r="A440" s="76" t="e" cm="1">
        <f t="array" ref="A440">IF(OR(INDEX(#REF!,ROW()+10)="START",INDEX(#REF!,ROW()+9)="",INDEX(#REF!,ROW()+9)="START",INDEX(#REF!,ROW()+9)="TBA",INDEX(#REF!,ROW()+9)="TBC"),"",INDEX(#REF!,ROW()+9)+'Date Calculators'!$B$2+E440)</f>
        <v>#REF!</v>
      </c>
      <c r="B440" s="76" t="e" cm="1">
        <f t="array" ref="B440">IF(OR(A440=""),"",IF(INDEX(#REF!,ROW()+9)="",IF(A441="",A440+$Q$10,A441),INDEX(#REF!,ROW()+9)+'Date Calculators'!$B$2+E440))</f>
        <v>#REF!</v>
      </c>
      <c r="C440" s="74" t="e" cm="1">
        <f t="array" ref="C440">IF(A440="","",INDEX(#REF!,ROW()+9))</f>
        <v>#REF!</v>
      </c>
      <c r="D440" s="74" t="str">
        <f>IFERROR(IF(A440="","",'Event Info'!$B$2),"")</f>
        <v/>
      </c>
      <c r="E440" t="e" cm="1">
        <f t="array" ref="E440">IF(INDEX(#REF!,ROW()+9)="START",E439+1,E439+0)</f>
        <v>#REF!</v>
      </c>
      <c r="F440" s="82" t="e">
        <f>IF(A440&lt;&gt;"",_xlfn.CONCAT(TEXT(A440,"yyyy-mm-dd"),"T",TEXT(A440,"hh:mm:ss"),'Event Info'!$B$5,",",," ",C440),"")</f>
        <v>#REF!</v>
      </c>
      <c r="G440" t="e">
        <f t="shared" si="12"/>
        <v>#REF!</v>
      </c>
      <c r="H440" s="92" t="str">
        <f t="shared" si="13"/>
        <v/>
      </c>
      <c r="I440" s="88">
        <v>0</v>
      </c>
    </row>
    <row r="441" spans="1:9">
      <c r="A441" s="76" t="e" cm="1">
        <f t="array" ref="A441">IF(OR(INDEX(#REF!,ROW()+10)="START",INDEX(#REF!,ROW()+9)="",INDEX(#REF!,ROW()+9)="START",INDEX(#REF!,ROW()+9)="TBA",INDEX(#REF!,ROW()+9)="TBC"),"",INDEX(#REF!,ROW()+9)+'Date Calculators'!$B$2+E441)</f>
        <v>#REF!</v>
      </c>
      <c r="B441" s="76" t="e" cm="1">
        <f t="array" ref="B441">IF(OR(A441=""),"",IF(INDEX(#REF!,ROW()+9)="",IF(A442="",A441+$Q$10,A442),INDEX(#REF!,ROW()+9)+'Date Calculators'!$B$2+E441))</f>
        <v>#REF!</v>
      </c>
      <c r="C441" s="74" t="e" cm="1">
        <f t="array" ref="C441">IF(A441="","",INDEX(#REF!,ROW()+9))</f>
        <v>#REF!</v>
      </c>
      <c r="D441" s="74" t="str">
        <f>IFERROR(IF(A441="","",'Event Info'!$B$2),"")</f>
        <v/>
      </c>
      <c r="E441" t="e" cm="1">
        <f t="array" ref="E441">IF(INDEX(#REF!,ROW()+9)="START",E440+1,E440+0)</f>
        <v>#REF!</v>
      </c>
      <c r="F441" s="82" t="e">
        <f>IF(A441&lt;&gt;"",_xlfn.CONCAT(TEXT(A441,"yyyy-mm-dd"),"T",TEXT(A441,"hh:mm:ss"),'Event Info'!$B$5,",",," ",C441),"")</f>
        <v>#REF!</v>
      </c>
      <c r="G441" t="e">
        <f t="shared" si="12"/>
        <v>#REF!</v>
      </c>
      <c r="H441" s="92" t="str">
        <f t="shared" si="13"/>
        <v/>
      </c>
      <c r="I441" s="88">
        <v>0</v>
      </c>
    </row>
    <row r="442" spans="1:9" ht="16.899999999999999">
      <c r="A442" s="76" t="e" cm="1">
        <f t="array" ref="A442">IF(OR(INDEX(#REF!,ROW()+10)="START",INDEX(#REF!,ROW()+9)="",INDEX(#REF!,ROW()+9)="START",INDEX(#REF!,ROW()+9)="TBA",INDEX(#REF!,ROW()+9)="TBC"),"",INDEX(#REF!,ROW()+9)+'Date Calculators'!$B$2+E442)</f>
        <v>#REF!</v>
      </c>
      <c r="B442" s="76" t="e" cm="1">
        <f t="array" ref="B442">IF(OR(A442=""),"",IF(INDEX(#REF!,ROW()+9)="",IF(A443="",A442+$Q$10,A443),INDEX(#REF!,ROW()+9)+'Date Calculators'!$B$2+E442))</f>
        <v>#REF!</v>
      </c>
      <c r="C442" s="74" t="e" cm="1">
        <f t="array" ref="C442">IF(A442="","",INDEX(#REF!,ROW()+9))</f>
        <v>#REF!</v>
      </c>
      <c r="D442" s="74" t="str">
        <f>IFERROR(IF(A442="","",'Event Info'!$B$2),"")</f>
        <v/>
      </c>
      <c r="E442" t="e" cm="1">
        <f t="array" ref="E442">IF(INDEX(#REF!,ROW()+9)="START",E441+1,E441+0)</f>
        <v>#REF!</v>
      </c>
      <c r="F442" s="82" t="e">
        <f>IF(A442&lt;&gt;"",_xlfn.CONCAT(TEXT(A442,"yyyy-mm-dd"),"T",TEXT(A442,"hh:mm:ss"),'Event Info'!$B$5,",",," ",C442),"")</f>
        <v>#REF!</v>
      </c>
      <c r="G442" t="e">
        <f t="shared" si="12"/>
        <v>#REF!</v>
      </c>
      <c r="H442" s="92" t="str">
        <f t="shared" si="13"/>
        <v/>
      </c>
      <c r="I442" s="91">
        <v>0</v>
      </c>
    </row>
    <row r="443" spans="1:9">
      <c r="A443" s="76" t="e" cm="1">
        <f t="array" ref="A443">IF(OR(INDEX(#REF!,ROW()+10)="START",INDEX(#REF!,ROW()+9)="",INDEX(#REF!,ROW()+9)="START",INDEX(#REF!,ROW()+9)="TBA",INDEX(#REF!,ROW()+9)="TBC"),"",INDEX(#REF!,ROW()+9)+'Date Calculators'!$B$2+E443)</f>
        <v>#REF!</v>
      </c>
      <c r="B443" s="76" t="e" cm="1">
        <f t="array" ref="B443">IF(OR(A443=""),"",IF(INDEX(#REF!,ROW()+9)="",IF(A444="",A443+$Q$10,A444),INDEX(#REF!,ROW()+9)+'Date Calculators'!$B$2+E443))</f>
        <v>#REF!</v>
      </c>
      <c r="C443" s="74" t="e" cm="1">
        <f t="array" ref="C443">IF(A443="","",INDEX(#REF!,ROW()+9))</f>
        <v>#REF!</v>
      </c>
      <c r="D443" s="74" t="str">
        <f>IFERROR(IF(A443="","",'Event Info'!$B$2),"")</f>
        <v/>
      </c>
      <c r="E443" t="e" cm="1">
        <f t="array" ref="E443">IF(INDEX(#REF!,ROW()+9)="START",E442+1,E442+0)</f>
        <v>#REF!</v>
      </c>
      <c r="F443" s="82" t="e">
        <f>IF(A443&lt;&gt;"",_xlfn.CONCAT(TEXT(A443,"yyyy-mm-dd"),"T",TEXT(A443,"hh:mm:ss"),'Event Info'!$B$5,",",," ",C443),"")</f>
        <v>#REF!</v>
      </c>
      <c r="G443" t="e">
        <f t="shared" si="12"/>
        <v>#REF!</v>
      </c>
      <c r="H443" s="92" t="str">
        <f t="shared" si="13"/>
        <v/>
      </c>
      <c r="I443" s="88">
        <v>0</v>
      </c>
    </row>
    <row r="444" spans="1:9">
      <c r="A444" s="76" t="e" cm="1">
        <f t="array" ref="A444">IF(OR(INDEX(#REF!,ROW()+10)="START",INDEX(#REF!,ROW()+9)="",INDEX(#REF!,ROW()+9)="START",INDEX(#REF!,ROW()+9)="TBA",INDEX(#REF!,ROW()+9)="TBC"),"",INDEX(#REF!,ROW()+9)+'Date Calculators'!$B$2+E444)</f>
        <v>#REF!</v>
      </c>
      <c r="B444" s="76" t="e" cm="1">
        <f t="array" ref="B444">IF(OR(A444=""),"",IF(INDEX(#REF!,ROW()+9)="",IF(A445="",A444+$Q$10,A445),INDEX(#REF!,ROW()+9)+'Date Calculators'!$B$2+E444))</f>
        <v>#REF!</v>
      </c>
      <c r="C444" s="74" t="e" cm="1">
        <f t="array" ref="C444">IF(A444="","",INDEX(#REF!,ROW()+9))</f>
        <v>#REF!</v>
      </c>
      <c r="D444" s="74" t="str">
        <f>IFERROR(IF(A444="","",'Event Info'!$B$2),"")</f>
        <v/>
      </c>
      <c r="E444" t="e" cm="1">
        <f t="array" ref="E444">IF(INDEX(#REF!,ROW()+9)="START",E443+1,E443+0)</f>
        <v>#REF!</v>
      </c>
      <c r="F444" s="82" t="e">
        <f>IF(A444&lt;&gt;"",_xlfn.CONCAT(TEXT(A444,"yyyy-mm-dd"),"T",TEXT(A444,"hh:mm:ss"),'Event Info'!$B$5,",",," ",C444),"")</f>
        <v>#REF!</v>
      </c>
      <c r="G444" t="e">
        <f t="shared" si="12"/>
        <v>#REF!</v>
      </c>
      <c r="H444" s="92" t="str">
        <f t="shared" si="13"/>
        <v/>
      </c>
      <c r="I444" s="88">
        <v>0</v>
      </c>
    </row>
    <row r="445" spans="1:9" ht="16.899999999999999">
      <c r="A445" s="76" t="e" cm="1">
        <f t="array" ref="A445">IF(OR(INDEX(#REF!,ROW()+10)="START",INDEX(#REF!,ROW()+9)="",INDEX(#REF!,ROW()+9)="START",INDEX(#REF!,ROW()+9)="TBA",INDEX(#REF!,ROW()+9)="TBC"),"",INDEX(#REF!,ROW()+9)+'Date Calculators'!$B$2+E445)</f>
        <v>#REF!</v>
      </c>
      <c r="B445" s="76" t="e" cm="1">
        <f t="array" ref="B445">IF(OR(A445=""),"",IF(INDEX(#REF!,ROW()+9)="",IF(A446="",A445+$Q$10,A446),INDEX(#REF!,ROW()+9)+'Date Calculators'!$B$2+E445))</f>
        <v>#REF!</v>
      </c>
      <c r="C445" s="74" t="e" cm="1">
        <f t="array" ref="C445">IF(A445="","",INDEX(#REF!,ROW()+9))</f>
        <v>#REF!</v>
      </c>
      <c r="D445" s="74" t="str">
        <f>IFERROR(IF(A445="","",'Event Info'!$B$2),"")</f>
        <v/>
      </c>
      <c r="E445" t="e" cm="1">
        <f t="array" ref="E445">IF(INDEX(#REF!,ROW()+9)="START",E444+1,E444+0)</f>
        <v>#REF!</v>
      </c>
      <c r="F445" s="82" t="e">
        <f>IF(A445&lt;&gt;"",_xlfn.CONCAT(TEXT(A445,"yyyy-mm-dd"),"T",TEXT(A445,"hh:mm:ss"),'Event Info'!$B$5,",",," ",C445),"")</f>
        <v>#REF!</v>
      </c>
      <c r="G445" t="e">
        <f t="shared" si="12"/>
        <v>#REF!</v>
      </c>
      <c r="H445" s="92" t="str">
        <f t="shared" si="13"/>
        <v/>
      </c>
      <c r="I445" s="91">
        <v>0</v>
      </c>
    </row>
    <row r="446" spans="1:9">
      <c r="A446" s="76" t="e" cm="1">
        <f t="array" ref="A446">IF(OR(INDEX(#REF!,ROW()+10)="START",INDEX(#REF!,ROW()+9)="",INDEX(#REF!,ROW()+9)="START",INDEX(#REF!,ROW()+9)="TBA",INDEX(#REF!,ROW()+9)="TBC"),"",INDEX(#REF!,ROW()+9)+'Date Calculators'!$B$2+E446)</f>
        <v>#REF!</v>
      </c>
      <c r="B446" s="76" t="e" cm="1">
        <f t="array" ref="B446">IF(OR(A446=""),"",IF(INDEX(#REF!,ROW()+9)="",IF(A447="",A446+$Q$10,A447),INDEX(#REF!,ROW()+9)+'Date Calculators'!$B$2+E446))</f>
        <v>#REF!</v>
      </c>
      <c r="C446" s="74" t="e" cm="1">
        <f t="array" ref="C446">IF(A446="","",INDEX(#REF!,ROW()+9))</f>
        <v>#REF!</v>
      </c>
      <c r="D446" s="74" t="str">
        <f>IFERROR(IF(A446="","",'Event Info'!$B$2),"")</f>
        <v/>
      </c>
      <c r="E446" t="e" cm="1">
        <f t="array" ref="E446">IF(INDEX(#REF!,ROW()+9)="START",E445+1,E445+0)</f>
        <v>#REF!</v>
      </c>
      <c r="F446" s="82" t="e">
        <f>IF(A446&lt;&gt;"",_xlfn.CONCAT(TEXT(A446,"yyyy-mm-dd"),"T",TEXT(A446,"hh:mm:ss"),'Event Info'!$B$5,",",," ",C446),"")</f>
        <v>#REF!</v>
      </c>
      <c r="G446" t="e">
        <f t="shared" si="12"/>
        <v>#REF!</v>
      </c>
      <c r="H446" s="92" t="str">
        <f t="shared" si="13"/>
        <v/>
      </c>
      <c r="I446" s="88">
        <v>0</v>
      </c>
    </row>
    <row r="447" spans="1:9">
      <c r="A447" s="76" t="e" cm="1">
        <f t="array" ref="A447">IF(OR(INDEX(#REF!,ROW()+10)="START",INDEX(#REF!,ROW()+9)="",INDEX(#REF!,ROW()+9)="START",INDEX(#REF!,ROW()+9)="TBA",INDEX(#REF!,ROW()+9)="TBC"),"",INDEX(#REF!,ROW()+9)+'Date Calculators'!$B$2+E447)</f>
        <v>#REF!</v>
      </c>
      <c r="B447" s="76" t="e" cm="1">
        <f t="array" ref="B447">IF(OR(A447=""),"",IF(INDEX(#REF!,ROW()+9)="",IF(A448="",A447+$Q$10,A448),INDEX(#REF!,ROW()+9)+'Date Calculators'!$B$2+E447))</f>
        <v>#REF!</v>
      </c>
      <c r="C447" s="74" t="e" cm="1">
        <f t="array" ref="C447">IF(A447="","",INDEX(#REF!,ROW()+9))</f>
        <v>#REF!</v>
      </c>
      <c r="D447" s="74" t="str">
        <f>IFERROR(IF(A447="","",'Event Info'!$B$2),"")</f>
        <v/>
      </c>
      <c r="E447" t="e" cm="1">
        <f t="array" ref="E447">IF(INDEX(#REF!,ROW()+9)="START",E446+1,E446+0)</f>
        <v>#REF!</v>
      </c>
      <c r="F447" s="82" t="e">
        <f>IF(A447&lt;&gt;"",_xlfn.CONCAT(TEXT(A447,"yyyy-mm-dd"),"T",TEXT(A447,"hh:mm:ss"),'Event Info'!$B$5,",",," ",C447),"")</f>
        <v>#REF!</v>
      </c>
      <c r="G447" t="e">
        <f t="shared" si="12"/>
        <v>#REF!</v>
      </c>
      <c r="H447" s="92" t="str">
        <f t="shared" si="13"/>
        <v/>
      </c>
      <c r="I447" s="88">
        <v>0</v>
      </c>
    </row>
    <row r="448" spans="1:9" ht="16.899999999999999">
      <c r="A448" s="76" t="e" cm="1">
        <f t="array" ref="A448">IF(OR(INDEX(#REF!,ROW()+10)="START",INDEX(#REF!,ROW()+9)="",INDEX(#REF!,ROW()+9)="START",INDEX(#REF!,ROW()+9)="TBA",INDEX(#REF!,ROW()+9)="TBC"),"",INDEX(#REF!,ROW()+9)+'Date Calculators'!$B$2+E448)</f>
        <v>#REF!</v>
      </c>
      <c r="B448" s="76" t="e" cm="1">
        <f t="array" ref="B448">IF(OR(A448=""),"",IF(INDEX(#REF!,ROW()+9)="",IF(A449="",A448+$Q$10,A449),INDEX(#REF!,ROW()+9)+'Date Calculators'!$B$2+E448))</f>
        <v>#REF!</v>
      </c>
      <c r="C448" s="74" t="e" cm="1">
        <f t="array" ref="C448">IF(A448="","",INDEX(#REF!,ROW()+9))</f>
        <v>#REF!</v>
      </c>
      <c r="D448" s="74" t="str">
        <f>IFERROR(IF(A448="","",'Event Info'!$B$2),"")</f>
        <v/>
      </c>
      <c r="E448" t="e" cm="1">
        <f t="array" ref="E448">IF(INDEX(#REF!,ROW()+9)="START",E447+1,E447+0)</f>
        <v>#REF!</v>
      </c>
      <c r="F448" s="82" t="e">
        <f>IF(A448&lt;&gt;"",_xlfn.CONCAT(TEXT(A448,"yyyy-mm-dd"),"T",TEXT(A448,"hh:mm:ss"),'Event Info'!$B$5,",",," ",C448),"")</f>
        <v>#REF!</v>
      </c>
      <c r="G448" t="e">
        <f t="shared" si="12"/>
        <v>#REF!</v>
      </c>
      <c r="H448" s="92" t="str">
        <f t="shared" si="13"/>
        <v/>
      </c>
      <c r="I448" s="91">
        <v>0</v>
      </c>
    </row>
    <row r="449" spans="1:9">
      <c r="A449" s="76" t="e" cm="1">
        <f t="array" ref="A449">IF(OR(INDEX(#REF!,ROW()+10)="START",INDEX(#REF!,ROW()+9)="",INDEX(#REF!,ROW()+9)="START",INDEX(#REF!,ROW()+9)="TBA",INDEX(#REF!,ROW()+9)="TBC"),"",INDEX(#REF!,ROW()+9)+'Date Calculators'!$B$2+E449)</f>
        <v>#REF!</v>
      </c>
      <c r="B449" s="76" t="e" cm="1">
        <f t="array" ref="B449">IF(OR(A449=""),"",IF(INDEX(#REF!,ROW()+9)="",IF(A450="",A449+$Q$10,A450),INDEX(#REF!,ROW()+9)+'Date Calculators'!$B$2+E449))</f>
        <v>#REF!</v>
      </c>
      <c r="C449" s="74" t="e" cm="1">
        <f t="array" ref="C449">IF(A449="","",INDEX(#REF!,ROW()+9))</f>
        <v>#REF!</v>
      </c>
      <c r="D449" s="74" t="str">
        <f>IFERROR(IF(A449="","",'Event Info'!$B$2),"")</f>
        <v/>
      </c>
      <c r="E449" t="e" cm="1">
        <f t="array" ref="E449">IF(INDEX(#REF!,ROW()+9)="START",E448+1,E448+0)</f>
        <v>#REF!</v>
      </c>
      <c r="F449" s="82" t="e">
        <f>IF(A449&lt;&gt;"",_xlfn.CONCAT(TEXT(A449,"yyyy-mm-dd"),"T",TEXT(A449,"hh:mm:ss"),'Event Info'!$B$5,",",," ",C449),"")</f>
        <v>#REF!</v>
      </c>
      <c r="G449" t="e">
        <f t="shared" si="12"/>
        <v>#REF!</v>
      </c>
      <c r="H449" s="92" t="str">
        <f t="shared" si="13"/>
        <v/>
      </c>
      <c r="I449" s="88">
        <v>0</v>
      </c>
    </row>
    <row r="450" spans="1:9">
      <c r="A450" s="76" t="e" cm="1">
        <f t="array" ref="A450">IF(OR(INDEX(#REF!,ROW()+10)="START",INDEX(#REF!,ROW()+9)="",INDEX(#REF!,ROW()+9)="START",INDEX(#REF!,ROW()+9)="TBA",INDEX(#REF!,ROW()+9)="TBC"),"",INDEX(#REF!,ROW()+9)+'Date Calculators'!$B$2+E450)</f>
        <v>#REF!</v>
      </c>
      <c r="B450" s="76" t="e" cm="1">
        <f t="array" ref="B450">IF(OR(A450=""),"",IF(INDEX(#REF!,ROW()+9)="",IF(A451="",A450+$Q$10,A451),INDEX(#REF!,ROW()+9)+'Date Calculators'!$B$2+E450))</f>
        <v>#REF!</v>
      </c>
      <c r="C450" s="74" t="e" cm="1">
        <f t="array" ref="C450">IF(A450="","",INDEX(#REF!,ROW()+9))</f>
        <v>#REF!</v>
      </c>
      <c r="D450" s="74" t="str">
        <f>IFERROR(IF(A450="","",'Event Info'!$B$2),"")</f>
        <v/>
      </c>
      <c r="E450" t="e" cm="1">
        <f t="array" ref="E450">IF(INDEX(#REF!,ROW()+9)="START",E449+1,E449+0)</f>
        <v>#REF!</v>
      </c>
      <c r="F450" s="82" t="e">
        <f>IF(A450&lt;&gt;"",_xlfn.CONCAT(TEXT(A450,"yyyy-mm-dd"),"T",TEXT(A450,"hh:mm:ss"),'Event Info'!$B$5,",",," ",C450),"")</f>
        <v>#REF!</v>
      </c>
      <c r="G450" t="e">
        <f t="shared" si="12"/>
        <v>#REF!</v>
      </c>
      <c r="H450" s="92" t="str">
        <f t="shared" si="13"/>
        <v/>
      </c>
      <c r="I450" s="88">
        <v>0</v>
      </c>
    </row>
    <row r="451" spans="1:9" ht="16.899999999999999">
      <c r="A451" s="76" t="e" cm="1">
        <f t="array" ref="A451">IF(OR(INDEX(#REF!,ROW()+10)="START",INDEX(#REF!,ROW()+9)="",INDEX(#REF!,ROW()+9)="START",INDEX(#REF!,ROW()+9)="TBA",INDEX(#REF!,ROW()+9)="TBC"),"",INDEX(#REF!,ROW()+9)+'Date Calculators'!$B$2+E451)</f>
        <v>#REF!</v>
      </c>
      <c r="B451" s="76" t="e" cm="1">
        <f t="array" ref="B451">IF(OR(A451=""),"",IF(INDEX(#REF!,ROW()+9)="",IF(A452="",A451+$Q$10,A452),INDEX(#REF!,ROW()+9)+'Date Calculators'!$B$2+E451))</f>
        <v>#REF!</v>
      </c>
      <c r="C451" s="74" t="e" cm="1">
        <f t="array" ref="C451">IF(A451="","",INDEX(#REF!,ROW()+9))</f>
        <v>#REF!</v>
      </c>
      <c r="D451" s="74" t="str">
        <f>IFERROR(IF(A451="","",'Event Info'!$B$2),"")</f>
        <v/>
      </c>
      <c r="E451" t="e" cm="1">
        <f t="array" ref="E451">IF(INDEX(#REF!,ROW()+9)="START",E450+1,E450+0)</f>
        <v>#REF!</v>
      </c>
      <c r="F451" s="82" t="e">
        <f>IF(A451&lt;&gt;"",_xlfn.CONCAT(TEXT(A451,"yyyy-mm-dd"),"T",TEXT(A451,"hh:mm:ss"),'Event Info'!$B$5,",",," ",C451),"")</f>
        <v>#REF!</v>
      </c>
      <c r="G451" t="e">
        <f t="shared" ref="G451:G500" si="14">G450+IF(A451&lt;&gt;"",1,0)</f>
        <v>#REF!</v>
      </c>
      <c r="H451" s="92" t="str">
        <f t="shared" si="13"/>
        <v/>
      </c>
      <c r="I451" s="91">
        <v>0</v>
      </c>
    </row>
    <row r="452" spans="1:9">
      <c r="A452" s="76" t="e" cm="1">
        <f t="array" ref="A452">IF(OR(INDEX(#REF!,ROW()+10)="START",INDEX(#REF!,ROW()+9)="",INDEX(#REF!,ROW()+9)="START",INDEX(#REF!,ROW()+9)="TBA",INDEX(#REF!,ROW()+9)="TBC"),"",INDEX(#REF!,ROW()+9)+'Date Calculators'!$B$2+E452)</f>
        <v>#REF!</v>
      </c>
      <c r="B452" s="76" t="e" cm="1">
        <f t="array" ref="B452">IF(OR(A452=""),"",IF(INDEX(#REF!,ROW()+9)="",IF(A453="",A452+$Q$10,A453),INDEX(#REF!,ROW()+9)+'Date Calculators'!$B$2+E452))</f>
        <v>#REF!</v>
      </c>
      <c r="C452" s="74" t="e" cm="1">
        <f t="array" ref="C452">IF(A452="","",INDEX(#REF!,ROW()+9))</f>
        <v>#REF!</v>
      </c>
      <c r="D452" s="74" t="str">
        <f>IFERROR(IF(A452="","",'Event Info'!$B$2),"")</f>
        <v/>
      </c>
      <c r="E452" t="e" cm="1">
        <f t="array" ref="E452">IF(INDEX(#REF!,ROW()+9)="START",E451+1,E451+0)</f>
        <v>#REF!</v>
      </c>
      <c r="F452" s="82" t="e">
        <f>IF(A452&lt;&gt;"",_xlfn.CONCAT(TEXT(A452,"yyyy-mm-dd"),"T",TEXT(A452,"hh:mm:ss"),'Event Info'!$B$5,",",," ",C452),"")</f>
        <v>#REF!</v>
      </c>
      <c r="G452" t="e">
        <f t="shared" si="14"/>
        <v>#REF!</v>
      </c>
      <c r="H452" s="92" t="str">
        <f t="shared" ref="H452:H500" si="15">IFERROR(INDEX($F$2:$F$500,MATCH(ROW()-1,$G$2:$G$500,0)),"")</f>
        <v/>
      </c>
      <c r="I452" s="88">
        <v>0</v>
      </c>
    </row>
    <row r="453" spans="1:9">
      <c r="A453" s="76" t="e" cm="1">
        <f t="array" ref="A453">IF(OR(INDEX(#REF!,ROW()+10)="START",INDEX(#REF!,ROW()+9)="",INDEX(#REF!,ROW()+9)="START",INDEX(#REF!,ROW()+9)="TBA",INDEX(#REF!,ROW()+9)="TBC"),"",INDEX(#REF!,ROW()+9)+'Date Calculators'!$B$2+E453)</f>
        <v>#REF!</v>
      </c>
      <c r="B453" s="76" t="e" cm="1">
        <f t="array" ref="B453">IF(OR(A453=""),"",IF(INDEX(#REF!,ROW()+9)="",IF(A454="",A453+$Q$10,A454),INDEX(#REF!,ROW()+9)+'Date Calculators'!$B$2+E453))</f>
        <v>#REF!</v>
      </c>
      <c r="C453" s="74" t="e" cm="1">
        <f t="array" ref="C453">IF(A453="","",INDEX(#REF!,ROW()+9))</f>
        <v>#REF!</v>
      </c>
      <c r="D453" s="74" t="str">
        <f>IFERROR(IF(A453="","",'Event Info'!$B$2),"")</f>
        <v/>
      </c>
      <c r="E453" t="e" cm="1">
        <f t="array" ref="E453">IF(INDEX(#REF!,ROW()+9)="START",E452+1,E452+0)</f>
        <v>#REF!</v>
      </c>
      <c r="F453" s="82" t="e">
        <f>IF(A453&lt;&gt;"",_xlfn.CONCAT(TEXT(A453,"yyyy-mm-dd"),"T",TEXT(A453,"hh:mm:ss"),'Event Info'!$B$5,",",," ",C453),"")</f>
        <v>#REF!</v>
      </c>
      <c r="G453" t="e">
        <f t="shared" si="14"/>
        <v>#REF!</v>
      </c>
      <c r="H453" s="92" t="str">
        <f t="shared" si="15"/>
        <v/>
      </c>
      <c r="I453" s="88">
        <v>0</v>
      </c>
    </row>
    <row r="454" spans="1:9" ht="16.899999999999999">
      <c r="A454" s="76" t="e" cm="1">
        <f t="array" ref="A454">IF(OR(INDEX(#REF!,ROW()+10)="START",INDEX(#REF!,ROW()+9)="",INDEX(#REF!,ROW()+9)="START",INDEX(#REF!,ROW()+9)="TBA",INDEX(#REF!,ROW()+9)="TBC"),"",INDEX(#REF!,ROW()+9)+'Date Calculators'!$B$2+E454)</f>
        <v>#REF!</v>
      </c>
      <c r="B454" s="76" t="e" cm="1">
        <f t="array" ref="B454">IF(OR(A454=""),"",IF(INDEX(#REF!,ROW()+9)="",IF(A455="",A454+$Q$10,A455),INDEX(#REF!,ROW()+9)+'Date Calculators'!$B$2+E454))</f>
        <v>#REF!</v>
      </c>
      <c r="C454" s="74" t="e" cm="1">
        <f t="array" ref="C454">IF(A454="","",INDEX(#REF!,ROW()+9))</f>
        <v>#REF!</v>
      </c>
      <c r="D454" s="74" t="str">
        <f>IFERROR(IF(A454="","",'Event Info'!$B$2),"")</f>
        <v/>
      </c>
      <c r="E454" t="e" cm="1">
        <f t="array" ref="E454">IF(INDEX(#REF!,ROW()+9)="START",E453+1,E453+0)</f>
        <v>#REF!</v>
      </c>
      <c r="F454" s="82" t="e">
        <f>IF(A454&lt;&gt;"",_xlfn.CONCAT(TEXT(A454,"yyyy-mm-dd"),"T",TEXT(A454,"hh:mm:ss"),'Event Info'!$B$5,",",," ",C454),"")</f>
        <v>#REF!</v>
      </c>
      <c r="G454" t="e">
        <f t="shared" si="14"/>
        <v>#REF!</v>
      </c>
      <c r="H454" s="92" t="str">
        <f t="shared" si="15"/>
        <v/>
      </c>
      <c r="I454" s="91">
        <v>0</v>
      </c>
    </row>
    <row r="455" spans="1:9">
      <c r="A455" s="76" t="e" cm="1">
        <f t="array" ref="A455">IF(OR(INDEX(#REF!,ROW()+10)="START",INDEX(#REF!,ROW()+9)="",INDEX(#REF!,ROW()+9)="START",INDEX(#REF!,ROW()+9)="TBA",INDEX(#REF!,ROW()+9)="TBC"),"",INDEX(#REF!,ROW()+9)+'Date Calculators'!$B$2+E455)</f>
        <v>#REF!</v>
      </c>
      <c r="B455" s="76" t="e" cm="1">
        <f t="array" ref="B455">IF(OR(A455=""),"",IF(INDEX(#REF!,ROW()+9)="",IF(A456="",A455+$Q$10,A456),INDEX(#REF!,ROW()+9)+'Date Calculators'!$B$2+E455))</f>
        <v>#REF!</v>
      </c>
      <c r="C455" s="74" t="e" cm="1">
        <f t="array" ref="C455">IF(A455="","",INDEX(#REF!,ROW()+9))</f>
        <v>#REF!</v>
      </c>
      <c r="D455" s="74" t="str">
        <f>IFERROR(IF(A455="","",'Event Info'!$B$2),"")</f>
        <v/>
      </c>
      <c r="E455" t="e" cm="1">
        <f t="array" ref="E455">IF(INDEX(#REF!,ROW()+9)="START",E454+1,E454+0)</f>
        <v>#REF!</v>
      </c>
      <c r="F455" s="82" t="e">
        <f>IF(A455&lt;&gt;"",_xlfn.CONCAT(TEXT(A455,"yyyy-mm-dd"),"T",TEXT(A455,"hh:mm:ss"),'Event Info'!$B$5,",",," ",C455),"")</f>
        <v>#REF!</v>
      </c>
      <c r="G455" t="e">
        <f t="shared" si="14"/>
        <v>#REF!</v>
      </c>
      <c r="H455" s="92" t="str">
        <f t="shared" si="15"/>
        <v/>
      </c>
      <c r="I455" s="88">
        <v>0</v>
      </c>
    </row>
    <row r="456" spans="1:9">
      <c r="A456" s="76" t="e" cm="1">
        <f t="array" ref="A456">IF(OR(INDEX(#REF!,ROW()+10)="START",INDEX(#REF!,ROW()+9)="",INDEX(#REF!,ROW()+9)="START",INDEX(#REF!,ROW()+9)="TBA",INDEX(#REF!,ROW()+9)="TBC"),"",INDEX(#REF!,ROW()+9)+'Date Calculators'!$B$2+E456)</f>
        <v>#REF!</v>
      </c>
      <c r="B456" s="76" t="e" cm="1">
        <f t="array" ref="B456">IF(OR(A456=""),"",IF(INDEX(#REF!,ROW()+9)="",IF(A457="",A456+$Q$10,A457),INDEX(#REF!,ROW()+9)+'Date Calculators'!$B$2+E456))</f>
        <v>#REF!</v>
      </c>
      <c r="C456" s="74" t="e" cm="1">
        <f t="array" ref="C456">IF(A456="","",INDEX(#REF!,ROW()+9))</f>
        <v>#REF!</v>
      </c>
      <c r="D456" s="74" t="str">
        <f>IFERROR(IF(A456="","",'Event Info'!$B$2),"")</f>
        <v/>
      </c>
      <c r="E456" t="e" cm="1">
        <f t="array" ref="E456">IF(INDEX(#REF!,ROW()+9)="START",E455+1,E455+0)</f>
        <v>#REF!</v>
      </c>
      <c r="F456" s="82" t="e">
        <f>IF(A456&lt;&gt;"",_xlfn.CONCAT(TEXT(A456,"yyyy-mm-dd"),"T",TEXT(A456,"hh:mm:ss"),'Event Info'!$B$5,",",," ",C456),"")</f>
        <v>#REF!</v>
      </c>
      <c r="G456" t="e">
        <f t="shared" si="14"/>
        <v>#REF!</v>
      </c>
      <c r="H456" s="92" t="str">
        <f t="shared" si="15"/>
        <v/>
      </c>
      <c r="I456" s="88">
        <v>0</v>
      </c>
    </row>
    <row r="457" spans="1:9" ht="16.899999999999999">
      <c r="A457" s="76" t="e" cm="1">
        <f t="array" ref="A457">IF(OR(INDEX(#REF!,ROW()+10)="START",INDEX(#REF!,ROW()+9)="",INDEX(#REF!,ROW()+9)="START",INDEX(#REF!,ROW()+9)="TBA",INDEX(#REF!,ROW()+9)="TBC"),"",INDEX(#REF!,ROW()+9)+'Date Calculators'!$B$2+E457)</f>
        <v>#REF!</v>
      </c>
      <c r="B457" s="76" t="e" cm="1">
        <f t="array" ref="B457">IF(OR(A457=""),"",IF(INDEX(#REF!,ROW()+9)="",IF(A458="",A457+$Q$10,A458),INDEX(#REF!,ROW()+9)+'Date Calculators'!$B$2+E457))</f>
        <v>#REF!</v>
      </c>
      <c r="C457" s="74" t="e" cm="1">
        <f t="array" ref="C457">IF(A457="","",INDEX(#REF!,ROW()+9))</f>
        <v>#REF!</v>
      </c>
      <c r="D457" s="74" t="str">
        <f>IFERROR(IF(A457="","",'Event Info'!$B$2),"")</f>
        <v/>
      </c>
      <c r="E457" t="e" cm="1">
        <f t="array" ref="E457">IF(INDEX(#REF!,ROW()+9)="START",E456+1,E456+0)</f>
        <v>#REF!</v>
      </c>
      <c r="F457" s="82" t="e">
        <f>IF(A457&lt;&gt;"",_xlfn.CONCAT(TEXT(A457,"yyyy-mm-dd"),"T",TEXT(A457,"hh:mm:ss"),'Event Info'!$B$5,",",," ",C457),"")</f>
        <v>#REF!</v>
      </c>
      <c r="G457" t="e">
        <f t="shared" si="14"/>
        <v>#REF!</v>
      </c>
      <c r="H457" s="92" t="str">
        <f t="shared" si="15"/>
        <v/>
      </c>
      <c r="I457" s="91">
        <v>0</v>
      </c>
    </row>
    <row r="458" spans="1:9">
      <c r="A458" s="76" t="e" cm="1">
        <f t="array" ref="A458">IF(OR(INDEX(#REF!,ROW()+10)="START",INDEX(#REF!,ROW()+9)="",INDEX(#REF!,ROW()+9)="START",INDEX(#REF!,ROW()+9)="TBA",INDEX(#REF!,ROW()+9)="TBC"),"",INDEX(#REF!,ROW()+9)+'Date Calculators'!$B$2+E458)</f>
        <v>#REF!</v>
      </c>
      <c r="B458" s="76" t="e" cm="1">
        <f t="array" ref="B458">IF(OR(A458=""),"",IF(INDEX(#REF!,ROW()+9)="",IF(A459="",A458+$Q$10,A459),INDEX(#REF!,ROW()+9)+'Date Calculators'!$B$2+E458))</f>
        <v>#REF!</v>
      </c>
      <c r="C458" s="74" t="e" cm="1">
        <f t="array" ref="C458">IF(A458="","",INDEX(#REF!,ROW()+9))</f>
        <v>#REF!</v>
      </c>
      <c r="D458" s="74" t="str">
        <f>IFERROR(IF(A458="","",'Event Info'!$B$2),"")</f>
        <v/>
      </c>
      <c r="E458" t="e" cm="1">
        <f t="array" ref="E458">IF(INDEX(#REF!,ROW()+9)="START",E457+1,E457+0)</f>
        <v>#REF!</v>
      </c>
      <c r="F458" s="82" t="e">
        <f>IF(A458&lt;&gt;"",_xlfn.CONCAT(TEXT(A458,"yyyy-mm-dd"),"T",TEXT(A458,"hh:mm:ss"),'Event Info'!$B$5,",",," ",C458),"")</f>
        <v>#REF!</v>
      </c>
      <c r="G458" t="e">
        <f t="shared" si="14"/>
        <v>#REF!</v>
      </c>
      <c r="H458" s="92" t="str">
        <f t="shared" si="15"/>
        <v/>
      </c>
      <c r="I458" s="88">
        <v>0</v>
      </c>
    </row>
    <row r="459" spans="1:9">
      <c r="A459" s="76" t="e" cm="1">
        <f t="array" ref="A459">IF(OR(INDEX(#REF!,ROW()+10)="START",INDEX(#REF!,ROW()+9)="",INDEX(#REF!,ROW()+9)="START",INDEX(#REF!,ROW()+9)="TBA",INDEX(#REF!,ROW()+9)="TBC"),"",INDEX(#REF!,ROW()+9)+'Date Calculators'!$B$2+E459)</f>
        <v>#REF!</v>
      </c>
      <c r="B459" s="76" t="e" cm="1">
        <f t="array" ref="B459">IF(OR(A459=""),"",IF(INDEX(#REF!,ROW()+9)="",IF(A460="",A459+$Q$10,A460),INDEX(#REF!,ROW()+9)+'Date Calculators'!$B$2+E459))</f>
        <v>#REF!</v>
      </c>
      <c r="C459" s="74" t="e" cm="1">
        <f t="array" ref="C459">IF(A459="","",INDEX(#REF!,ROW()+9))</f>
        <v>#REF!</v>
      </c>
      <c r="D459" s="74" t="str">
        <f>IFERROR(IF(A459="","",'Event Info'!$B$2),"")</f>
        <v/>
      </c>
      <c r="E459" t="e" cm="1">
        <f t="array" ref="E459">IF(INDEX(#REF!,ROW()+9)="START",E458+1,E458+0)</f>
        <v>#REF!</v>
      </c>
      <c r="F459" s="82" t="e">
        <f>IF(A459&lt;&gt;"",_xlfn.CONCAT(TEXT(A459,"yyyy-mm-dd"),"T",TEXT(A459,"hh:mm:ss"),'Event Info'!$B$5,",",," ",C459),"")</f>
        <v>#REF!</v>
      </c>
      <c r="G459" t="e">
        <f t="shared" si="14"/>
        <v>#REF!</v>
      </c>
      <c r="H459" s="92" t="str">
        <f t="shared" si="15"/>
        <v/>
      </c>
      <c r="I459" s="88">
        <v>0</v>
      </c>
    </row>
    <row r="460" spans="1:9" ht="16.899999999999999">
      <c r="A460" s="76" t="e" cm="1">
        <f t="array" ref="A460">IF(OR(INDEX(#REF!,ROW()+10)="START",INDEX(#REF!,ROW()+9)="",INDEX(#REF!,ROW()+9)="START",INDEX(#REF!,ROW()+9)="TBA",INDEX(#REF!,ROW()+9)="TBC"),"",INDEX(#REF!,ROW()+9)+'Date Calculators'!$B$2+E460)</f>
        <v>#REF!</v>
      </c>
      <c r="B460" s="76" t="e" cm="1">
        <f t="array" ref="B460">IF(OR(A460=""),"",IF(INDEX(#REF!,ROW()+9)="",IF(A461="",A460+$Q$10,A461),INDEX(#REF!,ROW()+9)+'Date Calculators'!$B$2+E460))</f>
        <v>#REF!</v>
      </c>
      <c r="C460" s="74" t="e" cm="1">
        <f t="array" ref="C460">IF(A460="","",INDEX(#REF!,ROW()+9))</f>
        <v>#REF!</v>
      </c>
      <c r="D460" s="74" t="str">
        <f>IFERROR(IF(A460="","",'Event Info'!$B$2),"")</f>
        <v/>
      </c>
      <c r="E460" t="e" cm="1">
        <f t="array" ref="E460">IF(INDEX(#REF!,ROW()+9)="START",E459+1,E459+0)</f>
        <v>#REF!</v>
      </c>
      <c r="F460" s="82" t="e">
        <f>IF(A460&lt;&gt;"",_xlfn.CONCAT(TEXT(A460,"yyyy-mm-dd"),"T",TEXT(A460,"hh:mm:ss"),'Event Info'!$B$5,",",," ",C460),"")</f>
        <v>#REF!</v>
      </c>
      <c r="G460" t="e">
        <f t="shared" si="14"/>
        <v>#REF!</v>
      </c>
      <c r="H460" s="92" t="str">
        <f t="shared" si="15"/>
        <v/>
      </c>
      <c r="I460" s="91">
        <v>0</v>
      </c>
    </row>
    <row r="461" spans="1:9">
      <c r="A461" s="76" t="e" cm="1">
        <f t="array" ref="A461">IF(OR(INDEX(#REF!,ROW()+10)="START",INDEX(#REF!,ROW()+9)="",INDEX(#REF!,ROW()+9)="START",INDEX(#REF!,ROW()+9)="TBA",INDEX(#REF!,ROW()+9)="TBC"),"",INDEX(#REF!,ROW()+9)+'Date Calculators'!$B$2+E461)</f>
        <v>#REF!</v>
      </c>
      <c r="B461" s="76" t="e" cm="1">
        <f t="array" ref="B461">IF(OR(A461=""),"",IF(INDEX(#REF!,ROW()+9)="",IF(A462="",A461+$Q$10,A462),INDEX(#REF!,ROW()+9)+'Date Calculators'!$B$2+E461))</f>
        <v>#REF!</v>
      </c>
      <c r="C461" s="74" t="e" cm="1">
        <f t="array" ref="C461">IF(A461="","",INDEX(#REF!,ROW()+9))</f>
        <v>#REF!</v>
      </c>
      <c r="D461" s="74" t="str">
        <f>IFERROR(IF(A461="","",'Event Info'!$B$2),"")</f>
        <v/>
      </c>
      <c r="E461" t="e" cm="1">
        <f t="array" ref="E461">IF(INDEX(#REF!,ROW()+9)="START",E460+1,E460+0)</f>
        <v>#REF!</v>
      </c>
      <c r="F461" s="82" t="e">
        <f>IF(A461&lt;&gt;"",_xlfn.CONCAT(TEXT(A461,"yyyy-mm-dd"),"T",TEXT(A461,"hh:mm:ss"),'Event Info'!$B$5,",",," ",C461),"")</f>
        <v>#REF!</v>
      </c>
      <c r="G461" t="e">
        <f t="shared" si="14"/>
        <v>#REF!</v>
      </c>
      <c r="H461" s="92" t="str">
        <f t="shared" si="15"/>
        <v/>
      </c>
      <c r="I461" s="88">
        <v>0</v>
      </c>
    </row>
    <row r="462" spans="1:9">
      <c r="A462" s="76" t="e" cm="1">
        <f t="array" ref="A462">IF(OR(INDEX(#REF!,ROW()+10)="START",INDEX(#REF!,ROW()+9)="",INDEX(#REF!,ROW()+9)="START",INDEX(#REF!,ROW()+9)="TBA",INDEX(#REF!,ROW()+9)="TBC"),"",INDEX(#REF!,ROW()+9)+'Date Calculators'!$B$2+E462)</f>
        <v>#REF!</v>
      </c>
      <c r="B462" s="76" t="e" cm="1">
        <f t="array" ref="B462">IF(OR(A462=""),"",IF(INDEX(#REF!,ROW()+9)="",IF(A463="",A462+$Q$10,A463),INDEX(#REF!,ROW()+9)+'Date Calculators'!$B$2+E462))</f>
        <v>#REF!</v>
      </c>
      <c r="C462" s="74" t="e" cm="1">
        <f t="array" ref="C462">IF(A462="","",INDEX(#REF!,ROW()+9))</f>
        <v>#REF!</v>
      </c>
      <c r="D462" s="74" t="str">
        <f>IFERROR(IF(A462="","",'Event Info'!$B$2),"")</f>
        <v/>
      </c>
      <c r="E462" t="e" cm="1">
        <f t="array" ref="E462">IF(INDEX(#REF!,ROW()+9)="START",E461+1,E461+0)</f>
        <v>#REF!</v>
      </c>
      <c r="F462" s="82" t="e">
        <f>IF(A462&lt;&gt;"",_xlfn.CONCAT(TEXT(A462,"yyyy-mm-dd"),"T",TEXT(A462,"hh:mm:ss"),'Event Info'!$B$5,",",," ",C462),"")</f>
        <v>#REF!</v>
      </c>
      <c r="G462" t="e">
        <f t="shared" si="14"/>
        <v>#REF!</v>
      </c>
      <c r="H462" s="92" t="str">
        <f t="shared" si="15"/>
        <v/>
      </c>
      <c r="I462" s="88">
        <v>0</v>
      </c>
    </row>
    <row r="463" spans="1:9" ht="16.899999999999999">
      <c r="A463" s="76" t="e" cm="1">
        <f t="array" ref="A463">IF(OR(INDEX(#REF!,ROW()+10)="START",INDEX(#REF!,ROW()+9)="",INDEX(#REF!,ROW()+9)="START",INDEX(#REF!,ROW()+9)="TBA",INDEX(#REF!,ROW()+9)="TBC"),"",INDEX(#REF!,ROW()+9)+'Date Calculators'!$B$2+E463)</f>
        <v>#REF!</v>
      </c>
      <c r="B463" s="76" t="e" cm="1">
        <f t="array" ref="B463">IF(OR(A463=""),"",IF(INDEX(#REF!,ROW()+9)="",IF(A464="",A463+$Q$10,A464),INDEX(#REF!,ROW()+9)+'Date Calculators'!$B$2+E463))</f>
        <v>#REF!</v>
      </c>
      <c r="C463" s="74" t="e" cm="1">
        <f t="array" ref="C463">IF(A463="","",INDEX(#REF!,ROW()+9))</f>
        <v>#REF!</v>
      </c>
      <c r="D463" s="74" t="str">
        <f>IFERROR(IF(A463="","",'Event Info'!$B$2),"")</f>
        <v/>
      </c>
      <c r="E463" t="e" cm="1">
        <f t="array" ref="E463">IF(INDEX(#REF!,ROW()+9)="START",E462+1,E462+0)</f>
        <v>#REF!</v>
      </c>
      <c r="F463" s="82" t="e">
        <f>IF(A463&lt;&gt;"",_xlfn.CONCAT(TEXT(A463,"yyyy-mm-dd"),"T",TEXT(A463,"hh:mm:ss"),'Event Info'!$B$5,",",," ",C463),"")</f>
        <v>#REF!</v>
      </c>
      <c r="G463" t="e">
        <f t="shared" si="14"/>
        <v>#REF!</v>
      </c>
      <c r="H463" s="92" t="str">
        <f t="shared" si="15"/>
        <v/>
      </c>
      <c r="I463" s="91">
        <v>0</v>
      </c>
    </row>
    <row r="464" spans="1:9">
      <c r="A464" s="76" t="e" cm="1">
        <f t="array" ref="A464">IF(OR(INDEX(#REF!,ROW()+10)="START",INDEX(#REF!,ROW()+9)="",INDEX(#REF!,ROW()+9)="START",INDEX(#REF!,ROW()+9)="TBA",INDEX(#REF!,ROW()+9)="TBC"),"",INDEX(#REF!,ROW()+9)+'Date Calculators'!$B$2+E464)</f>
        <v>#REF!</v>
      </c>
      <c r="B464" s="76" t="e" cm="1">
        <f t="array" ref="B464">IF(OR(A464=""),"",IF(INDEX(#REF!,ROW()+9)="",IF(A465="",A464+$Q$10,A465),INDEX(#REF!,ROW()+9)+'Date Calculators'!$B$2+E464))</f>
        <v>#REF!</v>
      </c>
      <c r="C464" s="74" t="e" cm="1">
        <f t="array" ref="C464">IF(A464="","",INDEX(#REF!,ROW()+9))</f>
        <v>#REF!</v>
      </c>
      <c r="D464" s="74" t="str">
        <f>IFERROR(IF(A464="","",'Event Info'!$B$2),"")</f>
        <v/>
      </c>
      <c r="E464" t="e" cm="1">
        <f t="array" ref="E464">IF(INDEX(#REF!,ROW()+9)="START",E463+1,E463+0)</f>
        <v>#REF!</v>
      </c>
      <c r="F464" s="82" t="e">
        <f>IF(A464&lt;&gt;"",_xlfn.CONCAT(TEXT(A464,"yyyy-mm-dd"),"T",TEXT(A464,"hh:mm:ss"),'Event Info'!$B$5,",",," ",C464),"")</f>
        <v>#REF!</v>
      </c>
      <c r="G464" t="e">
        <f t="shared" si="14"/>
        <v>#REF!</v>
      </c>
      <c r="H464" s="92" t="str">
        <f t="shared" si="15"/>
        <v/>
      </c>
      <c r="I464" s="88">
        <v>0</v>
      </c>
    </row>
    <row r="465" spans="1:9">
      <c r="A465" s="76" t="e" cm="1">
        <f t="array" ref="A465">IF(OR(INDEX(#REF!,ROW()+10)="START",INDEX(#REF!,ROW()+9)="",INDEX(#REF!,ROW()+9)="START",INDEX(#REF!,ROW()+9)="TBA",INDEX(#REF!,ROW()+9)="TBC"),"",INDEX(#REF!,ROW()+9)+'Date Calculators'!$B$2+E465)</f>
        <v>#REF!</v>
      </c>
      <c r="B465" s="76" t="e" cm="1">
        <f t="array" ref="B465">IF(OR(A465=""),"",IF(INDEX(#REF!,ROW()+9)="",IF(A466="",A465+$Q$10,A466),INDEX(#REF!,ROW()+9)+'Date Calculators'!$B$2+E465))</f>
        <v>#REF!</v>
      </c>
      <c r="C465" s="74" t="e" cm="1">
        <f t="array" ref="C465">IF(A465="","",INDEX(#REF!,ROW()+9))</f>
        <v>#REF!</v>
      </c>
      <c r="D465" s="74" t="str">
        <f>IFERROR(IF(A465="","",'Event Info'!$B$2),"")</f>
        <v/>
      </c>
      <c r="E465" t="e" cm="1">
        <f t="array" ref="E465">IF(INDEX(#REF!,ROW()+9)="START",E464+1,E464+0)</f>
        <v>#REF!</v>
      </c>
      <c r="F465" s="82" t="e">
        <f>IF(A465&lt;&gt;"",_xlfn.CONCAT(TEXT(A465,"yyyy-mm-dd"),"T",TEXT(A465,"hh:mm:ss"),'Event Info'!$B$5,",",," ",C465),"")</f>
        <v>#REF!</v>
      </c>
      <c r="G465" t="e">
        <f t="shared" si="14"/>
        <v>#REF!</v>
      </c>
      <c r="H465" s="92" t="str">
        <f t="shared" si="15"/>
        <v/>
      </c>
      <c r="I465" s="88">
        <v>0</v>
      </c>
    </row>
    <row r="466" spans="1:9" ht="16.899999999999999">
      <c r="A466" s="76" t="e" cm="1">
        <f t="array" ref="A466">IF(OR(INDEX(#REF!,ROW()+10)="START",INDEX(#REF!,ROW()+9)="",INDEX(#REF!,ROW()+9)="START",INDEX(#REF!,ROW()+9)="TBA",INDEX(#REF!,ROW()+9)="TBC"),"",INDEX(#REF!,ROW()+9)+'Date Calculators'!$B$2+E466)</f>
        <v>#REF!</v>
      </c>
      <c r="B466" s="76" t="e" cm="1">
        <f t="array" ref="B466">IF(OR(A466=""),"",IF(INDEX(#REF!,ROW()+9)="",IF(A467="",A466+$Q$10,A467),INDEX(#REF!,ROW()+9)+'Date Calculators'!$B$2+E466))</f>
        <v>#REF!</v>
      </c>
      <c r="C466" s="74" t="e" cm="1">
        <f t="array" ref="C466">IF(A466="","",INDEX(#REF!,ROW()+9))</f>
        <v>#REF!</v>
      </c>
      <c r="D466" s="74" t="str">
        <f>IFERROR(IF(A466="","",'Event Info'!$B$2),"")</f>
        <v/>
      </c>
      <c r="E466" t="e" cm="1">
        <f t="array" ref="E466">IF(INDEX(#REF!,ROW()+9)="START",E465+1,E465+0)</f>
        <v>#REF!</v>
      </c>
      <c r="F466" s="82" t="e">
        <f>IF(A466&lt;&gt;"",_xlfn.CONCAT(TEXT(A466,"yyyy-mm-dd"),"T",TEXT(A466,"hh:mm:ss"),'Event Info'!$B$5,",",," ",C466),"")</f>
        <v>#REF!</v>
      </c>
      <c r="G466" t="e">
        <f t="shared" si="14"/>
        <v>#REF!</v>
      </c>
      <c r="H466" s="92" t="str">
        <f t="shared" si="15"/>
        <v/>
      </c>
      <c r="I466" s="91">
        <v>0</v>
      </c>
    </row>
    <row r="467" spans="1:9">
      <c r="A467" s="76" t="e" cm="1">
        <f t="array" ref="A467">IF(OR(INDEX(#REF!,ROW()+10)="START",INDEX(#REF!,ROW()+9)="",INDEX(#REF!,ROW()+9)="START",INDEX(#REF!,ROW()+9)="TBA",INDEX(#REF!,ROW()+9)="TBC"),"",INDEX(#REF!,ROW()+9)+'Date Calculators'!$B$2+E467)</f>
        <v>#REF!</v>
      </c>
      <c r="B467" s="76" t="e" cm="1">
        <f t="array" ref="B467">IF(OR(A467=""),"",IF(INDEX(#REF!,ROW()+9)="",IF(A468="",A467+$Q$10,A468),INDEX(#REF!,ROW()+9)+'Date Calculators'!$B$2+E467))</f>
        <v>#REF!</v>
      </c>
      <c r="C467" s="74" t="e" cm="1">
        <f t="array" ref="C467">IF(A467="","",INDEX(#REF!,ROW()+9))</f>
        <v>#REF!</v>
      </c>
      <c r="D467" s="74" t="str">
        <f>IFERROR(IF(A467="","",'Event Info'!$B$2),"")</f>
        <v/>
      </c>
      <c r="E467" t="e" cm="1">
        <f t="array" ref="E467">IF(INDEX(#REF!,ROW()+9)="START",E466+1,E466+0)</f>
        <v>#REF!</v>
      </c>
      <c r="F467" s="82" t="e">
        <f>IF(A467&lt;&gt;"",_xlfn.CONCAT(TEXT(A467,"yyyy-mm-dd"),"T",TEXT(A467,"hh:mm:ss"),'Event Info'!$B$5,",",," ",C467),"")</f>
        <v>#REF!</v>
      </c>
      <c r="G467" t="e">
        <f t="shared" si="14"/>
        <v>#REF!</v>
      </c>
      <c r="H467" s="92" t="str">
        <f t="shared" si="15"/>
        <v/>
      </c>
      <c r="I467" s="88">
        <v>0</v>
      </c>
    </row>
    <row r="468" spans="1:9">
      <c r="A468" s="76" t="e" cm="1">
        <f t="array" ref="A468">IF(OR(INDEX(#REF!,ROW()+10)="START",INDEX(#REF!,ROW()+9)="",INDEX(#REF!,ROW()+9)="START",INDEX(#REF!,ROW()+9)="TBA",INDEX(#REF!,ROW()+9)="TBC"),"",INDEX(#REF!,ROW()+9)+'Date Calculators'!$B$2+E468)</f>
        <v>#REF!</v>
      </c>
      <c r="B468" s="76" t="e" cm="1">
        <f t="array" ref="B468">IF(OR(A468=""),"",IF(INDEX(#REF!,ROW()+9)="",IF(A469="",A468+$Q$10,A469),INDEX(#REF!,ROW()+9)+'Date Calculators'!$B$2+E468))</f>
        <v>#REF!</v>
      </c>
      <c r="C468" s="74" t="e" cm="1">
        <f t="array" ref="C468">IF(A468="","",INDEX(#REF!,ROW()+9))</f>
        <v>#REF!</v>
      </c>
      <c r="D468" s="74" t="str">
        <f>IFERROR(IF(A468="","",'Event Info'!$B$2),"")</f>
        <v/>
      </c>
      <c r="E468" t="e" cm="1">
        <f t="array" ref="E468">IF(INDEX(#REF!,ROW()+9)="START",E467+1,E467+0)</f>
        <v>#REF!</v>
      </c>
      <c r="F468" s="82" t="e">
        <f>IF(A468&lt;&gt;"",_xlfn.CONCAT(TEXT(A468,"yyyy-mm-dd"),"T",TEXT(A468,"hh:mm:ss"),'Event Info'!$B$5,",",," ",C468),"")</f>
        <v>#REF!</v>
      </c>
      <c r="G468" t="e">
        <f t="shared" si="14"/>
        <v>#REF!</v>
      </c>
      <c r="H468" s="92" t="str">
        <f t="shared" si="15"/>
        <v/>
      </c>
      <c r="I468" s="88">
        <v>0</v>
      </c>
    </row>
    <row r="469" spans="1:9" ht="16.899999999999999">
      <c r="A469" s="76" t="e" cm="1">
        <f t="array" ref="A469">IF(OR(INDEX(#REF!,ROW()+10)="START",INDEX(#REF!,ROW()+9)="",INDEX(#REF!,ROW()+9)="START",INDEX(#REF!,ROW()+9)="TBA",INDEX(#REF!,ROW()+9)="TBC"),"",INDEX(#REF!,ROW()+9)+'Date Calculators'!$B$2+E469)</f>
        <v>#REF!</v>
      </c>
      <c r="B469" s="76" t="e" cm="1">
        <f t="array" ref="B469">IF(OR(A469=""),"",IF(INDEX(#REF!,ROW()+9)="",IF(A470="",A469+$Q$10,A470),INDEX(#REF!,ROW()+9)+'Date Calculators'!$B$2+E469))</f>
        <v>#REF!</v>
      </c>
      <c r="C469" s="74" t="e" cm="1">
        <f t="array" ref="C469">IF(A469="","",INDEX(#REF!,ROW()+9))</f>
        <v>#REF!</v>
      </c>
      <c r="D469" s="74" t="str">
        <f>IFERROR(IF(A469="","",'Event Info'!$B$2),"")</f>
        <v/>
      </c>
      <c r="E469" t="e" cm="1">
        <f t="array" ref="E469">IF(INDEX(#REF!,ROW()+9)="START",E468+1,E468+0)</f>
        <v>#REF!</v>
      </c>
      <c r="F469" s="82" t="e">
        <f>IF(A469&lt;&gt;"",_xlfn.CONCAT(TEXT(A469,"yyyy-mm-dd"),"T",TEXT(A469,"hh:mm:ss"),'Event Info'!$B$5,",",," ",C469),"")</f>
        <v>#REF!</v>
      </c>
      <c r="G469" t="e">
        <f t="shared" si="14"/>
        <v>#REF!</v>
      </c>
      <c r="H469" s="92" t="str">
        <f t="shared" si="15"/>
        <v/>
      </c>
      <c r="I469" s="91">
        <v>0</v>
      </c>
    </row>
    <row r="470" spans="1:9">
      <c r="A470" s="76" t="e" cm="1">
        <f t="array" ref="A470">IF(OR(INDEX(#REF!,ROW()+10)="START",INDEX(#REF!,ROW()+9)="",INDEX(#REF!,ROW()+9)="START",INDEX(#REF!,ROW()+9)="TBA",INDEX(#REF!,ROW()+9)="TBC"),"",INDEX(#REF!,ROW()+9)+'Date Calculators'!$B$2+E470)</f>
        <v>#REF!</v>
      </c>
      <c r="B470" s="76" t="e" cm="1">
        <f t="array" ref="B470">IF(OR(A470=""),"",IF(INDEX(#REF!,ROW()+9)="",IF(A471="",A470+$Q$10,A471),INDEX(#REF!,ROW()+9)+'Date Calculators'!$B$2+E470))</f>
        <v>#REF!</v>
      </c>
      <c r="C470" s="74" t="e" cm="1">
        <f t="array" ref="C470">IF(A470="","",INDEX(#REF!,ROW()+9))</f>
        <v>#REF!</v>
      </c>
      <c r="D470" s="74" t="str">
        <f>IFERROR(IF(A470="","",'Event Info'!$B$2),"")</f>
        <v/>
      </c>
      <c r="E470" t="e" cm="1">
        <f t="array" ref="E470">IF(INDEX(#REF!,ROW()+9)="START",E469+1,E469+0)</f>
        <v>#REF!</v>
      </c>
      <c r="F470" s="82" t="e">
        <f>IF(A470&lt;&gt;"",_xlfn.CONCAT(TEXT(A470,"yyyy-mm-dd"),"T",TEXT(A470,"hh:mm:ss"),'Event Info'!$B$5,",",," ",C470),"")</f>
        <v>#REF!</v>
      </c>
      <c r="G470" t="e">
        <f t="shared" si="14"/>
        <v>#REF!</v>
      </c>
      <c r="H470" s="92" t="str">
        <f t="shared" si="15"/>
        <v/>
      </c>
      <c r="I470" s="88">
        <v>0</v>
      </c>
    </row>
    <row r="471" spans="1:9">
      <c r="A471" s="76" t="e" cm="1">
        <f t="array" ref="A471">IF(OR(INDEX(#REF!,ROW()+10)="START",INDEX(#REF!,ROW()+9)="",INDEX(#REF!,ROW()+9)="START",INDEX(#REF!,ROW()+9)="TBA",INDEX(#REF!,ROW()+9)="TBC"),"",INDEX(#REF!,ROW()+9)+'Date Calculators'!$B$2+E471)</f>
        <v>#REF!</v>
      </c>
      <c r="B471" s="76" t="e" cm="1">
        <f t="array" ref="B471">IF(OR(A471=""),"",IF(INDEX(#REF!,ROW()+9)="",IF(A472="",A471+$Q$10,A472),INDEX(#REF!,ROW()+9)+'Date Calculators'!$B$2+E471))</f>
        <v>#REF!</v>
      </c>
      <c r="C471" s="74" t="e" cm="1">
        <f t="array" ref="C471">IF(A471="","",INDEX(#REF!,ROW()+9))</f>
        <v>#REF!</v>
      </c>
      <c r="D471" s="74" t="str">
        <f>IFERROR(IF(A471="","",'Event Info'!$B$2),"")</f>
        <v/>
      </c>
      <c r="E471" t="e" cm="1">
        <f t="array" ref="E471">IF(INDEX(#REF!,ROW()+9)="START",E470+1,E470+0)</f>
        <v>#REF!</v>
      </c>
      <c r="F471" s="82" t="e">
        <f>IF(A471&lt;&gt;"",_xlfn.CONCAT(TEXT(A471,"yyyy-mm-dd"),"T",TEXT(A471,"hh:mm:ss"),'Event Info'!$B$5,",",," ",C471),"")</f>
        <v>#REF!</v>
      </c>
      <c r="G471" t="e">
        <f t="shared" si="14"/>
        <v>#REF!</v>
      </c>
      <c r="H471" s="92" t="str">
        <f t="shared" si="15"/>
        <v/>
      </c>
      <c r="I471" s="88">
        <v>0</v>
      </c>
    </row>
    <row r="472" spans="1:9" ht="16.899999999999999">
      <c r="A472" s="76" t="e" cm="1">
        <f t="array" ref="A472">IF(OR(INDEX(#REF!,ROW()+10)="START",INDEX(#REF!,ROW()+9)="",INDEX(#REF!,ROW()+9)="START",INDEX(#REF!,ROW()+9)="TBA",INDEX(#REF!,ROW()+9)="TBC"),"",INDEX(#REF!,ROW()+9)+'Date Calculators'!$B$2+E472)</f>
        <v>#REF!</v>
      </c>
      <c r="B472" s="76" t="e" cm="1">
        <f t="array" ref="B472">IF(OR(A472=""),"",IF(INDEX(#REF!,ROW()+9)="",IF(A473="",A472+$Q$10,A473),INDEX(#REF!,ROW()+9)+'Date Calculators'!$B$2+E472))</f>
        <v>#REF!</v>
      </c>
      <c r="C472" s="74" t="e" cm="1">
        <f t="array" ref="C472">IF(A472="","",INDEX(#REF!,ROW()+9))</f>
        <v>#REF!</v>
      </c>
      <c r="D472" s="74" t="str">
        <f>IFERROR(IF(A472="","",'Event Info'!$B$2),"")</f>
        <v/>
      </c>
      <c r="E472" t="e" cm="1">
        <f t="array" ref="E472">IF(INDEX(#REF!,ROW()+9)="START",E471+1,E471+0)</f>
        <v>#REF!</v>
      </c>
      <c r="F472" s="82" t="e">
        <f>IF(A472&lt;&gt;"",_xlfn.CONCAT(TEXT(A472,"yyyy-mm-dd"),"T",TEXT(A472,"hh:mm:ss"),'Event Info'!$B$5,",",," ",C472),"")</f>
        <v>#REF!</v>
      </c>
      <c r="G472" t="e">
        <f t="shared" si="14"/>
        <v>#REF!</v>
      </c>
      <c r="H472" s="92" t="str">
        <f t="shared" si="15"/>
        <v/>
      </c>
      <c r="I472" s="91">
        <v>0</v>
      </c>
    </row>
    <row r="473" spans="1:9">
      <c r="A473" s="76" t="e" cm="1">
        <f t="array" ref="A473">IF(OR(INDEX(#REF!,ROW()+10)="START",INDEX(#REF!,ROW()+9)="",INDEX(#REF!,ROW()+9)="START",INDEX(#REF!,ROW()+9)="TBA",INDEX(#REF!,ROW()+9)="TBC"),"",INDEX(#REF!,ROW()+9)+'Date Calculators'!$B$2+E473)</f>
        <v>#REF!</v>
      </c>
      <c r="B473" s="76" t="e" cm="1">
        <f t="array" ref="B473">IF(OR(A473=""),"",IF(INDEX(#REF!,ROW()+9)="",IF(A474="",A473+$Q$10,A474),INDEX(#REF!,ROW()+9)+'Date Calculators'!$B$2+E473))</f>
        <v>#REF!</v>
      </c>
      <c r="C473" s="74" t="e" cm="1">
        <f t="array" ref="C473">IF(A473="","",INDEX(#REF!,ROW()+9))</f>
        <v>#REF!</v>
      </c>
      <c r="D473" s="74" t="str">
        <f>IFERROR(IF(A473="","",'Event Info'!$B$2),"")</f>
        <v/>
      </c>
      <c r="E473" t="e" cm="1">
        <f t="array" ref="E473">IF(INDEX(#REF!,ROW()+9)="START",E472+1,E472+0)</f>
        <v>#REF!</v>
      </c>
      <c r="F473" s="82" t="e">
        <f>IF(A473&lt;&gt;"",_xlfn.CONCAT(TEXT(A473,"yyyy-mm-dd"),"T",TEXT(A473,"hh:mm:ss"),'Event Info'!$B$5,",",," ",C473),"")</f>
        <v>#REF!</v>
      </c>
      <c r="G473" t="e">
        <f t="shared" si="14"/>
        <v>#REF!</v>
      </c>
      <c r="H473" s="92" t="str">
        <f t="shared" si="15"/>
        <v/>
      </c>
      <c r="I473" s="88">
        <v>0</v>
      </c>
    </row>
    <row r="474" spans="1:9">
      <c r="A474" s="76" t="e" cm="1">
        <f t="array" ref="A474">IF(OR(INDEX(#REF!,ROW()+10)="START",INDEX(#REF!,ROW()+9)="",INDEX(#REF!,ROW()+9)="START",INDEX(#REF!,ROW()+9)="TBA",INDEX(#REF!,ROW()+9)="TBC"),"",INDEX(#REF!,ROW()+9)+'Date Calculators'!$B$2+E474)</f>
        <v>#REF!</v>
      </c>
      <c r="B474" s="76" t="e" cm="1">
        <f t="array" ref="B474">IF(OR(A474=""),"",IF(INDEX(#REF!,ROW()+9)="",IF(A475="",A474+$Q$10,A475),INDEX(#REF!,ROW()+9)+'Date Calculators'!$B$2+E474))</f>
        <v>#REF!</v>
      </c>
      <c r="C474" s="74" t="e" cm="1">
        <f t="array" ref="C474">IF(A474="","",INDEX(#REF!,ROW()+9))</f>
        <v>#REF!</v>
      </c>
      <c r="D474" s="74" t="str">
        <f>IFERROR(IF(A474="","",'Event Info'!$B$2),"")</f>
        <v/>
      </c>
      <c r="E474" t="e" cm="1">
        <f t="array" ref="E474">IF(INDEX(#REF!,ROW()+9)="START",E473+1,E473+0)</f>
        <v>#REF!</v>
      </c>
      <c r="F474" s="82" t="e">
        <f>IF(A474&lt;&gt;"",_xlfn.CONCAT(TEXT(A474,"yyyy-mm-dd"),"T",TEXT(A474,"hh:mm:ss"),'Event Info'!$B$5,",",," ",C474),"")</f>
        <v>#REF!</v>
      </c>
      <c r="G474" t="e">
        <f t="shared" si="14"/>
        <v>#REF!</v>
      </c>
      <c r="H474" s="92" t="str">
        <f t="shared" si="15"/>
        <v/>
      </c>
      <c r="I474" s="88">
        <v>0</v>
      </c>
    </row>
    <row r="475" spans="1:9" ht="16.899999999999999">
      <c r="A475" s="76" t="e" cm="1">
        <f t="array" ref="A475">IF(OR(INDEX(#REF!,ROW()+10)="START",INDEX(#REF!,ROW()+9)="",INDEX(#REF!,ROW()+9)="START",INDEX(#REF!,ROW()+9)="TBA",INDEX(#REF!,ROW()+9)="TBC"),"",INDEX(#REF!,ROW()+9)+'Date Calculators'!$B$2+E475)</f>
        <v>#REF!</v>
      </c>
      <c r="B475" s="76" t="e" cm="1">
        <f t="array" ref="B475">IF(OR(A475=""),"",IF(INDEX(#REF!,ROW()+9)="",IF(A476="",A475+$Q$10,A476),INDEX(#REF!,ROW()+9)+'Date Calculators'!$B$2+E475))</f>
        <v>#REF!</v>
      </c>
      <c r="C475" s="74" t="e" cm="1">
        <f t="array" ref="C475">IF(A475="","",INDEX(#REF!,ROW()+9))</f>
        <v>#REF!</v>
      </c>
      <c r="D475" s="74" t="str">
        <f>IFERROR(IF(A475="","",'Event Info'!$B$2),"")</f>
        <v/>
      </c>
      <c r="E475" t="e" cm="1">
        <f t="array" ref="E475">IF(INDEX(#REF!,ROW()+9)="START",E474+1,E474+0)</f>
        <v>#REF!</v>
      </c>
      <c r="F475" s="82" t="e">
        <f>IF(A475&lt;&gt;"",_xlfn.CONCAT(TEXT(A475,"yyyy-mm-dd"),"T",TEXT(A475,"hh:mm:ss"),'Event Info'!$B$5,",",," ",C475),"")</f>
        <v>#REF!</v>
      </c>
      <c r="G475" t="e">
        <f t="shared" si="14"/>
        <v>#REF!</v>
      </c>
      <c r="H475" s="92" t="str">
        <f t="shared" si="15"/>
        <v/>
      </c>
      <c r="I475" s="91">
        <v>0</v>
      </c>
    </row>
    <row r="476" spans="1:9">
      <c r="A476" s="76" t="e" cm="1">
        <f t="array" ref="A476">IF(OR(INDEX(#REF!,ROW()+10)="START",INDEX(#REF!,ROW()+9)="",INDEX(#REF!,ROW()+9)="START",INDEX(#REF!,ROW()+9)="TBA",INDEX(#REF!,ROW()+9)="TBC"),"",INDEX(#REF!,ROW()+9)+'Date Calculators'!$B$2+E476)</f>
        <v>#REF!</v>
      </c>
      <c r="B476" s="76" t="e" cm="1">
        <f t="array" ref="B476">IF(OR(A476=""),"",IF(INDEX(#REF!,ROW()+9)="",IF(A477="",A476+$Q$10,A477),INDEX(#REF!,ROW()+9)+'Date Calculators'!$B$2+E476))</f>
        <v>#REF!</v>
      </c>
      <c r="C476" s="74" t="e" cm="1">
        <f t="array" ref="C476">IF(A476="","",INDEX(#REF!,ROW()+9))</f>
        <v>#REF!</v>
      </c>
      <c r="D476" s="74" t="str">
        <f>IFERROR(IF(A476="","",'Event Info'!$B$2),"")</f>
        <v/>
      </c>
      <c r="E476" t="e" cm="1">
        <f t="array" ref="E476">IF(INDEX(#REF!,ROW()+9)="START",E475+1,E475+0)</f>
        <v>#REF!</v>
      </c>
      <c r="F476" s="82" t="e">
        <f>IF(A476&lt;&gt;"",_xlfn.CONCAT(TEXT(A476,"yyyy-mm-dd"),"T",TEXT(A476,"hh:mm:ss"),'Event Info'!$B$5,",",," ",C476),"")</f>
        <v>#REF!</v>
      </c>
      <c r="G476" t="e">
        <f t="shared" si="14"/>
        <v>#REF!</v>
      </c>
      <c r="H476" s="92" t="str">
        <f t="shared" si="15"/>
        <v/>
      </c>
      <c r="I476" s="88">
        <v>0</v>
      </c>
    </row>
    <row r="477" spans="1:9">
      <c r="A477" s="76" t="e" cm="1">
        <f t="array" ref="A477">IF(OR(INDEX(#REF!,ROW()+10)="START",INDEX(#REF!,ROW()+9)="",INDEX(#REF!,ROW()+9)="START",INDEX(#REF!,ROW()+9)="TBA",INDEX(#REF!,ROW()+9)="TBC"),"",INDEX(#REF!,ROW()+9)+'Date Calculators'!$B$2+E477)</f>
        <v>#REF!</v>
      </c>
      <c r="B477" s="76" t="e" cm="1">
        <f t="array" ref="B477">IF(OR(A477=""),"",IF(INDEX(#REF!,ROW()+9)="",IF(A478="",A477+$Q$10,A478),INDEX(#REF!,ROW()+9)+'Date Calculators'!$B$2+E477))</f>
        <v>#REF!</v>
      </c>
      <c r="C477" s="74" t="e" cm="1">
        <f t="array" ref="C477">IF(A477="","",INDEX(#REF!,ROW()+9))</f>
        <v>#REF!</v>
      </c>
      <c r="D477" s="74" t="str">
        <f>IFERROR(IF(A477="","",'Event Info'!$B$2),"")</f>
        <v/>
      </c>
      <c r="E477" t="e" cm="1">
        <f t="array" ref="E477">IF(INDEX(#REF!,ROW()+9)="START",E476+1,E476+0)</f>
        <v>#REF!</v>
      </c>
      <c r="F477" s="82" t="e">
        <f>IF(A477&lt;&gt;"",_xlfn.CONCAT(TEXT(A477,"yyyy-mm-dd"),"T",TEXT(A477,"hh:mm:ss"),'Event Info'!$B$5,",",," ",C477),"")</f>
        <v>#REF!</v>
      </c>
      <c r="G477" t="e">
        <f t="shared" si="14"/>
        <v>#REF!</v>
      </c>
      <c r="H477" s="92" t="str">
        <f t="shared" si="15"/>
        <v/>
      </c>
      <c r="I477" s="88">
        <v>0</v>
      </c>
    </row>
    <row r="478" spans="1:9" ht="16.899999999999999">
      <c r="A478" s="76" t="e" cm="1">
        <f t="array" ref="A478">IF(OR(INDEX(#REF!,ROW()+10)="START",INDEX(#REF!,ROW()+9)="",INDEX(#REF!,ROW()+9)="START",INDEX(#REF!,ROW()+9)="TBA",INDEX(#REF!,ROW()+9)="TBC"),"",INDEX(#REF!,ROW()+9)+'Date Calculators'!$B$2+E478)</f>
        <v>#REF!</v>
      </c>
      <c r="B478" s="76" t="e" cm="1">
        <f t="array" ref="B478">IF(OR(A478=""),"",IF(INDEX(#REF!,ROW()+9)="",IF(A479="",A478+$Q$10,A479),INDEX(#REF!,ROW()+9)+'Date Calculators'!$B$2+E478))</f>
        <v>#REF!</v>
      </c>
      <c r="C478" s="74" t="e" cm="1">
        <f t="array" ref="C478">IF(A478="","",INDEX(#REF!,ROW()+9))</f>
        <v>#REF!</v>
      </c>
      <c r="D478" s="74" t="str">
        <f>IFERROR(IF(A478="","",'Event Info'!$B$2),"")</f>
        <v/>
      </c>
      <c r="E478" t="e" cm="1">
        <f t="array" ref="E478">IF(INDEX(#REF!,ROW()+9)="START",E477+1,E477+0)</f>
        <v>#REF!</v>
      </c>
      <c r="F478" s="82" t="e">
        <f>IF(A478&lt;&gt;"",_xlfn.CONCAT(TEXT(A478,"yyyy-mm-dd"),"T",TEXT(A478,"hh:mm:ss"),'Event Info'!$B$5,",",," ",C478),"")</f>
        <v>#REF!</v>
      </c>
      <c r="G478" t="e">
        <f t="shared" si="14"/>
        <v>#REF!</v>
      </c>
      <c r="H478" s="92" t="str">
        <f t="shared" si="15"/>
        <v/>
      </c>
      <c r="I478" s="91">
        <v>0</v>
      </c>
    </row>
    <row r="479" spans="1:9">
      <c r="A479" s="76" t="e" cm="1">
        <f t="array" ref="A479">IF(OR(INDEX(#REF!,ROW()+10)="START",INDEX(#REF!,ROW()+9)="",INDEX(#REF!,ROW()+9)="START",INDEX(#REF!,ROW()+9)="TBA",INDEX(#REF!,ROW()+9)="TBC"),"",INDEX(#REF!,ROW()+9)+'Date Calculators'!$B$2+E479)</f>
        <v>#REF!</v>
      </c>
      <c r="B479" s="76" t="e" cm="1">
        <f t="array" ref="B479">IF(OR(A479=""),"",IF(INDEX(#REF!,ROW()+9)="",IF(A480="",A479+$Q$10,A480),INDEX(#REF!,ROW()+9)+'Date Calculators'!$B$2+E479))</f>
        <v>#REF!</v>
      </c>
      <c r="C479" s="74" t="e" cm="1">
        <f t="array" ref="C479">IF(A479="","",INDEX(#REF!,ROW()+9))</f>
        <v>#REF!</v>
      </c>
      <c r="D479" s="74" t="str">
        <f>IFERROR(IF(A479="","",'Event Info'!$B$2),"")</f>
        <v/>
      </c>
      <c r="E479" t="e" cm="1">
        <f t="array" ref="E479">IF(INDEX(#REF!,ROW()+9)="START",E478+1,E478+0)</f>
        <v>#REF!</v>
      </c>
      <c r="F479" s="82" t="e">
        <f>IF(A479&lt;&gt;"",_xlfn.CONCAT(TEXT(A479,"yyyy-mm-dd"),"T",TEXT(A479,"hh:mm:ss"),'Event Info'!$B$5,",",," ",C479),"")</f>
        <v>#REF!</v>
      </c>
      <c r="G479" t="e">
        <f t="shared" si="14"/>
        <v>#REF!</v>
      </c>
      <c r="H479" s="92" t="str">
        <f t="shared" si="15"/>
        <v/>
      </c>
      <c r="I479" s="88">
        <v>0</v>
      </c>
    </row>
    <row r="480" spans="1:9">
      <c r="A480" s="76" t="e" cm="1">
        <f t="array" ref="A480">IF(OR(INDEX(#REF!,ROW()+10)="START",INDEX(#REF!,ROW()+9)="",INDEX(#REF!,ROW()+9)="START",INDEX(#REF!,ROW()+9)="TBA",INDEX(#REF!,ROW()+9)="TBC"),"",INDEX(#REF!,ROW()+9)+'Date Calculators'!$B$2+E480)</f>
        <v>#REF!</v>
      </c>
      <c r="B480" s="76" t="e" cm="1">
        <f t="array" ref="B480">IF(OR(A480=""),"",IF(INDEX(#REF!,ROW()+9)="",IF(A481="",A480+$Q$10,A481),INDEX(#REF!,ROW()+9)+'Date Calculators'!$B$2+E480))</f>
        <v>#REF!</v>
      </c>
      <c r="C480" s="74" t="e" cm="1">
        <f t="array" ref="C480">IF(A480="","",INDEX(#REF!,ROW()+9))</f>
        <v>#REF!</v>
      </c>
      <c r="D480" s="74" t="str">
        <f>IFERROR(IF(A480="","",'Event Info'!$B$2),"")</f>
        <v/>
      </c>
      <c r="E480" t="e" cm="1">
        <f t="array" ref="E480">IF(INDEX(#REF!,ROW()+9)="START",E479+1,E479+0)</f>
        <v>#REF!</v>
      </c>
      <c r="F480" s="82" t="e">
        <f>IF(A480&lt;&gt;"",_xlfn.CONCAT(TEXT(A480,"yyyy-mm-dd"),"T",TEXT(A480,"hh:mm:ss"),'Event Info'!$B$5,",",," ",C480),"")</f>
        <v>#REF!</v>
      </c>
      <c r="G480" t="e">
        <f t="shared" si="14"/>
        <v>#REF!</v>
      </c>
      <c r="H480" s="92" t="str">
        <f t="shared" si="15"/>
        <v/>
      </c>
      <c r="I480" s="88">
        <v>0</v>
      </c>
    </row>
    <row r="481" spans="1:9" ht="16.899999999999999">
      <c r="A481" s="76" t="e" cm="1">
        <f t="array" ref="A481">IF(OR(INDEX(#REF!,ROW()+10)="START",INDEX(#REF!,ROW()+9)="",INDEX(#REF!,ROW()+9)="START",INDEX(#REF!,ROW()+9)="TBA",INDEX(#REF!,ROW()+9)="TBC"),"",INDEX(#REF!,ROW()+9)+'Date Calculators'!$B$2+E481)</f>
        <v>#REF!</v>
      </c>
      <c r="B481" s="76" t="e" cm="1">
        <f t="array" ref="B481">IF(OR(A481=""),"",IF(INDEX(#REF!,ROW()+9)="",IF(A482="",A481+$Q$10,A482),INDEX(#REF!,ROW()+9)+'Date Calculators'!$B$2+E481))</f>
        <v>#REF!</v>
      </c>
      <c r="C481" s="74" t="e" cm="1">
        <f t="array" ref="C481">IF(A481="","",INDEX(#REF!,ROW()+9))</f>
        <v>#REF!</v>
      </c>
      <c r="D481" s="74" t="str">
        <f>IFERROR(IF(A481="","",'Event Info'!$B$2),"")</f>
        <v/>
      </c>
      <c r="E481" t="e" cm="1">
        <f t="array" ref="E481">IF(INDEX(#REF!,ROW()+9)="START",E480+1,E480+0)</f>
        <v>#REF!</v>
      </c>
      <c r="F481" s="82" t="e">
        <f>IF(A481&lt;&gt;"",_xlfn.CONCAT(TEXT(A481,"yyyy-mm-dd"),"T",TEXT(A481,"hh:mm:ss"),'Event Info'!$B$5,",",," ",C481),"")</f>
        <v>#REF!</v>
      </c>
      <c r="G481" t="e">
        <f t="shared" si="14"/>
        <v>#REF!</v>
      </c>
      <c r="H481" s="92" t="str">
        <f t="shared" si="15"/>
        <v/>
      </c>
      <c r="I481" s="91">
        <v>0</v>
      </c>
    </row>
    <row r="482" spans="1:9">
      <c r="A482" s="76" t="e" cm="1">
        <f t="array" ref="A482">IF(OR(INDEX(#REF!,ROW()+10)="START",INDEX(#REF!,ROW()+9)="",INDEX(#REF!,ROW()+9)="START",INDEX(#REF!,ROW()+9)="TBA",INDEX(#REF!,ROW()+9)="TBC"),"",INDEX(#REF!,ROW()+9)+'Date Calculators'!$B$2+E482)</f>
        <v>#REF!</v>
      </c>
      <c r="B482" s="76" t="e" cm="1">
        <f t="array" ref="B482">IF(OR(A482=""),"",IF(INDEX(#REF!,ROW()+9)="",IF(A483="",A482+$Q$10,A483),INDEX(#REF!,ROW()+9)+'Date Calculators'!$B$2+E482))</f>
        <v>#REF!</v>
      </c>
      <c r="C482" s="74" t="e" cm="1">
        <f t="array" ref="C482">IF(A482="","",INDEX(#REF!,ROW()+9))</f>
        <v>#REF!</v>
      </c>
      <c r="D482" s="74" t="str">
        <f>IFERROR(IF(A482="","",'Event Info'!$B$2),"")</f>
        <v/>
      </c>
      <c r="E482" t="e" cm="1">
        <f t="array" ref="E482">IF(INDEX(#REF!,ROW()+9)="START",E481+1,E481+0)</f>
        <v>#REF!</v>
      </c>
      <c r="F482" s="82" t="e">
        <f>IF(A482&lt;&gt;"",_xlfn.CONCAT(TEXT(A482,"yyyy-mm-dd"),"T",TEXT(A482,"hh:mm:ss"),'Event Info'!$B$5,",",," ",C482),"")</f>
        <v>#REF!</v>
      </c>
      <c r="G482" t="e">
        <f t="shared" si="14"/>
        <v>#REF!</v>
      </c>
      <c r="H482" s="92" t="str">
        <f t="shared" si="15"/>
        <v/>
      </c>
      <c r="I482" s="88">
        <v>0</v>
      </c>
    </row>
    <row r="483" spans="1:9">
      <c r="A483" s="76" t="e" cm="1">
        <f t="array" ref="A483">IF(OR(INDEX(#REF!,ROW()+10)="START",INDEX(#REF!,ROW()+9)="",INDEX(#REF!,ROW()+9)="START",INDEX(#REF!,ROW()+9)="TBA",INDEX(#REF!,ROW()+9)="TBC"),"",INDEX(#REF!,ROW()+9)+'Date Calculators'!$B$2+E483)</f>
        <v>#REF!</v>
      </c>
      <c r="B483" s="76" t="e" cm="1">
        <f t="array" ref="B483">IF(OR(A483=""),"",IF(INDEX(#REF!,ROW()+9)="",IF(A484="",A483+$Q$10,A484),INDEX(#REF!,ROW()+9)+'Date Calculators'!$B$2+E483))</f>
        <v>#REF!</v>
      </c>
      <c r="C483" s="74" t="e" cm="1">
        <f t="array" ref="C483">IF(A483="","",INDEX(#REF!,ROW()+9))</f>
        <v>#REF!</v>
      </c>
      <c r="D483" s="74" t="str">
        <f>IFERROR(IF(A483="","",'Event Info'!$B$2),"")</f>
        <v/>
      </c>
      <c r="E483" t="e" cm="1">
        <f t="array" ref="E483">IF(INDEX(#REF!,ROW()+9)="START",E482+1,E482+0)</f>
        <v>#REF!</v>
      </c>
      <c r="F483" s="82" t="e">
        <f>IF(A483&lt;&gt;"",_xlfn.CONCAT(TEXT(A483,"yyyy-mm-dd"),"T",TEXT(A483,"hh:mm:ss"),'Event Info'!$B$5,",",," ",C483),"")</f>
        <v>#REF!</v>
      </c>
      <c r="G483" t="e">
        <f t="shared" si="14"/>
        <v>#REF!</v>
      </c>
      <c r="H483" s="92" t="str">
        <f t="shared" si="15"/>
        <v/>
      </c>
      <c r="I483" s="88">
        <v>0</v>
      </c>
    </row>
    <row r="484" spans="1:9" ht="16.899999999999999">
      <c r="A484" s="76" t="e" cm="1">
        <f t="array" ref="A484">IF(OR(INDEX(#REF!,ROW()+10)="START",INDEX(#REF!,ROW()+9)="",INDEX(#REF!,ROW()+9)="START",INDEX(#REF!,ROW()+9)="TBA",INDEX(#REF!,ROW()+9)="TBC"),"",INDEX(#REF!,ROW()+9)+'Date Calculators'!$B$2+E484)</f>
        <v>#REF!</v>
      </c>
      <c r="B484" s="76" t="e" cm="1">
        <f t="array" ref="B484">IF(OR(A484=""),"",IF(INDEX(#REF!,ROW()+9)="",IF(A485="",A484+$Q$10,A485),INDEX(#REF!,ROW()+9)+'Date Calculators'!$B$2+E484))</f>
        <v>#REF!</v>
      </c>
      <c r="C484" s="74" t="e" cm="1">
        <f t="array" ref="C484">IF(A484="","",INDEX(#REF!,ROW()+9))</f>
        <v>#REF!</v>
      </c>
      <c r="D484" s="74" t="str">
        <f>IFERROR(IF(A484="","",'Event Info'!$B$2),"")</f>
        <v/>
      </c>
      <c r="E484" t="e" cm="1">
        <f t="array" ref="E484">IF(INDEX(#REF!,ROW()+9)="START",E483+1,E483+0)</f>
        <v>#REF!</v>
      </c>
      <c r="F484" s="82" t="e">
        <f>IF(A484&lt;&gt;"",_xlfn.CONCAT(TEXT(A484,"yyyy-mm-dd"),"T",TEXT(A484,"hh:mm:ss"),'Event Info'!$B$5,",",," ",C484),"")</f>
        <v>#REF!</v>
      </c>
      <c r="G484" t="e">
        <f t="shared" si="14"/>
        <v>#REF!</v>
      </c>
      <c r="H484" s="92" t="str">
        <f t="shared" si="15"/>
        <v/>
      </c>
      <c r="I484" s="91">
        <v>0</v>
      </c>
    </row>
    <row r="485" spans="1:9">
      <c r="A485" s="76" t="e" cm="1">
        <f t="array" ref="A485">IF(OR(INDEX(#REF!,ROW()+10)="START",INDEX(#REF!,ROW()+9)="",INDEX(#REF!,ROW()+9)="START",INDEX(#REF!,ROW()+9)="TBA",INDEX(#REF!,ROW()+9)="TBC"),"",INDEX(#REF!,ROW()+9)+'Date Calculators'!$B$2+E485)</f>
        <v>#REF!</v>
      </c>
      <c r="B485" s="76" t="e" cm="1">
        <f t="array" ref="B485">IF(OR(A485=""),"",IF(INDEX(#REF!,ROW()+9)="",IF(A486="",A485+$Q$10,A486),INDEX(#REF!,ROW()+9)+'Date Calculators'!$B$2+E485))</f>
        <v>#REF!</v>
      </c>
      <c r="C485" s="74" t="e" cm="1">
        <f t="array" ref="C485">IF(A485="","",INDEX(#REF!,ROW()+9))</f>
        <v>#REF!</v>
      </c>
      <c r="D485" s="74" t="str">
        <f>IFERROR(IF(A485="","",'Event Info'!$B$2),"")</f>
        <v/>
      </c>
      <c r="E485" t="e" cm="1">
        <f t="array" ref="E485">IF(INDEX(#REF!,ROW()+9)="START",E484+1,E484+0)</f>
        <v>#REF!</v>
      </c>
      <c r="F485" s="82" t="e">
        <f>IF(A485&lt;&gt;"",_xlfn.CONCAT(TEXT(A485,"yyyy-mm-dd"),"T",TEXT(A485,"hh:mm:ss"),'Event Info'!$B$5,",",," ",C485),"")</f>
        <v>#REF!</v>
      </c>
      <c r="G485" t="e">
        <f t="shared" si="14"/>
        <v>#REF!</v>
      </c>
      <c r="H485" s="92" t="str">
        <f t="shared" si="15"/>
        <v/>
      </c>
      <c r="I485" s="88">
        <v>0</v>
      </c>
    </row>
    <row r="486" spans="1:9">
      <c r="A486" s="76" t="e" cm="1">
        <f t="array" ref="A486">IF(OR(INDEX(#REF!,ROW()+10)="START",INDEX(#REF!,ROW()+9)="",INDEX(#REF!,ROW()+9)="START",INDEX(#REF!,ROW()+9)="TBA",INDEX(#REF!,ROW()+9)="TBC"),"",INDEX(#REF!,ROW()+9)+'Date Calculators'!$B$2+E486)</f>
        <v>#REF!</v>
      </c>
      <c r="B486" s="76" t="e" cm="1">
        <f t="array" ref="B486">IF(OR(A486=""),"",IF(INDEX(#REF!,ROW()+9)="",IF(A487="",A486+$Q$10,A487),INDEX(#REF!,ROW()+9)+'Date Calculators'!$B$2+E486))</f>
        <v>#REF!</v>
      </c>
      <c r="C486" s="74" t="e" cm="1">
        <f t="array" ref="C486">IF(A486="","",INDEX(#REF!,ROW()+9))</f>
        <v>#REF!</v>
      </c>
      <c r="D486" s="74" t="str">
        <f>IFERROR(IF(A486="","",'Event Info'!$B$2),"")</f>
        <v/>
      </c>
      <c r="E486" t="e" cm="1">
        <f t="array" ref="E486">IF(INDEX(#REF!,ROW()+9)="START",E485+1,E485+0)</f>
        <v>#REF!</v>
      </c>
      <c r="F486" s="82" t="e">
        <f>IF(A486&lt;&gt;"",_xlfn.CONCAT(TEXT(A486,"yyyy-mm-dd"),"T",TEXT(A486,"hh:mm:ss"),'Event Info'!$B$5,",",," ",C486),"")</f>
        <v>#REF!</v>
      </c>
      <c r="G486" t="e">
        <f t="shared" si="14"/>
        <v>#REF!</v>
      </c>
      <c r="H486" s="92" t="str">
        <f t="shared" si="15"/>
        <v/>
      </c>
      <c r="I486" s="88">
        <v>0</v>
      </c>
    </row>
    <row r="487" spans="1:9" ht="16.899999999999999">
      <c r="A487" s="76" t="e" cm="1">
        <f t="array" ref="A487">IF(OR(INDEX(#REF!,ROW()+10)="START",INDEX(#REF!,ROW()+9)="",INDEX(#REF!,ROW()+9)="START",INDEX(#REF!,ROW()+9)="TBA",INDEX(#REF!,ROW()+9)="TBC"),"",INDEX(#REF!,ROW()+9)+'Date Calculators'!$B$2+E487)</f>
        <v>#REF!</v>
      </c>
      <c r="B487" s="76" t="e" cm="1">
        <f t="array" ref="B487">IF(OR(A487=""),"",IF(INDEX(#REF!,ROW()+9)="",IF(A488="",A487+$Q$10,A488),INDEX(#REF!,ROW()+9)+'Date Calculators'!$B$2+E487))</f>
        <v>#REF!</v>
      </c>
      <c r="C487" s="74" t="e" cm="1">
        <f t="array" ref="C487">IF(A487="","",INDEX(#REF!,ROW()+9))</f>
        <v>#REF!</v>
      </c>
      <c r="D487" s="74" t="str">
        <f>IFERROR(IF(A487="","",'Event Info'!$B$2),"")</f>
        <v/>
      </c>
      <c r="E487" t="e" cm="1">
        <f t="array" ref="E487">IF(INDEX(#REF!,ROW()+9)="START",E486+1,E486+0)</f>
        <v>#REF!</v>
      </c>
      <c r="F487" s="82" t="e">
        <f>IF(A487&lt;&gt;"",_xlfn.CONCAT(TEXT(A487,"yyyy-mm-dd"),"T",TEXT(A487,"hh:mm:ss"),'Event Info'!$B$5,",",," ",C487),"")</f>
        <v>#REF!</v>
      </c>
      <c r="G487" t="e">
        <f t="shared" si="14"/>
        <v>#REF!</v>
      </c>
      <c r="H487" s="92" t="str">
        <f t="shared" si="15"/>
        <v/>
      </c>
      <c r="I487" s="91">
        <v>0</v>
      </c>
    </row>
    <row r="488" spans="1:9">
      <c r="A488" s="76" t="e" cm="1">
        <f t="array" ref="A488">IF(OR(INDEX(#REF!,ROW()+10)="START",INDEX(#REF!,ROW()+9)="",INDEX(#REF!,ROW()+9)="START",INDEX(#REF!,ROW()+9)="TBA",INDEX(#REF!,ROW()+9)="TBC"),"",INDEX(#REF!,ROW()+9)+'Date Calculators'!$B$2+E488)</f>
        <v>#REF!</v>
      </c>
      <c r="B488" s="76" t="e" cm="1">
        <f t="array" ref="B488">IF(OR(A488=""),"",IF(INDEX(#REF!,ROW()+9)="",IF(A489="",A488+$Q$10,A489),INDEX(#REF!,ROW()+9)+'Date Calculators'!$B$2+E488))</f>
        <v>#REF!</v>
      </c>
      <c r="C488" s="74" t="e" cm="1">
        <f t="array" ref="C488">IF(A488="","",INDEX(#REF!,ROW()+9))</f>
        <v>#REF!</v>
      </c>
      <c r="D488" s="74" t="str">
        <f>IFERROR(IF(A488="","",'Event Info'!$B$2),"")</f>
        <v/>
      </c>
      <c r="E488" t="e" cm="1">
        <f t="array" ref="E488">IF(INDEX(#REF!,ROW()+9)="START",E487+1,E487+0)</f>
        <v>#REF!</v>
      </c>
      <c r="F488" s="82" t="e">
        <f>IF(A488&lt;&gt;"",_xlfn.CONCAT(TEXT(A488,"yyyy-mm-dd"),"T",TEXT(A488,"hh:mm:ss"),'Event Info'!$B$5,",",," ",C488),"")</f>
        <v>#REF!</v>
      </c>
      <c r="G488" t="e">
        <f t="shared" si="14"/>
        <v>#REF!</v>
      </c>
      <c r="H488" s="92" t="str">
        <f t="shared" si="15"/>
        <v/>
      </c>
      <c r="I488" s="88">
        <v>0</v>
      </c>
    </row>
    <row r="489" spans="1:9">
      <c r="A489" s="76" t="e" cm="1">
        <f t="array" ref="A489">IF(OR(INDEX(#REF!,ROW()+10)="START",INDEX(#REF!,ROW()+9)="",INDEX(#REF!,ROW()+9)="START",INDEX(#REF!,ROW()+9)="TBA",INDEX(#REF!,ROW()+9)="TBC"),"",INDEX(#REF!,ROW()+9)+'Date Calculators'!$B$2+E489)</f>
        <v>#REF!</v>
      </c>
      <c r="B489" s="76" t="e" cm="1">
        <f t="array" ref="B489">IF(OR(A489=""),"",IF(INDEX(#REF!,ROW()+9)="",IF(A490="",A489+$Q$10,A490),INDEX(#REF!,ROW()+9)+'Date Calculators'!$B$2+E489))</f>
        <v>#REF!</v>
      </c>
      <c r="C489" s="74" t="e" cm="1">
        <f t="array" ref="C489">IF(A489="","",INDEX(#REF!,ROW()+9))</f>
        <v>#REF!</v>
      </c>
      <c r="D489" s="74" t="str">
        <f>IFERROR(IF(A489="","",'Event Info'!$B$2),"")</f>
        <v/>
      </c>
      <c r="E489" t="e" cm="1">
        <f t="array" ref="E489">IF(INDEX(#REF!,ROW()+9)="START",E488+1,E488+0)</f>
        <v>#REF!</v>
      </c>
      <c r="F489" s="82" t="e">
        <f>IF(A489&lt;&gt;"",_xlfn.CONCAT(TEXT(A489,"yyyy-mm-dd"),"T",TEXT(A489,"hh:mm:ss"),'Event Info'!$B$5,",",," ",C489),"")</f>
        <v>#REF!</v>
      </c>
      <c r="G489" t="e">
        <f t="shared" si="14"/>
        <v>#REF!</v>
      </c>
      <c r="H489" s="92" t="str">
        <f t="shared" si="15"/>
        <v/>
      </c>
      <c r="I489" s="88">
        <v>0</v>
      </c>
    </row>
    <row r="490" spans="1:9" ht="16.899999999999999">
      <c r="A490" s="76" t="e" cm="1">
        <f t="array" ref="A490">IF(OR(INDEX(#REF!,ROW()+10)="START",INDEX(#REF!,ROW()+9)="",INDEX(#REF!,ROW()+9)="START",INDEX(#REF!,ROW()+9)="TBA",INDEX(#REF!,ROW()+9)="TBC"),"",INDEX(#REF!,ROW()+9)+'Date Calculators'!$B$2+E490)</f>
        <v>#REF!</v>
      </c>
      <c r="B490" s="76" t="e" cm="1">
        <f t="array" ref="B490">IF(OR(A490=""),"",IF(INDEX(#REF!,ROW()+9)="",IF(A491="",A490+$Q$10,A491),INDEX(#REF!,ROW()+9)+'Date Calculators'!$B$2+E490))</f>
        <v>#REF!</v>
      </c>
      <c r="C490" s="74" t="e" cm="1">
        <f t="array" ref="C490">IF(A490="","",INDEX(#REF!,ROW()+9))</f>
        <v>#REF!</v>
      </c>
      <c r="D490" s="74" t="str">
        <f>IFERROR(IF(A490="","",'Event Info'!$B$2),"")</f>
        <v/>
      </c>
      <c r="E490" t="e" cm="1">
        <f t="array" ref="E490">IF(INDEX(#REF!,ROW()+9)="START",E489+1,E489+0)</f>
        <v>#REF!</v>
      </c>
      <c r="F490" s="82" t="e">
        <f>IF(A490&lt;&gt;"",_xlfn.CONCAT(TEXT(A490,"yyyy-mm-dd"),"T",TEXT(A490,"hh:mm:ss"),'Event Info'!$B$5,",",," ",C490),"")</f>
        <v>#REF!</v>
      </c>
      <c r="G490" t="e">
        <f t="shared" si="14"/>
        <v>#REF!</v>
      </c>
      <c r="H490" s="92" t="str">
        <f t="shared" si="15"/>
        <v/>
      </c>
      <c r="I490" s="91">
        <v>0</v>
      </c>
    </row>
    <row r="491" spans="1:9">
      <c r="A491" s="76" t="e" cm="1">
        <f t="array" ref="A491">IF(OR(INDEX(#REF!,ROW()+10)="START",INDEX(#REF!,ROW()+9)="",INDEX(#REF!,ROW()+9)="START",INDEX(#REF!,ROW()+9)="TBA",INDEX(#REF!,ROW()+9)="TBC"),"",INDEX(#REF!,ROW()+9)+'Date Calculators'!$B$2+E491)</f>
        <v>#REF!</v>
      </c>
      <c r="B491" s="76" t="e" cm="1">
        <f t="array" ref="B491">IF(OR(A491=""),"",IF(INDEX(#REF!,ROW()+9)="",IF(A492="",A491+$Q$10,A492),INDEX(#REF!,ROW()+9)+'Date Calculators'!$B$2+E491))</f>
        <v>#REF!</v>
      </c>
      <c r="C491" s="74" t="e" cm="1">
        <f t="array" ref="C491">IF(A491="","",INDEX(#REF!,ROW()+9))</f>
        <v>#REF!</v>
      </c>
      <c r="D491" s="74" t="str">
        <f>IFERROR(IF(A491="","",'Event Info'!$B$2),"")</f>
        <v/>
      </c>
      <c r="E491" t="e" cm="1">
        <f t="array" ref="E491">IF(INDEX(#REF!,ROW()+9)="START",E490+1,E490+0)</f>
        <v>#REF!</v>
      </c>
      <c r="F491" s="82" t="e">
        <f>IF(A491&lt;&gt;"",_xlfn.CONCAT(TEXT(A491,"yyyy-mm-dd"),"T",TEXT(A491,"hh:mm:ss"),'Event Info'!$B$5,",",," ",C491),"")</f>
        <v>#REF!</v>
      </c>
      <c r="G491" t="e">
        <f t="shared" si="14"/>
        <v>#REF!</v>
      </c>
      <c r="H491" s="92" t="str">
        <f t="shared" si="15"/>
        <v/>
      </c>
      <c r="I491" s="88">
        <v>0</v>
      </c>
    </row>
    <row r="492" spans="1:9">
      <c r="A492" s="76" t="e" cm="1">
        <f t="array" ref="A492">IF(OR(INDEX(#REF!,ROW()+10)="START",INDEX(#REF!,ROW()+9)="",INDEX(#REF!,ROW()+9)="START",INDEX(#REF!,ROW()+9)="TBA",INDEX(#REF!,ROW()+9)="TBC"),"",INDEX(#REF!,ROW()+9)+'Date Calculators'!$B$2+E492)</f>
        <v>#REF!</v>
      </c>
      <c r="B492" s="76" t="e" cm="1">
        <f t="array" ref="B492">IF(OR(A492=""),"",IF(INDEX(#REF!,ROW()+9)="",IF(A493="",A492+$Q$10,A493),INDEX(#REF!,ROW()+9)+'Date Calculators'!$B$2+E492))</f>
        <v>#REF!</v>
      </c>
      <c r="C492" s="74" t="e" cm="1">
        <f t="array" ref="C492">IF(A492="","",INDEX(#REF!,ROW()+9))</f>
        <v>#REF!</v>
      </c>
      <c r="D492" s="74" t="str">
        <f>IFERROR(IF(A492="","",'Event Info'!$B$2),"")</f>
        <v/>
      </c>
      <c r="E492" t="e" cm="1">
        <f t="array" ref="E492">IF(INDEX(#REF!,ROW()+9)="START",E491+1,E491+0)</f>
        <v>#REF!</v>
      </c>
      <c r="F492" s="82" t="e">
        <f>IF(A492&lt;&gt;"",_xlfn.CONCAT(TEXT(A492,"yyyy-mm-dd"),"T",TEXT(A492,"hh:mm:ss"),'Event Info'!$B$5,",",," ",C492),"")</f>
        <v>#REF!</v>
      </c>
      <c r="G492" t="e">
        <f t="shared" si="14"/>
        <v>#REF!</v>
      </c>
      <c r="H492" s="92" t="str">
        <f t="shared" si="15"/>
        <v/>
      </c>
      <c r="I492" s="88">
        <v>0</v>
      </c>
    </row>
    <row r="493" spans="1:9" ht="16.899999999999999">
      <c r="A493" s="76" t="e" cm="1">
        <f t="array" ref="A493">IF(OR(INDEX(#REF!,ROW()+10)="START",INDEX(#REF!,ROW()+9)="",INDEX(#REF!,ROW()+9)="START",INDEX(#REF!,ROW()+9)="TBA",INDEX(#REF!,ROW()+9)="TBC"),"",INDEX(#REF!,ROW()+9)+'Date Calculators'!$B$2+E493)</f>
        <v>#REF!</v>
      </c>
      <c r="B493" s="76" t="e" cm="1">
        <f t="array" ref="B493">IF(OR(A493=""),"",IF(INDEX(#REF!,ROW()+9)="",IF(A494="",A493+$Q$10,A494),INDEX(#REF!,ROW()+9)+'Date Calculators'!$B$2+E493))</f>
        <v>#REF!</v>
      </c>
      <c r="C493" s="74" t="e" cm="1">
        <f t="array" ref="C493">IF(A493="","",INDEX(#REF!,ROW()+9))</f>
        <v>#REF!</v>
      </c>
      <c r="D493" s="74" t="str">
        <f>IFERROR(IF(A493="","",'Event Info'!$B$2),"")</f>
        <v/>
      </c>
      <c r="E493" t="e" cm="1">
        <f t="array" ref="E493">IF(INDEX(#REF!,ROW()+9)="START",E492+1,E492+0)</f>
        <v>#REF!</v>
      </c>
      <c r="F493" s="82" t="e">
        <f>IF(A493&lt;&gt;"",_xlfn.CONCAT(TEXT(A493,"yyyy-mm-dd"),"T",TEXT(A493,"hh:mm:ss"),'Event Info'!$B$5,",",," ",C493),"")</f>
        <v>#REF!</v>
      </c>
      <c r="G493" t="e">
        <f t="shared" si="14"/>
        <v>#REF!</v>
      </c>
      <c r="H493" s="92" t="str">
        <f t="shared" si="15"/>
        <v/>
      </c>
      <c r="I493" s="91">
        <v>0</v>
      </c>
    </row>
    <row r="494" spans="1:9">
      <c r="A494" s="76" t="e" cm="1">
        <f t="array" ref="A494">IF(OR(INDEX(#REF!,ROW()+10)="START",INDEX(#REF!,ROW()+9)="",INDEX(#REF!,ROW()+9)="START",INDEX(#REF!,ROW()+9)="TBA",INDEX(#REF!,ROW()+9)="TBC"),"",INDEX(#REF!,ROW()+9)+'Date Calculators'!$B$2+E494)</f>
        <v>#REF!</v>
      </c>
      <c r="B494" s="76" t="e" cm="1">
        <f t="array" ref="B494">IF(OR(A494=""),"",IF(INDEX(#REF!,ROW()+9)="",IF(A495="",A494+$Q$10,A495),INDEX(#REF!,ROW()+9)+'Date Calculators'!$B$2+E494))</f>
        <v>#REF!</v>
      </c>
      <c r="C494" s="74" t="e" cm="1">
        <f t="array" ref="C494">IF(A494="","",INDEX(#REF!,ROW()+9))</f>
        <v>#REF!</v>
      </c>
      <c r="D494" s="74" t="str">
        <f>IFERROR(IF(A494="","",'Event Info'!$B$2),"")</f>
        <v/>
      </c>
      <c r="E494" t="e" cm="1">
        <f t="array" ref="E494">IF(INDEX(#REF!,ROW()+9)="START",E493+1,E493+0)</f>
        <v>#REF!</v>
      </c>
      <c r="F494" s="82" t="e">
        <f>IF(A494&lt;&gt;"",_xlfn.CONCAT(TEXT(A494,"yyyy-mm-dd"),"T",TEXT(A494,"hh:mm:ss"),'Event Info'!$B$5,",",," ",C494),"")</f>
        <v>#REF!</v>
      </c>
      <c r="G494" t="e">
        <f t="shared" si="14"/>
        <v>#REF!</v>
      </c>
      <c r="H494" s="92" t="str">
        <f t="shared" si="15"/>
        <v/>
      </c>
      <c r="I494" s="88">
        <v>0</v>
      </c>
    </row>
    <row r="495" spans="1:9">
      <c r="A495" s="76" t="e" cm="1">
        <f t="array" ref="A495">IF(OR(INDEX(#REF!,ROW()+10)="START",INDEX(#REF!,ROW()+9)="",INDEX(#REF!,ROW()+9)="START",INDEX(#REF!,ROW()+9)="TBA",INDEX(#REF!,ROW()+9)="TBC"),"",INDEX(#REF!,ROW()+9)+'Date Calculators'!$B$2+E495)</f>
        <v>#REF!</v>
      </c>
      <c r="B495" s="76" t="e" cm="1">
        <f t="array" ref="B495">IF(OR(A495=""),"",IF(INDEX(#REF!,ROW()+9)="",IF(A496="",A495+$Q$10,A496),INDEX(#REF!,ROW()+9)+'Date Calculators'!$B$2+E495))</f>
        <v>#REF!</v>
      </c>
      <c r="C495" s="74" t="e" cm="1">
        <f t="array" ref="C495">IF(A495="","",INDEX(#REF!,ROW()+9))</f>
        <v>#REF!</v>
      </c>
      <c r="D495" s="74" t="str">
        <f>IFERROR(IF(A495="","",'Event Info'!$B$2),"")</f>
        <v/>
      </c>
      <c r="E495" t="e" cm="1">
        <f t="array" ref="E495">IF(INDEX(#REF!,ROW()+9)="START",E494+1,E494+0)</f>
        <v>#REF!</v>
      </c>
      <c r="F495" s="82" t="e">
        <f>IF(A495&lt;&gt;"",_xlfn.CONCAT(TEXT(A495,"yyyy-mm-dd"),"T",TEXT(A495,"hh:mm:ss"),'Event Info'!$B$5,",",," ",C495),"")</f>
        <v>#REF!</v>
      </c>
      <c r="G495" t="e">
        <f t="shared" si="14"/>
        <v>#REF!</v>
      </c>
      <c r="H495" s="92" t="str">
        <f t="shared" si="15"/>
        <v/>
      </c>
      <c r="I495" s="88">
        <v>0</v>
      </c>
    </row>
    <row r="496" spans="1:9" ht="16.899999999999999">
      <c r="A496" s="76" t="e" cm="1">
        <f t="array" ref="A496">IF(OR(INDEX(#REF!,ROW()+10)="START",INDEX(#REF!,ROW()+9)="",INDEX(#REF!,ROW()+9)="START",INDEX(#REF!,ROW()+9)="TBA",INDEX(#REF!,ROW()+9)="TBC"),"",INDEX(#REF!,ROW()+9)+'Date Calculators'!$B$2+E496)</f>
        <v>#REF!</v>
      </c>
      <c r="B496" s="76" t="e" cm="1">
        <f t="array" ref="B496">IF(OR(A496=""),"",IF(INDEX(#REF!,ROW()+9)="",IF(A497="",A496+$Q$10,A497),INDEX(#REF!,ROW()+9)+'Date Calculators'!$B$2+E496))</f>
        <v>#REF!</v>
      </c>
      <c r="C496" s="74" t="e" cm="1">
        <f t="array" ref="C496">IF(A496="","",INDEX(#REF!,ROW()+9))</f>
        <v>#REF!</v>
      </c>
      <c r="D496" s="74" t="str">
        <f>IFERROR(IF(A496="","",'Event Info'!$B$2),"")</f>
        <v/>
      </c>
      <c r="E496" t="e" cm="1">
        <f t="array" ref="E496">IF(INDEX(#REF!,ROW()+9)="START",E495+1,E495+0)</f>
        <v>#REF!</v>
      </c>
      <c r="F496" s="82" t="e">
        <f>IF(A496&lt;&gt;"",_xlfn.CONCAT(TEXT(A496,"yyyy-mm-dd"),"T",TEXT(A496,"hh:mm:ss"),'Event Info'!$B$5,",",," ",C496),"")</f>
        <v>#REF!</v>
      </c>
      <c r="G496" t="e">
        <f t="shared" si="14"/>
        <v>#REF!</v>
      </c>
      <c r="H496" s="92" t="str">
        <f t="shared" si="15"/>
        <v/>
      </c>
      <c r="I496" s="91">
        <v>0</v>
      </c>
    </row>
    <row r="497" spans="1:9">
      <c r="A497" s="76" t="e" cm="1">
        <f t="array" ref="A497">IF(OR(INDEX(#REF!,ROW()+10)="START",INDEX(#REF!,ROW()+9)="",INDEX(#REF!,ROW()+9)="START",INDEX(#REF!,ROW()+9)="TBA",INDEX(#REF!,ROW()+9)="TBC"),"",INDEX(#REF!,ROW()+9)+'Date Calculators'!$B$2+E497)</f>
        <v>#REF!</v>
      </c>
      <c r="B497" s="76" t="e" cm="1">
        <f t="array" ref="B497">IF(OR(A497=""),"",IF(INDEX(#REF!,ROW()+9)="",IF(A498="",A497+$Q$10,A498),INDEX(#REF!,ROW()+9)+'Date Calculators'!$B$2+E497))</f>
        <v>#REF!</v>
      </c>
      <c r="C497" s="74" t="e" cm="1">
        <f t="array" ref="C497">IF(A497="","",INDEX(#REF!,ROW()+9))</f>
        <v>#REF!</v>
      </c>
      <c r="D497" s="74" t="str">
        <f>IFERROR(IF(A497="","",'Event Info'!$B$2),"")</f>
        <v/>
      </c>
      <c r="E497" t="e" cm="1">
        <f t="array" ref="E497">IF(INDEX(#REF!,ROW()+9)="START",E496+1,E496+0)</f>
        <v>#REF!</v>
      </c>
      <c r="F497" s="82" t="e">
        <f>IF(A497&lt;&gt;"",_xlfn.CONCAT(TEXT(A497,"yyyy-mm-dd"),"T",TEXT(A497,"hh:mm:ss"),'Event Info'!$B$5,",",," ",C497),"")</f>
        <v>#REF!</v>
      </c>
      <c r="G497" t="e">
        <f t="shared" si="14"/>
        <v>#REF!</v>
      </c>
      <c r="H497" s="92" t="str">
        <f t="shared" si="15"/>
        <v/>
      </c>
      <c r="I497" s="88">
        <v>0</v>
      </c>
    </row>
    <row r="498" spans="1:9">
      <c r="A498" s="76" t="e" cm="1">
        <f t="array" ref="A498">IF(OR(INDEX(#REF!,ROW()+10)="START",INDEX(#REF!,ROW()+9)="",INDEX(#REF!,ROW()+9)="START",INDEX(#REF!,ROW()+9)="TBA",INDEX(#REF!,ROW()+9)="TBC"),"",INDEX(#REF!,ROW()+9)+'Date Calculators'!$B$2+E498)</f>
        <v>#REF!</v>
      </c>
      <c r="B498" s="76" t="e" cm="1">
        <f t="array" ref="B498">IF(OR(A498=""),"",IF(INDEX(#REF!,ROW()+9)="",IF(A499="",A498+$Q$10,A499),INDEX(#REF!,ROW()+9)+'Date Calculators'!$B$2+E498))</f>
        <v>#REF!</v>
      </c>
      <c r="C498" s="74" t="e" cm="1">
        <f t="array" ref="C498">IF(A498="","",INDEX(#REF!,ROW()+9))</f>
        <v>#REF!</v>
      </c>
      <c r="D498" s="74" t="str">
        <f>IFERROR(IF(A498="","",'Event Info'!$B$2),"")</f>
        <v/>
      </c>
      <c r="E498" t="e" cm="1">
        <f t="array" ref="E498">IF(INDEX(#REF!,ROW()+9)="START",E497+1,E497+0)</f>
        <v>#REF!</v>
      </c>
      <c r="F498" s="82" t="e">
        <f>IF(A498&lt;&gt;"",_xlfn.CONCAT(TEXT(A498,"yyyy-mm-dd"),"T",TEXT(A498,"hh:mm:ss"),'Event Info'!$B$5,",",," ",C498),"")</f>
        <v>#REF!</v>
      </c>
      <c r="G498" t="e">
        <f t="shared" si="14"/>
        <v>#REF!</v>
      </c>
      <c r="H498" s="92" t="str">
        <f t="shared" si="15"/>
        <v/>
      </c>
      <c r="I498" s="88">
        <v>0</v>
      </c>
    </row>
    <row r="499" spans="1:9" ht="16.899999999999999">
      <c r="A499" s="76" t="e" cm="1">
        <f t="array" ref="A499">IF(OR(INDEX(#REF!,ROW()+10)="START",INDEX(#REF!,ROW()+9)="",INDEX(#REF!,ROW()+9)="START",INDEX(#REF!,ROW()+9)="TBA",INDEX(#REF!,ROW()+9)="TBC"),"",INDEX(#REF!,ROW()+9)+'Date Calculators'!$B$2+E499)</f>
        <v>#REF!</v>
      </c>
      <c r="B499" s="76" t="e" cm="1">
        <f t="array" ref="B499">IF(OR(A499=""),"",IF(INDEX(#REF!,ROW()+9)="",IF(A500="",A499+$Q$10,A500),INDEX(#REF!,ROW()+9)+'Date Calculators'!$B$2+E499))</f>
        <v>#REF!</v>
      </c>
      <c r="C499" s="74" t="e" cm="1">
        <f t="array" ref="C499">IF(A499="","",INDEX(#REF!,ROW()+9))</f>
        <v>#REF!</v>
      </c>
      <c r="D499" s="74" t="str">
        <f>IFERROR(IF(A499="","",'Event Info'!$B$2),"")</f>
        <v/>
      </c>
      <c r="E499" t="e" cm="1">
        <f t="array" ref="E499">IF(INDEX(#REF!,ROW()+9)="START",E498+1,E498+0)</f>
        <v>#REF!</v>
      </c>
      <c r="F499" s="82" t="e">
        <f>IF(A499&lt;&gt;"",_xlfn.CONCAT(TEXT(A499,"yyyy-mm-dd"),"T",TEXT(A499,"hh:mm:ss"),'Event Info'!$B$5,",",," ",C499),"")</f>
        <v>#REF!</v>
      </c>
      <c r="G499" t="e">
        <f t="shared" si="14"/>
        <v>#REF!</v>
      </c>
      <c r="H499" s="92" t="str">
        <f t="shared" si="15"/>
        <v/>
      </c>
      <c r="I499" s="91">
        <v>0</v>
      </c>
    </row>
    <row r="500" spans="1:9">
      <c r="A500" s="76" t="e" cm="1">
        <f t="array" ref="A500">IF(OR(INDEX(#REF!,ROW()+10)="START",INDEX(#REF!,ROW()+9)="",INDEX(#REF!,ROW()+9)="START",INDEX(#REF!,ROW()+9)="TBA",INDEX(#REF!,ROW()+9)="TBC"),"",INDEX(#REF!,ROW()+9)+'Date Calculators'!$B$2+E500)</f>
        <v>#REF!</v>
      </c>
      <c r="B500" s="76" t="e" cm="1">
        <f t="array" ref="B500">IF(OR(A500=""),"",IF(INDEX(#REF!,ROW()+9)="",IF(A501="",A500+$Q$10,A501),INDEX(#REF!,ROW()+9)+'Date Calculators'!$B$2+E500))</f>
        <v>#REF!</v>
      </c>
      <c r="C500" s="74" t="e" cm="1">
        <f t="array" ref="C500">IF(A500="","",INDEX(#REF!,ROW()+9))</f>
        <v>#REF!</v>
      </c>
      <c r="D500" s="74" t="str">
        <f>IFERROR(IF(A500="","",'Event Info'!$B$2),"")</f>
        <v/>
      </c>
      <c r="E500" t="e" cm="1">
        <f t="array" ref="E500">IF(INDEX(#REF!,ROW()+9)="START",E499+1,E499+0)</f>
        <v>#REF!</v>
      </c>
      <c r="F500" s="82" t="e">
        <f>IF(A500&lt;&gt;"",_xlfn.CONCAT(TEXT(A500,"yyyy-mm-dd"),"T",TEXT(A500,"hh:mm:ss"),'Event Info'!$B$5,",",," ",C500),"")</f>
        <v>#REF!</v>
      </c>
      <c r="G500" t="e">
        <f t="shared" si="14"/>
        <v>#REF!</v>
      </c>
      <c r="H500" s="94" t="str">
        <f t="shared" si="15"/>
        <v/>
      </c>
      <c r="I500" s="88">
        <v>0</v>
      </c>
    </row>
    <row r="501" spans="1:9">
      <c r="F501" s="95"/>
    </row>
  </sheetData>
  <mergeCells count="8">
    <mergeCell ref="J19:Q19"/>
    <mergeCell ref="J16:Q16"/>
    <mergeCell ref="J20:Q20"/>
    <mergeCell ref="J15:Q15"/>
    <mergeCell ref="K5:Q5"/>
    <mergeCell ref="J9:Q9"/>
    <mergeCell ref="J10:P10"/>
    <mergeCell ref="J8:Q8"/>
  </mergeCells>
  <dataValidations count="1">
    <dataValidation type="list" allowBlank="1" showInputMessage="1" showErrorMessage="1" sqref="J20:Q20" xr:uid="{904B3F9C-CCE4-44B0-9B1C-605859474DE5}">
      <formula1>OFFSET(timezone,0,0,ROWS(timezone)-COUNTIF(timezone,""))</formula1>
    </dataValidation>
  </dataValidations>
  <hyperlinks>
    <hyperlink ref="J16" r:id="rId1" xr:uid="{802DD13E-694F-47DC-B381-ADE19A72BF7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CreateCalendar">
                <anchor mov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12</xdr:col>
                    <xdr:colOff>594360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SaveSheetToTxt_Test">
                <anchor moveWithCells="1">
                  <from>
                    <xdr:col>13</xdr:col>
                    <xdr:colOff>60960</xdr:colOff>
                    <xdr:row>2</xdr:row>
                    <xdr:rowOff>22860</xdr:rowOff>
                  </from>
                  <to>
                    <xdr:col>17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C341B-5780-4EF5-9387-27B90A37C23A}">
  <sheetPr codeName="Sheet22"/>
  <dimension ref="A1:Q501"/>
  <sheetViews>
    <sheetView showGridLines="0" workbookViewId="0">
      <selection activeCell="F2" sqref="F2:F500"/>
    </sheetView>
  </sheetViews>
  <sheetFormatPr defaultColWidth="8.7109375" defaultRowHeight="14.45"/>
  <cols>
    <col min="1" max="2" width="20.7109375" style="77" customWidth="1"/>
    <col min="3" max="3" width="23.7109375" customWidth="1"/>
    <col min="4" max="4" width="15.7109375" customWidth="1"/>
    <col min="5" max="5" width="9.7109375" customWidth="1"/>
    <col min="6" max="6" width="45.7109375" customWidth="1"/>
    <col min="7" max="7" width="9.7109375" customWidth="1"/>
    <col min="8" max="8" width="45.7109375" customWidth="1"/>
    <col min="9" max="9" width="3.7109375" customWidth="1"/>
    <col min="10" max="10" width="11.28515625" customWidth="1"/>
    <col min="13" max="13" width="9.140625" customWidth="1"/>
    <col min="15" max="15" width="10.28515625" customWidth="1"/>
    <col min="19" max="20" width="9.140625" customWidth="1"/>
  </cols>
  <sheetData>
    <row r="1" spans="1:17" ht="16.899999999999999">
      <c r="A1" s="90" t="s">
        <v>912</v>
      </c>
      <c r="B1" s="75" t="s">
        <v>913</v>
      </c>
      <c r="C1" s="73" t="s">
        <v>914</v>
      </c>
      <c r="D1" s="72" t="s">
        <v>915</v>
      </c>
      <c r="E1" s="78"/>
      <c r="F1" s="89" t="s">
        <v>916</v>
      </c>
      <c r="G1" s="78"/>
      <c r="H1" s="89" t="s">
        <v>917</v>
      </c>
      <c r="I1" s="91">
        <v>0</v>
      </c>
    </row>
    <row r="2" spans="1:17">
      <c r="A2" s="76" cm="1">
        <f t="array" ref="A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Calculators'!$B$2+E2)</f>
        <v>46087.333333333336</v>
      </c>
      <c r="B2" s="76" cm="1">
        <f t="array" ref="B2">IF(OR(A2=""),"",IF(INDEX('Test schedule'!E:E,ROW()+9)="",IF(A3="",A2+$Q$10,A3),INDEX('Test schedule'!E:E,ROW()+9)+'Date Calculators'!$B$2+E2))</f>
        <v>46087.375</v>
      </c>
      <c r="C2" s="74" t="str" cm="1">
        <f t="array" ref="C2">IF(A2="","",INDEX('Test schedule'!J:J,ROW()+9))</f>
        <v xml:space="preserve">Breakfast </v>
      </c>
      <c r="D2" s="74" t="str">
        <f>IFERROR(IF(A2="","",'Event Info'!$B$2),"")</f>
        <v>Melbourne</v>
      </c>
      <c r="E2" cm="1">
        <f t="array" ref="E2">IF(INDEX('Test schedule'!B:B,ROW()+9)="START",E1+1,E1+0)</f>
        <v>0</v>
      </c>
      <c r="F2" s="82" t="str">
        <f>IF(A2&lt;&gt;"",_xlfn.CONCAT(TEXT(A2,"yyyy-mm-dd"),"T",TEXT(A2,"hh:mm:ss"),'Event Info'!$B$5,",",," ",C2),"")</f>
        <v xml:space="preserve">2026-03-06T08:00:0011, Breakfast </v>
      </c>
      <c r="G2">
        <f>IF(A2&lt;&gt;"",1,0)</f>
        <v>1</v>
      </c>
      <c r="H2" s="93" t="str">
        <f>IFERROR(INDEX($F$2:$F$500,MATCH(ROW()-1,$G$2:$G$500,0)),"")</f>
        <v xml:space="preserve">2026-03-06T08:00:0011, Breakfast </v>
      </c>
      <c r="I2" s="88">
        <v>0</v>
      </c>
    </row>
    <row r="3" spans="1:17">
      <c r="A3" s="76" cm="1">
        <f t="array" ref="A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Calculators'!$B$2+E3)</f>
        <v>46087.375</v>
      </c>
      <c r="B3" s="76" cm="1">
        <f t="array" ref="B3">IF(OR(A3=""),"",IF(INDEX('Test schedule'!E:E,ROW()+9)="",IF(A4="",A3+$Q$10,A4),INDEX('Test schedule'!E:E,ROW()+9)+'Date Calculators'!$B$2+E3))</f>
        <v>46087.385416666664</v>
      </c>
      <c r="C3" s="74" t="str" cm="1">
        <f t="array" ref="C3">IF(A3="","",INDEX('Test schedule'!J:J,ROW()+9))</f>
        <v>Rental Car Arrival</v>
      </c>
      <c r="D3" s="74" t="str">
        <f>IFERROR(IF(A3="","",'Event Info'!$B$2),"")</f>
        <v>Melbourne</v>
      </c>
      <c r="E3" cm="1">
        <f t="array" ref="E3">IF(INDEX('Test schedule'!B:B,ROW()+9)="START",E2+1,E2+0)</f>
        <v>0</v>
      </c>
      <c r="F3" s="82" t="str">
        <f>IF(A3&lt;&gt;"",_xlfn.CONCAT(TEXT(A3,"yyyy-mm-dd"),"T",TEXT(A3,"hh:mm:ss"),'Event Info'!$B$5,",",," ",C3),"")</f>
        <v>2026-03-06T09:00:0011, Rental Car Arrival</v>
      </c>
      <c r="G3">
        <f t="shared" ref="G3:G66" si="0">G2+IF(A3&lt;&gt;"",1,0)</f>
        <v>2</v>
      </c>
      <c r="H3" s="92" t="str">
        <f>IFERROR(INDEX($F$2:$F$500,MATCH(ROW()-1,$G$2:$G$500,0)),"")</f>
        <v>2026-03-06T09:00:0011, Rental Car Arrival</v>
      </c>
      <c r="I3" s="88">
        <v>0</v>
      </c>
      <c r="N3" s="79"/>
    </row>
    <row r="4" spans="1:17" ht="16.899999999999999">
      <c r="A4" s="76" cm="1">
        <f t="array" ref="A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Calculators'!$B$2+E4)</f>
        <v>46087.385416666664</v>
      </c>
      <c r="B4" s="76" cm="1">
        <f t="array" ref="B4">IF(OR(A4=""),"",IF(INDEX('Test schedule'!E:E,ROW()+9)="",IF(A5="",A4+$Q$10,A5),INDEX('Test schedule'!E:E,ROW()+9)+'Date Calculators'!$B$2+E4))</f>
        <v>46087.40625</v>
      </c>
      <c r="C4" s="74" t="str" cm="1">
        <f t="array" ref="C4">IF(A4="","",INDEX('Test schedule'!J:J,ROW()+9))</f>
        <v>Leaving Hotel</v>
      </c>
      <c r="D4" s="74" t="str">
        <f>IFERROR(IF(A4="","",'Event Info'!$B$2),"")</f>
        <v>Melbourne</v>
      </c>
      <c r="E4" cm="1">
        <f t="array" ref="E4">IF(INDEX('Test schedule'!B:B,ROW()+9)="START",E3+1,E3+0)</f>
        <v>0</v>
      </c>
      <c r="F4" s="82" t="str">
        <f>IF(A4&lt;&gt;"",_xlfn.CONCAT(TEXT(A4,"yyyy-mm-dd"),"T",TEXT(A4,"hh:mm:ss"),'Event Info'!$B$5,",",," ",C4),"")</f>
        <v>2026-03-06T09:15:0011, Leaving Hotel</v>
      </c>
      <c r="G4">
        <f t="shared" si="0"/>
        <v>3</v>
      </c>
      <c r="H4" s="92" t="str">
        <f t="shared" ref="H4:H67" si="1">IFERROR(INDEX($F$2:$F$500,MATCH(ROW()-1,$G$2:$G$500,0)),"")</f>
        <v>2026-03-06T09:15:0011, Leaving Hotel</v>
      </c>
      <c r="I4" s="91">
        <v>0</v>
      </c>
      <c r="K4" s="87"/>
      <c r="L4" s="87"/>
      <c r="M4" s="87"/>
      <c r="N4" s="87"/>
      <c r="O4" s="87"/>
      <c r="P4" s="87"/>
      <c r="Q4" s="87"/>
    </row>
    <row r="5" spans="1:17">
      <c r="A5" s="76" cm="1">
        <f t="array" ref="A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Calculators'!$B$2+E5)</f>
        <v>46087.40625</v>
      </c>
      <c r="B5" s="76" cm="1">
        <f t="array" ref="B5">IF(OR(A5=""),"",IF(INDEX('Test schedule'!E:E,ROW()+9)="",IF(A6="",A5+$Q$10,A6),INDEX('Test schedule'!E:E,ROW()+9)+'Date Calculators'!$B$2+E5))</f>
        <v>46087.40625</v>
      </c>
      <c r="C5" s="74" t="str" cm="1">
        <f t="array" ref="C5">IF(A5="","",INDEX('Test schedule'!J:J,ROW()+9))</f>
        <v>Build-Up</v>
      </c>
      <c r="D5" s="74" t="str">
        <f>IFERROR(IF(A5="","",'Event Info'!$B$2),"")</f>
        <v>Melbourne</v>
      </c>
      <c r="E5" cm="1">
        <f t="array" ref="E5">IF(INDEX('Test schedule'!B:B,ROW()+9)="START",E4+1,E4+0)</f>
        <v>0</v>
      </c>
      <c r="F5" s="82" t="str">
        <f>IF(A5&lt;&gt;"",_xlfn.CONCAT(TEXT(A5,"yyyy-mm-dd"),"T",TEXT(A5,"hh:mm:ss"),'Event Info'!$B$5,",",," ",C5),"")</f>
        <v>2026-03-06T09:45:0011, Build-Up</v>
      </c>
      <c r="G5">
        <f t="shared" si="0"/>
        <v>4</v>
      </c>
      <c r="H5" s="92" t="str">
        <f t="shared" si="1"/>
        <v>2026-03-06T09:45:0011, Build-Up</v>
      </c>
      <c r="I5" s="88">
        <v>0</v>
      </c>
      <c r="J5" s="81" t="s">
        <v>918</v>
      </c>
      <c r="K5" s="1189" t="s">
        <v>919</v>
      </c>
      <c r="L5" s="1190"/>
      <c r="M5" s="1190"/>
      <c r="N5" s="1190"/>
      <c r="O5" s="1190"/>
      <c r="P5" s="1190"/>
      <c r="Q5" s="1191"/>
    </row>
    <row r="6" spans="1:17">
      <c r="A6" s="76" t="str" cm="1">
        <f t="array" ref="A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Calculators'!$B$2+E6)</f>
        <v/>
      </c>
      <c r="B6" s="76" t="str" cm="1">
        <f t="array" ref="B6">IF(OR(A6=""),"",IF(INDEX('Test schedule'!E:E,ROW()+9)="",IF(A7="",A6+$Q$10,A7),INDEX('Test schedule'!E:E,ROW()+9)+'Date Calculators'!$B$2+E6))</f>
        <v/>
      </c>
      <c r="C6" s="74" t="str" cm="1">
        <f t="array" ref="C6">IF(A6="","",INDEX('Test schedule'!J:J,ROW()+9))</f>
        <v/>
      </c>
      <c r="D6" s="74" t="str">
        <f>IFERROR(IF(A6="","",'Event Info'!$B$2),"")</f>
        <v/>
      </c>
      <c r="E6" cm="1">
        <f t="array" ref="E6">IF(INDEX('Test schedule'!B:B,ROW()+9)="START",E5+1,E5+0)</f>
        <v>0</v>
      </c>
      <c r="F6" s="82" t="str">
        <f>IF(A6&lt;&gt;"",_xlfn.CONCAT(TEXT(A6,"yyyy-mm-dd"),"T",TEXT(A6,"hh:mm:ss"),'Event Info'!$B$5,",",," ",C6),"")</f>
        <v/>
      </c>
      <c r="G6">
        <f t="shared" si="0"/>
        <v>4</v>
      </c>
      <c r="H6" s="92" t="str">
        <f t="shared" si="1"/>
        <v>2026-03-06T12:00:0011, Lunch</v>
      </c>
      <c r="I6" s="88">
        <v>0</v>
      </c>
    </row>
    <row r="7" spans="1:17" ht="16.899999999999999">
      <c r="A7" s="76" cm="1">
        <f t="array" ref="A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Calculators'!$B$2+E7)</f>
        <v>46087.5</v>
      </c>
      <c r="B7" s="76" cm="1">
        <f t="array" ref="B7">IF(OR(A7=""),"",IF(INDEX('Test schedule'!E:E,ROW()+9)="",IF(A8="",A7+$Q$10,A8),INDEX('Test schedule'!E:E,ROW()+9)+'Date Calculators'!$B$2+E7))</f>
        <v>46087.625</v>
      </c>
      <c r="C7" s="74" t="str" cm="1">
        <f t="array" ref="C7">IF(A7="","",INDEX('Test schedule'!J:J,ROW()+9))</f>
        <v>Lunch</v>
      </c>
      <c r="D7" s="74" t="str">
        <f>IFERROR(IF(A7="","",'Event Info'!$B$2),"")</f>
        <v>Melbourne</v>
      </c>
      <c r="E7" cm="1">
        <f t="array" ref="E7">IF(INDEX('Test schedule'!B:B,ROW()+9)="START",E6+1,E6+0)</f>
        <v>0</v>
      </c>
      <c r="F7" s="82" t="str">
        <f>IF(A7&lt;&gt;"",_xlfn.CONCAT(TEXT(A7,"yyyy-mm-dd"),"T",TEXT(A7,"hh:mm:ss"),'Event Info'!$B$5,",",," ",C7),"")</f>
        <v>2026-03-06T12:00:0011, Lunch</v>
      </c>
      <c r="G7">
        <f t="shared" si="0"/>
        <v>5</v>
      </c>
      <c r="H7" s="92" t="str">
        <f t="shared" si="1"/>
        <v xml:space="preserve">2026-03-07T07:30:0011, Breakfast </v>
      </c>
      <c r="I7" s="91">
        <v>0</v>
      </c>
    </row>
    <row r="8" spans="1:17" ht="16.899999999999999">
      <c r="A8" s="76" t="str" cm="1">
        <f t="array" ref="A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Calculators'!$B$2+E8)</f>
        <v/>
      </c>
      <c r="B8" s="76" t="str" cm="1">
        <f t="array" ref="B8">IF(OR(A8=""),"",IF(INDEX('Test schedule'!E:E,ROW()+9)="",IF(A9="",A8+$Q$10,A9),INDEX('Test schedule'!E:E,ROW()+9)+'Date Calculators'!$B$2+E8))</f>
        <v/>
      </c>
      <c r="C8" s="74" t="str" cm="1">
        <f t="array" ref="C8">IF(A8="","",INDEX('Test schedule'!J:J,ROW()+9))</f>
        <v/>
      </c>
      <c r="D8" s="74" t="str">
        <f>IFERROR(IF(A8="","",'Event Info'!$B$2),"")</f>
        <v/>
      </c>
      <c r="E8" cm="1">
        <f t="array" ref="E8">IF(INDEX('Test schedule'!B:B,ROW()+9)="START",E7+1,E7+0)</f>
        <v>0</v>
      </c>
      <c r="F8" s="82" t="str">
        <f>IF(A8&lt;&gt;"",_xlfn.CONCAT(TEXT(A8,"yyyy-mm-dd"),"T",TEXT(A8,"hh:mm:ss"),'Event Info'!$B$5,",",," ",C8),"")</f>
        <v/>
      </c>
      <c r="G8">
        <f t="shared" si="0"/>
        <v>5</v>
      </c>
      <c r="H8" s="92" t="str">
        <f t="shared" si="1"/>
        <v>2026-03-07T08:00:0011, Leaving Hotel</v>
      </c>
      <c r="I8" s="88">
        <v>0</v>
      </c>
      <c r="J8" s="1197" t="s">
        <v>17</v>
      </c>
      <c r="K8" s="1197"/>
      <c r="L8" s="1197"/>
      <c r="M8" s="1197"/>
      <c r="N8" s="1197"/>
      <c r="O8" s="1197"/>
      <c r="P8" s="1197"/>
      <c r="Q8" s="1197"/>
    </row>
    <row r="9" spans="1:17">
      <c r="A9" s="76" t="str" cm="1">
        <f t="array" ref="A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Calculators'!$B$2+E9)</f>
        <v/>
      </c>
      <c r="B9" s="76" t="str" cm="1">
        <f t="array" ref="B9">IF(OR(A9=""),"",IF(INDEX('Test schedule'!E:E,ROW()+9)="",IF(A10="",A9+$Q$10,A10),INDEX('Test schedule'!E:E,ROW()+9)+'Date Calculators'!$B$2+E9))</f>
        <v/>
      </c>
      <c r="C9" s="74" t="str" cm="1">
        <f t="array" ref="C9">IF(A9="","",INDEX('Test schedule'!J:J,ROW()+9))</f>
        <v/>
      </c>
      <c r="D9" s="74" t="str">
        <f>IFERROR(IF(A9="","",'Event Info'!$B$2),"")</f>
        <v/>
      </c>
      <c r="E9" cm="1">
        <f t="array" ref="E9">IF(INDEX('Test schedule'!B:B,ROW()+9)="START",E8+1,E8+0)</f>
        <v>0</v>
      </c>
      <c r="F9" s="82" t="str">
        <f>IF(A9&lt;&gt;"",_xlfn.CONCAT(TEXT(A9,"yyyy-mm-dd"),"T",TEXT(A9,"hh:mm:ss"),'Event Info'!$B$5,",",," ",C9),"")</f>
        <v/>
      </c>
      <c r="G9">
        <f t="shared" si="0"/>
        <v>5</v>
      </c>
      <c r="H9" s="92" t="str">
        <f t="shared" si="1"/>
        <v>2026-03-07T10:30:0011, Driver Arrival Circuit</v>
      </c>
      <c r="I9" s="88">
        <v>0</v>
      </c>
      <c r="J9" s="1192" t="s">
        <v>920</v>
      </c>
      <c r="K9" s="1193"/>
      <c r="L9" s="1193"/>
      <c r="M9" s="1193"/>
      <c r="N9" s="1193"/>
      <c r="O9" s="1193"/>
      <c r="P9" s="1193"/>
      <c r="Q9" s="1194"/>
    </row>
    <row r="10" spans="1:17" ht="16.899999999999999">
      <c r="A10" s="76" t="str" cm="1">
        <f t="array" ref="A1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Calculators'!$B$2+E10)</f>
        <v/>
      </c>
      <c r="B10" s="76" t="str" cm="1">
        <f t="array" ref="B10">IF(OR(A10=""),"",IF(INDEX('Test schedule'!E:E,ROW()+9)="",IF(A11="",A10+$Q$10,A11),INDEX('Test schedule'!E:E,ROW()+9)+'Date Calculators'!$B$2+E10))</f>
        <v/>
      </c>
      <c r="C10" s="74" t="str" cm="1">
        <f t="array" ref="C10">IF(A10="","",INDEX('Test schedule'!J:J,ROW()+9))</f>
        <v/>
      </c>
      <c r="D10" s="74" t="str">
        <f>IFERROR(IF(A10="","",'Event Info'!$B$2),"")</f>
        <v/>
      </c>
      <c r="E10" cm="1">
        <f t="array" ref="E10">IF(INDEX('Test schedule'!B:B,ROW()+9)="START",E9+1,E9+0)</f>
        <v>1</v>
      </c>
      <c r="F10" s="82" t="str">
        <f>IF(A10&lt;&gt;"",_xlfn.CONCAT(TEXT(A10,"yyyy-mm-dd"),"T",TEXT(A10,"hh:mm:ss"),'Event Info'!$B$5,",",," ",C10),"")</f>
        <v/>
      </c>
      <c r="G10">
        <f t="shared" si="0"/>
        <v>5</v>
      </c>
      <c r="H10" s="92" t="str">
        <f t="shared" si="1"/>
        <v>2026-03-07T10:30:0011, PREP Equipment for Scrutineering</v>
      </c>
      <c r="I10" s="91">
        <v>0</v>
      </c>
      <c r="J10" s="1195" t="s">
        <v>921</v>
      </c>
      <c r="K10" s="1196"/>
      <c r="L10" s="1196"/>
      <c r="M10" s="1196"/>
      <c r="N10" s="1196"/>
      <c r="O10" s="1196"/>
      <c r="P10" s="1196"/>
      <c r="Q10" s="80">
        <v>0</v>
      </c>
    </row>
    <row r="11" spans="1:17">
      <c r="A11" s="76" cm="1">
        <f t="array" ref="A1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Calculators'!$B$2+E11)</f>
        <v>46088.3125</v>
      </c>
      <c r="B11" s="76" cm="1">
        <f t="array" ref="B11">IF(OR(A11=""),"",IF(INDEX('Test schedule'!E:E,ROW()+9)="",IF(A12="",A11+$Q$10,A12),INDEX('Test schedule'!E:E,ROW()+9)+'Date Calculators'!$B$2+E11))</f>
        <v>46088.333333333336</v>
      </c>
      <c r="C11" s="74" t="str" cm="1">
        <f t="array" ref="C11">IF(A11="","",INDEX('Test schedule'!J:J,ROW()+9))</f>
        <v xml:space="preserve">Breakfast </v>
      </c>
      <c r="D11" s="74" t="str">
        <f>IFERROR(IF(A11="","",'Event Info'!$B$2),"")</f>
        <v>Melbourne</v>
      </c>
      <c r="E11" cm="1">
        <f t="array" ref="E11">IF(INDEX('Test schedule'!B:B,ROW()+9)="START",E10+1,E10+0)</f>
        <v>1</v>
      </c>
      <c r="F11" s="82" t="str">
        <f>IF(A11&lt;&gt;"",_xlfn.CONCAT(TEXT(A11,"yyyy-mm-dd"),"T",TEXT(A11,"hh:mm:ss"),'Event Info'!$B$5,",",," ",C11),"")</f>
        <v xml:space="preserve">2026-03-07T07:30:0011, Breakfast </v>
      </c>
      <c r="G11">
        <f t="shared" si="0"/>
        <v>6</v>
      </c>
      <c r="H11" s="92" t="str">
        <f t="shared" si="1"/>
        <v>2026-03-07T11:00:0011, Event PM - Part 1</v>
      </c>
      <c r="I11" s="88">
        <v>0</v>
      </c>
    </row>
    <row r="12" spans="1:17">
      <c r="A12" s="76" cm="1">
        <f t="array" ref="A1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Calculators'!$B$2+E12)</f>
        <v>46088.333333333336</v>
      </c>
      <c r="B12" s="76" cm="1">
        <f t="array" ref="B12">IF(OR(A12=""),"",IF(INDEX('Test schedule'!E:E,ROW()+9)="",IF(A13="",A12+$Q$10,A13),INDEX('Test schedule'!E:E,ROW()+9)+'Date Calculators'!$B$2+E12))</f>
        <v>46088.4375</v>
      </c>
      <c r="C12" s="74" t="str" cm="1">
        <f t="array" ref="C12">IF(A12="","",INDEX('Test schedule'!J:J,ROW()+9))</f>
        <v>Leaving Hotel</v>
      </c>
      <c r="D12" s="74" t="str">
        <f>IFERROR(IF(A12="","",'Event Info'!$B$2),"")</f>
        <v>Melbourne</v>
      </c>
      <c r="E12" cm="1">
        <f t="array" ref="E12">IF(INDEX('Test schedule'!B:B,ROW()+9)="START",E11+1,E11+0)</f>
        <v>1</v>
      </c>
      <c r="F12" s="82" t="str">
        <f>IF(A12&lt;&gt;"",_xlfn.CONCAT(TEXT(A12,"yyyy-mm-dd"),"T",TEXT(A12,"hh:mm:ss"),'Event Info'!$B$5,",",," ",C12),"")</f>
        <v>2026-03-07T08:00:0011, Leaving Hotel</v>
      </c>
      <c r="G12">
        <f t="shared" si="0"/>
        <v>7</v>
      </c>
      <c r="H12" s="92" t="str">
        <f t="shared" si="1"/>
        <v>2026-03-07T11:30:0011, Lunch</v>
      </c>
      <c r="I12" s="88">
        <v>0</v>
      </c>
    </row>
    <row r="13" spans="1:17" ht="16.899999999999999">
      <c r="A13" s="76" cm="1">
        <f t="array" ref="A1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Calculators'!$B$2+E13)</f>
        <v>46088.4375</v>
      </c>
      <c r="B13" s="76" cm="1">
        <f t="array" ref="B13">IF(OR(A13=""),"",IF(INDEX('Test schedule'!E:E,ROW()+9)="",IF(A14="",A13+$Q$10,A14),INDEX('Test schedule'!E:E,ROW()+9)+'Date Calculators'!$B$2+E13))</f>
        <v>46088.4375</v>
      </c>
      <c r="C13" s="74" t="str" cm="1">
        <f t="array" ref="C13">IF(A13="","",INDEX('Test schedule'!J:J,ROW()+9))</f>
        <v>Driver Arrival Circuit</v>
      </c>
      <c r="D13" s="74" t="str">
        <f>IFERROR(IF(A13="","",'Event Info'!$B$2),"")</f>
        <v>Melbourne</v>
      </c>
      <c r="E13" cm="1">
        <f t="array" ref="E13">IF(INDEX('Test schedule'!B:B,ROW()+9)="START",E12+1,E12+0)</f>
        <v>1</v>
      </c>
      <c r="F13" s="82" t="str">
        <f>IF(A13&lt;&gt;"",_xlfn.CONCAT(TEXT(A13,"yyyy-mm-dd"),"T",TEXT(A13,"hh:mm:ss"),'Event Info'!$B$5,",",," ",C13),"")</f>
        <v>2026-03-07T10:30:0011, Driver Arrival Circuit</v>
      </c>
      <c r="G13">
        <f t="shared" si="0"/>
        <v>8</v>
      </c>
      <c r="H13" s="92" t="str">
        <f t="shared" si="1"/>
        <v>2026-03-07T13:30:0011, Event PM - Part 2</v>
      </c>
      <c r="I13" s="91">
        <v>0</v>
      </c>
    </row>
    <row r="14" spans="1:17">
      <c r="A14" s="76" cm="1">
        <f t="array" ref="A1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Calculators'!$B$2+E14)</f>
        <v>46088.4375</v>
      </c>
      <c r="B14" s="76" cm="1">
        <f t="array" ref="B14">IF(OR(A14=""),"",IF(INDEX('Test schedule'!E:E,ROW()+9)="",IF(A15="",A14+$Q$10,A15),INDEX('Test schedule'!E:E,ROW()+9)+'Date Calculators'!$B$2+E14))</f>
        <v>46088.458333333336</v>
      </c>
      <c r="C14" s="74" t="str" cm="1">
        <f t="array" ref="C14">IF(A14="","",INDEX('Test schedule'!J:J,ROW()+9))</f>
        <v>PREP Equipment for Scrutineering</v>
      </c>
      <c r="D14" s="74" t="str">
        <f>IFERROR(IF(A14="","",'Event Info'!$B$2),"")</f>
        <v>Melbourne</v>
      </c>
      <c r="E14" cm="1">
        <f t="array" ref="E14">IF(INDEX('Test schedule'!B:B,ROW()+9)="START",E13+1,E13+0)</f>
        <v>1</v>
      </c>
      <c r="F14" s="82" t="str">
        <f>IF(A14&lt;&gt;"",_xlfn.CONCAT(TEXT(A14,"yyyy-mm-dd"),"T",TEXT(A14,"hh:mm:ss"),'Event Info'!$B$5,",",," ",C14),"")</f>
        <v>2026-03-07T10:30:0011, PREP Equipment for Scrutineering</v>
      </c>
      <c r="G14">
        <f t="shared" si="0"/>
        <v>9</v>
      </c>
      <c r="H14" s="92" t="str">
        <f t="shared" si="1"/>
        <v>2026-03-07T15:00:0011, ARAMCO Presentation</v>
      </c>
      <c r="I14" s="88">
        <v>0</v>
      </c>
    </row>
    <row r="15" spans="1:17">
      <c r="A15" s="76" cm="1">
        <f t="array" ref="A1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Calculators'!$B$2+E15)</f>
        <v>46088.458333333336</v>
      </c>
      <c r="B15" s="76" cm="1">
        <f t="array" ref="B15">IF(OR(A15=""),"",IF(INDEX('Test schedule'!E:E,ROW()+9)="",IF(A16="",A15+$Q$10,A16),INDEX('Test schedule'!E:E,ROW()+9)+'Date Calculators'!$B$2+E15))</f>
        <v>46088.479166666664</v>
      </c>
      <c r="C15" s="74" t="str" cm="1">
        <f t="array" ref="C15">IF(A15="","",INDEX('Test schedule'!J:J,ROW()+9))</f>
        <v>Event PM - Part 1</v>
      </c>
      <c r="D15" s="74" t="str">
        <f>IFERROR(IF(A15="","",'Event Info'!$B$2),"")</f>
        <v>Melbourne</v>
      </c>
      <c r="E15" cm="1">
        <f t="array" ref="E15">IF(INDEX('Test schedule'!B:B,ROW()+9)="START",E14+1,E14+0)</f>
        <v>1</v>
      </c>
      <c r="F15" s="82" t="str">
        <f>IF(A15&lt;&gt;"",_xlfn.CONCAT(TEXT(A15,"yyyy-mm-dd"),"T",TEXT(A15,"hh:mm:ss"),'Event Info'!$B$5,",",," ",C15),"")</f>
        <v>2026-03-07T11:00:0011, Event PM - Part 1</v>
      </c>
      <c r="G15">
        <f t="shared" si="0"/>
        <v>10</v>
      </c>
      <c r="H15" s="92" t="str">
        <f t="shared" si="1"/>
        <v>2026-03-07T17:00:0011, Track Walk</v>
      </c>
      <c r="I15" s="88">
        <v>0</v>
      </c>
      <c r="J15" s="1182" t="s">
        <v>922</v>
      </c>
      <c r="K15" s="1182"/>
      <c r="L15" s="1182"/>
      <c r="M15" s="1182"/>
      <c r="N15" s="1182"/>
      <c r="O15" s="1182"/>
      <c r="P15" s="1182"/>
      <c r="Q15" s="1182"/>
    </row>
    <row r="16" spans="1:17" ht="16.899999999999999">
      <c r="A16" s="76" cm="1">
        <f t="array" ref="A1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Calculators'!$B$2+E16)</f>
        <v>46088.479166666664</v>
      </c>
      <c r="B16" s="76" cm="1">
        <f t="array" ref="B16">IF(OR(A16=""),"",IF(INDEX('Test schedule'!E:E,ROW()+9)="",IF(A17="",A16+$Q$10,A17),INDEX('Test schedule'!E:E,ROW()+9)+'Date Calculators'!$B$2+E16))</f>
        <v>46088.645833333336</v>
      </c>
      <c r="C16" s="74" t="str" cm="1">
        <f t="array" ref="C16">IF(A16="","",INDEX('Test schedule'!J:J,ROW()+9))</f>
        <v>Lunch</v>
      </c>
      <c r="D16" s="74" t="str">
        <f>IFERROR(IF(A16="","",'Event Info'!$B$2),"")</f>
        <v>Melbourne</v>
      </c>
      <c r="E16" cm="1">
        <f t="array" ref="E16">IF(INDEX('Test schedule'!B:B,ROW()+9)="START",E15+1,E15+0)</f>
        <v>1</v>
      </c>
      <c r="F16" s="82" t="str">
        <f>IF(A16&lt;&gt;"",_xlfn.CONCAT(TEXT(A16,"yyyy-mm-dd"),"T",TEXT(A16,"hh:mm:ss"),'Event Info'!$B$5,",",," ",C16),"")</f>
        <v>2026-03-07T11:30:0011, Lunch</v>
      </c>
      <c r="G16">
        <f t="shared" si="0"/>
        <v>11</v>
      </c>
      <c r="H16" s="92" t="str">
        <f t="shared" si="1"/>
        <v xml:space="preserve">2026-03-07T18:45:0011, Pitstop Practice &amp; Radio check </v>
      </c>
      <c r="I16" s="91">
        <v>0</v>
      </c>
      <c r="J16" s="1183" t="s">
        <v>923</v>
      </c>
      <c r="K16" s="1184"/>
      <c r="L16" s="1184"/>
      <c r="M16" s="1184"/>
      <c r="N16" s="1184"/>
      <c r="O16" s="1184"/>
      <c r="P16" s="1184"/>
      <c r="Q16" s="1185"/>
    </row>
    <row r="17" spans="1:17">
      <c r="A17" s="76" cm="1">
        <f t="array" ref="A1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Calculators'!$B$2+E17)</f>
        <v>46088.5625</v>
      </c>
      <c r="B17" s="76" cm="1">
        <f t="array" ref="B17">IF(OR(A17=""),"",IF(INDEX('Test schedule'!E:E,ROW()+9)="",IF(A18="",A17+$Q$10,A18),INDEX('Test schedule'!E:E,ROW()+9)+'Date Calculators'!$B$2+E17))</f>
        <v>46088.625</v>
      </c>
      <c r="C17" s="74" t="str" cm="1">
        <f t="array" ref="C17">IF(A17="","",INDEX('Test schedule'!J:J,ROW()+9))</f>
        <v>Event PM - Part 2</v>
      </c>
      <c r="D17" s="74" t="str">
        <f>IFERROR(IF(A17="","",'Event Info'!$B$2),"")</f>
        <v>Melbourne</v>
      </c>
      <c r="E17" cm="1">
        <f t="array" ref="E17">IF(INDEX('Test schedule'!B:B,ROW()+9)="START",E16+1,E16+0)</f>
        <v>1</v>
      </c>
      <c r="F17" s="82" t="str">
        <f>IF(A17&lt;&gt;"",_xlfn.CONCAT(TEXT(A17,"yyyy-mm-dd"),"T",TEXT(A17,"hh:mm:ss"),'Event Info'!$B$5,",",," ",C17),"")</f>
        <v>2026-03-07T13:30:0011, Event PM - Part 2</v>
      </c>
      <c r="G17">
        <f t="shared" si="0"/>
        <v>12</v>
      </c>
      <c r="H17" s="92" t="str">
        <f t="shared" si="1"/>
        <v>2026-03-08T08:30:0011, Breakfast</v>
      </c>
      <c r="I17" s="88">
        <v>0</v>
      </c>
    </row>
    <row r="18" spans="1:17">
      <c r="A18" s="76" cm="1">
        <f t="array" ref="A1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Calculators'!$B$2+E18)</f>
        <v>46088.625</v>
      </c>
      <c r="B18" s="76" cm="1">
        <f t="array" ref="B18">IF(OR(A18=""),"",IF(INDEX('Test schedule'!E:E,ROW()+9)="",IF(A19="",A18+$Q$10,A19),INDEX('Test schedule'!E:E,ROW()+9)+'Date Calculators'!$B$2+E18))</f>
        <v>46088.666666666664</v>
      </c>
      <c r="C18" s="74" t="str" cm="1">
        <f t="array" ref="C18">IF(A18="","",INDEX('Test schedule'!J:J,ROW()+9))</f>
        <v>ARAMCO Presentation</v>
      </c>
      <c r="D18" s="74" t="str">
        <f>IFERROR(IF(A18="","",'Event Info'!$B$2),"")</f>
        <v>Melbourne</v>
      </c>
      <c r="E18" cm="1">
        <f t="array" ref="E18">IF(INDEX('Test schedule'!B:B,ROW()+9)="START",E17+1,E17+0)</f>
        <v>1</v>
      </c>
      <c r="F18" s="82" t="str">
        <f>IF(A18&lt;&gt;"",_xlfn.CONCAT(TEXT(A18,"yyyy-mm-dd"),"T",TEXT(A18,"hh:mm:ss"),'Event Info'!$B$5,",",," ",C18),"")</f>
        <v>2026-03-07T15:00:0011, ARAMCO Presentation</v>
      </c>
      <c r="G18">
        <f t="shared" si="0"/>
        <v>13</v>
      </c>
      <c r="H18" s="92" t="str">
        <f t="shared" si="1"/>
        <v>2026-03-08T09:00:0011, Team Meeting</v>
      </c>
      <c r="I18" s="88">
        <v>0</v>
      </c>
    </row>
    <row r="19" spans="1:17" ht="16.899999999999999">
      <c r="A19" s="76" cm="1">
        <f t="array" ref="A1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Calculators'!$B$2+E19)</f>
        <v>46088.708333333336</v>
      </c>
      <c r="B19" s="76" cm="1">
        <f t="array" ref="B19">IF(OR(A19=""),"",IF(INDEX('Test schedule'!E:E,ROW()+9)="",IF(A20="",A19+$Q$10,A20),INDEX('Test schedule'!E:E,ROW()+9)+'Date Calculators'!$B$2+E19))</f>
        <v>46088.78125</v>
      </c>
      <c r="C19" s="74" t="str" cm="1">
        <f t="array" ref="C19">IF(A19="","",INDEX('Test schedule'!J:J,ROW()+9))</f>
        <v>Track Walk</v>
      </c>
      <c r="D19" s="74" t="str">
        <f>IFERROR(IF(A19="","",'Event Info'!$B$2),"")</f>
        <v>Melbourne</v>
      </c>
      <c r="E19" cm="1">
        <f t="array" ref="E19">IF(INDEX('Test schedule'!B:B,ROW()+9)="START",E18+1,E18+0)</f>
        <v>1</v>
      </c>
      <c r="F19" s="82" t="str">
        <f>IF(A19&lt;&gt;"",_xlfn.CONCAT(TEXT(A19,"yyyy-mm-dd"),"T",TEXT(A19,"hh:mm:ss"),'Event Info'!$B$5,",",," ",C19),"")</f>
        <v>2026-03-07T17:00:0011, Track Walk</v>
      </c>
      <c r="G19">
        <f t="shared" si="0"/>
        <v>14</v>
      </c>
      <c r="H19" s="92" t="str">
        <f t="shared" si="1"/>
        <v>2026-03-08T09:10:0011, Leaving Hotel</v>
      </c>
      <c r="I19" s="91">
        <v>0</v>
      </c>
      <c r="J19" s="1182" t="s">
        <v>924</v>
      </c>
      <c r="K19" s="1182"/>
      <c r="L19" s="1182"/>
      <c r="M19" s="1182"/>
      <c r="N19" s="1182"/>
      <c r="O19" s="1182"/>
      <c r="P19" s="1182"/>
      <c r="Q19" s="1182"/>
    </row>
    <row r="20" spans="1:17">
      <c r="A20" s="76" cm="1">
        <f t="array" ref="A2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Calculators'!$B$2+E20)</f>
        <v>46088.78125</v>
      </c>
      <c r="B20" s="76" cm="1">
        <f t="array" ref="B20">IF(OR(A20=""),"",IF(INDEX('Test schedule'!E:E,ROW()+9)="",IF(A21="",A20+$Q$10,A21),INDEX('Test schedule'!E:E,ROW()+9)+'Date Calculators'!$B$2+E20))</f>
        <v>46088.78125</v>
      </c>
      <c r="C20" s="74" t="str" cm="1">
        <f t="array" ref="C20">IF(A20="","",INDEX('Test schedule'!J:J,ROW()+9))</f>
        <v xml:space="preserve">Pitstop Practice &amp; Radio check </v>
      </c>
      <c r="D20" s="74" t="str">
        <f>IFERROR(IF(A20="","",'Event Info'!$B$2),"")</f>
        <v>Melbourne</v>
      </c>
      <c r="E20" cm="1">
        <f t="array" ref="E20">IF(INDEX('Test schedule'!B:B,ROW()+9)="START",E19+1,E19+0)</f>
        <v>1</v>
      </c>
      <c r="F20" s="82" t="str">
        <f>IF(A20&lt;&gt;"",_xlfn.CONCAT(TEXT(A20,"yyyy-mm-dd"),"T",TEXT(A20,"hh:mm:ss"),'Event Info'!$B$5,",",," ",C20),"")</f>
        <v xml:space="preserve">2026-03-07T18:45:0011, Pitstop Practice &amp; Radio check </v>
      </c>
      <c r="G20">
        <f t="shared" si="0"/>
        <v>15</v>
      </c>
      <c r="H20" s="92" t="str">
        <f t="shared" si="1"/>
        <v>2026-03-08T10:50:0011, Engine Warm-up</v>
      </c>
      <c r="I20" s="88">
        <v>0</v>
      </c>
      <c r="J20" s="1186" t="s">
        <v>553</v>
      </c>
      <c r="K20" s="1187"/>
      <c r="L20" s="1187"/>
      <c r="M20" s="1187"/>
      <c r="N20" s="1187"/>
      <c r="O20" s="1187"/>
      <c r="P20" s="1187"/>
      <c r="Q20" s="1188"/>
    </row>
    <row r="21" spans="1:17">
      <c r="A21" s="76" t="str" cm="1">
        <f t="array" ref="A2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Calculators'!$B$2+E21)</f>
        <v/>
      </c>
      <c r="B21" s="76" t="str" cm="1">
        <f t="array" ref="B21">IF(OR(A21=""),"",IF(INDEX('Test schedule'!E:E,ROW()+9)="",IF(A22="",A21+$Q$10,A22),INDEX('Test schedule'!E:E,ROW()+9)+'Date Calculators'!$B$2+E21))</f>
        <v/>
      </c>
      <c r="C21" s="74" t="str" cm="1">
        <f t="array" ref="C21">IF(A21="","",INDEX('Test schedule'!J:J,ROW()+9))</f>
        <v/>
      </c>
      <c r="D21" s="74" t="str">
        <f>IFERROR(IF(A21="","",'Event Info'!$B$2),"")</f>
        <v/>
      </c>
      <c r="E21" cm="1">
        <f t="array" ref="E21">IF(INDEX('Test schedule'!B:B,ROW()+9)="START",E20+1,E20+0)</f>
        <v>1</v>
      </c>
      <c r="F21" s="82" t="str">
        <f>IF(A21&lt;&gt;"",_xlfn.CONCAT(TEXT(A21,"yyyy-mm-dd"),"T",TEXT(A21,"hh:mm:ss"),'Event Info'!$B$5,",",," ",C21),"")</f>
        <v/>
      </c>
      <c r="G21">
        <f t="shared" si="0"/>
        <v>15</v>
      </c>
      <c r="H21" s="92" t="str">
        <f t="shared" si="1"/>
        <v>2026-03-08T11:00:0011, Driver Arrival Circuit</v>
      </c>
      <c r="I21" s="88">
        <v>0</v>
      </c>
    </row>
    <row r="22" spans="1:17" ht="16.899999999999999">
      <c r="A22" s="76" t="str" cm="1">
        <f t="array" ref="A2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Calculators'!$B$2+E22)</f>
        <v/>
      </c>
      <c r="B22" s="76" t="str" cm="1">
        <f t="array" ref="B22">IF(OR(A22=""),"",IF(INDEX('Test schedule'!E:E,ROW()+9)="",IF(A23="",A22+$Q$10,A23),INDEX('Test schedule'!E:E,ROW()+9)+'Date Calculators'!$B$2+E22))</f>
        <v/>
      </c>
      <c r="C22" s="74" t="str" cm="1">
        <f t="array" ref="C22">IF(A22="","",INDEX('Test schedule'!J:J,ROW()+9))</f>
        <v/>
      </c>
      <c r="D22" s="74" t="str">
        <f>IFERROR(IF(A22="","",'Event Info'!$B$2),"")</f>
        <v/>
      </c>
      <c r="E22" cm="1">
        <f t="array" ref="E22">IF(INDEX('Test schedule'!B:B,ROW()+9)="START",E21+1,E21+0)</f>
        <v>1</v>
      </c>
      <c r="F22" s="82" t="str">
        <f>IF(A22&lt;&gt;"",_xlfn.CONCAT(TEXT(A22,"yyyy-mm-dd"),"T",TEXT(A22,"hh:mm:ss"),'Event Info'!$B$5,",",," ",C22),"")</f>
        <v/>
      </c>
      <c r="G22">
        <f t="shared" si="0"/>
        <v>15</v>
      </c>
      <c r="H22" s="92" t="str">
        <f t="shared" si="1"/>
        <v>2026-03-08T11:05:0011, Session Fuel in</v>
      </c>
      <c r="I22" s="91">
        <v>0</v>
      </c>
    </row>
    <row r="23" spans="1:17">
      <c r="A23" s="76" t="str" cm="1">
        <f t="array" ref="A2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Calculators'!$B$2+E23)</f>
        <v/>
      </c>
      <c r="B23" s="76" t="str" cm="1">
        <f t="array" ref="B23">IF(OR(A23=""),"",IF(INDEX('Test schedule'!E:E,ROW()+9)="",IF(A24="",A23+$Q$10,A24),INDEX('Test schedule'!E:E,ROW()+9)+'Date Calculators'!$B$2+E23))</f>
        <v/>
      </c>
      <c r="C23" s="74" t="str" cm="1">
        <f t="array" ref="C23">IF(A23="","",INDEX('Test schedule'!J:J,ROW()+9))</f>
        <v/>
      </c>
      <c r="D23" s="74" t="str">
        <f>IFERROR(IF(A23="","",'Event Info'!$B$2),"")</f>
        <v/>
      </c>
      <c r="E23" cm="1">
        <f t="array" ref="E23">IF(INDEX('Test schedule'!B:B,ROW()+9)="START",E22+1,E22+0)</f>
        <v>2</v>
      </c>
      <c r="F23" s="82" t="str">
        <f>IF(A23&lt;&gt;"",_xlfn.CONCAT(TEXT(A23,"yyyy-mm-dd"),"T",TEXT(A23,"hh:mm:ss"),'Event Info'!$B$5,",",," ",C23),"")</f>
        <v/>
      </c>
      <c r="G23">
        <f t="shared" si="0"/>
        <v>15</v>
      </c>
      <c r="H23" s="92" t="str">
        <f t="shared" si="1"/>
        <v>2026-03-08T11:10:0011, Set Tyre Pres.</v>
      </c>
      <c r="I23" s="88">
        <v>0</v>
      </c>
    </row>
    <row r="24" spans="1:17">
      <c r="A24" s="76" cm="1">
        <f t="array" ref="A2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Calculators'!$B$2+E24)</f>
        <v>46089.354166666664</v>
      </c>
      <c r="B24" s="76" cm="1">
        <f t="array" ref="B24">IF(OR(A24=""),"",IF(INDEX('Test schedule'!E:E,ROW()+9)="",IF(A25="",A24+$Q$10,A25),INDEX('Test schedule'!E:E,ROW()+9)+'Date Calculators'!$B$2+E24))</f>
        <v>46089.375</v>
      </c>
      <c r="C24" s="74" t="str" cm="1">
        <f t="array" ref="C24">IF(A24="","",INDEX('Test schedule'!J:J,ROW()+9))</f>
        <v>Breakfast</v>
      </c>
      <c r="D24" s="74" t="str">
        <f>IFERROR(IF(A24="","",'Event Info'!$B$2),"")</f>
        <v>Melbourne</v>
      </c>
      <c r="E24" cm="1">
        <f t="array" ref="E24">IF(INDEX('Test schedule'!B:B,ROW()+9)="START",E23+1,E23+0)</f>
        <v>2</v>
      </c>
      <c r="F24" s="82" t="str">
        <f>IF(A24&lt;&gt;"",_xlfn.CONCAT(TEXT(A24,"yyyy-mm-dd"),"T",TEXT(A24,"hh:mm:ss"),'Event Info'!$B$5,",",," ",C24),"")</f>
        <v>2026-03-08T08:30:0011, Breakfast</v>
      </c>
      <c r="G24">
        <f t="shared" si="0"/>
        <v>16</v>
      </c>
      <c r="H24" s="92" t="str">
        <f t="shared" si="1"/>
        <v xml:space="preserve">2026-03-08T11:25:0011, Drivers PM    </v>
      </c>
      <c r="I24" s="88">
        <v>0</v>
      </c>
    </row>
    <row r="25" spans="1:17" ht="16.899999999999999">
      <c r="A25" s="76" cm="1">
        <f t="array" ref="A2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Calculators'!$B$2+E25)</f>
        <v>46089.375</v>
      </c>
      <c r="B25" s="76" cm="1">
        <f t="array" ref="B25">IF(OR(A25=""),"",IF(INDEX('Test schedule'!E:E,ROW()+9)="",IF(A26="",A25+$Q$10,A26),INDEX('Test schedule'!E:E,ROW()+9)+'Date Calculators'!$B$2+E25))</f>
        <v>46089.381944444445</v>
      </c>
      <c r="C25" s="74" t="str" cm="1">
        <f t="array" ref="C25">IF(A25="","",INDEX('Test schedule'!J:J,ROW()+9))</f>
        <v>Team Meeting</v>
      </c>
      <c r="D25" s="74" t="str">
        <f>IFERROR(IF(A25="","",'Event Info'!$B$2),"")</f>
        <v>Melbourne</v>
      </c>
      <c r="E25" cm="1">
        <f t="array" ref="E25">IF(INDEX('Test schedule'!B:B,ROW()+9)="START",E24+1,E24+0)</f>
        <v>2</v>
      </c>
      <c r="F25" s="82" t="str">
        <f>IF(A25&lt;&gt;"",_xlfn.CONCAT(TEXT(A25,"yyyy-mm-dd"),"T",TEXT(A25,"hh:mm:ss"),'Event Info'!$B$5,",",," ",C25),"")</f>
        <v>2026-03-08T09:00:0011, Team Meeting</v>
      </c>
      <c r="G25">
        <f t="shared" si="0"/>
        <v>17</v>
      </c>
      <c r="H25" s="92" t="str">
        <f t="shared" si="1"/>
        <v>2026-03-08T11:30:0011, Pirelli parc ferme open</v>
      </c>
      <c r="I25" s="91">
        <v>0</v>
      </c>
    </row>
    <row r="26" spans="1:17">
      <c r="A26" s="76" cm="1">
        <f t="array" ref="A2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Calculators'!$B$2+E26)</f>
        <v>46089.381944444445</v>
      </c>
      <c r="B26" s="76" cm="1">
        <f t="array" ref="B26">IF(OR(A26=""),"",IF(INDEX('Test schedule'!E:E,ROW()+9)="",IF(A27="",A26+$Q$10,A27),INDEX('Test schedule'!E:E,ROW()+9)+'Date Calculators'!$B$2+E26))</f>
        <v>46089.451388888891</v>
      </c>
      <c r="C26" s="74" t="str" cm="1">
        <f t="array" ref="C26">IF(A26="","",INDEX('Test schedule'!J:J,ROW()+9))</f>
        <v>Leaving Hotel</v>
      </c>
      <c r="D26" s="74" t="str">
        <f>IFERROR(IF(A26="","",'Event Info'!$B$2),"")</f>
        <v>Melbourne</v>
      </c>
      <c r="E26" cm="1">
        <f t="array" ref="E26">IF(INDEX('Test schedule'!B:B,ROW()+9)="START",E25+1,E25+0)</f>
        <v>2</v>
      </c>
      <c r="F26" s="82" t="str">
        <f>IF(A26&lt;&gt;"",_xlfn.CONCAT(TEXT(A26,"yyyy-mm-dd"),"T",TEXT(A26,"hh:mm:ss"),'Event Info'!$B$5,",",," ",C26),"")</f>
        <v>2026-03-08T09:10:0011, Leaving Hotel</v>
      </c>
      <c r="G26">
        <f t="shared" si="0"/>
        <v>18</v>
      </c>
      <c r="H26" s="92" t="str">
        <f t="shared" si="1"/>
        <v>2026-03-08T11:30:0011, Lunch</v>
      </c>
      <c r="I26" s="88">
        <v>0</v>
      </c>
    </row>
    <row r="27" spans="1:17">
      <c r="A27" s="76" cm="1">
        <f t="array" ref="A2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Calculators'!$B$2+E27)</f>
        <v>46089.451388888891</v>
      </c>
      <c r="B27" s="76" cm="1">
        <f t="array" ref="B27">IF(OR(A27=""),"",IF(INDEX('Test schedule'!E:E,ROW()+9)="",IF(A28="",A27+$Q$10,A28),INDEX('Test schedule'!E:E,ROW()+9)+'Date Calculators'!$B$2+E27))</f>
        <v>46089.458333333336</v>
      </c>
      <c r="C27" s="74" t="str" cm="1">
        <f t="array" ref="C27">IF(A27="","",INDEX('Test schedule'!J:J,ROW()+9))</f>
        <v>Engine Warm-up</v>
      </c>
      <c r="D27" s="74" t="str">
        <f>IFERROR(IF(A27="","",'Event Info'!$B$2),"")</f>
        <v>Melbourne</v>
      </c>
      <c r="E27" cm="1">
        <f t="array" ref="E27">IF(INDEX('Test schedule'!B:B,ROW()+9)="START",E26+1,E26+0)</f>
        <v>2</v>
      </c>
      <c r="F27" s="82" t="str">
        <f>IF(A27&lt;&gt;"",_xlfn.CONCAT(TEXT(A27,"yyyy-mm-dd"),"T",TEXT(A27,"hh:mm:ss"),'Event Info'!$B$5,",",," ",C27),"")</f>
        <v>2026-03-08T10:50:0011, Engine Warm-up</v>
      </c>
      <c r="G27">
        <f t="shared" si="0"/>
        <v>19</v>
      </c>
      <c r="H27" s="92" t="str">
        <f t="shared" si="1"/>
        <v>2026-03-08T12:00:0011, Last Fire Up (Car on the Ground)</v>
      </c>
      <c r="I27" s="88">
        <v>0</v>
      </c>
    </row>
    <row r="28" spans="1:17" ht="16.899999999999999">
      <c r="A28" s="76" cm="1">
        <f t="array" ref="A2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Calculators'!$B$2+E28)</f>
        <v>46089.458333333336</v>
      </c>
      <c r="B28" s="76" cm="1">
        <f t="array" ref="B28">IF(OR(A28=""),"",IF(INDEX('Test schedule'!E:E,ROW()+9)="",IF(A29="",A28+$Q$10,A29),INDEX('Test schedule'!E:E,ROW()+9)+'Date Calculators'!$B$2+E28))</f>
        <v>46089.461805555555</v>
      </c>
      <c r="C28" s="74" t="str" cm="1">
        <f t="array" ref="C28">IF(A28="","",INDEX('Test schedule'!J:J,ROW()+9))</f>
        <v>Driver Arrival Circuit</v>
      </c>
      <c r="D28" s="74" t="str">
        <f>IFERROR(IF(A28="","",'Event Info'!$B$2),"")</f>
        <v>Melbourne</v>
      </c>
      <c r="E28" cm="1">
        <f t="array" ref="E28">IF(INDEX('Test schedule'!B:B,ROW()+9)="START",E27+1,E27+0)</f>
        <v>2</v>
      </c>
      <c r="F28" s="82" t="str">
        <f>IF(A28&lt;&gt;"",_xlfn.CONCAT(TEXT(A28,"yyyy-mm-dd"),"T",TEXT(A28,"hh:mm:ss"),'Event Info'!$B$5,",",," ",C28),"")</f>
        <v>2026-03-08T11:00:0011, Driver Arrival Circuit</v>
      </c>
      <c r="G28">
        <f t="shared" si="0"/>
        <v>20</v>
      </c>
      <c r="H28" s="92" t="str">
        <f t="shared" si="1"/>
        <v>2026-03-08T12:00:0011, Cars stand by</v>
      </c>
      <c r="I28" s="91">
        <v>0</v>
      </c>
    </row>
    <row r="29" spans="1:17">
      <c r="A29" s="76" cm="1">
        <f t="array" ref="A2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Calculators'!$B$2+E29)</f>
        <v>46089.461805555555</v>
      </c>
      <c r="B29" s="76" cm="1">
        <f t="array" ref="B29">IF(OR(A29=""),"",IF(INDEX('Test schedule'!E:E,ROW()+9)="",IF(A30="",A29+$Q$10,A30),INDEX('Test schedule'!E:E,ROW()+9)+'Date Calculators'!$B$2+E29))</f>
        <v>46089.465277777781</v>
      </c>
      <c r="C29" s="74" t="str" cm="1">
        <f t="array" ref="C29">IF(A29="","",INDEX('Test schedule'!J:J,ROW()+9))</f>
        <v>Session Fuel in</v>
      </c>
      <c r="D29" s="74" t="str">
        <f>IFERROR(IF(A29="","",'Event Info'!$B$2),"")</f>
        <v>Melbourne</v>
      </c>
      <c r="E29" cm="1">
        <f t="array" ref="E29">IF(INDEX('Test schedule'!B:B,ROW()+9)="START",E28+1,E28+0)</f>
        <v>2</v>
      </c>
      <c r="F29" s="82" t="str">
        <f>IF(A29&lt;&gt;"",_xlfn.CONCAT(TEXT(A29,"yyyy-mm-dd"),"T",TEXT(A29,"hh:mm:ss"),'Event Info'!$B$5,",",," ",C29),"")</f>
        <v>2026-03-08T11:05:0011, Session Fuel in</v>
      </c>
      <c r="G29">
        <f t="shared" si="0"/>
        <v>21</v>
      </c>
      <c r="H29" s="92" t="str">
        <f t="shared" si="1"/>
        <v>2026-03-08T12:15:0011, Drivers ready in car</v>
      </c>
      <c r="I29" s="88">
        <v>0</v>
      </c>
    </row>
    <row r="30" spans="1:17">
      <c r="A30" s="76" cm="1">
        <f t="array" ref="A3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Calculators'!$B$2+E30)</f>
        <v>46089.465277777781</v>
      </c>
      <c r="B30" s="76" cm="1">
        <f t="array" ref="B30">IF(OR(A30=""),"",IF(INDEX('Test schedule'!E:E,ROW()+9)="",IF(A31="",A30+$Q$10,A31),INDEX('Test schedule'!E:E,ROW()+9)+'Date Calculators'!$B$2+E30))</f>
        <v>46089.475694444445</v>
      </c>
      <c r="C30" s="74" t="str" cm="1">
        <f t="array" ref="C30">IF(A30="","",INDEX('Test schedule'!J:J,ROW()+9))</f>
        <v>Set Tyre Pres.</v>
      </c>
      <c r="D30" s="74" t="str">
        <f>IFERROR(IF(A30="","",'Event Info'!$B$2),"")</f>
        <v>Melbourne</v>
      </c>
      <c r="E30" cm="1">
        <f t="array" ref="E30">IF(INDEX('Test schedule'!B:B,ROW()+9)="START",E29+1,E29+0)</f>
        <v>2</v>
      </c>
      <c r="F30" s="82" t="str">
        <f>IF(A30&lt;&gt;"",_xlfn.CONCAT(TEXT(A30,"yyyy-mm-dd"),"T",TEXT(A30,"hh:mm:ss"),'Event Info'!$B$5,",",," ",C30),"")</f>
        <v>2026-03-08T11:10:0011, Set Tyre Pres.</v>
      </c>
      <c r="G30">
        <f t="shared" si="0"/>
        <v>22</v>
      </c>
      <c r="H30" s="92" t="str">
        <f t="shared" si="1"/>
        <v>2026-03-08T12:30:0011, Session 1</v>
      </c>
      <c r="I30" s="88">
        <v>0</v>
      </c>
    </row>
    <row r="31" spans="1:17" ht="16.899999999999999">
      <c r="A31" s="76" cm="1">
        <f t="array" ref="A3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Calculators'!$B$2+E31)</f>
        <v>46089.475694444445</v>
      </c>
      <c r="B31" s="76" cm="1">
        <f t="array" ref="B31">IF(OR(A31=""),"",IF(INDEX('Test schedule'!E:E,ROW()+9)="",IF(A32="",A31+$Q$10,A32),INDEX('Test schedule'!E:E,ROW()+9)+'Date Calculators'!$B$2+E31))</f>
        <v>46089.479166666664</v>
      </c>
      <c r="C31" s="74" t="str" cm="1">
        <f t="array" ref="C31">IF(A31="","",INDEX('Test schedule'!J:J,ROW()+9))</f>
        <v xml:space="preserve">Drivers PM    </v>
      </c>
      <c r="D31" s="74" t="str">
        <f>IFERROR(IF(A31="","",'Event Info'!$B$2),"")</f>
        <v>Melbourne</v>
      </c>
      <c r="E31" cm="1">
        <f t="array" ref="E31">IF(INDEX('Test schedule'!B:B,ROW()+9)="START",E30+1,E30+0)</f>
        <v>2</v>
      </c>
      <c r="F31" s="82" t="str">
        <f>IF(A31&lt;&gt;"",_xlfn.CONCAT(TEXT(A31,"yyyy-mm-dd"),"T",TEXT(A31,"hh:mm:ss"),'Event Info'!$B$5,",",," ",C31),"")</f>
        <v xml:space="preserve">2026-03-08T11:25:0011, Drivers PM    </v>
      </c>
      <c r="G31">
        <f t="shared" si="0"/>
        <v>23</v>
      </c>
      <c r="H31" s="92" t="str">
        <f t="shared" si="1"/>
        <v>2026-03-08T15:05:0011, DB Session 3</v>
      </c>
      <c r="I31" s="91">
        <v>0</v>
      </c>
    </row>
    <row r="32" spans="1:17">
      <c r="A32" s="76" cm="1">
        <f t="array" ref="A3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Calculators'!$B$2+E32)</f>
        <v>46089.479166666664</v>
      </c>
      <c r="B32" s="76" cm="1">
        <f t="array" ref="B32">IF(OR(A32=""),"",IF(INDEX('Test schedule'!E:E,ROW()+9)="",IF(A33="",A32+$Q$10,A33),INDEX('Test schedule'!E:E,ROW()+9)+'Date Calculators'!$B$2+E32))</f>
        <v>46089.479166666664</v>
      </c>
      <c r="C32" s="74" t="str" cm="1">
        <f t="array" ref="C32">IF(A32="","",INDEX('Test schedule'!J:J,ROW()+9))</f>
        <v>Pirelli parc ferme open</v>
      </c>
      <c r="D32" s="74" t="str">
        <f>IFERROR(IF(A32="","",'Event Info'!$B$2),"")</f>
        <v>Melbourne</v>
      </c>
      <c r="E32" cm="1">
        <f t="array" ref="E32">IF(INDEX('Test schedule'!B:B,ROW()+9)="START",E31+1,E31+0)</f>
        <v>2</v>
      </c>
      <c r="F32" s="82" t="str">
        <f>IF(A32&lt;&gt;"",_xlfn.CONCAT(TEXT(A32,"yyyy-mm-dd"),"T",TEXT(A32,"hh:mm:ss"),'Event Info'!$B$5,",",," ",C32),"")</f>
        <v>2026-03-08T11:30:0011, Pirelli parc ferme open</v>
      </c>
      <c r="G32">
        <f t="shared" si="0"/>
        <v>24</v>
      </c>
      <c r="H32" s="92" t="str">
        <f t="shared" si="1"/>
        <v>2026-03-08T16:50:0011, Engine Fire-Up</v>
      </c>
      <c r="I32" s="88">
        <v>0</v>
      </c>
    </row>
    <row r="33" spans="1:9">
      <c r="A33" s="76" cm="1">
        <f t="array" ref="A3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Calculators'!$B$2+E33)</f>
        <v>46089.479166666664</v>
      </c>
      <c r="B33" s="76" cm="1">
        <f t="array" ref="B33">IF(OR(A33=""),"",IF(INDEX('Test schedule'!E:E,ROW()+9)="",IF(A34="",A33+$Q$10,A34),INDEX('Test schedule'!E:E,ROW()+9)+'Date Calculators'!$B$2+E33))</f>
        <v>46089.645833333336</v>
      </c>
      <c r="C33" s="74" t="str" cm="1">
        <f t="array" ref="C33">IF(A33="","",INDEX('Test schedule'!J:J,ROW()+9))</f>
        <v>Lunch</v>
      </c>
      <c r="D33" s="74" t="str">
        <f>IFERROR(IF(A33="","",'Event Info'!$B$2),"")</f>
        <v>Melbourne</v>
      </c>
      <c r="E33" cm="1">
        <f t="array" ref="E33">IF(INDEX('Test schedule'!B:B,ROW()+9)="START",E32+1,E32+0)</f>
        <v>2</v>
      </c>
      <c r="F33" s="82" t="str">
        <f>IF(A33&lt;&gt;"",_xlfn.CONCAT(TEXT(A33,"yyyy-mm-dd"),"T",TEXT(A33,"hh:mm:ss"),'Event Info'!$B$5,",",," ",C33),"")</f>
        <v>2026-03-08T11:30:0011, Lunch</v>
      </c>
      <c r="G33">
        <f t="shared" si="0"/>
        <v>25</v>
      </c>
      <c r="H33" s="92" t="str">
        <f t="shared" si="1"/>
        <v>2026-03-08T17:05:0011, Session Fuel in</v>
      </c>
      <c r="I33" s="88">
        <v>0</v>
      </c>
    </row>
    <row r="34" spans="1:9" ht="16.899999999999999">
      <c r="A34" s="76" cm="1">
        <f t="array" ref="A3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Calculators'!$B$2+E34)</f>
        <v>46089.5</v>
      </c>
      <c r="B34" s="76" cm="1">
        <f t="array" ref="B34">IF(OR(A34=""),"",IF(INDEX('Test schedule'!E:E,ROW()+9)="",IF(A35="",A34+$Q$10,A35),INDEX('Test schedule'!E:E,ROW()+9)+'Date Calculators'!$B$2+E34))</f>
        <v>46089.5</v>
      </c>
      <c r="C34" s="74" t="str" cm="1">
        <f t="array" ref="C34">IF(A34="","",INDEX('Test schedule'!J:J,ROW()+9))</f>
        <v>Last Fire Up (Car on the Ground)</v>
      </c>
      <c r="D34" s="74" t="str">
        <f>IFERROR(IF(A34="","",'Event Info'!$B$2),"")</f>
        <v>Melbourne</v>
      </c>
      <c r="E34" cm="1">
        <f t="array" ref="E34">IF(INDEX('Test schedule'!B:B,ROW()+9)="START",E33+1,E33+0)</f>
        <v>2</v>
      </c>
      <c r="F34" s="82" t="str">
        <f>IF(A34&lt;&gt;"",_xlfn.CONCAT(TEXT(A34,"yyyy-mm-dd"),"T",TEXT(A34,"hh:mm:ss"),'Event Info'!$B$5,",",," ",C34),"")</f>
        <v>2026-03-08T12:00:0011, Last Fire Up (Car on the Ground)</v>
      </c>
      <c r="G34">
        <f t="shared" si="0"/>
        <v>26</v>
      </c>
      <c r="H34" s="92" t="str">
        <f t="shared" si="1"/>
        <v>2026-03-08T17:10:0011, Set Tyre Pres.</v>
      </c>
      <c r="I34" s="91">
        <v>0</v>
      </c>
    </row>
    <row r="35" spans="1:9">
      <c r="A35" s="76" cm="1">
        <f t="array" ref="A3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Calculators'!$B$2+E35)</f>
        <v>46089.5</v>
      </c>
      <c r="B35" s="76" cm="1">
        <f t="array" ref="B35">IF(OR(A35=""),"",IF(INDEX('Test schedule'!E:E,ROW()+9)="",IF(A36="",A35+$Q$10,A36),INDEX('Test schedule'!E:E,ROW()+9)+'Date Calculators'!$B$2+E35))</f>
        <v>46089.510416666664</v>
      </c>
      <c r="C35" s="74" t="str" cm="1">
        <f t="array" ref="C35">IF(A35="","",INDEX('Test schedule'!J:J,ROW()+9))</f>
        <v>Cars stand by</v>
      </c>
      <c r="D35" s="74" t="str">
        <f>IFERROR(IF(A35="","",'Event Info'!$B$2),"")</f>
        <v>Melbourne</v>
      </c>
      <c r="E35" cm="1">
        <f t="array" ref="E35">IF(INDEX('Test schedule'!B:B,ROW()+9)="START",E34+1,E34+0)</f>
        <v>2</v>
      </c>
      <c r="F35" s="82" t="str">
        <f>IF(A35&lt;&gt;"",_xlfn.CONCAT(TEXT(A35,"yyyy-mm-dd"),"T",TEXT(A35,"hh:mm:ss"),'Event Info'!$B$5,",",," ",C35),"")</f>
        <v>2026-03-08T12:00:0011, Cars stand by</v>
      </c>
      <c r="G35">
        <f t="shared" si="0"/>
        <v>27</v>
      </c>
      <c r="H35" s="92" t="str">
        <f t="shared" si="1"/>
        <v xml:space="preserve">2026-03-08T17:25:0011, Drivers PM    </v>
      </c>
      <c r="I35" s="88">
        <v>0</v>
      </c>
    </row>
    <row r="36" spans="1:9">
      <c r="A36" s="76" cm="1">
        <f t="array" ref="A3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Calculators'!$B$2+E36)</f>
        <v>46089.510416666664</v>
      </c>
      <c r="B36" s="76" cm="1">
        <f t="array" ref="B36">IF(OR(A36=""),"",IF(INDEX('Test schedule'!E:E,ROW()+9)="",IF(A37="",A36+$Q$10,A37),INDEX('Test schedule'!E:E,ROW()+9)+'Date Calculators'!$B$2+E36))</f>
        <v>46089.520833333336</v>
      </c>
      <c r="C36" s="74" t="str" cm="1">
        <f t="array" ref="C36">IF(A36="","",INDEX('Test schedule'!J:J,ROW()+9))</f>
        <v>Drivers ready in car</v>
      </c>
      <c r="D36" s="74" t="str">
        <f>IFERROR(IF(A36="","",'Event Info'!$B$2),"")</f>
        <v>Melbourne</v>
      </c>
      <c r="E36" cm="1">
        <f t="array" ref="E36">IF(INDEX('Test schedule'!B:B,ROW()+9)="START",E35+1,E35+0)</f>
        <v>2</v>
      </c>
      <c r="F36" s="82" t="str">
        <f>IF(A36&lt;&gt;"",_xlfn.CONCAT(TEXT(A36,"yyyy-mm-dd"),"T",TEXT(A36,"hh:mm:ss"),'Event Info'!$B$5,",",," ",C36),"")</f>
        <v>2026-03-08T12:15:0011, Drivers ready in car</v>
      </c>
      <c r="G36">
        <f t="shared" si="0"/>
        <v>28</v>
      </c>
      <c r="H36" s="92" t="str">
        <f t="shared" si="1"/>
        <v>2026-03-08T17:30:0011, Dinner</v>
      </c>
      <c r="I36" s="88">
        <v>0</v>
      </c>
    </row>
    <row r="37" spans="1:9" ht="16.899999999999999">
      <c r="A37" s="76" cm="1">
        <f t="array" ref="A3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Calculators'!$B$2+E37)</f>
        <v>46089.520833333336</v>
      </c>
      <c r="B37" s="76" cm="1">
        <f t="array" ref="B37">IF(OR(A37=""),"",IF(INDEX('Test schedule'!E:E,ROW()+9)="",IF(A38="",A37+$Q$10,A38),INDEX('Test schedule'!E:E,ROW()+9)+'Date Calculators'!$B$2+E37))</f>
        <v>46089.625</v>
      </c>
      <c r="C37" s="74" t="str" cm="1">
        <f t="array" ref="C37">IF(A37="","",INDEX('Test schedule'!J:J,ROW()+9))</f>
        <v>Session 1</v>
      </c>
      <c r="D37" s="74" t="str">
        <f>IFERROR(IF(A37="","",'Event Info'!$B$2),"")</f>
        <v>Melbourne</v>
      </c>
      <c r="E37" cm="1">
        <f t="array" ref="E37">IF(INDEX('Test schedule'!B:B,ROW()+9)="START",E36+1,E36+0)</f>
        <v>2</v>
      </c>
      <c r="F37" s="82" t="str">
        <f>IF(A37&lt;&gt;"",_xlfn.CONCAT(TEXT(A37,"yyyy-mm-dd"),"T",TEXT(A37,"hh:mm:ss"),'Event Info'!$B$5,",",," ",C37),"")</f>
        <v>2026-03-08T12:30:0011, Session 1</v>
      </c>
      <c r="G37">
        <f t="shared" si="0"/>
        <v>29</v>
      </c>
      <c r="H37" s="92" t="str">
        <f t="shared" si="1"/>
        <v>2026-03-08T18:00:0011, Last Fire Up (Car on the Ground)</v>
      </c>
      <c r="I37" s="91">
        <v>0</v>
      </c>
    </row>
    <row r="38" spans="1:9">
      <c r="A38" s="76" cm="1">
        <f t="array" ref="A3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Calculators'!$B$2+E38)</f>
        <v>46089.628472222219</v>
      </c>
      <c r="B38" s="76" cm="1">
        <f t="array" ref="B38">IF(OR(A38=""),"",IF(INDEX('Test schedule'!E:E,ROW()+9)="",IF(A39="",A38+$Q$10,A39),INDEX('Test schedule'!E:E,ROW()+9)+'Date Calculators'!$B$2+E38))</f>
        <v>46089.701388888891</v>
      </c>
      <c r="C38" s="74" t="str" cm="1">
        <f t="array" ref="C38">IF(A38="","",INDEX('Test schedule'!J:J,ROW()+9))</f>
        <v>DB Session 3</v>
      </c>
      <c r="D38" s="74" t="str">
        <f>IFERROR(IF(A38="","",'Event Info'!$B$2),"")</f>
        <v>Melbourne</v>
      </c>
      <c r="E38" cm="1">
        <f t="array" ref="E38">IF(INDEX('Test schedule'!B:B,ROW()+9)="START",E37+1,E37+0)</f>
        <v>2</v>
      </c>
      <c r="F38" s="82" t="str">
        <f>IF(A38&lt;&gt;"",_xlfn.CONCAT(TEXT(A38,"yyyy-mm-dd"),"T",TEXT(A38,"hh:mm:ss"),'Event Info'!$B$5,",",," ",C38),"")</f>
        <v>2026-03-08T15:05:0011, DB Session 3</v>
      </c>
      <c r="G38">
        <f t="shared" si="0"/>
        <v>30</v>
      </c>
      <c r="H38" s="92" t="str">
        <f t="shared" si="1"/>
        <v>2026-03-08T18:00:0011, Cars stand by</v>
      </c>
      <c r="I38" s="88">
        <v>0</v>
      </c>
    </row>
    <row r="39" spans="1:9">
      <c r="A39" s="76" cm="1">
        <f t="array" ref="A3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Calculators'!$B$2+E39)</f>
        <v>46089.701388888891</v>
      </c>
      <c r="B39" s="76" cm="1">
        <f t="array" ref="B39">IF(OR(A39=""),"",IF(INDEX('Test schedule'!E:E,ROW()+9)="",IF(A40="",A39+$Q$10,A40),INDEX('Test schedule'!E:E,ROW()+9)+'Date Calculators'!$B$2+E39))</f>
        <v>46089.704861111109</v>
      </c>
      <c r="C39" s="74" t="str" cm="1">
        <f t="array" ref="C39">IF(A39="","",INDEX('Test schedule'!J:J,ROW()+9))</f>
        <v>Engine Fire-Up</v>
      </c>
      <c r="D39" s="74" t="str">
        <f>IFERROR(IF(A39="","",'Event Info'!$B$2),"")</f>
        <v>Melbourne</v>
      </c>
      <c r="E39" cm="1">
        <f t="array" ref="E39">IF(INDEX('Test schedule'!B:B,ROW()+9)="START",E38+1,E38+0)</f>
        <v>2</v>
      </c>
      <c r="F39" s="82" t="str">
        <f>IF(A39&lt;&gt;"",_xlfn.CONCAT(TEXT(A39,"yyyy-mm-dd"),"T",TEXT(A39,"hh:mm:ss"),'Event Info'!$B$5,",",," ",C39),"")</f>
        <v>2026-03-08T16:50:0011, Engine Fire-Up</v>
      </c>
      <c r="G39">
        <f t="shared" si="0"/>
        <v>31</v>
      </c>
      <c r="H39" s="92" t="str">
        <f t="shared" si="1"/>
        <v>2026-03-08T18:15:0011, Drivers ready in car</v>
      </c>
      <c r="I39" s="88">
        <v>0</v>
      </c>
    </row>
    <row r="40" spans="1:9" ht="16.899999999999999">
      <c r="A40" s="76" cm="1">
        <f t="array" ref="A4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Calculators'!$B$2+E40)</f>
        <v>46089.711805555555</v>
      </c>
      <c r="B40" s="76" cm="1">
        <f t="array" ref="B40">IF(OR(A40=""),"",IF(INDEX('Test schedule'!E:E,ROW()+9)="",IF(A41="",A40+$Q$10,A41),INDEX('Test schedule'!E:E,ROW()+9)+'Date Calculators'!$B$2+E40))</f>
        <v>46089.715277777781</v>
      </c>
      <c r="C40" s="74" t="str" cm="1">
        <f t="array" ref="C40">IF(A40="","",INDEX('Test schedule'!J:J,ROW()+9))</f>
        <v>Session Fuel in</v>
      </c>
      <c r="D40" s="74" t="str">
        <f>IFERROR(IF(A40="","",'Event Info'!$B$2),"")</f>
        <v>Melbourne</v>
      </c>
      <c r="E40" cm="1">
        <f t="array" ref="E40">IF(INDEX('Test schedule'!B:B,ROW()+9)="START",E39+1,E39+0)</f>
        <v>2</v>
      </c>
      <c r="F40" s="82" t="str">
        <f>IF(A40&lt;&gt;"",_xlfn.CONCAT(TEXT(A40,"yyyy-mm-dd"),"T",TEXT(A40,"hh:mm:ss"),'Event Info'!$B$5,",",," ",C40),"")</f>
        <v>2026-03-08T17:05:0011, Session Fuel in</v>
      </c>
      <c r="G40">
        <f t="shared" si="0"/>
        <v>32</v>
      </c>
      <c r="H40" s="92" t="str">
        <f t="shared" si="1"/>
        <v>2026-03-08T18:30:0011, Session 2</v>
      </c>
      <c r="I40" s="91">
        <v>0</v>
      </c>
    </row>
    <row r="41" spans="1:9">
      <c r="A41" s="76" cm="1">
        <f t="array" ref="A4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Calculators'!$B$2+E41)</f>
        <v>46089.715277777781</v>
      </c>
      <c r="B41" s="76" cm="1">
        <f t="array" ref="B41">IF(OR(A41=""),"",IF(INDEX('Test schedule'!E:E,ROW()+9)="",IF(A42="",A41+$Q$10,A42),INDEX('Test schedule'!E:E,ROW()+9)+'Date Calculators'!$B$2+E41))</f>
        <v>46089.725694444445</v>
      </c>
      <c r="C41" s="74" t="str" cm="1">
        <f t="array" ref="C41">IF(A41="","",INDEX('Test schedule'!J:J,ROW()+9))</f>
        <v>Set Tyre Pres.</v>
      </c>
      <c r="D41" s="74" t="str">
        <f>IFERROR(IF(A41="","",'Event Info'!$B$2),"")</f>
        <v>Melbourne</v>
      </c>
      <c r="E41" cm="1">
        <f t="array" ref="E41">IF(INDEX('Test schedule'!B:B,ROW()+9)="START",E40+1,E40+0)</f>
        <v>2</v>
      </c>
      <c r="F41" s="82" t="str">
        <f>IF(A41&lt;&gt;"",_xlfn.CONCAT(TEXT(A41,"yyyy-mm-dd"),"T",TEXT(A41,"hh:mm:ss"),'Event Info'!$B$5,",",," ",C41),"")</f>
        <v>2026-03-08T17:10:0011, Set Tyre Pres.</v>
      </c>
      <c r="G41">
        <f t="shared" si="0"/>
        <v>33</v>
      </c>
      <c r="H41" s="92" t="str">
        <f t="shared" si="1"/>
        <v>2026-03-08T21:05:0011, DB Session 3</v>
      </c>
      <c r="I41" s="88">
        <v>0</v>
      </c>
    </row>
    <row r="42" spans="1:9">
      <c r="A42" s="76" cm="1">
        <f t="array" ref="A4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Calculators'!$B$2+E42)</f>
        <v>46089.725694444445</v>
      </c>
      <c r="B42" s="76" cm="1">
        <f t="array" ref="B42">IF(OR(A42=""),"",IF(INDEX('Test schedule'!E:E,ROW()+9)="",IF(A43="",A42+$Q$10,A43),INDEX('Test schedule'!E:E,ROW()+9)+'Date Calculators'!$B$2+E42))</f>
        <v>46089.729166666664</v>
      </c>
      <c r="C42" s="74" t="str" cm="1">
        <f t="array" ref="C42">IF(A42="","",INDEX('Test schedule'!J:J,ROW()+9))</f>
        <v xml:space="preserve">Drivers PM    </v>
      </c>
      <c r="D42" s="74" t="str">
        <f>IFERROR(IF(A42="","",'Event Info'!$B$2),"")</f>
        <v>Melbourne</v>
      </c>
      <c r="E42" cm="1">
        <f t="array" ref="E42">IF(INDEX('Test schedule'!B:B,ROW()+9)="START",E41+1,E41+0)</f>
        <v>2</v>
      </c>
      <c r="F42" s="82" t="str">
        <f>IF(A42&lt;&gt;"",_xlfn.CONCAT(TEXT(A42,"yyyy-mm-dd"),"T",TEXT(A42,"hh:mm:ss"),'Event Info'!$B$5,",",," ",C42),"")</f>
        <v xml:space="preserve">2026-03-08T17:25:0011, Drivers PM    </v>
      </c>
      <c r="G42">
        <f t="shared" si="0"/>
        <v>34</v>
      </c>
      <c r="H42" s="92" t="str">
        <f t="shared" si="1"/>
        <v>2026-03-08T23:00:0011, ASAP return all tyres to pirelli Parc Fermé</v>
      </c>
      <c r="I42" s="88">
        <v>0</v>
      </c>
    </row>
    <row r="43" spans="1:9" ht="16.899999999999999">
      <c r="A43" s="76" cm="1">
        <f t="array" ref="A4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Calculators'!$B$2+E43)</f>
        <v>46089.729166666664</v>
      </c>
      <c r="B43" s="76" cm="1">
        <f t="array" ref="B43">IF(OR(A43=""),"",IF(INDEX('Test schedule'!E:E,ROW()+9)="",IF(A44="",A43+$Q$10,A44),INDEX('Test schedule'!E:E,ROW()+9)+'Date Calculators'!$B$2+E43))</f>
        <v>46089.75</v>
      </c>
      <c r="C43" s="74" t="str" cm="1">
        <f t="array" ref="C43">IF(A43="","",INDEX('Test schedule'!J:J,ROW()+9))</f>
        <v>Dinner</v>
      </c>
      <c r="D43" s="74" t="str">
        <f>IFERROR(IF(A43="","",'Event Info'!$B$2),"")</f>
        <v>Melbourne</v>
      </c>
      <c r="E43" cm="1">
        <f t="array" ref="E43">IF(INDEX('Test schedule'!B:B,ROW()+9)="START",E42+1,E42+0)</f>
        <v>2</v>
      </c>
      <c r="F43" s="82" t="str">
        <f>IF(A43&lt;&gt;"",_xlfn.CONCAT(TEXT(A43,"yyyy-mm-dd"),"T",TEXT(A43,"hh:mm:ss"),'Event Info'!$B$5,",",," ",C43),"")</f>
        <v>2026-03-08T17:30:0011, Dinner</v>
      </c>
      <c r="G43">
        <f t="shared" si="0"/>
        <v>35</v>
      </c>
      <c r="H43" s="92" t="str">
        <f t="shared" si="1"/>
        <v>2026-03-09T10:50:0011, Engine Warm-up</v>
      </c>
      <c r="I43" s="91">
        <v>0</v>
      </c>
    </row>
    <row r="44" spans="1:9">
      <c r="A44" s="76" cm="1">
        <f t="array" ref="A4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Calculators'!$B$2+E44)</f>
        <v>46089.75</v>
      </c>
      <c r="B44" s="76" cm="1">
        <f t="array" ref="B44">IF(OR(A44=""),"",IF(INDEX('Test schedule'!E:E,ROW()+9)="",IF(A45="",A44+$Q$10,A45),INDEX('Test schedule'!E:E,ROW()+9)+'Date Calculators'!$B$2+E44))</f>
        <v>46089.75</v>
      </c>
      <c r="C44" s="74" t="str" cm="1">
        <f t="array" ref="C44">IF(A44="","",INDEX('Test schedule'!J:J,ROW()+9))</f>
        <v>Last Fire Up (Car on the Ground)</v>
      </c>
      <c r="D44" s="74" t="str">
        <f>IFERROR(IF(A44="","",'Event Info'!$B$2),"")</f>
        <v>Melbourne</v>
      </c>
      <c r="E44" cm="1">
        <f t="array" ref="E44">IF(INDEX('Test schedule'!B:B,ROW()+9)="START",E43+1,E43+0)</f>
        <v>2</v>
      </c>
      <c r="F44" s="82" t="str">
        <f>IF(A44&lt;&gt;"",_xlfn.CONCAT(TEXT(A44,"yyyy-mm-dd"),"T",TEXT(A44,"hh:mm:ss"),'Event Info'!$B$5,",",," ",C44),"")</f>
        <v>2026-03-08T18:00:0011, Last Fire Up (Car on the Ground)</v>
      </c>
      <c r="G44">
        <f t="shared" si="0"/>
        <v>36</v>
      </c>
      <c r="H44" s="92" t="str">
        <f t="shared" si="1"/>
        <v>2026-03-09T11:00:0011, Driver Arrival Circuit</v>
      </c>
      <c r="I44" s="88">
        <v>0</v>
      </c>
    </row>
    <row r="45" spans="1:9">
      <c r="A45" s="76" cm="1">
        <f t="array" ref="A4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Calculators'!$B$2+E45)</f>
        <v>46089.75</v>
      </c>
      <c r="B45" s="76" cm="1">
        <f t="array" ref="B45">IF(OR(A45=""),"",IF(INDEX('Test schedule'!E:E,ROW()+9)="",IF(A46="",A45+$Q$10,A46),INDEX('Test schedule'!E:E,ROW()+9)+'Date Calculators'!$B$2+E45))</f>
        <v>46089.760416666664</v>
      </c>
      <c r="C45" s="74" t="str" cm="1">
        <f t="array" ref="C45">IF(A45="","",INDEX('Test schedule'!J:J,ROW()+9))</f>
        <v>Cars stand by</v>
      </c>
      <c r="D45" s="74" t="str">
        <f>IFERROR(IF(A45="","",'Event Info'!$B$2),"")</f>
        <v>Melbourne</v>
      </c>
      <c r="E45" cm="1">
        <f t="array" ref="E45">IF(INDEX('Test schedule'!B:B,ROW()+9)="START",E44+1,E44+0)</f>
        <v>2</v>
      </c>
      <c r="F45" s="82" t="str">
        <f>IF(A45&lt;&gt;"",_xlfn.CONCAT(TEXT(A45,"yyyy-mm-dd"),"T",TEXT(A45,"hh:mm:ss"),'Event Info'!$B$5,",",," ",C45),"")</f>
        <v>2026-03-08T18:00:0011, Cars stand by</v>
      </c>
      <c r="G45">
        <f t="shared" si="0"/>
        <v>37</v>
      </c>
      <c r="H45" s="92" t="str">
        <f t="shared" si="1"/>
        <v>2026-03-09T11:05:0011, Session Fuel in</v>
      </c>
      <c r="I45" s="88">
        <v>0</v>
      </c>
    </row>
    <row r="46" spans="1:9" ht="16.899999999999999">
      <c r="A46" s="76" cm="1">
        <f t="array" ref="A4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Calculators'!$B$2+E46)</f>
        <v>46089.760416666664</v>
      </c>
      <c r="B46" s="76" cm="1">
        <f t="array" ref="B46">IF(OR(A46=""),"",IF(INDEX('Test schedule'!E:E,ROW()+9)="",IF(A47="",A46+$Q$10,A47),INDEX('Test schedule'!E:E,ROW()+9)+'Date Calculators'!$B$2+E46))</f>
        <v>46089.770833333336</v>
      </c>
      <c r="C46" s="74" t="str" cm="1">
        <f t="array" ref="C46">IF(A46="","",INDEX('Test schedule'!J:J,ROW()+9))</f>
        <v>Drivers ready in car</v>
      </c>
      <c r="D46" s="74" t="str">
        <f>IFERROR(IF(A46="","",'Event Info'!$B$2),"")</f>
        <v>Melbourne</v>
      </c>
      <c r="E46" cm="1">
        <f t="array" ref="E46">IF(INDEX('Test schedule'!B:B,ROW()+9)="START",E45+1,E45+0)</f>
        <v>2</v>
      </c>
      <c r="F46" s="82" t="str">
        <f>IF(A46&lt;&gt;"",_xlfn.CONCAT(TEXT(A46,"yyyy-mm-dd"),"T",TEXT(A46,"hh:mm:ss"),'Event Info'!$B$5,",",," ",C46),"")</f>
        <v>2026-03-08T18:15:0011, Drivers ready in car</v>
      </c>
      <c r="G46">
        <f t="shared" si="0"/>
        <v>38</v>
      </c>
      <c r="H46" s="92" t="str">
        <f t="shared" si="1"/>
        <v>2026-03-09T11:10:0011, Set Tyre Pres.</v>
      </c>
      <c r="I46" s="91">
        <v>0</v>
      </c>
    </row>
    <row r="47" spans="1:9">
      <c r="A47" s="76" cm="1">
        <f t="array" ref="A4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Calculators'!$B$2+E47)</f>
        <v>46089.770833333336</v>
      </c>
      <c r="B47" s="76" cm="1">
        <f t="array" ref="B47">IF(OR(A47=""),"",IF(INDEX('Test schedule'!E:E,ROW()+9)="",IF(A48="",A47+$Q$10,A48),INDEX('Test schedule'!E:E,ROW()+9)+'Date Calculators'!$B$2+E47))</f>
        <v>46089.875</v>
      </c>
      <c r="C47" s="74" t="str" cm="1">
        <f t="array" ref="C47">IF(A47="","",INDEX('Test schedule'!J:J,ROW()+9))</f>
        <v>Session 2</v>
      </c>
      <c r="D47" s="74" t="str">
        <f>IFERROR(IF(A47="","",'Event Info'!$B$2),"")</f>
        <v>Melbourne</v>
      </c>
      <c r="E47" cm="1">
        <f t="array" ref="E47">IF(INDEX('Test schedule'!B:B,ROW()+9)="START",E46+1,E46+0)</f>
        <v>2</v>
      </c>
      <c r="F47" s="82" t="str">
        <f>IF(A47&lt;&gt;"",_xlfn.CONCAT(TEXT(A47,"yyyy-mm-dd"),"T",TEXT(A47,"hh:mm:ss"),'Event Info'!$B$5,",",," ",C47),"")</f>
        <v>2026-03-08T18:30:0011, Session 2</v>
      </c>
      <c r="G47">
        <f t="shared" si="0"/>
        <v>39</v>
      </c>
      <c r="H47" s="92" t="str">
        <f t="shared" si="1"/>
        <v xml:space="preserve">2026-03-09T11:25:0011, Drivers PM    </v>
      </c>
      <c r="I47" s="88">
        <v>0</v>
      </c>
    </row>
    <row r="48" spans="1:9">
      <c r="A48" s="76" cm="1">
        <f t="array" ref="A4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Calculators'!$B$2+E48)</f>
        <v>46089.878472222219</v>
      </c>
      <c r="B48" s="76" cm="1">
        <f t="array" ref="B48">IF(OR(A48=""),"",IF(INDEX('Test schedule'!E:E,ROW()+9)="",IF(A49="",A48+$Q$10,A49),INDEX('Test schedule'!E:E,ROW()+9)+'Date Calculators'!$B$2+E48))</f>
        <v>46089.958333333336</v>
      </c>
      <c r="C48" s="74" t="str" cm="1">
        <f t="array" ref="C48">IF(A48="","",INDEX('Test schedule'!J:J,ROW()+9))</f>
        <v>DB Session 3</v>
      </c>
      <c r="D48" s="74" t="str">
        <f>IFERROR(IF(A48="","",'Event Info'!$B$2),"")</f>
        <v>Melbourne</v>
      </c>
      <c r="E48" cm="1">
        <f t="array" ref="E48">IF(INDEX('Test schedule'!B:B,ROW()+9)="START",E47+1,E47+0)</f>
        <v>2</v>
      </c>
      <c r="F48" s="82" t="str">
        <f>IF(A48&lt;&gt;"",_xlfn.CONCAT(TEXT(A48,"yyyy-mm-dd"),"T",TEXT(A48,"hh:mm:ss"),'Event Info'!$B$5,",",," ",C48),"")</f>
        <v>2026-03-08T21:05:0011, DB Session 3</v>
      </c>
      <c r="G48">
        <f t="shared" si="0"/>
        <v>40</v>
      </c>
      <c r="H48" s="92" t="str">
        <f t="shared" si="1"/>
        <v>2026-03-09T11:30:0011, Pirelli parc ferme open</v>
      </c>
      <c r="I48" s="88">
        <v>0</v>
      </c>
    </row>
    <row r="49" spans="1:9" ht="16.899999999999999">
      <c r="A49" s="76" cm="1">
        <f t="array" ref="A4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Calculators'!$B$2+E49)</f>
        <v>46089.958333333336</v>
      </c>
      <c r="B49" s="76" cm="1">
        <f t="array" ref="B49">IF(OR(A49=""),"",IF(INDEX('Test schedule'!E:E,ROW()+9)="",IF(A50="",A49+$Q$10,A50),INDEX('Test schedule'!E:E,ROW()+9)+'Date Calculators'!$B$2+E49))</f>
        <v>46089.958333333336</v>
      </c>
      <c r="C49" s="74" t="str" cm="1">
        <f t="array" ref="C49">IF(A49="","",INDEX('Test schedule'!J:J,ROW()+9))</f>
        <v>ASAP return all tyres to pirelli Parc Fermé</v>
      </c>
      <c r="D49" s="74" t="str">
        <f>IFERROR(IF(A49="","",'Event Info'!$B$2),"")</f>
        <v>Melbourne</v>
      </c>
      <c r="E49" cm="1">
        <f t="array" ref="E49">IF(INDEX('Test schedule'!B:B,ROW()+9)="START",E48+1,E48+0)</f>
        <v>2</v>
      </c>
      <c r="F49" s="82" t="str">
        <f>IF(A49&lt;&gt;"",_xlfn.CONCAT(TEXT(A49,"yyyy-mm-dd"),"T",TEXT(A49,"hh:mm:ss"),'Event Info'!$B$5,",",," ",C49),"")</f>
        <v>2026-03-08T23:00:0011, ASAP return all tyres to pirelli Parc Fermé</v>
      </c>
      <c r="G49">
        <f t="shared" si="0"/>
        <v>41</v>
      </c>
      <c r="H49" s="92" t="str">
        <f t="shared" si="1"/>
        <v>2026-03-09T11:30:0011, Lunch</v>
      </c>
      <c r="I49" s="91">
        <v>0</v>
      </c>
    </row>
    <row r="50" spans="1:9">
      <c r="A50" s="76" t="str" cm="1">
        <f t="array" ref="A5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Calculators'!$B$2+E50)</f>
        <v/>
      </c>
      <c r="B50" s="76" t="str" cm="1">
        <f t="array" ref="B50">IF(OR(A50=""),"",IF(INDEX('Test schedule'!E:E,ROW()+9)="",IF(A51="",A50+$Q$10,A51),INDEX('Test schedule'!E:E,ROW()+9)+'Date Calculators'!$B$2+E50))</f>
        <v/>
      </c>
      <c r="C50" s="74" t="str" cm="1">
        <f t="array" ref="C50">IF(A50="","",INDEX('Test schedule'!J:J,ROW()+9))</f>
        <v/>
      </c>
      <c r="D50" s="74" t="str">
        <f>IFERROR(IF(A50="","",'Event Info'!$B$2),"")</f>
        <v/>
      </c>
      <c r="E50" cm="1">
        <f t="array" ref="E50">IF(INDEX('Test schedule'!B:B,ROW()+9)="START",E49+1,E49+0)</f>
        <v>2</v>
      </c>
      <c r="F50" s="82" t="str">
        <f>IF(A50&lt;&gt;"",_xlfn.CONCAT(TEXT(A50,"yyyy-mm-dd"),"T",TEXT(A50,"hh:mm:ss"),'Event Info'!$B$5,",",," ",C50),"")</f>
        <v/>
      </c>
      <c r="G50">
        <f t="shared" si="0"/>
        <v>41</v>
      </c>
      <c r="H50" s="92" t="str">
        <f t="shared" si="1"/>
        <v>2026-03-09T12:00:0011, Last Fire Up (Car on the Ground)</v>
      </c>
      <c r="I50" s="88">
        <v>0</v>
      </c>
    </row>
    <row r="51" spans="1:9">
      <c r="A51" s="76" t="str" cm="1">
        <f t="array" ref="A5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Calculators'!$B$2+E51)</f>
        <v/>
      </c>
      <c r="B51" s="76" t="str" cm="1">
        <f t="array" ref="B51">IF(OR(A51=""),"",IF(INDEX('Test schedule'!E:E,ROW()+9)="",IF(A52="",A51+$Q$10,A52),INDEX('Test schedule'!E:E,ROW()+9)+'Date Calculators'!$B$2+E51))</f>
        <v/>
      </c>
      <c r="C51" s="74" t="str" cm="1">
        <f t="array" ref="C51">IF(A51="","",INDEX('Test schedule'!J:J,ROW()+9))</f>
        <v/>
      </c>
      <c r="D51" s="74" t="str">
        <f>IFERROR(IF(A51="","",'Event Info'!$B$2),"")</f>
        <v/>
      </c>
      <c r="E51" cm="1">
        <f t="array" ref="E51">IF(INDEX('Test schedule'!B:B,ROW()+9)="START",E50+1,E50+0)</f>
        <v>3</v>
      </c>
      <c r="F51" s="82" t="str">
        <f>IF(A51&lt;&gt;"",_xlfn.CONCAT(TEXT(A51,"yyyy-mm-dd"),"T",TEXT(A51,"hh:mm:ss"),'Event Info'!$B$5,",",," ",C51),"")</f>
        <v/>
      </c>
      <c r="G51">
        <f t="shared" si="0"/>
        <v>41</v>
      </c>
      <c r="H51" s="92" t="str">
        <f t="shared" si="1"/>
        <v>2026-03-09T12:00:0011, Cars stand by</v>
      </c>
      <c r="I51" s="88">
        <v>0</v>
      </c>
    </row>
    <row r="52" spans="1:9" ht="16.899999999999999">
      <c r="A52" s="76" cm="1">
        <f t="array" ref="A5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Calculators'!$B$2+E52)</f>
        <v>46090.451388888891</v>
      </c>
      <c r="B52" s="76" cm="1">
        <f t="array" ref="B52">IF(OR(A52=""),"",IF(INDEX('Test schedule'!E:E,ROW()+9)="",IF(A53="",A52+$Q$10,A53),INDEX('Test schedule'!E:E,ROW()+9)+'Date Calculators'!$B$2+E52))</f>
        <v>46090.458333333336</v>
      </c>
      <c r="C52" s="74" t="str" cm="1">
        <f t="array" ref="C52">IF(A52="","",INDEX('Test schedule'!J:J,ROW()+9))</f>
        <v>Engine Warm-up</v>
      </c>
      <c r="D52" s="74" t="str">
        <f>IFERROR(IF(A52="","",'Event Info'!$B$2),"")</f>
        <v>Melbourne</v>
      </c>
      <c r="E52" cm="1">
        <f t="array" ref="E52">IF(INDEX('Test schedule'!B:B,ROW()+9)="START",E51+1,E51+0)</f>
        <v>3</v>
      </c>
      <c r="F52" s="82" t="str">
        <f>IF(A52&lt;&gt;"",_xlfn.CONCAT(TEXT(A52,"yyyy-mm-dd"),"T",TEXT(A52,"hh:mm:ss"),'Event Info'!$B$5,",",," ",C52),"")</f>
        <v>2026-03-09T10:50:0011, Engine Warm-up</v>
      </c>
      <c r="G52">
        <f t="shared" si="0"/>
        <v>42</v>
      </c>
      <c r="H52" s="92" t="str">
        <f t="shared" si="1"/>
        <v>2026-03-09T12:15:0011, Drivers ready in car</v>
      </c>
      <c r="I52" s="91">
        <v>0</v>
      </c>
    </row>
    <row r="53" spans="1:9">
      <c r="A53" s="76" cm="1">
        <f t="array" ref="A5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Calculators'!$B$2+E53)</f>
        <v>46090.458333333336</v>
      </c>
      <c r="B53" s="76" cm="1">
        <f t="array" ref="B53">IF(OR(A53=""),"",IF(INDEX('Test schedule'!E:E,ROW()+9)="",IF(A54="",A53+$Q$10,A54),INDEX('Test schedule'!E:E,ROW()+9)+'Date Calculators'!$B$2+E53))</f>
        <v>46090.461805555555</v>
      </c>
      <c r="C53" s="74" t="str" cm="1">
        <f t="array" ref="C53">IF(A53="","",INDEX('Test schedule'!J:J,ROW()+9))</f>
        <v>Driver Arrival Circuit</v>
      </c>
      <c r="D53" s="74" t="str">
        <f>IFERROR(IF(A53="","",'Event Info'!$B$2),"")</f>
        <v>Melbourne</v>
      </c>
      <c r="E53" cm="1">
        <f t="array" ref="E53">IF(INDEX('Test schedule'!B:B,ROW()+9)="START",E52+1,E52+0)</f>
        <v>3</v>
      </c>
      <c r="F53" s="82" t="str">
        <f>IF(A53&lt;&gt;"",_xlfn.CONCAT(TEXT(A53,"yyyy-mm-dd"),"T",TEXT(A53,"hh:mm:ss"),'Event Info'!$B$5,",",," ",C53),"")</f>
        <v>2026-03-09T11:00:0011, Driver Arrival Circuit</v>
      </c>
      <c r="G53">
        <f t="shared" si="0"/>
        <v>43</v>
      </c>
      <c r="H53" s="92" t="str">
        <f t="shared" si="1"/>
        <v>2026-03-09T12:30:0011, Session 3</v>
      </c>
      <c r="I53" s="88">
        <v>0</v>
      </c>
    </row>
    <row r="54" spans="1:9">
      <c r="A54" s="76" cm="1">
        <f t="array" ref="A5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Calculators'!$B$2+E54)</f>
        <v>46090.461805555555</v>
      </c>
      <c r="B54" s="76" cm="1">
        <f t="array" ref="B54">IF(OR(A54=""),"",IF(INDEX('Test schedule'!E:E,ROW()+9)="",IF(A55="",A54+$Q$10,A55),INDEX('Test schedule'!E:E,ROW()+9)+'Date Calculators'!$B$2+E54))</f>
        <v>46090.465277777781</v>
      </c>
      <c r="C54" s="74" t="str" cm="1">
        <f t="array" ref="C54">IF(A54="","",INDEX('Test schedule'!J:J,ROW()+9))</f>
        <v>Session Fuel in</v>
      </c>
      <c r="D54" s="74" t="str">
        <f>IFERROR(IF(A54="","",'Event Info'!$B$2),"")</f>
        <v>Melbourne</v>
      </c>
      <c r="E54" cm="1">
        <f t="array" ref="E54">IF(INDEX('Test schedule'!B:B,ROW()+9)="START",E53+1,E53+0)</f>
        <v>3</v>
      </c>
      <c r="F54" s="82" t="str">
        <f>IF(A54&lt;&gt;"",_xlfn.CONCAT(TEXT(A54,"yyyy-mm-dd"),"T",TEXT(A54,"hh:mm:ss"),'Event Info'!$B$5,",",," ",C54),"")</f>
        <v>2026-03-09T11:05:0011, Session Fuel in</v>
      </c>
      <c r="G54">
        <f t="shared" si="0"/>
        <v>44</v>
      </c>
      <c r="H54" s="92" t="str">
        <f t="shared" si="1"/>
        <v>2026-03-09T15:05:0011, DB Session 3</v>
      </c>
      <c r="I54" s="88">
        <v>0</v>
      </c>
    </row>
    <row r="55" spans="1:9" ht="16.899999999999999">
      <c r="A55" s="76" cm="1">
        <f t="array" ref="A5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Calculators'!$B$2+E55)</f>
        <v>46090.465277777781</v>
      </c>
      <c r="B55" s="76" cm="1">
        <f t="array" ref="B55">IF(OR(A55=""),"",IF(INDEX('Test schedule'!E:E,ROW()+9)="",IF(A56="",A55+$Q$10,A56),INDEX('Test schedule'!E:E,ROW()+9)+'Date Calculators'!$B$2+E55))</f>
        <v>46090.475694444445</v>
      </c>
      <c r="C55" s="74" t="str" cm="1">
        <f t="array" ref="C55">IF(A55="","",INDEX('Test schedule'!J:J,ROW()+9))</f>
        <v>Set Tyre Pres.</v>
      </c>
      <c r="D55" s="74" t="str">
        <f>IFERROR(IF(A55="","",'Event Info'!$B$2),"")</f>
        <v>Melbourne</v>
      </c>
      <c r="E55" cm="1">
        <f t="array" ref="E55">IF(INDEX('Test schedule'!B:B,ROW()+9)="START",E54+1,E54+0)</f>
        <v>3</v>
      </c>
      <c r="F55" s="82" t="str">
        <f>IF(A55&lt;&gt;"",_xlfn.CONCAT(TEXT(A55,"yyyy-mm-dd"),"T",TEXT(A55,"hh:mm:ss"),'Event Info'!$B$5,",",," ",C55),"")</f>
        <v>2026-03-09T11:10:0011, Set Tyre Pres.</v>
      </c>
      <c r="G55">
        <f t="shared" si="0"/>
        <v>45</v>
      </c>
      <c r="H55" s="92" t="str">
        <f t="shared" si="1"/>
        <v>2026-03-09T16:50:0011, Engine Fire-Up</v>
      </c>
      <c r="I55" s="91">
        <v>0</v>
      </c>
    </row>
    <row r="56" spans="1:9">
      <c r="A56" s="76" cm="1">
        <f t="array" ref="A5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Calculators'!$B$2+E56)</f>
        <v>46090.475694444445</v>
      </c>
      <c r="B56" s="76" cm="1">
        <f t="array" ref="B56">IF(OR(A56=""),"",IF(INDEX('Test schedule'!E:E,ROW()+9)="",IF(A57="",A56+$Q$10,A57),INDEX('Test schedule'!E:E,ROW()+9)+'Date Calculators'!$B$2+E56))</f>
        <v>46090.479166666664</v>
      </c>
      <c r="C56" s="74" t="str" cm="1">
        <f t="array" ref="C56">IF(A56="","",INDEX('Test schedule'!J:J,ROW()+9))</f>
        <v xml:space="preserve">Drivers PM    </v>
      </c>
      <c r="D56" s="74" t="str">
        <f>IFERROR(IF(A56="","",'Event Info'!$B$2),"")</f>
        <v>Melbourne</v>
      </c>
      <c r="E56" cm="1">
        <f t="array" ref="E56">IF(INDEX('Test schedule'!B:B,ROW()+9)="START",E55+1,E55+0)</f>
        <v>3</v>
      </c>
      <c r="F56" s="82" t="str">
        <f>IF(A56&lt;&gt;"",_xlfn.CONCAT(TEXT(A56,"yyyy-mm-dd"),"T",TEXT(A56,"hh:mm:ss"),'Event Info'!$B$5,",",," ",C56),"")</f>
        <v xml:space="preserve">2026-03-09T11:25:0011, Drivers PM    </v>
      </c>
      <c r="G56">
        <f t="shared" si="0"/>
        <v>46</v>
      </c>
      <c r="H56" s="92" t="str">
        <f t="shared" si="1"/>
        <v>2026-03-09T17:05:0011, Session Fuel in</v>
      </c>
      <c r="I56" s="88">
        <v>0</v>
      </c>
    </row>
    <row r="57" spans="1:9">
      <c r="A57" s="76" cm="1">
        <f t="array" ref="A5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Calculators'!$B$2+E57)</f>
        <v>46090.479166666664</v>
      </c>
      <c r="B57" s="76" cm="1">
        <f t="array" ref="B57">IF(OR(A57=""),"",IF(INDEX('Test schedule'!E:E,ROW()+9)="",IF(A58="",A57+$Q$10,A58),INDEX('Test schedule'!E:E,ROW()+9)+'Date Calculators'!$B$2+E57))</f>
        <v>46090.479166666664</v>
      </c>
      <c r="C57" s="74" t="str" cm="1">
        <f t="array" ref="C57">IF(A57="","",INDEX('Test schedule'!J:J,ROW()+9))</f>
        <v>Pirelli parc ferme open</v>
      </c>
      <c r="D57" s="74" t="str">
        <f>IFERROR(IF(A57="","",'Event Info'!$B$2),"")</f>
        <v>Melbourne</v>
      </c>
      <c r="E57" cm="1">
        <f t="array" ref="E57">IF(INDEX('Test schedule'!B:B,ROW()+9)="START",E56+1,E56+0)</f>
        <v>3</v>
      </c>
      <c r="F57" s="82" t="str">
        <f>IF(A57&lt;&gt;"",_xlfn.CONCAT(TEXT(A57,"yyyy-mm-dd"),"T",TEXT(A57,"hh:mm:ss"),'Event Info'!$B$5,",",," ",C57),"")</f>
        <v>2026-03-09T11:30:0011, Pirelli parc ferme open</v>
      </c>
      <c r="G57">
        <f t="shared" si="0"/>
        <v>47</v>
      </c>
      <c r="H57" s="92" t="str">
        <f t="shared" si="1"/>
        <v>2026-03-09T17:10:0011, Set Tyre Pres.</v>
      </c>
      <c r="I57" s="88">
        <v>0</v>
      </c>
    </row>
    <row r="58" spans="1:9" ht="16.899999999999999">
      <c r="A58" s="76" cm="1">
        <f t="array" ref="A5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Calculators'!$B$2+E58)</f>
        <v>46090.479166666664</v>
      </c>
      <c r="B58" s="76" cm="1">
        <f t="array" ref="B58">IF(OR(A58=""),"",IF(INDEX('Test schedule'!E:E,ROW()+9)="",IF(A59="",A58+$Q$10,A59),INDEX('Test schedule'!E:E,ROW()+9)+'Date Calculators'!$B$2+E58))</f>
        <v>46090.645833333336</v>
      </c>
      <c r="C58" s="74" t="str" cm="1">
        <f t="array" ref="C58">IF(A58="","",INDEX('Test schedule'!J:J,ROW()+9))</f>
        <v>Lunch</v>
      </c>
      <c r="D58" s="74" t="str">
        <f>IFERROR(IF(A58="","",'Event Info'!$B$2),"")</f>
        <v>Melbourne</v>
      </c>
      <c r="E58" cm="1">
        <f t="array" ref="E58">IF(INDEX('Test schedule'!B:B,ROW()+9)="START",E57+1,E57+0)</f>
        <v>3</v>
      </c>
      <c r="F58" s="82" t="str">
        <f>IF(A58&lt;&gt;"",_xlfn.CONCAT(TEXT(A58,"yyyy-mm-dd"),"T",TEXT(A58,"hh:mm:ss"),'Event Info'!$B$5,",",," ",C58),"")</f>
        <v>2026-03-09T11:30:0011, Lunch</v>
      </c>
      <c r="G58">
        <f t="shared" si="0"/>
        <v>48</v>
      </c>
      <c r="H58" s="92" t="str">
        <f t="shared" si="1"/>
        <v xml:space="preserve">2026-03-09T17:25:0011, Drivers PM    </v>
      </c>
      <c r="I58" s="91">
        <v>0</v>
      </c>
    </row>
    <row r="59" spans="1:9">
      <c r="A59" s="76" cm="1">
        <f t="array" ref="A5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Calculators'!$B$2+E59)</f>
        <v>46090.5</v>
      </c>
      <c r="B59" s="76" cm="1">
        <f t="array" ref="B59">IF(OR(A59=""),"",IF(INDEX('Test schedule'!E:E,ROW()+9)="",IF(A60="",A59+$Q$10,A60),INDEX('Test schedule'!E:E,ROW()+9)+'Date Calculators'!$B$2+E59))</f>
        <v>46090.5</v>
      </c>
      <c r="C59" s="74" t="str" cm="1">
        <f t="array" ref="C59">IF(A59="","",INDEX('Test schedule'!J:J,ROW()+9))</f>
        <v>Last Fire Up (Car on the Ground)</v>
      </c>
      <c r="D59" s="74" t="str">
        <f>IFERROR(IF(A59="","",'Event Info'!$B$2),"")</f>
        <v>Melbourne</v>
      </c>
      <c r="E59" cm="1">
        <f t="array" ref="E59">IF(INDEX('Test schedule'!B:B,ROW()+9)="START",E58+1,E58+0)</f>
        <v>3</v>
      </c>
      <c r="F59" s="82" t="str">
        <f>IF(A59&lt;&gt;"",_xlfn.CONCAT(TEXT(A59,"yyyy-mm-dd"),"T",TEXT(A59,"hh:mm:ss"),'Event Info'!$B$5,",",," ",C59),"")</f>
        <v>2026-03-09T12:00:0011, Last Fire Up (Car on the Ground)</v>
      </c>
      <c r="G59">
        <f t="shared" si="0"/>
        <v>49</v>
      </c>
      <c r="H59" s="92" t="str">
        <f t="shared" si="1"/>
        <v>2026-03-09T18:00:0011, Last Fire Up (Car on the Ground)</v>
      </c>
      <c r="I59" s="88">
        <v>0</v>
      </c>
    </row>
    <row r="60" spans="1:9">
      <c r="A60" s="76" cm="1">
        <f t="array" ref="A6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Calculators'!$B$2+E60)</f>
        <v>46090.5</v>
      </c>
      <c r="B60" s="76" cm="1">
        <f t="array" ref="B60">IF(OR(A60=""),"",IF(INDEX('Test schedule'!E:E,ROW()+9)="",IF(A61="",A60+$Q$10,A61),INDEX('Test schedule'!E:E,ROW()+9)+'Date Calculators'!$B$2+E60))</f>
        <v>46090.510416666664</v>
      </c>
      <c r="C60" s="74" t="str" cm="1">
        <f t="array" ref="C60">IF(A60="","",INDEX('Test schedule'!J:J,ROW()+9))</f>
        <v>Cars stand by</v>
      </c>
      <c r="D60" s="74" t="str">
        <f>IFERROR(IF(A60="","",'Event Info'!$B$2),"")</f>
        <v>Melbourne</v>
      </c>
      <c r="E60" cm="1">
        <f t="array" ref="E60">IF(INDEX('Test schedule'!B:B,ROW()+9)="START",E59+1,E59+0)</f>
        <v>3</v>
      </c>
      <c r="F60" s="82" t="str">
        <f>IF(A60&lt;&gt;"",_xlfn.CONCAT(TEXT(A60,"yyyy-mm-dd"),"T",TEXT(A60,"hh:mm:ss"),'Event Info'!$B$5,",",," ",C60),"")</f>
        <v>2026-03-09T12:00:0011, Cars stand by</v>
      </c>
      <c r="G60">
        <f t="shared" si="0"/>
        <v>50</v>
      </c>
      <c r="H60" s="92" t="str">
        <f t="shared" si="1"/>
        <v>2026-03-09T18:00:0011, Cars stand by</v>
      </c>
      <c r="I60" s="88">
        <v>0</v>
      </c>
    </row>
    <row r="61" spans="1:9" ht="16.899999999999999">
      <c r="A61" s="76" cm="1">
        <f t="array" ref="A6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Calculators'!$B$2+E61)</f>
        <v>46090.510416666664</v>
      </c>
      <c r="B61" s="76" cm="1">
        <f t="array" ref="B61">IF(OR(A61=""),"",IF(INDEX('Test schedule'!E:E,ROW()+9)="",IF(A62="",A61+$Q$10,A62),INDEX('Test schedule'!E:E,ROW()+9)+'Date Calculators'!$B$2+E61))</f>
        <v>46090.520833333336</v>
      </c>
      <c r="C61" s="74" t="str" cm="1">
        <f t="array" ref="C61">IF(A61="","",INDEX('Test schedule'!J:J,ROW()+9))</f>
        <v>Drivers ready in car</v>
      </c>
      <c r="D61" s="74" t="str">
        <f>IFERROR(IF(A61="","",'Event Info'!$B$2),"")</f>
        <v>Melbourne</v>
      </c>
      <c r="E61" cm="1">
        <f t="array" ref="E61">IF(INDEX('Test schedule'!B:B,ROW()+9)="START",E60+1,E60+0)</f>
        <v>3</v>
      </c>
      <c r="F61" s="82" t="str">
        <f>IF(A61&lt;&gt;"",_xlfn.CONCAT(TEXT(A61,"yyyy-mm-dd"),"T",TEXT(A61,"hh:mm:ss"),'Event Info'!$B$5,",",," ",C61),"")</f>
        <v>2026-03-09T12:15:0011, Drivers ready in car</v>
      </c>
      <c r="G61">
        <f t="shared" si="0"/>
        <v>51</v>
      </c>
      <c r="H61" s="92" t="str">
        <f t="shared" si="1"/>
        <v>2026-03-09T18:15:0011, Drivers ready in car</v>
      </c>
      <c r="I61" s="91">
        <v>0</v>
      </c>
    </row>
    <row r="62" spans="1:9">
      <c r="A62" s="76" cm="1">
        <f t="array" ref="A6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Calculators'!$B$2+E62)</f>
        <v>46090.520833333336</v>
      </c>
      <c r="B62" s="76" cm="1">
        <f t="array" ref="B62">IF(OR(A62=""),"",IF(INDEX('Test schedule'!E:E,ROW()+9)="",IF(A63="",A62+$Q$10,A63),INDEX('Test schedule'!E:E,ROW()+9)+'Date Calculators'!$B$2+E62))</f>
        <v>46090.625</v>
      </c>
      <c r="C62" s="74" t="str" cm="1">
        <f t="array" ref="C62">IF(A62="","",INDEX('Test schedule'!J:J,ROW()+9))</f>
        <v>Session 3</v>
      </c>
      <c r="D62" s="74" t="str">
        <f>IFERROR(IF(A62="","",'Event Info'!$B$2),"")</f>
        <v>Melbourne</v>
      </c>
      <c r="E62" cm="1">
        <f t="array" ref="E62">IF(INDEX('Test schedule'!B:B,ROW()+9)="START",E61+1,E61+0)</f>
        <v>3</v>
      </c>
      <c r="F62" s="82" t="str">
        <f>IF(A62&lt;&gt;"",_xlfn.CONCAT(TEXT(A62,"yyyy-mm-dd"),"T",TEXT(A62,"hh:mm:ss"),'Event Info'!$B$5,",",," ",C62),"")</f>
        <v>2026-03-09T12:30:0011, Session 3</v>
      </c>
      <c r="G62">
        <f t="shared" si="0"/>
        <v>52</v>
      </c>
      <c r="H62" s="92" t="str">
        <f t="shared" si="1"/>
        <v>2026-03-09T18:30:0011, Session 4</v>
      </c>
      <c r="I62" s="88">
        <v>0</v>
      </c>
    </row>
    <row r="63" spans="1:9">
      <c r="A63" s="76" cm="1">
        <f t="array" ref="A6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Calculators'!$B$2+E63)</f>
        <v>46090.628472222219</v>
      </c>
      <c r="B63" s="76" cm="1">
        <f t="array" ref="B63">IF(OR(A63=""),"",IF(INDEX('Test schedule'!E:E,ROW()+9)="",IF(A64="",A63+$Q$10,A64),INDEX('Test schedule'!E:E,ROW()+9)+'Date Calculators'!$B$2+E63))</f>
        <v>46090.701388888891</v>
      </c>
      <c r="C63" s="74" t="str" cm="1">
        <f t="array" ref="C63">IF(A63="","",INDEX('Test schedule'!J:J,ROW()+9))</f>
        <v>DB Session 3</v>
      </c>
      <c r="D63" s="74" t="str">
        <f>IFERROR(IF(A63="","",'Event Info'!$B$2),"")</f>
        <v>Melbourne</v>
      </c>
      <c r="E63" cm="1">
        <f t="array" ref="E63">IF(INDEX('Test schedule'!B:B,ROW()+9)="START",E62+1,E62+0)</f>
        <v>3</v>
      </c>
      <c r="F63" s="82" t="str">
        <f>IF(A63&lt;&gt;"",_xlfn.CONCAT(TEXT(A63,"yyyy-mm-dd"),"T",TEXT(A63,"hh:mm:ss"),'Event Info'!$B$5,",",," ",C63),"")</f>
        <v>2026-03-09T15:05:0011, DB Session 3</v>
      </c>
      <c r="G63">
        <f t="shared" si="0"/>
        <v>53</v>
      </c>
      <c r="H63" s="92" t="str">
        <f t="shared" si="1"/>
        <v>2026-03-09T21:05:0011, DB Session 4</v>
      </c>
      <c r="I63" s="88">
        <v>0</v>
      </c>
    </row>
    <row r="64" spans="1:9" ht="16.899999999999999">
      <c r="A64" s="76" cm="1">
        <f t="array" ref="A6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Calculators'!$B$2+E64)</f>
        <v>46090.701388888891</v>
      </c>
      <c r="B64" s="76" cm="1">
        <f t="array" ref="B64">IF(OR(A64=""),"",IF(INDEX('Test schedule'!E:E,ROW()+9)="",IF(A65="",A64+$Q$10,A65),INDEX('Test schedule'!E:E,ROW()+9)+'Date Calculators'!$B$2+E64))</f>
        <v>46090.704861111109</v>
      </c>
      <c r="C64" s="74" t="str" cm="1">
        <f t="array" ref="C64">IF(A64="","",INDEX('Test schedule'!J:J,ROW()+9))</f>
        <v>Engine Fire-Up</v>
      </c>
      <c r="D64" s="74" t="str">
        <f>IFERROR(IF(A64="","",'Event Info'!$B$2),"")</f>
        <v>Melbourne</v>
      </c>
      <c r="E64" cm="1">
        <f t="array" ref="E64">IF(INDEX('Test schedule'!B:B,ROW()+9)="START",E63+1,E63+0)</f>
        <v>3</v>
      </c>
      <c r="F64" s="82" t="str">
        <f>IF(A64&lt;&gt;"",_xlfn.CONCAT(TEXT(A64,"yyyy-mm-dd"),"T",TEXT(A64,"hh:mm:ss"),'Event Info'!$B$5,",",," ",C64),"")</f>
        <v>2026-03-09T16:50:0011, Engine Fire-Up</v>
      </c>
      <c r="G64">
        <f t="shared" si="0"/>
        <v>54</v>
      </c>
      <c r="H64" s="92" t="str">
        <f t="shared" si="1"/>
        <v>2026-03-09T23:00:0011, ASAP return all tyres to pirelli Parc Fermé</v>
      </c>
      <c r="I64" s="91">
        <v>0</v>
      </c>
    </row>
    <row r="65" spans="1:9">
      <c r="A65" s="76" cm="1">
        <f t="array" ref="A6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Calculators'!$B$2+E65)</f>
        <v>46090.711805555555</v>
      </c>
      <c r="B65" s="76" cm="1">
        <f t="array" ref="B65">IF(OR(A65=""),"",IF(INDEX('Test schedule'!E:E,ROW()+9)="",IF(A66="",A65+$Q$10,A66),INDEX('Test schedule'!E:E,ROW()+9)+'Date Calculators'!$B$2+E65))</f>
        <v>46090.715277777781</v>
      </c>
      <c r="C65" s="74" t="str" cm="1">
        <f t="array" ref="C65">IF(A65="","",INDEX('Test schedule'!J:J,ROW()+9))</f>
        <v>Session Fuel in</v>
      </c>
      <c r="D65" s="74" t="str">
        <f>IFERROR(IF(A65="","",'Event Info'!$B$2),"")</f>
        <v>Melbourne</v>
      </c>
      <c r="E65" cm="1">
        <f t="array" ref="E65">IF(INDEX('Test schedule'!B:B,ROW()+9)="START",E64+1,E64+0)</f>
        <v>3</v>
      </c>
      <c r="F65" s="82" t="str">
        <f>IF(A65&lt;&gt;"",_xlfn.CONCAT(TEXT(A65,"yyyy-mm-dd"),"T",TEXT(A65,"hh:mm:ss"),'Event Info'!$B$5,",",," ",C65),"")</f>
        <v>2026-03-09T17:05:0011, Session Fuel in</v>
      </c>
      <c r="G65">
        <f t="shared" si="0"/>
        <v>55</v>
      </c>
      <c r="H65" s="92" t="str">
        <f t="shared" si="1"/>
        <v>2026-03-10T10:50:0011, Engine Warm-up</v>
      </c>
      <c r="I65" s="88">
        <v>0</v>
      </c>
    </row>
    <row r="66" spans="1:9">
      <c r="A66" s="76" cm="1">
        <f t="array" ref="A6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Calculators'!$B$2+E66)</f>
        <v>46090.715277777781</v>
      </c>
      <c r="B66" s="76" cm="1">
        <f t="array" ref="B66">IF(OR(A66=""),"",IF(INDEX('Test schedule'!E:E,ROW()+9)="",IF(A67="",A66+$Q$10,A67),INDEX('Test schedule'!E:E,ROW()+9)+'Date Calculators'!$B$2+E66))</f>
        <v>46090.725694444445</v>
      </c>
      <c r="C66" s="74" t="str" cm="1">
        <f t="array" ref="C66">IF(A66="","",INDEX('Test schedule'!J:J,ROW()+9))</f>
        <v>Set Tyre Pres.</v>
      </c>
      <c r="D66" s="74" t="str">
        <f>IFERROR(IF(A66="","",'Event Info'!$B$2),"")</f>
        <v>Melbourne</v>
      </c>
      <c r="E66" cm="1">
        <f t="array" ref="E66">IF(INDEX('Test schedule'!B:B,ROW()+9)="START",E65+1,E65+0)</f>
        <v>3</v>
      </c>
      <c r="F66" s="82" t="str">
        <f>IF(A66&lt;&gt;"",_xlfn.CONCAT(TEXT(A66,"yyyy-mm-dd"),"T",TEXT(A66,"hh:mm:ss"),'Event Info'!$B$5,",",," ",C66),"")</f>
        <v>2026-03-09T17:10:0011, Set Tyre Pres.</v>
      </c>
      <c r="G66">
        <f t="shared" si="0"/>
        <v>56</v>
      </c>
      <c r="H66" s="92" t="str">
        <f t="shared" si="1"/>
        <v>2026-03-10T11:00:0011, Driver Arrival Circuit</v>
      </c>
      <c r="I66" s="88">
        <v>0</v>
      </c>
    </row>
    <row r="67" spans="1:9" ht="16.899999999999999">
      <c r="A67" s="76" cm="1">
        <f t="array" ref="A6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Calculators'!$B$2+E67)</f>
        <v>46090.725694444445</v>
      </c>
      <c r="B67" s="76" cm="1">
        <f t="array" ref="B67">IF(OR(A67=""),"",IF(INDEX('Test schedule'!E:E,ROW()+9)="",IF(A68="",A67+$Q$10,A68),INDEX('Test schedule'!E:E,ROW()+9)+'Date Calculators'!$B$2+E67))</f>
        <v>46090.725694444445</v>
      </c>
      <c r="C67" s="74" t="str" cm="1">
        <f t="array" ref="C67">IF(A67="","",INDEX('Test schedule'!J:J,ROW()+9))</f>
        <v xml:space="preserve">Drivers PM    </v>
      </c>
      <c r="D67" s="74" t="str">
        <f>IFERROR(IF(A67="","",'Event Info'!$B$2),"")</f>
        <v>Melbourne</v>
      </c>
      <c r="E67" cm="1">
        <f t="array" ref="E67">IF(INDEX('Test schedule'!B:B,ROW()+9)="START",E66+1,E66+0)</f>
        <v>3</v>
      </c>
      <c r="F67" s="82" t="str">
        <f>IF(A67&lt;&gt;"",_xlfn.CONCAT(TEXT(A67,"yyyy-mm-dd"),"T",TEXT(A67,"hh:mm:ss"),'Event Info'!$B$5,",",," ",C67),"")</f>
        <v xml:space="preserve">2026-03-09T17:25:0011, Drivers PM    </v>
      </c>
      <c r="G67">
        <f t="shared" ref="G67:G130" si="2">G66+IF(A67&lt;&gt;"",1,0)</f>
        <v>57</v>
      </c>
      <c r="H67" s="92" t="str">
        <f t="shared" si="1"/>
        <v>2026-03-10T11:05:0011, Session Fuel in</v>
      </c>
      <c r="I67" s="91">
        <v>0</v>
      </c>
    </row>
    <row r="68" spans="1:9">
      <c r="A68" s="76" t="str" cm="1">
        <f t="array" ref="A6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Calculators'!$B$2+E68)</f>
        <v/>
      </c>
      <c r="B68" s="76" t="str" cm="1">
        <f t="array" ref="B68">IF(OR(A68=""),"",IF(INDEX('Test schedule'!E:E,ROW()+9)="",IF(A69="",A68+$Q$10,A69),INDEX('Test schedule'!E:E,ROW()+9)+'Date Calculators'!$B$2+E68))</f>
        <v/>
      </c>
      <c r="C68" s="74" t="str" cm="1">
        <f t="array" ref="C68">IF(A68="","",INDEX('Test schedule'!J:J,ROW()+9))</f>
        <v/>
      </c>
      <c r="D68" s="74" t="str">
        <f>IFERROR(IF(A68="","",'Event Info'!$B$2),"")</f>
        <v/>
      </c>
      <c r="E68" cm="1">
        <f t="array" ref="E68">IF(INDEX('Test schedule'!B:B,ROW()+9)="START",E67+1,E67+0)</f>
        <v>3</v>
      </c>
      <c r="F68" s="82" t="str">
        <f>IF(A68&lt;&gt;"",_xlfn.CONCAT(TEXT(A68,"yyyy-mm-dd"),"T",TEXT(A68,"hh:mm:ss"),'Event Info'!$B$5,",",," ",C68),"")</f>
        <v/>
      </c>
      <c r="G68">
        <f t="shared" si="2"/>
        <v>57</v>
      </c>
      <c r="H68" s="92" t="str">
        <f t="shared" ref="H68:H131" si="3">IFERROR(INDEX($F$2:$F$500,MATCH(ROW()-1,$G$2:$G$500,0)),"")</f>
        <v>2026-03-10T11:10:0011, Set Tyre Pres.</v>
      </c>
      <c r="I68" s="88">
        <v>0</v>
      </c>
    </row>
    <row r="69" spans="1:9">
      <c r="A69" s="76" cm="1">
        <f t="array" ref="A6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Calculators'!$B$2+E69)</f>
        <v>46090.75</v>
      </c>
      <c r="B69" s="76" cm="1">
        <f t="array" ref="B69">IF(OR(A69=""),"",IF(INDEX('Test schedule'!E:E,ROW()+9)="",IF(A70="",A69+$Q$10,A70),INDEX('Test schedule'!E:E,ROW()+9)+'Date Calculators'!$B$2+E69))</f>
        <v>46090.75</v>
      </c>
      <c r="C69" s="74" t="str" cm="1">
        <f t="array" ref="C69">IF(A69="","",INDEX('Test schedule'!J:J,ROW()+9))</f>
        <v>Last Fire Up (Car on the Ground)</v>
      </c>
      <c r="D69" s="74" t="str">
        <f>IFERROR(IF(A69="","",'Event Info'!$B$2),"")</f>
        <v>Melbourne</v>
      </c>
      <c r="E69" cm="1">
        <f t="array" ref="E69">IF(INDEX('Test schedule'!B:B,ROW()+9)="START",E68+1,E68+0)</f>
        <v>3</v>
      </c>
      <c r="F69" s="82" t="str">
        <f>IF(A69&lt;&gt;"",_xlfn.CONCAT(TEXT(A69,"yyyy-mm-dd"),"T",TEXT(A69,"hh:mm:ss"),'Event Info'!$B$5,",",," ",C69),"")</f>
        <v>2026-03-09T18:00:0011, Last Fire Up (Car on the Ground)</v>
      </c>
      <c r="G69">
        <f t="shared" si="2"/>
        <v>58</v>
      </c>
      <c r="H69" s="92" t="str">
        <f t="shared" si="3"/>
        <v xml:space="preserve">2026-03-10T11:25:0011, Drivers PM    </v>
      </c>
      <c r="I69" s="88">
        <v>0</v>
      </c>
    </row>
    <row r="70" spans="1:9" ht="16.899999999999999">
      <c r="A70" s="76" cm="1">
        <f t="array" ref="A7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Calculators'!$B$2+E70)</f>
        <v>46090.75</v>
      </c>
      <c r="B70" s="76" cm="1">
        <f t="array" ref="B70">IF(OR(A70=""),"",IF(INDEX('Test schedule'!E:E,ROW()+9)="",IF(A71="",A70+$Q$10,A71),INDEX('Test schedule'!E:E,ROW()+9)+'Date Calculators'!$B$2+E70))</f>
        <v>46090.760416666664</v>
      </c>
      <c r="C70" s="74" t="str" cm="1">
        <f t="array" ref="C70">IF(A70="","",INDEX('Test schedule'!J:J,ROW()+9))</f>
        <v>Cars stand by</v>
      </c>
      <c r="D70" s="74" t="str">
        <f>IFERROR(IF(A70="","",'Event Info'!$B$2),"")</f>
        <v>Melbourne</v>
      </c>
      <c r="E70" cm="1">
        <f t="array" ref="E70">IF(INDEX('Test schedule'!B:B,ROW()+9)="START",E69+1,E69+0)</f>
        <v>3</v>
      </c>
      <c r="F70" s="82" t="str">
        <f>IF(A70&lt;&gt;"",_xlfn.CONCAT(TEXT(A70,"yyyy-mm-dd"),"T",TEXT(A70,"hh:mm:ss"),'Event Info'!$B$5,",",," ",C70),"")</f>
        <v>2026-03-09T18:00:0011, Cars stand by</v>
      </c>
      <c r="G70">
        <f t="shared" si="2"/>
        <v>59</v>
      </c>
      <c r="H70" s="92" t="str">
        <f t="shared" si="3"/>
        <v>2026-03-10T11:30:0011, Pirelli parc ferme open</v>
      </c>
      <c r="I70" s="91">
        <v>0</v>
      </c>
    </row>
    <row r="71" spans="1:9">
      <c r="A71" s="76" cm="1">
        <f t="array" ref="A7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Calculators'!$B$2+E71)</f>
        <v>46090.760416666664</v>
      </c>
      <c r="B71" s="76" cm="1">
        <f t="array" ref="B71">IF(OR(A71=""),"",IF(INDEX('Test schedule'!E:E,ROW()+9)="",IF(A72="",A71+$Q$10,A72),INDEX('Test schedule'!E:E,ROW()+9)+'Date Calculators'!$B$2+E71))</f>
        <v>46090.770833333336</v>
      </c>
      <c r="C71" s="74" t="str" cm="1">
        <f t="array" ref="C71">IF(A71="","",INDEX('Test schedule'!J:J,ROW()+9))</f>
        <v>Drivers ready in car</v>
      </c>
      <c r="D71" s="74" t="str">
        <f>IFERROR(IF(A71="","",'Event Info'!$B$2),"")</f>
        <v>Melbourne</v>
      </c>
      <c r="E71" cm="1">
        <f t="array" ref="E71">IF(INDEX('Test schedule'!B:B,ROW()+9)="START",E70+1,E70+0)</f>
        <v>3</v>
      </c>
      <c r="F71" s="82" t="str">
        <f>IF(A71&lt;&gt;"",_xlfn.CONCAT(TEXT(A71,"yyyy-mm-dd"),"T",TEXT(A71,"hh:mm:ss"),'Event Info'!$B$5,",",," ",C71),"")</f>
        <v>2026-03-09T18:15:0011, Drivers ready in car</v>
      </c>
      <c r="G71">
        <f t="shared" si="2"/>
        <v>60</v>
      </c>
      <c r="H71" s="92" t="str">
        <f t="shared" si="3"/>
        <v>2026-03-10T11:30:0011, Lunch</v>
      </c>
      <c r="I71" s="88">
        <v>0</v>
      </c>
    </row>
    <row r="72" spans="1:9">
      <c r="A72" s="76" cm="1">
        <f t="array" ref="A7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Calculators'!$B$2+E72)</f>
        <v>46090.770833333336</v>
      </c>
      <c r="B72" s="76" cm="1">
        <f t="array" ref="B72">IF(OR(A72=""),"",IF(INDEX('Test schedule'!E:E,ROW()+9)="",IF(A73="",A72+$Q$10,A73),INDEX('Test schedule'!E:E,ROW()+9)+'Date Calculators'!$B$2+E72))</f>
        <v>46090.875</v>
      </c>
      <c r="C72" s="74" t="str" cm="1">
        <f t="array" ref="C72">IF(A72="","",INDEX('Test schedule'!J:J,ROW()+9))</f>
        <v>Session 4</v>
      </c>
      <c r="D72" s="74" t="str">
        <f>IFERROR(IF(A72="","",'Event Info'!$B$2),"")</f>
        <v>Melbourne</v>
      </c>
      <c r="E72" cm="1">
        <f t="array" ref="E72">IF(INDEX('Test schedule'!B:B,ROW()+9)="START",E71+1,E71+0)</f>
        <v>3</v>
      </c>
      <c r="F72" s="82" t="str">
        <f>IF(A72&lt;&gt;"",_xlfn.CONCAT(TEXT(A72,"yyyy-mm-dd"),"T",TEXT(A72,"hh:mm:ss"),'Event Info'!$B$5,",",," ",C72),"")</f>
        <v>2026-03-09T18:30:0011, Session 4</v>
      </c>
      <c r="G72">
        <f t="shared" si="2"/>
        <v>61</v>
      </c>
      <c r="H72" s="92" t="str">
        <f t="shared" si="3"/>
        <v>2026-03-10T12:00:0011, Last Fire Up (Car on the Ground)</v>
      </c>
      <c r="I72" s="88">
        <v>0</v>
      </c>
    </row>
    <row r="73" spans="1:9" ht="16.899999999999999">
      <c r="A73" s="76" cm="1">
        <f t="array" ref="A7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Calculators'!$B$2+E73)</f>
        <v>46090.878472222219</v>
      </c>
      <c r="B73" s="76" cm="1">
        <f t="array" ref="B73">IF(OR(A73=""),"",IF(INDEX('Test schedule'!E:E,ROW()+9)="",IF(A74="",A73+$Q$10,A74),INDEX('Test schedule'!E:E,ROW()+9)+'Date Calculators'!$B$2+E73))</f>
        <v>46090.958333333336</v>
      </c>
      <c r="C73" s="74" t="str" cm="1">
        <f t="array" ref="C73">IF(A73="","",INDEX('Test schedule'!J:J,ROW()+9))</f>
        <v>DB Session 4</v>
      </c>
      <c r="D73" s="74" t="str">
        <f>IFERROR(IF(A73="","",'Event Info'!$B$2),"")</f>
        <v>Melbourne</v>
      </c>
      <c r="E73" cm="1">
        <f t="array" ref="E73">IF(INDEX('Test schedule'!B:B,ROW()+9)="START",E72+1,E72+0)</f>
        <v>3</v>
      </c>
      <c r="F73" s="82" t="str">
        <f>IF(A73&lt;&gt;"",_xlfn.CONCAT(TEXT(A73,"yyyy-mm-dd"),"T",TEXT(A73,"hh:mm:ss"),'Event Info'!$B$5,",",," ",C73),"")</f>
        <v>2026-03-09T21:05:0011, DB Session 4</v>
      </c>
      <c r="G73">
        <f t="shared" si="2"/>
        <v>62</v>
      </c>
      <c r="H73" s="92" t="str">
        <f t="shared" si="3"/>
        <v>2026-03-10T12:00:0011, Cars stand by</v>
      </c>
      <c r="I73" s="91">
        <v>0</v>
      </c>
    </row>
    <row r="74" spans="1:9">
      <c r="A74" s="76" cm="1">
        <f t="array" ref="A7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Calculators'!$B$2+E74)</f>
        <v>46090.958333333336</v>
      </c>
      <c r="B74" s="76" cm="1">
        <f t="array" ref="B74">IF(OR(A74=""),"",IF(INDEX('Test schedule'!E:E,ROW()+9)="",IF(A75="",A74+$Q$10,A75),INDEX('Test schedule'!E:E,ROW()+9)+'Date Calculators'!$B$2+E74))</f>
        <v>46090.958333333336</v>
      </c>
      <c r="C74" s="74" t="str" cm="1">
        <f t="array" ref="C74">IF(A74="","",INDEX('Test schedule'!J:J,ROW()+9))</f>
        <v>ASAP return all tyres to pirelli Parc Fermé</v>
      </c>
      <c r="D74" s="74" t="str">
        <f>IFERROR(IF(A74="","",'Event Info'!$B$2),"")</f>
        <v>Melbourne</v>
      </c>
      <c r="E74" cm="1">
        <f t="array" ref="E74">IF(INDEX('Test schedule'!B:B,ROW()+9)="START",E73+1,E73+0)</f>
        <v>3</v>
      </c>
      <c r="F74" s="82" t="str">
        <f>IF(A74&lt;&gt;"",_xlfn.CONCAT(TEXT(A74,"yyyy-mm-dd"),"T",TEXT(A74,"hh:mm:ss"),'Event Info'!$B$5,",",," ",C74),"")</f>
        <v>2026-03-09T23:00:0011, ASAP return all tyres to pirelli Parc Fermé</v>
      </c>
      <c r="G74">
        <f t="shared" si="2"/>
        <v>63</v>
      </c>
      <c r="H74" s="92" t="str">
        <f t="shared" si="3"/>
        <v>2026-03-10T12:15:0011, Drivers ready in car</v>
      </c>
      <c r="I74" s="88">
        <v>0</v>
      </c>
    </row>
    <row r="75" spans="1:9">
      <c r="A75" s="76" t="str" cm="1">
        <f t="array" ref="A7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Calculators'!$B$2+E75)</f>
        <v/>
      </c>
      <c r="B75" s="76" t="str" cm="1">
        <f t="array" ref="B75">IF(OR(A75=""),"",IF(INDEX('Test schedule'!E:E,ROW()+9)="",IF(A76="",A75+$Q$10,A76),INDEX('Test schedule'!E:E,ROW()+9)+'Date Calculators'!$B$2+E75))</f>
        <v/>
      </c>
      <c r="C75" s="74" t="str" cm="1">
        <f t="array" ref="C75">IF(A75="","",INDEX('Test schedule'!J:J,ROW()+9))</f>
        <v/>
      </c>
      <c r="D75" s="74" t="str">
        <f>IFERROR(IF(A75="","",'Event Info'!$B$2),"")</f>
        <v/>
      </c>
      <c r="E75" cm="1">
        <f t="array" ref="E75">IF(INDEX('Test schedule'!B:B,ROW()+9)="START",E74+1,E74+0)</f>
        <v>3</v>
      </c>
      <c r="F75" s="82" t="str">
        <f>IF(A75&lt;&gt;"",_xlfn.CONCAT(TEXT(A75,"yyyy-mm-dd"),"T",TEXT(A75,"hh:mm:ss"),'Event Info'!$B$5,",",," ",C75),"")</f>
        <v/>
      </c>
      <c r="G75">
        <f t="shared" si="2"/>
        <v>63</v>
      </c>
      <c r="H75" s="92" t="str">
        <f t="shared" si="3"/>
        <v>2026-03-10T12:30:0011, Session 5</v>
      </c>
      <c r="I75" s="88">
        <v>0</v>
      </c>
    </row>
    <row r="76" spans="1:9" ht="16.899999999999999">
      <c r="A76" s="76" t="str" cm="1">
        <f t="array" ref="A7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Calculators'!$B$2+E76)</f>
        <v/>
      </c>
      <c r="B76" s="76" t="str" cm="1">
        <f t="array" ref="B76">IF(OR(A76=""),"",IF(INDEX('Test schedule'!E:E,ROW()+9)="",IF(A77="",A76+$Q$10,A77),INDEX('Test schedule'!E:E,ROW()+9)+'Date Calculators'!$B$2+E76))</f>
        <v/>
      </c>
      <c r="C76" s="74" t="str" cm="1">
        <f t="array" ref="C76">IF(A76="","",INDEX('Test schedule'!J:J,ROW()+9))</f>
        <v/>
      </c>
      <c r="D76" s="74" t="str">
        <f>IFERROR(IF(A76="","",'Event Info'!$B$2),"")</f>
        <v/>
      </c>
      <c r="E76" cm="1">
        <f t="array" ref="E76">IF(INDEX('Test schedule'!B:B,ROW()+9)="START",E75+1,E75+0)</f>
        <v>4</v>
      </c>
      <c r="F76" s="82" t="str">
        <f>IF(A76&lt;&gt;"",_xlfn.CONCAT(TEXT(A76,"yyyy-mm-dd"),"T",TEXT(A76,"hh:mm:ss"),'Event Info'!$B$5,",",," ",C76),"")</f>
        <v/>
      </c>
      <c r="G76">
        <f t="shared" si="2"/>
        <v>63</v>
      </c>
      <c r="H76" s="92" t="str">
        <f t="shared" si="3"/>
        <v>2026-03-10T15:05:0011, DB Session 3</v>
      </c>
      <c r="I76" s="91">
        <v>0</v>
      </c>
    </row>
    <row r="77" spans="1:9">
      <c r="A77" s="76" cm="1">
        <f t="array" ref="A7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Calculators'!$B$2+E77)</f>
        <v>46091.451388888891</v>
      </c>
      <c r="B77" s="76" cm="1">
        <f t="array" ref="B77">IF(OR(A77=""),"",IF(INDEX('Test schedule'!E:E,ROW()+9)="",IF(A78="",A77+$Q$10,A78),INDEX('Test schedule'!E:E,ROW()+9)+'Date Calculators'!$B$2+E77))</f>
        <v>46091.458333333336</v>
      </c>
      <c r="C77" s="74" t="str" cm="1">
        <f t="array" ref="C77">IF(A77="","",INDEX('Test schedule'!J:J,ROW()+9))</f>
        <v>Engine Warm-up</v>
      </c>
      <c r="D77" s="74" t="str">
        <f>IFERROR(IF(A77="","",'Event Info'!$B$2),"")</f>
        <v>Melbourne</v>
      </c>
      <c r="E77" cm="1">
        <f t="array" ref="E77">IF(INDEX('Test schedule'!B:B,ROW()+9)="START",E76+1,E76+0)</f>
        <v>4</v>
      </c>
      <c r="F77" s="82" t="str">
        <f>IF(A77&lt;&gt;"",_xlfn.CONCAT(TEXT(A77,"yyyy-mm-dd"),"T",TEXT(A77,"hh:mm:ss"),'Event Info'!$B$5,",",," ",C77),"")</f>
        <v>2026-03-10T10:50:0011, Engine Warm-up</v>
      </c>
      <c r="G77">
        <f t="shared" si="2"/>
        <v>64</v>
      </c>
      <c r="H77" s="92" t="str">
        <f t="shared" si="3"/>
        <v>2026-03-10T16:50:0011, Engine Fire-Up</v>
      </c>
      <c r="I77" s="88">
        <v>0</v>
      </c>
    </row>
    <row r="78" spans="1:9">
      <c r="A78" s="76" cm="1">
        <f t="array" ref="A7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Calculators'!$B$2+E78)</f>
        <v>46091.458333333336</v>
      </c>
      <c r="B78" s="76" cm="1">
        <f t="array" ref="B78">IF(OR(A78=""),"",IF(INDEX('Test schedule'!E:E,ROW()+9)="",IF(A79="",A78+$Q$10,A79),INDEX('Test schedule'!E:E,ROW()+9)+'Date Calculators'!$B$2+E78))</f>
        <v>46091.461805555555</v>
      </c>
      <c r="C78" s="74" t="str" cm="1">
        <f t="array" ref="C78">IF(A78="","",INDEX('Test schedule'!J:J,ROW()+9))</f>
        <v>Driver Arrival Circuit</v>
      </c>
      <c r="D78" s="74" t="str">
        <f>IFERROR(IF(A78="","",'Event Info'!$B$2),"")</f>
        <v>Melbourne</v>
      </c>
      <c r="E78" cm="1">
        <f t="array" ref="E78">IF(INDEX('Test schedule'!B:B,ROW()+9)="START",E77+1,E77+0)</f>
        <v>4</v>
      </c>
      <c r="F78" s="82" t="str">
        <f>IF(A78&lt;&gt;"",_xlfn.CONCAT(TEXT(A78,"yyyy-mm-dd"),"T",TEXT(A78,"hh:mm:ss"),'Event Info'!$B$5,",",," ",C78),"")</f>
        <v>2026-03-10T11:00:0011, Driver Arrival Circuit</v>
      </c>
      <c r="G78">
        <f t="shared" si="2"/>
        <v>65</v>
      </c>
      <c r="H78" s="92" t="str">
        <f t="shared" si="3"/>
        <v>2026-03-10T17:05:0011, Session Fuel in</v>
      </c>
      <c r="I78" s="88">
        <v>0</v>
      </c>
    </row>
    <row r="79" spans="1:9" ht="16.899999999999999">
      <c r="A79" s="76" cm="1">
        <f t="array" ref="A7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Calculators'!$B$2+E79)</f>
        <v>46091.461805555555</v>
      </c>
      <c r="B79" s="76" cm="1">
        <f t="array" ref="B79">IF(OR(A79=""),"",IF(INDEX('Test schedule'!E:E,ROW()+9)="",IF(A80="",A79+$Q$10,A80),INDEX('Test schedule'!E:E,ROW()+9)+'Date Calculators'!$B$2+E79))</f>
        <v>46091.465277777781</v>
      </c>
      <c r="C79" s="74" t="str" cm="1">
        <f t="array" ref="C79">IF(A79="","",INDEX('Test schedule'!J:J,ROW()+9))</f>
        <v>Session Fuel in</v>
      </c>
      <c r="D79" s="74" t="str">
        <f>IFERROR(IF(A79="","",'Event Info'!$B$2),"")</f>
        <v>Melbourne</v>
      </c>
      <c r="E79" cm="1">
        <f t="array" ref="E79">IF(INDEX('Test schedule'!B:B,ROW()+9)="START",E78+1,E78+0)</f>
        <v>4</v>
      </c>
      <c r="F79" s="82" t="str">
        <f>IF(A79&lt;&gt;"",_xlfn.CONCAT(TEXT(A79,"yyyy-mm-dd"),"T",TEXT(A79,"hh:mm:ss"),'Event Info'!$B$5,",",," ",C79),"")</f>
        <v>2026-03-10T11:05:0011, Session Fuel in</v>
      </c>
      <c r="G79">
        <f t="shared" si="2"/>
        <v>66</v>
      </c>
      <c r="H79" s="92" t="str">
        <f t="shared" si="3"/>
        <v>2026-03-10T17:10:0011, Set Tyre Pres.</v>
      </c>
      <c r="I79" s="91">
        <v>0</v>
      </c>
    </row>
    <row r="80" spans="1:9">
      <c r="A80" s="76" cm="1">
        <f t="array" ref="A8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Calculators'!$B$2+E80)</f>
        <v>46091.465277777781</v>
      </c>
      <c r="B80" s="76" cm="1">
        <f t="array" ref="B80">IF(OR(A80=""),"",IF(INDEX('Test schedule'!E:E,ROW()+9)="",IF(A81="",A80+$Q$10,A81),INDEX('Test schedule'!E:E,ROW()+9)+'Date Calculators'!$B$2+E80))</f>
        <v>46091.475694444445</v>
      </c>
      <c r="C80" s="74" t="str" cm="1">
        <f t="array" ref="C80">IF(A80="","",INDEX('Test schedule'!J:J,ROW()+9))</f>
        <v>Set Tyre Pres.</v>
      </c>
      <c r="D80" s="74" t="str">
        <f>IFERROR(IF(A80="","",'Event Info'!$B$2),"")</f>
        <v>Melbourne</v>
      </c>
      <c r="E80" cm="1">
        <f t="array" ref="E80">IF(INDEX('Test schedule'!B:B,ROW()+9)="START",E79+1,E79+0)</f>
        <v>4</v>
      </c>
      <c r="F80" s="82" t="str">
        <f>IF(A80&lt;&gt;"",_xlfn.CONCAT(TEXT(A80,"yyyy-mm-dd"),"T",TEXT(A80,"hh:mm:ss"),'Event Info'!$B$5,",",," ",C80),"")</f>
        <v>2026-03-10T11:10:0011, Set Tyre Pres.</v>
      </c>
      <c r="G80">
        <f t="shared" si="2"/>
        <v>67</v>
      </c>
      <c r="H80" s="92" t="str">
        <f t="shared" si="3"/>
        <v xml:space="preserve">2026-03-10T17:25:0011, Drivers PM    </v>
      </c>
      <c r="I80" s="88">
        <v>0</v>
      </c>
    </row>
    <row r="81" spans="1:9">
      <c r="A81" s="76" cm="1">
        <f t="array" ref="A8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Calculators'!$B$2+E81)</f>
        <v>46091.475694444445</v>
      </c>
      <c r="B81" s="76" cm="1">
        <f t="array" ref="B81">IF(OR(A81=""),"",IF(INDEX('Test schedule'!E:E,ROW()+9)="",IF(A82="",A81+$Q$10,A82),INDEX('Test schedule'!E:E,ROW()+9)+'Date Calculators'!$B$2+E81))</f>
        <v>46091.479166666664</v>
      </c>
      <c r="C81" s="74" t="str" cm="1">
        <f t="array" ref="C81">IF(A81="","",INDEX('Test schedule'!J:J,ROW()+9))</f>
        <v xml:space="preserve">Drivers PM    </v>
      </c>
      <c r="D81" s="74" t="str">
        <f>IFERROR(IF(A81="","",'Event Info'!$B$2),"")</f>
        <v>Melbourne</v>
      </c>
      <c r="E81" cm="1">
        <f t="array" ref="E81">IF(INDEX('Test schedule'!B:B,ROW()+9)="START",E80+1,E80+0)</f>
        <v>4</v>
      </c>
      <c r="F81" s="82" t="str">
        <f>IF(A81&lt;&gt;"",_xlfn.CONCAT(TEXT(A81,"yyyy-mm-dd"),"T",TEXT(A81,"hh:mm:ss"),'Event Info'!$B$5,",",," ",C81),"")</f>
        <v xml:space="preserve">2026-03-10T11:25:0011, Drivers PM    </v>
      </c>
      <c r="G81">
        <f t="shared" si="2"/>
        <v>68</v>
      </c>
      <c r="H81" s="92" t="str">
        <f t="shared" si="3"/>
        <v>2026-03-10T17:30:0011, Dinner</v>
      </c>
      <c r="I81" s="88">
        <v>0</v>
      </c>
    </row>
    <row r="82" spans="1:9" ht="16.899999999999999">
      <c r="A82" s="76" cm="1">
        <f t="array" ref="A8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Calculators'!$B$2+E82)</f>
        <v>46091.479166666664</v>
      </c>
      <c r="B82" s="76" cm="1">
        <f t="array" ref="B82">IF(OR(A82=""),"",IF(INDEX('Test schedule'!E:E,ROW()+9)="",IF(A83="",A82+$Q$10,A83),INDEX('Test schedule'!E:E,ROW()+9)+'Date Calculators'!$B$2+E82))</f>
        <v>46091.479166666664</v>
      </c>
      <c r="C82" s="74" t="str" cm="1">
        <f t="array" ref="C82">IF(A82="","",INDEX('Test schedule'!J:J,ROW()+9))</f>
        <v>Pirelli parc ferme open</v>
      </c>
      <c r="D82" s="74" t="str">
        <f>IFERROR(IF(A82="","",'Event Info'!$B$2),"")</f>
        <v>Melbourne</v>
      </c>
      <c r="E82" cm="1">
        <f t="array" ref="E82">IF(INDEX('Test schedule'!B:B,ROW()+9)="START",E81+1,E81+0)</f>
        <v>4</v>
      </c>
      <c r="F82" s="82" t="str">
        <f>IF(A82&lt;&gt;"",_xlfn.CONCAT(TEXT(A82,"yyyy-mm-dd"),"T",TEXT(A82,"hh:mm:ss"),'Event Info'!$B$5,",",," ",C82),"")</f>
        <v>2026-03-10T11:30:0011, Pirelli parc ferme open</v>
      </c>
      <c r="G82">
        <f t="shared" si="2"/>
        <v>69</v>
      </c>
      <c r="H82" s="92" t="str">
        <f t="shared" si="3"/>
        <v>2026-03-10T18:00:0011, Last Fire Up (Car on the Ground)</v>
      </c>
      <c r="I82" s="91">
        <v>0</v>
      </c>
    </row>
    <row r="83" spans="1:9">
      <c r="A83" s="76" cm="1">
        <f t="array" ref="A8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Calculators'!$B$2+E83)</f>
        <v>46091.479166666664</v>
      </c>
      <c r="B83" s="76" cm="1">
        <f t="array" ref="B83">IF(OR(A83=""),"",IF(INDEX('Test schedule'!E:E,ROW()+9)="",IF(A84="",A83+$Q$10,A84),INDEX('Test schedule'!E:E,ROW()+9)+'Date Calculators'!$B$2+E83))</f>
        <v>46091.5</v>
      </c>
      <c r="C83" s="74" t="str" cm="1">
        <f t="array" ref="C83">IF(A83="","",INDEX('Test schedule'!J:J,ROW()+9))</f>
        <v>Lunch</v>
      </c>
      <c r="D83" s="74" t="str">
        <f>IFERROR(IF(A83="","",'Event Info'!$B$2),"")</f>
        <v>Melbourne</v>
      </c>
      <c r="E83" cm="1">
        <f t="array" ref="E83">IF(INDEX('Test schedule'!B:B,ROW()+9)="START",E82+1,E82+0)</f>
        <v>4</v>
      </c>
      <c r="F83" s="82" t="str">
        <f>IF(A83&lt;&gt;"",_xlfn.CONCAT(TEXT(A83,"yyyy-mm-dd"),"T",TEXT(A83,"hh:mm:ss"),'Event Info'!$B$5,",",," ",C83),"")</f>
        <v>2026-03-10T11:30:0011, Lunch</v>
      </c>
      <c r="G83">
        <f t="shared" si="2"/>
        <v>70</v>
      </c>
      <c r="H83" s="92" t="str">
        <f t="shared" si="3"/>
        <v>2026-03-10T18:00:0011, Cars stand by</v>
      </c>
      <c r="I83" s="88">
        <v>0</v>
      </c>
    </row>
    <row r="84" spans="1:9">
      <c r="A84" s="76" cm="1">
        <f t="array" ref="A8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Calculators'!$B$2+E84)</f>
        <v>46091.5</v>
      </c>
      <c r="B84" s="76" cm="1">
        <f t="array" ref="B84">IF(OR(A84=""),"",IF(INDEX('Test schedule'!E:E,ROW()+9)="",IF(A85="",A84+$Q$10,A85),INDEX('Test schedule'!E:E,ROW()+9)+'Date Calculators'!$B$2+E84))</f>
        <v>46091.5</v>
      </c>
      <c r="C84" s="74" t="str" cm="1">
        <f t="array" ref="C84">IF(A84="","",INDEX('Test schedule'!J:J,ROW()+9))</f>
        <v>Last Fire Up (Car on the Ground)</v>
      </c>
      <c r="D84" s="74" t="str">
        <f>IFERROR(IF(A84="","",'Event Info'!$B$2),"")</f>
        <v>Melbourne</v>
      </c>
      <c r="E84" cm="1">
        <f t="array" ref="E84">IF(INDEX('Test schedule'!B:B,ROW()+9)="START",E83+1,E83+0)</f>
        <v>4</v>
      </c>
      <c r="F84" s="82" t="str">
        <f>IF(A84&lt;&gt;"",_xlfn.CONCAT(TEXT(A84,"yyyy-mm-dd"),"T",TEXT(A84,"hh:mm:ss"),'Event Info'!$B$5,",",," ",C84),"")</f>
        <v>2026-03-10T12:00:0011, Last Fire Up (Car on the Ground)</v>
      </c>
      <c r="G84">
        <f t="shared" si="2"/>
        <v>71</v>
      </c>
      <c r="H84" s="92" t="str">
        <f t="shared" si="3"/>
        <v>2026-03-10T18:15:0011, Drivers ready in car</v>
      </c>
      <c r="I84" s="88">
        <v>0</v>
      </c>
    </row>
    <row r="85" spans="1:9" ht="16.899999999999999">
      <c r="A85" s="76" cm="1">
        <f t="array" ref="A8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Calculators'!$B$2+E85)</f>
        <v>46091.5</v>
      </c>
      <c r="B85" s="76" cm="1">
        <f t="array" ref="B85">IF(OR(A85=""),"",IF(INDEX('Test schedule'!E:E,ROW()+9)="",IF(A86="",A85+$Q$10,A86),INDEX('Test schedule'!E:E,ROW()+9)+'Date Calculators'!$B$2+E85))</f>
        <v>46091.510416666664</v>
      </c>
      <c r="C85" s="74" t="str" cm="1">
        <f t="array" ref="C85">IF(A85="","",INDEX('Test schedule'!J:J,ROW()+9))</f>
        <v>Cars stand by</v>
      </c>
      <c r="D85" s="74" t="str">
        <f>IFERROR(IF(A85="","",'Event Info'!$B$2),"")</f>
        <v>Melbourne</v>
      </c>
      <c r="E85" cm="1">
        <f t="array" ref="E85">IF(INDEX('Test schedule'!B:B,ROW()+9)="START",E84+1,E84+0)</f>
        <v>4</v>
      </c>
      <c r="F85" s="82" t="str">
        <f>IF(A85&lt;&gt;"",_xlfn.CONCAT(TEXT(A85,"yyyy-mm-dd"),"T",TEXT(A85,"hh:mm:ss"),'Event Info'!$B$5,",",," ",C85),"")</f>
        <v>2026-03-10T12:00:0011, Cars stand by</v>
      </c>
      <c r="G85">
        <f t="shared" si="2"/>
        <v>72</v>
      </c>
      <c r="H85" s="92" t="str">
        <f t="shared" si="3"/>
        <v>2026-03-10T18:30:0011, Session 6</v>
      </c>
      <c r="I85" s="91">
        <v>0</v>
      </c>
    </row>
    <row r="86" spans="1:9">
      <c r="A86" s="76" cm="1">
        <f t="array" ref="A8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Calculators'!$B$2+E86)</f>
        <v>46091.510416666664</v>
      </c>
      <c r="B86" s="76" cm="1">
        <f t="array" ref="B86">IF(OR(A86=""),"",IF(INDEX('Test schedule'!E:E,ROW()+9)="",IF(A87="",A86+$Q$10,A87),INDEX('Test schedule'!E:E,ROW()+9)+'Date Calculators'!$B$2+E86))</f>
        <v>46091.520833333336</v>
      </c>
      <c r="C86" s="74" t="str" cm="1">
        <f t="array" ref="C86">IF(A86="","",INDEX('Test schedule'!J:J,ROW()+9))</f>
        <v>Drivers ready in car</v>
      </c>
      <c r="D86" s="74" t="str">
        <f>IFERROR(IF(A86="","",'Event Info'!$B$2),"")</f>
        <v>Melbourne</v>
      </c>
      <c r="E86" cm="1">
        <f t="array" ref="E86">IF(INDEX('Test schedule'!B:B,ROW()+9)="START",E85+1,E85+0)</f>
        <v>4</v>
      </c>
      <c r="F86" s="82" t="str">
        <f>IF(A86&lt;&gt;"",_xlfn.CONCAT(TEXT(A86,"yyyy-mm-dd"),"T",TEXT(A86,"hh:mm:ss"),'Event Info'!$B$5,",",," ",C86),"")</f>
        <v>2026-03-10T12:15:0011, Drivers ready in car</v>
      </c>
      <c r="G86">
        <f t="shared" si="2"/>
        <v>73</v>
      </c>
      <c r="H86" s="92" t="str">
        <f t="shared" si="3"/>
        <v>2026-03-10T21:05:0011, DB Session 3</v>
      </c>
      <c r="I86" s="88">
        <v>0</v>
      </c>
    </row>
    <row r="87" spans="1:9">
      <c r="A87" s="76" cm="1">
        <f t="array" ref="A8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Calculators'!$B$2+E87)</f>
        <v>46091.520833333336</v>
      </c>
      <c r="B87" s="76" cm="1">
        <f t="array" ref="B87">IF(OR(A87=""),"",IF(INDEX('Test schedule'!E:E,ROW()+9)="",IF(A88="",A87+$Q$10,A88),INDEX('Test schedule'!E:E,ROW()+9)+'Date Calculators'!$B$2+E87))</f>
        <v>46091.625</v>
      </c>
      <c r="C87" s="74" t="str" cm="1">
        <f t="array" ref="C87">IF(A87="","",INDEX('Test schedule'!J:J,ROW()+9))</f>
        <v>Session 5</v>
      </c>
      <c r="D87" s="74" t="str">
        <f>IFERROR(IF(A87="","",'Event Info'!$B$2),"")</f>
        <v>Melbourne</v>
      </c>
      <c r="E87" cm="1">
        <f t="array" ref="E87">IF(INDEX('Test schedule'!B:B,ROW()+9)="START",E86+1,E86+0)</f>
        <v>4</v>
      </c>
      <c r="F87" s="82" t="str">
        <f>IF(A87&lt;&gt;"",_xlfn.CONCAT(TEXT(A87,"yyyy-mm-dd"),"T",TEXT(A87,"hh:mm:ss"),'Event Info'!$B$5,",",," ",C87),"")</f>
        <v>2026-03-10T12:30:0011, Session 5</v>
      </c>
      <c r="G87">
        <f t="shared" si="2"/>
        <v>74</v>
      </c>
      <c r="H87" s="92" t="str">
        <f t="shared" si="3"/>
        <v/>
      </c>
      <c r="I87" s="88">
        <v>0</v>
      </c>
    </row>
    <row r="88" spans="1:9" ht="16.899999999999999">
      <c r="A88" s="76" cm="1">
        <f t="array" ref="A8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Calculators'!$B$2+E88)</f>
        <v>46091.628472222219</v>
      </c>
      <c r="B88" s="76" cm="1">
        <f t="array" ref="B88">IF(OR(A88=""),"",IF(INDEX('Test schedule'!E:E,ROW()+9)="",IF(A89="",A88+$Q$10,A89),INDEX('Test schedule'!E:E,ROW()+9)+'Date Calculators'!$B$2+E88))</f>
        <v>46091.701388888891</v>
      </c>
      <c r="C88" s="74" t="str" cm="1">
        <f t="array" ref="C88">IF(A88="","",INDEX('Test schedule'!J:J,ROW()+9))</f>
        <v>DB Session 3</v>
      </c>
      <c r="D88" s="74" t="str">
        <f>IFERROR(IF(A88="","",'Event Info'!$B$2),"")</f>
        <v>Melbourne</v>
      </c>
      <c r="E88" cm="1">
        <f t="array" ref="E88">IF(INDEX('Test schedule'!B:B,ROW()+9)="START",E87+1,E87+0)</f>
        <v>4</v>
      </c>
      <c r="F88" s="82" t="str">
        <f>IF(A88&lt;&gt;"",_xlfn.CONCAT(TEXT(A88,"yyyy-mm-dd"),"T",TEXT(A88,"hh:mm:ss"),'Event Info'!$B$5,",",," ",C88),"")</f>
        <v>2026-03-10T15:05:0011, DB Session 3</v>
      </c>
      <c r="G88">
        <f t="shared" si="2"/>
        <v>75</v>
      </c>
      <c r="H88" s="92" t="str">
        <f t="shared" si="3"/>
        <v/>
      </c>
      <c r="I88" s="91">
        <v>0</v>
      </c>
    </row>
    <row r="89" spans="1:9">
      <c r="A89" s="76" cm="1">
        <f t="array" ref="A8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Calculators'!$B$2+E89)</f>
        <v>46091.701388888891</v>
      </c>
      <c r="B89" s="76" cm="1">
        <f t="array" ref="B89">IF(OR(A89=""),"",IF(INDEX('Test schedule'!E:E,ROW()+9)="",IF(A90="",A89+$Q$10,A90),INDEX('Test schedule'!E:E,ROW()+9)+'Date Calculators'!$B$2+E89))</f>
        <v>46091.704861111109</v>
      </c>
      <c r="C89" s="74" t="str" cm="1">
        <f t="array" ref="C89">IF(A89="","",INDEX('Test schedule'!J:J,ROW()+9))</f>
        <v>Engine Fire-Up</v>
      </c>
      <c r="D89" s="74" t="str">
        <f>IFERROR(IF(A89="","",'Event Info'!$B$2),"")</f>
        <v>Melbourne</v>
      </c>
      <c r="E89" cm="1">
        <f t="array" ref="E89">IF(INDEX('Test schedule'!B:B,ROW()+9)="START",E88+1,E88+0)</f>
        <v>4</v>
      </c>
      <c r="F89" s="82" t="str">
        <f>IF(A89&lt;&gt;"",_xlfn.CONCAT(TEXT(A89,"yyyy-mm-dd"),"T",TEXT(A89,"hh:mm:ss"),'Event Info'!$B$5,",",," ",C89),"")</f>
        <v>2026-03-10T16:50:0011, Engine Fire-Up</v>
      </c>
      <c r="G89">
        <f t="shared" si="2"/>
        <v>76</v>
      </c>
      <c r="H89" s="92" t="str">
        <f t="shared" si="3"/>
        <v/>
      </c>
      <c r="I89" s="88">
        <v>0</v>
      </c>
    </row>
    <row r="90" spans="1:9">
      <c r="A90" s="76" cm="1">
        <f t="array" ref="A9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Calculators'!$B$2+E90)</f>
        <v>46091.711805555555</v>
      </c>
      <c r="B90" s="76" cm="1">
        <f t="array" ref="B90">IF(OR(A90=""),"",IF(INDEX('Test schedule'!E:E,ROW()+9)="",IF(A91="",A90+$Q$10,A91),INDEX('Test schedule'!E:E,ROW()+9)+'Date Calculators'!$B$2+E90))</f>
        <v>46091.715277777781</v>
      </c>
      <c r="C90" s="74" t="str" cm="1">
        <f t="array" ref="C90">IF(A90="","",INDEX('Test schedule'!J:J,ROW()+9))</f>
        <v>Session Fuel in</v>
      </c>
      <c r="D90" s="74" t="str">
        <f>IFERROR(IF(A90="","",'Event Info'!$B$2),"")</f>
        <v>Melbourne</v>
      </c>
      <c r="E90" cm="1">
        <f t="array" ref="E90">IF(INDEX('Test schedule'!B:B,ROW()+9)="START",E89+1,E89+0)</f>
        <v>4</v>
      </c>
      <c r="F90" s="82" t="str">
        <f>IF(A90&lt;&gt;"",_xlfn.CONCAT(TEXT(A90,"yyyy-mm-dd"),"T",TEXT(A90,"hh:mm:ss"),'Event Info'!$B$5,",",," ",C90),"")</f>
        <v>2026-03-10T17:05:0011, Session Fuel in</v>
      </c>
      <c r="G90">
        <f t="shared" si="2"/>
        <v>77</v>
      </c>
      <c r="H90" s="92" t="str">
        <f t="shared" si="3"/>
        <v/>
      </c>
      <c r="I90" s="88">
        <v>0</v>
      </c>
    </row>
    <row r="91" spans="1:9" ht="16.899999999999999">
      <c r="A91" s="76" cm="1">
        <f t="array" ref="A9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Calculators'!$B$2+E91)</f>
        <v>46091.715277777781</v>
      </c>
      <c r="B91" s="76" cm="1">
        <f t="array" ref="B91">IF(OR(A91=""),"",IF(INDEX('Test schedule'!E:E,ROW()+9)="",IF(A92="",A91+$Q$10,A92),INDEX('Test schedule'!E:E,ROW()+9)+'Date Calculators'!$B$2+E91))</f>
        <v>46091.725694444445</v>
      </c>
      <c r="C91" s="74" t="str" cm="1">
        <f t="array" ref="C91">IF(A91="","",INDEX('Test schedule'!J:J,ROW()+9))</f>
        <v>Set Tyre Pres.</v>
      </c>
      <c r="D91" s="74" t="str">
        <f>IFERROR(IF(A91="","",'Event Info'!$B$2),"")</f>
        <v>Melbourne</v>
      </c>
      <c r="E91" cm="1">
        <f t="array" ref="E91">IF(INDEX('Test schedule'!B:B,ROW()+9)="START",E90+1,E90+0)</f>
        <v>4</v>
      </c>
      <c r="F91" s="82" t="str">
        <f>IF(A91&lt;&gt;"",_xlfn.CONCAT(TEXT(A91,"yyyy-mm-dd"),"T",TEXT(A91,"hh:mm:ss"),'Event Info'!$B$5,",",," ",C91),"")</f>
        <v>2026-03-10T17:10:0011, Set Tyre Pres.</v>
      </c>
      <c r="G91">
        <f t="shared" si="2"/>
        <v>78</v>
      </c>
      <c r="H91" s="92" t="str">
        <f t="shared" si="3"/>
        <v/>
      </c>
      <c r="I91" s="91">
        <v>0</v>
      </c>
    </row>
    <row r="92" spans="1:9">
      <c r="A92" s="76" cm="1">
        <f t="array" ref="A9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Calculators'!$B$2+E92)</f>
        <v>46091.725694444445</v>
      </c>
      <c r="B92" s="76" cm="1">
        <f t="array" ref="B92">IF(OR(A92=""),"",IF(INDEX('Test schedule'!E:E,ROW()+9)="",IF(A93="",A92+$Q$10,A93),INDEX('Test schedule'!E:E,ROW()+9)+'Date Calculators'!$B$2+E92))</f>
        <v>46091.729166666664</v>
      </c>
      <c r="C92" s="74" t="str" cm="1">
        <f t="array" ref="C92">IF(A92="","",INDEX('Test schedule'!J:J,ROW()+9))</f>
        <v xml:space="preserve">Drivers PM    </v>
      </c>
      <c r="D92" s="74" t="str">
        <f>IFERROR(IF(A92="","",'Event Info'!$B$2),"")</f>
        <v>Melbourne</v>
      </c>
      <c r="E92" cm="1">
        <f t="array" ref="E92">IF(INDEX('Test schedule'!B:B,ROW()+9)="START",E91+1,E91+0)</f>
        <v>4</v>
      </c>
      <c r="F92" s="82" t="str">
        <f>IF(A92&lt;&gt;"",_xlfn.CONCAT(TEXT(A92,"yyyy-mm-dd"),"T",TEXT(A92,"hh:mm:ss"),'Event Info'!$B$5,",",," ",C92),"")</f>
        <v xml:space="preserve">2026-03-10T17:25:0011, Drivers PM    </v>
      </c>
      <c r="G92">
        <f t="shared" si="2"/>
        <v>79</v>
      </c>
      <c r="H92" s="92" t="str">
        <f t="shared" si="3"/>
        <v/>
      </c>
      <c r="I92" s="88">
        <v>0</v>
      </c>
    </row>
    <row r="93" spans="1:9">
      <c r="A93" s="76" cm="1">
        <f t="array" ref="A9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Calculators'!$B$2+E93)</f>
        <v>46091.729166666664</v>
      </c>
      <c r="B93" s="76" cm="1">
        <f t="array" ref="B93">IF(OR(A93=""),"",IF(INDEX('Test schedule'!E:E,ROW()+9)="",IF(A94="",A93+$Q$10,A94),INDEX('Test schedule'!E:E,ROW()+9)+'Date Calculators'!$B$2+E93))</f>
        <v>46091.75</v>
      </c>
      <c r="C93" s="74" t="str" cm="1">
        <f t="array" ref="C93">IF(A93="","",INDEX('Test schedule'!J:J,ROW()+9))</f>
        <v>Dinner</v>
      </c>
      <c r="D93" s="74" t="str">
        <f>IFERROR(IF(A93="","",'Event Info'!$B$2),"")</f>
        <v>Melbourne</v>
      </c>
      <c r="E93" cm="1">
        <f t="array" ref="E93">IF(INDEX('Test schedule'!B:B,ROW()+9)="START",E92+1,E92+0)</f>
        <v>4</v>
      </c>
      <c r="F93" s="82" t="str">
        <f>IF(A93&lt;&gt;"",_xlfn.CONCAT(TEXT(A93,"yyyy-mm-dd"),"T",TEXT(A93,"hh:mm:ss"),'Event Info'!$B$5,",",," ",C93),"")</f>
        <v>2026-03-10T17:30:0011, Dinner</v>
      </c>
      <c r="G93">
        <f t="shared" si="2"/>
        <v>80</v>
      </c>
      <c r="H93" s="92" t="str">
        <f t="shared" si="3"/>
        <v/>
      </c>
      <c r="I93" s="88">
        <v>0</v>
      </c>
    </row>
    <row r="94" spans="1:9" ht="16.899999999999999">
      <c r="A94" s="76" cm="1">
        <f t="array" ref="A9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Calculators'!$B$2+E94)</f>
        <v>46091.75</v>
      </c>
      <c r="B94" s="76" cm="1">
        <f t="array" ref="B94">IF(OR(A94=""),"",IF(INDEX('Test schedule'!E:E,ROW()+9)="",IF(A95="",A94+$Q$10,A95),INDEX('Test schedule'!E:E,ROW()+9)+'Date Calculators'!$B$2+E94))</f>
        <v>46091.75</v>
      </c>
      <c r="C94" s="74" t="str" cm="1">
        <f t="array" ref="C94">IF(A94="","",INDEX('Test schedule'!J:J,ROW()+9))</f>
        <v>Last Fire Up (Car on the Ground)</v>
      </c>
      <c r="D94" s="74" t="str">
        <f>IFERROR(IF(A94="","",'Event Info'!$B$2),"")</f>
        <v>Melbourne</v>
      </c>
      <c r="E94" cm="1">
        <f t="array" ref="E94">IF(INDEX('Test schedule'!B:B,ROW()+9)="START",E93+1,E93+0)</f>
        <v>4</v>
      </c>
      <c r="F94" s="82" t="str">
        <f>IF(A94&lt;&gt;"",_xlfn.CONCAT(TEXT(A94,"yyyy-mm-dd"),"T",TEXT(A94,"hh:mm:ss"),'Event Info'!$B$5,",",," ",C94),"")</f>
        <v>2026-03-10T18:00:0011, Last Fire Up (Car on the Ground)</v>
      </c>
      <c r="G94">
        <f t="shared" si="2"/>
        <v>81</v>
      </c>
      <c r="H94" s="92" t="str">
        <f t="shared" si="3"/>
        <v/>
      </c>
      <c r="I94" s="91">
        <v>0</v>
      </c>
    </row>
    <row r="95" spans="1:9">
      <c r="A95" s="76" cm="1">
        <f t="array" ref="A9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Calculators'!$B$2+E95)</f>
        <v>46091.75</v>
      </c>
      <c r="B95" s="76" cm="1">
        <f t="array" ref="B95">IF(OR(A95=""),"",IF(INDEX('Test schedule'!E:E,ROW()+9)="",IF(A96="",A95+$Q$10,A96),INDEX('Test schedule'!E:E,ROW()+9)+'Date Calculators'!$B$2+E95))</f>
        <v>46091.760416666664</v>
      </c>
      <c r="C95" s="74" t="str" cm="1">
        <f t="array" ref="C95">IF(A95="","",INDEX('Test schedule'!J:J,ROW()+9))</f>
        <v>Cars stand by</v>
      </c>
      <c r="D95" s="74" t="str">
        <f>IFERROR(IF(A95="","",'Event Info'!$B$2),"")</f>
        <v>Melbourne</v>
      </c>
      <c r="E95" cm="1">
        <f t="array" ref="E95">IF(INDEX('Test schedule'!B:B,ROW()+9)="START",E94+1,E94+0)</f>
        <v>4</v>
      </c>
      <c r="F95" s="82" t="str">
        <f>IF(A95&lt;&gt;"",_xlfn.CONCAT(TEXT(A95,"yyyy-mm-dd"),"T",TEXT(A95,"hh:mm:ss"),'Event Info'!$B$5,",",," ",C95),"")</f>
        <v>2026-03-10T18:00:0011, Cars stand by</v>
      </c>
      <c r="G95">
        <f t="shared" si="2"/>
        <v>82</v>
      </c>
      <c r="H95" s="92" t="str">
        <f t="shared" si="3"/>
        <v/>
      </c>
      <c r="I95" s="88">
        <v>0</v>
      </c>
    </row>
    <row r="96" spans="1:9">
      <c r="A96" s="76" cm="1">
        <f t="array" ref="A9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Calculators'!$B$2+E96)</f>
        <v>46091.760416666664</v>
      </c>
      <c r="B96" s="76" cm="1">
        <f t="array" ref="B96">IF(OR(A96=""),"",IF(INDEX('Test schedule'!E:E,ROW()+9)="",IF(A97="",A96+$Q$10,A97),INDEX('Test schedule'!E:E,ROW()+9)+'Date Calculators'!$B$2+E96))</f>
        <v>46091.770833333336</v>
      </c>
      <c r="C96" s="74" t="str" cm="1">
        <f t="array" ref="C96">IF(A96="","",INDEX('Test schedule'!J:J,ROW()+9))</f>
        <v>Drivers ready in car</v>
      </c>
      <c r="D96" s="74" t="str">
        <f>IFERROR(IF(A96="","",'Event Info'!$B$2),"")</f>
        <v>Melbourne</v>
      </c>
      <c r="E96" cm="1">
        <f t="array" ref="E96">IF(INDEX('Test schedule'!B:B,ROW()+9)="START",E95+1,E95+0)</f>
        <v>4</v>
      </c>
      <c r="F96" s="82" t="str">
        <f>IF(A96&lt;&gt;"",_xlfn.CONCAT(TEXT(A96,"yyyy-mm-dd"),"T",TEXT(A96,"hh:mm:ss"),'Event Info'!$B$5,",",," ",C96),"")</f>
        <v>2026-03-10T18:15:0011, Drivers ready in car</v>
      </c>
      <c r="G96">
        <f t="shared" si="2"/>
        <v>83</v>
      </c>
      <c r="H96" s="92" t="str">
        <f t="shared" si="3"/>
        <v/>
      </c>
      <c r="I96" s="88">
        <v>0</v>
      </c>
    </row>
    <row r="97" spans="1:9" ht="16.899999999999999">
      <c r="A97" s="76" cm="1">
        <f t="array" ref="A9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Calculators'!$B$2+E97)</f>
        <v>46091.770833333336</v>
      </c>
      <c r="B97" s="76" cm="1">
        <f t="array" ref="B97">IF(OR(A97=""),"",IF(INDEX('Test schedule'!E:E,ROW()+9)="",IF(A98="",A97+$Q$10,A98),INDEX('Test schedule'!E:E,ROW()+9)+'Date Calculators'!$B$2+E97))</f>
        <v>46091.875</v>
      </c>
      <c r="C97" s="74" t="str" cm="1">
        <f t="array" ref="C97">IF(A97="","",INDEX('Test schedule'!J:J,ROW()+9))</f>
        <v>Session 6</v>
      </c>
      <c r="D97" s="74" t="str">
        <f>IFERROR(IF(A97="","",'Event Info'!$B$2),"")</f>
        <v>Melbourne</v>
      </c>
      <c r="E97" cm="1">
        <f t="array" ref="E97">IF(INDEX('Test schedule'!B:B,ROW()+9)="START",E96+1,E96+0)</f>
        <v>4</v>
      </c>
      <c r="F97" s="82" t="str">
        <f>IF(A97&lt;&gt;"",_xlfn.CONCAT(TEXT(A97,"yyyy-mm-dd"),"T",TEXT(A97,"hh:mm:ss"),'Event Info'!$B$5,",",," ",C97),"")</f>
        <v>2026-03-10T18:30:0011, Session 6</v>
      </c>
      <c r="G97">
        <f t="shared" si="2"/>
        <v>84</v>
      </c>
      <c r="H97" s="92" t="str">
        <f t="shared" si="3"/>
        <v/>
      </c>
      <c r="I97" s="91">
        <v>0</v>
      </c>
    </row>
    <row r="98" spans="1:9">
      <c r="A98" s="76" cm="1">
        <f t="array" ref="A9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Calculators'!$B$2+E98)</f>
        <v>46091.878472222219</v>
      </c>
      <c r="B98" s="76" t="e" cm="1">
        <f t="array" ref="B98">IF(OR(A98=""),"",IF(INDEX('Test schedule'!E:E,ROW()+9)="",IF(A99="",A98+$Q$10,A99),INDEX('Test schedule'!E:E,ROW()+9)+'Date Calculators'!$B$2+E98))</f>
        <v>#VALUE!</v>
      </c>
      <c r="C98" s="74" t="str" cm="1">
        <f t="array" ref="C98">IF(A98="","",INDEX('Test schedule'!J:J,ROW()+9))</f>
        <v>DB Session 3</v>
      </c>
      <c r="D98" s="74" t="str">
        <f>IFERROR(IF(A98="","",'Event Info'!$B$2),"")</f>
        <v>Melbourne</v>
      </c>
      <c r="E98" cm="1">
        <f t="array" ref="E98">IF(INDEX('Test schedule'!B:B,ROW()+9)="START",E97+1,E97+0)</f>
        <v>4</v>
      </c>
      <c r="F98" s="82" t="str">
        <f>IF(A98&lt;&gt;"",_xlfn.CONCAT(TEXT(A98,"yyyy-mm-dd"),"T",TEXT(A98,"hh:mm:ss"),'Event Info'!$B$5,",",," ",C98),"")</f>
        <v>2026-03-10T21:05:0011, DB Session 3</v>
      </c>
      <c r="G98">
        <f t="shared" si="2"/>
        <v>85</v>
      </c>
      <c r="H98" s="92" t="str">
        <f t="shared" si="3"/>
        <v/>
      </c>
      <c r="I98" s="88">
        <v>0</v>
      </c>
    </row>
    <row r="99" spans="1:9">
      <c r="A99" s="76" t="e" cm="1">
        <f t="array" ref="A9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Calculators'!$B$2+E99)</f>
        <v>#VALUE!</v>
      </c>
      <c r="B99" s="76" t="e" cm="1">
        <f t="array" ref="B99">IF(OR(A99=""),"",IF(INDEX('Test schedule'!E:E,ROW()+9)="",IF(A100="",A99+$Q$10,A100),INDEX('Test schedule'!E:E,ROW()+9)+'Date Calculators'!$B$2+E99))</f>
        <v>#VALUE!</v>
      </c>
      <c r="C99" s="74" t="e" cm="1">
        <f t="array" ref="C99">IF(A99="","",INDEX('Test schedule'!J:J,ROW()+9))</f>
        <v>#VALUE!</v>
      </c>
      <c r="D99" s="74" t="str">
        <f>IFERROR(IF(A99="","",'Event Info'!$B$2),"")</f>
        <v/>
      </c>
      <c r="E99" cm="1">
        <f t="array" ref="E99">IF(INDEX('Test schedule'!B:B,ROW()+9)="START",E98+1,E98+0)</f>
        <v>4</v>
      </c>
      <c r="F99" s="82" t="e">
        <f>IF(A99&lt;&gt;"",_xlfn.CONCAT(TEXT(A99,"yyyy-mm-dd"),"T",TEXT(A99,"hh:mm:ss"),'Event Info'!$B$5,",",," ",C99),"")</f>
        <v>#VALUE!</v>
      </c>
      <c r="G99" t="e">
        <f t="shared" si="2"/>
        <v>#VALUE!</v>
      </c>
      <c r="H99" s="92" t="str">
        <f t="shared" si="3"/>
        <v/>
      </c>
      <c r="I99" s="88">
        <v>0</v>
      </c>
    </row>
    <row r="100" spans="1:9" ht="16.899999999999999">
      <c r="A100" s="76" t="str" cm="1">
        <f t="array" ref="A10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Calculators'!$B$2+E100)</f>
        <v/>
      </c>
      <c r="B100" s="76" t="str" cm="1">
        <f t="array" ref="B100">IF(OR(A100=""),"",IF(INDEX('Test schedule'!E:E,ROW()+9)="",IF(A101="",A100+$Q$10,A101),INDEX('Test schedule'!E:E,ROW()+9)+'Date Calculators'!$B$2+E100))</f>
        <v/>
      </c>
      <c r="C100" s="74" t="str" cm="1">
        <f t="array" ref="C100">IF(A100="","",INDEX('Test schedule'!J:J,ROW()+9))</f>
        <v/>
      </c>
      <c r="D100" s="74" t="str">
        <f>IFERROR(IF(A100="","",'Event Info'!$B$2),"")</f>
        <v/>
      </c>
      <c r="E100" cm="1">
        <f t="array" ref="E100">IF(INDEX('Test schedule'!B:B,ROW()+9)="START",E99+1,E99+0)</f>
        <v>4</v>
      </c>
      <c r="F100" s="82" t="str">
        <f>IF(A100&lt;&gt;"",_xlfn.CONCAT(TEXT(A100,"yyyy-mm-dd"),"T",TEXT(A100,"hh:mm:ss"),'Event Info'!$B$5,",",," ",C100),"")</f>
        <v/>
      </c>
      <c r="G100" t="e">
        <f t="shared" si="2"/>
        <v>#VALUE!</v>
      </c>
      <c r="H100" s="92" t="str">
        <f t="shared" si="3"/>
        <v/>
      </c>
      <c r="I100" s="91">
        <v>0</v>
      </c>
    </row>
    <row r="101" spans="1:9">
      <c r="A101" s="76" t="str" cm="1">
        <f t="array" ref="A10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Calculators'!$B$2+E101)</f>
        <v/>
      </c>
      <c r="B101" s="76" t="str" cm="1">
        <f t="array" ref="B101">IF(OR(A101=""),"",IF(INDEX('Test schedule'!E:E,ROW()+9)="",IF(A102="",A101+$Q$10,A102),INDEX('Test schedule'!E:E,ROW()+9)+'Date Calculators'!$B$2+E101))</f>
        <v/>
      </c>
      <c r="C101" s="74" t="str" cm="1">
        <f t="array" ref="C101">IF(A101="","",INDEX('Test schedule'!J:J,ROW()+9))</f>
        <v/>
      </c>
      <c r="D101" s="74" t="str">
        <f>IFERROR(IF(A101="","",'Event Info'!$B$2),"")</f>
        <v/>
      </c>
      <c r="E101" cm="1">
        <f t="array" ref="E101">IF(INDEX('Test schedule'!B:B,ROW()+9)="START",E100+1,E100+0)</f>
        <v>5</v>
      </c>
      <c r="F101" s="82" t="str">
        <f>IF(A101&lt;&gt;"",_xlfn.CONCAT(TEXT(A101,"yyyy-mm-dd"),"T",TEXT(A101,"hh:mm:ss"),'Event Info'!$B$5,",",," ",C101),"")</f>
        <v/>
      </c>
      <c r="G101" t="e">
        <f t="shared" si="2"/>
        <v>#VALUE!</v>
      </c>
      <c r="H101" s="92" t="str">
        <f t="shared" si="3"/>
        <v/>
      </c>
      <c r="I101" s="88">
        <v>0</v>
      </c>
    </row>
    <row r="102" spans="1:9">
      <c r="A102" s="76" t="str" cm="1">
        <f t="array" ref="A10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Calculators'!$B$2+E102)</f>
        <v/>
      </c>
      <c r="B102" s="76" t="str" cm="1">
        <f t="array" ref="B102">IF(OR(A102=""),"",IF(INDEX('Test schedule'!E:E,ROW()+9)="",IF(A103="",A102+$Q$10,A103),INDEX('Test schedule'!E:E,ROW()+9)+'Date Calculators'!$B$2+E102))</f>
        <v/>
      </c>
      <c r="C102" s="74" t="str" cm="1">
        <f t="array" ref="C102">IF(A102="","",INDEX('Test schedule'!J:J,ROW()+9))</f>
        <v/>
      </c>
      <c r="D102" s="74" t="str">
        <f>IFERROR(IF(A102="","",'Event Info'!$B$2),"")</f>
        <v/>
      </c>
      <c r="E102" cm="1">
        <f t="array" ref="E102">IF(INDEX('Test schedule'!B:B,ROW()+9)="START",E101+1,E101+0)</f>
        <v>5</v>
      </c>
      <c r="F102" s="82" t="str">
        <f>IF(A102&lt;&gt;"",_xlfn.CONCAT(TEXT(A102,"yyyy-mm-dd"),"T",TEXT(A102,"hh:mm:ss"),'Event Info'!$B$5,",",," ",C102),"")</f>
        <v/>
      </c>
      <c r="G102" t="e">
        <f t="shared" si="2"/>
        <v>#VALUE!</v>
      </c>
      <c r="H102" s="92" t="str">
        <f t="shared" si="3"/>
        <v/>
      </c>
      <c r="I102" s="88">
        <v>0</v>
      </c>
    </row>
    <row r="103" spans="1:9" ht="16.899999999999999">
      <c r="A103" s="76" t="str" cm="1">
        <f t="array" ref="A10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Calculators'!$B$2+E103)</f>
        <v/>
      </c>
      <c r="B103" s="76" t="str" cm="1">
        <f t="array" ref="B103">IF(OR(A103=""),"",IF(INDEX('Test schedule'!E:E,ROW()+9)="",IF(A104="",A103+$Q$10,A104),INDEX('Test schedule'!E:E,ROW()+9)+'Date Calculators'!$B$2+E103))</f>
        <v/>
      </c>
      <c r="C103" s="74" t="str" cm="1">
        <f t="array" ref="C103">IF(A103="","",INDEX('Test schedule'!J:J,ROW()+9))</f>
        <v/>
      </c>
      <c r="D103" s="74" t="str">
        <f>IFERROR(IF(A103="","",'Event Info'!$B$2),"")</f>
        <v/>
      </c>
      <c r="E103" cm="1">
        <f t="array" ref="E103">IF(INDEX('Test schedule'!B:B,ROW()+9)="START",E102+1,E102+0)</f>
        <v>5</v>
      </c>
      <c r="F103" s="82" t="str">
        <f>IF(A103&lt;&gt;"",_xlfn.CONCAT(TEXT(A103,"yyyy-mm-dd"),"T",TEXT(A103,"hh:mm:ss"),'Event Info'!$B$5,",",," ",C103),"")</f>
        <v/>
      </c>
      <c r="G103" t="e">
        <f t="shared" si="2"/>
        <v>#VALUE!</v>
      </c>
      <c r="H103" s="92" t="str">
        <f t="shared" si="3"/>
        <v/>
      </c>
      <c r="I103" s="91">
        <v>0</v>
      </c>
    </row>
    <row r="104" spans="1:9">
      <c r="A104" s="76" t="str" cm="1">
        <f t="array" ref="A10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Calculators'!$B$2+E104)</f>
        <v/>
      </c>
      <c r="B104" s="76" t="str" cm="1">
        <f t="array" ref="B104">IF(OR(A104=""),"",IF(INDEX('Test schedule'!E:E,ROW()+9)="",IF(A105="",A104+$Q$10,A105),INDEX('Test schedule'!E:E,ROW()+9)+'Date Calculators'!$B$2+E104))</f>
        <v/>
      </c>
      <c r="C104" s="74" t="str" cm="1">
        <f t="array" ref="C104">IF(A104="","",INDEX('Test schedule'!J:J,ROW()+9))</f>
        <v/>
      </c>
      <c r="D104" s="74" t="str">
        <f>IFERROR(IF(A104="","",'Event Info'!$B$2),"")</f>
        <v/>
      </c>
      <c r="E104" cm="1">
        <f t="array" ref="E104">IF(INDEX('Test schedule'!B:B,ROW()+9)="START",E103+1,E103+0)</f>
        <v>5</v>
      </c>
      <c r="F104" s="82" t="str">
        <f>IF(A104&lt;&gt;"",_xlfn.CONCAT(TEXT(A104,"yyyy-mm-dd"),"T",TEXT(A104,"hh:mm:ss"),'Event Info'!$B$5,",",," ",C104),"")</f>
        <v/>
      </c>
      <c r="G104" t="e">
        <f t="shared" si="2"/>
        <v>#VALUE!</v>
      </c>
      <c r="H104" s="92" t="str">
        <f t="shared" si="3"/>
        <v/>
      </c>
      <c r="I104" s="88">
        <v>0</v>
      </c>
    </row>
    <row r="105" spans="1:9">
      <c r="A105" s="76" t="str" cm="1">
        <f t="array" ref="A10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Calculators'!$B$2+E105)</f>
        <v/>
      </c>
      <c r="B105" s="76" t="str" cm="1">
        <f t="array" ref="B105">IF(OR(A105=""),"",IF(INDEX('Test schedule'!E:E,ROW()+9)="",IF(A106="",A105+$Q$10,A106),INDEX('Test schedule'!E:E,ROW()+9)+'Date Calculators'!$B$2+E105))</f>
        <v/>
      </c>
      <c r="C105" s="74" t="str" cm="1">
        <f t="array" ref="C105">IF(A105="","",INDEX('Test schedule'!J:J,ROW()+9))</f>
        <v/>
      </c>
      <c r="D105" s="74" t="str">
        <f>IFERROR(IF(A105="","",'Event Info'!$B$2),"")</f>
        <v/>
      </c>
      <c r="E105" cm="1">
        <f t="array" ref="E105">IF(INDEX('Test schedule'!B:B,ROW()+9)="START",E104+1,E104+0)</f>
        <v>5</v>
      </c>
      <c r="F105" s="82" t="str">
        <f>IF(A105&lt;&gt;"",_xlfn.CONCAT(TEXT(A105,"yyyy-mm-dd"),"T",TEXT(A105,"hh:mm:ss"),'Event Info'!$B$5,",",," ",C105),"")</f>
        <v/>
      </c>
      <c r="G105" t="e">
        <f t="shared" si="2"/>
        <v>#VALUE!</v>
      </c>
      <c r="H105" s="92" t="str">
        <f t="shared" si="3"/>
        <v/>
      </c>
      <c r="I105" s="88">
        <v>0</v>
      </c>
    </row>
    <row r="106" spans="1:9" ht="16.899999999999999">
      <c r="A106" s="76" t="str" cm="1">
        <f t="array" ref="A10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Calculators'!$B$2+E106)</f>
        <v/>
      </c>
      <c r="B106" s="76" t="str" cm="1">
        <f t="array" ref="B106">IF(OR(A106=""),"",IF(INDEX('Test schedule'!E:E,ROW()+9)="",IF(A107="",A106+$Q$10,A107),INDEX('Test schedule'!E:E,ROW()+9)+'Date Calculators'!$B$2+E106))</f>
        <v/>
      </c>
      <c r="C106" s="74" t="str" cm="1">
        <f t="array" ref="C106">IF(A106="","",INDEX('Test schedule'!J:J,ROW()+9))</f>
        <v/>
      </c>
      <c r="D106" s="74" t="str">
        <f>IFERROR(IF(A106="","",'Event Info'!$B$2),"")</f>
        <v/>
      </c>
      <c r="E106" cm="1">
        <f t="array" ref="E106">IF(INDEX('Test schedule'!B:B,ROW()+9)="START",E105+1,E105+0)</f>
        <v>5</v>
      </c>
      <c r="F106" s="82" t="str">
        <f>IF(A106&lt;&gt;"",_xlfn.CONCAT(TEXT(A106,"yyyy-mm-dd"),"T",TEXT(A106,"hh:mm:ss"),'Event Info'!$B$5,",",," ",C106),"")</f>
        <v/>
      </c>
      <c r="G106" t="e">
        <f t="shared" si="2"/>
        <v>#VALUE!</v>
      </c>
      <c r="H106" s="92" t="str">
        <f t="shared" si="3"/>
        <v/>
      </c>
      <c r="I106" s="91">
        <v>0</v>
      </c>
    </row>
    <row r="107" spans="1:9">
      <c r="A107" s="76" t="str" cm="1">
        <f t="array" ref="A10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Calculators'!$B$2+E107)</f>
        <v/>
      </c>
      <c r="B107" s="76" t="str" cm="1">
        <f t="array" ref="B107">IF(OR(A107=""),"",IF(INDEX('Test schedule'!E:E,ROW()+9)="",IF(A108="",A107+$Q$10,A108),INDEX('Test schedule'!E:E,ROW()+9)+'Date Calculators'!$B$2+E107))</f>
        <v/>
      </c>
      <c r="C107" s="74" t="str" cm="1">
        <f t="array" ref="C107">IF(A107="","",INDEX('Test schedule'!J:J,ROW()+9))</f>
        <v/>
      </c>
      <c r="D107" s="74" t="str">
        <f>IFERROR(IF(A107="","",'Event Info'!$B$2),"")</f>
        <v/>
      </c>
      <c r="E107" cm="1">
        <f t="array" ref="E107">IF(INDEX('Test schedule'!B:B,ROW()+9)="START",E106+1,E106+0)</f>
        <v>5</v>
      </c>
      <c r="F107" s="82" t="str">
        <f>IF(A107&lt;&gt;"",_xlfn.CONCAT(TEXT(A107,"yyyy-mm-dd"),"T",TEXT(A107,"hh:mm:ss"),'Event Info'!$B$5,",",," ",C107),"")</f>
        <v/>
      </c>
      <c r="G107" t="e">
        <f t="shared" si="2"/>
        <v>#VALUE!</v>
      </c>
      <c r="H107" s="92" t="str">
        <f t="shared" si="3"/>
        <v/>
      </c>
      <c r="I107" s="88">
        <v>0</v>
      </c>
    </row>
    <row r="108" spans="1:9">
      <c r="A108" s="76" t="str" cm="1">
        <f t="array" ref="A10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Calculators'!$B$2+E108)</f>
        <v/>
      </c>
      <c r="B108" s="76" t="str" cm="1">
        <f t="array" ref="B108">IF(OR(A108=""),"",IF(INDEX('Test schedule'!E:E,ROW()+9)="",IF(A109="",A108+$Q$10,A109),INDEX('Test schedule'!E:E,ROW()+9)+'Date Calculators'!$B$2+E108))</f>
        <v/>
      </c>
      <c r="C108" s="74" t="str" cm="1">
        <f t="array" ref="C108">IF(A108="","",INDEX('Test schedule'!J:J,ROW()+9))</f>
        <v/>
      </c>
      <c r="D108" s="74" t="str">
        <f>IFERROR(IF(A108="","",'Event Info'!$B$2),"")</f>
        <v/>
      </c>
      <c r="E108" cm="1">
        <f t="array" ref="E108">IF(INDEX('Test schedule'!B:B,ROW()+9)="START",E107+1,E107+0)</f>
        <v>5</v>
      </c>
      <c r="F108" s="82" t="str">
        <f>IF(A108&lt;&gt;"",_xlfn.CONCAT(TEXT(A108,"yyyy-mm-dd"),"T",TEXT(A108,"hh:mm:ss"),'Event Info'!$B$5,",",," ",C108),"")</f>
        <v/>
      </c>
      <c r="G108" t="e">
        <f t="shared" si="2"/>
        <v>#VALUE!</v>
      </c>
      <c r="H108" s="92" t="str">
        <f t="shared" si="3"/>
        <v/>
      </c>
      <c r="I108" s="88">
        <v>0</v>
      </c>
    </row>
    <row r="109" spans="1:9" ht="16.899999999999999">
      <c r="A109" s="76" t="str" cm="1">
        <f t="array" ref="A10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Calculators'!$B$2+E109)</f>
        <v/>
      </c>
      <c r="B109" s="76" t="str" cm="1">
        <f t="array" ref="B109">IF(OR(A109=""),"",IF(INDEX('Test schedule'!E:E,ROW()+9)="",IF(A110="",A109+$Q$10,A110),INDEX('Test schedule'!E:E,ROW()+9)+'Date Calculators'!$B$2+E109))</f>
        <v/>
      </c>
      <c r="C109" s="74" t="str" cm="1">
        <f t="array" ref="C109">IF(A109="","",INDEX('Test schedule'!J:J,ROW()+9))</f>
        <v/>
      </c>
      <c r="D109" s="74" t="str">
        <f>IFERROR(IF(A109="","",'Event Info'!$B$2),"")</f>
        <v/>
      </c>
      <c r="E109" cm="1">
        <f t="array" ref="E109">IF(INDEX('Test schedule'!B:B,ROW()+9)="START",E108+1,E108+0)</f>
        <v>5</v>
      </c>
      <c r="F109" s="82" t="str">
        <f>IF(A109&lt;&gt;"",_xlfn.CONCAT(TEXT(A109,"yyyy-mm-dd"),"T",TEXT(A109,"hh:mm:ss"),'Event Info'!$B$5,",",," ",C109),"")</f>
        <v/>
      </c>
      <c r="G109" t="e">
        <f t="shared" si="2"/>
        <v>#VALUE!</v>
      </c>
      <c r="H109" s="92" t="str">
        <f t="shared" si="3"/>
        <v/>
      </c>
      <c r="I109" s="91">
        <v>0</v>
      </c>
    </row>
    <row r="110" spans="1:9">
      <c r="A110" s="76" t="str" cm="1">
        <f t="array" ref="A11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Calculators'!$B$2+E110)</f>
        <v/>
      </c>
      <c r="B110" s="76" t="str" cm="1">
        <f t="array" ref="B110">IF(OR(A110=""),"",IF(INDEX('Test schedule'!E:E,ROW()+9)="",IF(A111="",A110+$Q$10,A111),INDEX('Test schedule'!E:E,ROW()+9)+'Date Calculators'!$B$2+E110))</f>
        <v/>
      </c>
      <c r="C110" s="74" t="str" cm="1">
        <f t="array" ref="C110">IF(A110="","",INDEX('Test schedule'!J:J,ROW()+9))</f>
        <v/>
      </c>
      <c r="D110" s="74" t="str">
        <f>IFERROR(IF(A110="","",'Event Info'!$B$2),"")</f>
        <v/>
      </c>
      <c r="E110" cm="1">
        <f t="array" ref="E110">IF(INDEX('Test schedule'!B:B,ROW()+9)="START",E109+1,E109+0)</f>
        <v>5</v>
      </c>
      <c r="F110" s="82" t="str">
        <f>IF(A110&lt;&gt;"",_xlfn.CONCAT(TEXT(A110,"yyyy-mm-dd"),"T",TEXT(A110,"hh:mm:ss"),'Event Info'!$B$5,",",," ",C110),"")</f>
        <v/>
      </c>
      <c r="G110" t="e">
        <f t="shared" si="2"/>
        <v>#VALUE!</v>
      </c>
      <c r="H110" s="92" t="str">
        <f t="shared" si="3"/>
        <v/>
      </c>
      <c r="I110" s="88">
        <v>0</v>
      </c>
    </row>
    <row r="111" spans="1:9">
      <c r="A111" s="76" t="str" cm="1">
        <f t="array" ref="A11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Calculators'!$B$2+E111)</f>
        <v/>
      </c>
      <c r="B111" s="76" t="str" cm="1">
        <f t="array" ref="B111">IF(OR(A111=""),"",IF(INDEX('Test schedule'!E:E,ROW()+9)="",IF(A112="",A111+$Q$10,A112),INDEX('Test schedule'!E:E,ROW()+9)+'Date Calculators'!$B$2+E111))</f>
        <v/>
      </c>
      <c r="C111" s="74" t="str" cm="1">
        <f t="array" ref="C111">IF(A111="","",INDEX('Test schedule'!J:J,ROW()+9))</f>
        <v/>
      </c>
      <c r="D111" s="74" t="str">
        <f>IFERROR(IF(A111="","",'Event Info'!$B$2),"")</f>
        <v/>
      </c>
      <c r="E111" cm="1">
        <f t="array" ref="E111">IF(INDEX('Test schedule'!B:B,ROW()+9)="START",E110+1,E110+0)</f>
        <v>5</v>
      </c>
      <c r="F111" s="82" t="str">
        <f>IF(A111&lt;&gt;"",_xlfn.CONCAT(TEXT(A111,"yyyy-mm-dd"),"T",TEXT(A111,"hh:mm:ss"),'Event Info'!$B$5,",",," ",C111),"")</f>
        <v/>
      </c>
      <c r="G111" t="e">
        <f t="shared" si="2"/>
        <v>#VALUE!</v>
      </c>
      <c r="H111" s="92" t="str">
        <f t="shared" si="3"/>
        <v/>
      </c>
      <c r="I111" s="88">
        <v>0</v>
      </c>
    </row>
    <row r="112" spans="1:9" ht="16.899999999999999">
      <c r="A112" s="76" t="str" cm="1">
        <f t="array" ref="A11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Calculators'!$B$2+E112)</f>
        <v/>
      </c>
      <c r="B112" s="76" t="str" cm="1">
        <f t="array" ref="B112">IF(OR(A112=""),"",IF(INDEX('Test schedule'!E:E,ROW()+9)="",IF(A113="",A112+$Q$10,A113),INDEX('Test schedule'!E:E,ROW()+9)+'Date Calculators'!$B$2+E112))</f>
        <v/>
      </c>
      <c r="C112" s="74" t="str" cm="1">
        <f t="array" ref="C112">IF(A112="","",INDEX('Test schedule'!J:J,ROW()+9))</f>
        <v/>
      </c>
      <c r="D112" s="74" t="str">
        <f>IFERROR(IF(A112="","",'Event Info'!$B$2),"")</f>
        <v/>
      </c>
      <c r="E112" cm="1">
        <f t="array" ref="E112">IF(INDEX('Test schedule'!B:B,ROW()+9)="START",E111+1,E111+0)</f>
        <v>5</v>
      </c>
      <c r="F112" s="82" t="str">
        <f>IF(A112&lt;&gt;"",_xlfn.CONCAT(TEXT(A112,"yyyy-mm-dd"),"T",TEXT(A112,"hh:mm:ss"),'Event Info'!$B$5,",",," ",C112),"")</f>
        <v/>
      </c>
      <c r="G112" t="e">
        <f t="shared" si="2"/>
        <v>#VALUE!</v>
      </c>
      <c r="H112" s="92" t="str">
        <f t="shared" si="3"/>
        <v/>
      </c>
      <c r="I112" s="91">
        <v>0</v>
      </c>
    </row>
    <row r="113" spans="1:9">
      <c r="A113" s="76" t="str" cm="1">
        <f t="array" ref="A11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Calculators'!$B$2+E113)</f>
        <v/>
      </c>
      <c r="B113" s="76" t="str" cm="1">
        <f t="array" ref="B113">IF(OR(A113=""),"",IF(INDEX('Test schedule'!E:E,ROW()+9)="",IF(A114="",A113+$Q$10,A114),INDEX('Test schedule'!E:E,ROW()+9)+'Date Calculators'!$B$2+E113))</f>
        <v/>
      </c>
      <c r="C113" s="74" t="str" cm="1">
        <f t="array" ref="C113">IF(A113="","",INDEX('Test schedule'!J:J,ROW()+9))</f>
        <v/>
      </c>
      <c r="D113" s="74" t="str">
        <f>IFERROR(IF(A113="","",'Event Info'!$B$2),"")</f>
        <v/>
      </c>
      <c r="E113" cm="1">
        <f t="array" ref="E113">IF(INDEX('Test schedule'!B:B,ROW()+9)="START",E112+1,E112+0)</f>
        <v>5</v>
      </c>
      <c r="F113" s="82" t="str">
        <f>IF(A113&lt;&gt;"",_xlfn.CONCAT(TEXT(A113,"yyyy-mm-dd"),"T",TEXT(A113,"hh:mm:ss"),'Event Info'!$B$5,",",," ",C113),"")</f>
        <v/>
      </c>
      <c r="G113" t="e">
        <f t="shared" si="2"/>
        <v>#VALUE!</v>
      </c>
      <c r="H113" s="92" t="str">
        <f t="shared" si="3"/>
        <v/>
      </c>
      <c r="I113" s="88">
        <v>0</v>
      </c>
    </row>
    <row r="114" spans="1:9">
      <c r="A114" s="76" t="str" cm="1">
        <f t="array" ref="A11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Calculators'!$B$2+E114)</f>
        <v/>
      </c>
      <c r="B114" s="76" t="str" cm="1">
        <f t="array" ref="B114">IF(OR(A114=""),"",IF(INDEX('Test schedule'!E:E,ROW()+9)="",IF(A115="",A114+$Q$10,A115),INDEX('Test schedule'!E:E,ROW()+9)+'Date Calculators'!$B$2+E114))</f>
        <v/>
      </c>
      <c r="C114" s="74" t="str" cm="1">
        <f t="array" ref="C114">IF(A114="","",INDEX('Test schedule'!J:J,ROW()+9))</f>
        <v/>
      </c>
      <c r="D114" s="74" t="str">
        <f>IFERROR(IF(A114="","",'Event Info'!$B$2),"")</f>
        <v/>
      </c>
      <c r="E114" cm="1">
        <f t="array" ref="E114">IF(INDEX('Test schedule'!B:B,ROW()+9)="START",E113+1,E113+0)</f>
        <v>5</v>
      </c>
      <c r="F114" s="82" t="str">
        <f>IF(A114&lt;&gt;"",_xlfn.CONCAT(TEXT(A114,"yyyy-mm-dd"),"T",TEXT(A114,"hh:mm:ss"),'Event Info'!$B$5,",",," ",C114),"")</f>
        <v/>
      </c>
      <c r="G114" t="e">
        <f t="shared" si="2"/>
        <v>#VALUE!</v>
      </c>
      <c r="H114" s="92" t="str">
        <f t="shared" si="3"/>
        <v/>
      </c>
      <c r="I114" s="88">
        <v>0</v>
      </c>
    </row>
    <row r="115" spans="1:9" ht="16.899999999999999">
      <c r="A115" s="76" t="str" cm="1">
        <f t="array" ref="A11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Calculators'!$B$2+E115)</f>
        <v/>
      </c>
      <c r="B115" s="76" t="str" cm="1">
        <f t="array" ref="B115">IF(OR(A115=""),"",IF(INDEX('Test schedule'!E:E,ROW()+9)="",IF(A116="",A115+$Q$10,A116),INDEX('Test schedule'!E:E,ROW()+9)+'Date Calculators'!$B$2+E115))</f>
        <v/>
      </c>
      <c r="C115" s="74" t="str" cm="1">
        <f t="array" ref="C115">IF(A115="","",INDEX('Test schedule'!J:J,ROW()+9))</f>
        <v/>
      </c>
      <c r="D115" s="74" t="str">
        <f>IFERROR(IF(A115="","",'Event Info'!$B$2),"")</f>
        <v/>
      </c>
      <c r="E115" cm="1">
        <f t="array" ref="E115">IF(INDEX('Test schedule'!B:B,ROW()+9)="START",E114+1,E114+0)</f>
        <v>5</v>
      </c>
      <c r="F115" s="82" t="str">
        <f>IF(A115&lt;&gt;"",_xlfn.CONCAT(TEXT(A115,"yyyy-mm-dd"),"T",TEXT(A115,"hh:mm:ss"),'Event Info'!$B$5,",",," ",C115),"")</f>
        <v/>
      </c>
      <c r="G115" t="e">
        <f t="shared" si="2"/>
        <v>#VALUE!</v>
      </c>
      <c r="H115" s="92" t="str">
        <f t="shared" si="3"/>
        <v/>
      </c>
      <c r="I115" s="91">
        <v>0</v>
      </c>
    </row>
    <row r="116" spans="1:9">
      <c r="A116" s="76" t="str" cm="1">
        <f t="array" ref="A11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Calculators'!$B$2+E116)</f>
        <v/>
      </c>
      <c r="B116" s="76" t="str" cm="1">
        <f t="array" ref="B116">IF(OR(A116=""),"",IF(INDEX('Test schedule'!E:E,ROW()+9)="",IF(A117="",A116+$Q$10,A117),INDEX('Test schedule'!E:E,ROW()+9)+'Date Calculators'!$B$2+E116))</f>
        <v/>
      </c>
      <c r="C116" s="74" t="str" cm="1">
        <f t="array" ref="C116">IF(A116="","",INDEX('Test schedule'!J:J,ROW()+9))</f>
        <v/>
      </c>
      <c r="D116" s="74" t="str">
        <f>IFERROR(IF(A116="","",'Event Info'!$B$2),"")</f>
        <v/>
      </c>
      <c r="E116" cm="1">
        <f t="array" ref="E116">IF(INDEX('Test schedule'!B:B,ROW()+9)="START",E115+1,E115+0)</f>
        <v>5</v>
      </c>
      <c r="F116" s="82" t="str">
        <f>IF(A116&lt;&gt;"",_xlfn.CONCAT(TEXT(A116,"yyyy-mm-dd"),"T",TEXT(A116,"hh:mm:ss"),'Event Info'!$B$5,",",," ",C116),"")</f>
        <v/>
      </c>
      <c r="G116" t="e">
        <f t="shared" si="2"/>
        <v>#VALUE!</v>
      </c>
      <c r="H116" s="92" t="str">
        <f t="shared" si="3"/>
        <v/>
      </c>
      <c r="I116" s="88">
        <v>0</v>
      </c>
    </row>
    <row r="117" spans="1:9">
      <c r="A117" s="76" t="str" cm="1">
        <f t="array" ref="A11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Calculators'!$B$2+E117)</f>
        <v/>
      </c>
      <c r="B117" s="76" t="str" cm="1">
        <f t="array" ref="B117">IF(OR(A117=""),"",IF(INDEX('Test schedule'!E:E,ROW()+9)="",IF(A118="",A117+$Q$10,A118),INDEX('Test schedule'!E:E,ROW()+9)+'Date Calculators'!$B$2+E117))</f>
        <v/>
      </c>
      <c r="C117" s="74" t="str" cm="1">
        <f t="array" ref="C117">IF(A117="","",INDEX('Test schedule'!J:J,ROW()+9))</f>
        <v/>
      </c>
      <c r="D117" s="74" t="str">
        <f>IFERROR(IF(A117="","",'Event Info'!$B$2),"")</f>
        <v/>
      </c>
      <c r="E117" cm="1">
        <f t="array" ref="E117">IF(INDEX('Test schedule'!B:B,ROW()+9)="START",E116+1,E116+0)</f>
        <v>5</v>
      </c>
      <c r="F117" s="82" t="str">
        <f>IF(A117&lt;&gt;"",_xlfn.CONCAT(TEXT(A117,"yyyy-mm-dd"),"T",TEXT(A117,"hh:mm:ss"),'Event Info'!$B$5,",",," ",C117),"")</f>
        <v/>
      </c>
      <c r="G117" t="e">
        <f t="shared" si="2"/>
        <v>#VALUE!</v>
      </c>
      <c r="H117" s="92" t="str">
        <f t="shared" si="3"/>
        <v/>
      </c>
      <c r="I117" s="88">
        <v>0</v>
      </c>
    </row>
    <row r="118" spans="1:9" ht="16.899999999999999">
      <c r="A118" s="76" t="str" cm="1">
        <f t="array" ref="A11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Calculators'!$B$2+E118)</f>
        <v/>
      </c>
      <c r="B118" s="76" t="str" cm="1">
        <f t="array" ref="B118">IF(OR(A118=""),"",IF(INDEX('Test schedule'!E:E,ROW()+9)="",IF(A119="",A118+$Q$10,A119),INDEX('Test schedule'!E:E,ROW()+9)+'Date Calculators'!$B$2+E118))</f>
        <v/>
      </c>
      <c r="C118" s="74" t="str" cm="1">
        <f t="array" ref="C118">IF(A118="","",INDEX('Test schedule'!J:J,ROW()+9))</f>
        <v/>
      </c>
      <c r="D118" s="74" t="str">
        <f>IFERROR(IF(A118="","",'Event Info'!$B$2),"")</f>
        <v/>
      </c>
      <c r="E118" cm="1">
        <f t="array" ref="E118">IF(INDEX('Test schedule'!B:B,ROW()+9)="START",E117+1,E117+0)</f>
        <v>5</v>
      </c>
      <c r="F118" s="82" t="str">
        <f>IF(A118&lt;&gt;"",_xlfn.CONCAT(TEXT(A118,"yyyy-mm-dd"),"T",TEXT(A118,"hh:mm:ss"),'Event Info'!$B$5,",",," ",C118),"")</f>
        <v/>
      </c>
      <c r="G118" t="e">
        <f t="shared" si="2"/>
        <v>#VALUE!</v>
      </c>
      <c r="H118" s="92" t="str">
        <f t="shared" si="3"/>
        <v/>
      </c>
      <c r="I118" s="91">
        <v>0</v>
      </c>
    </row>
    <row r="119" spans="1:9">
      <c r="A119" s="76" t="str" cm="1">
        <f t="array" ref="A11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Calculators'!$B$2+E119)</f>
        <v/>
      </c>
      <c r="B119" s="76" t="str" cm="1">
        <f t="array" ref="B119">IF(OR(A119=""),"",IF(INDEX('Test schedule'!E:E,ROW()+9)="",IF(A120="",A119+$Q$10,A120),INDEX('Test schedule'!E:E,ROW()+9)+'Date Calculators'!$B$2+E119))</f>
        <v/>
      </c>
      <c r="C119" s="74" t="str" cm="1">
        <f t="array" ref="C119">IF(A119="","",INDEX('Test schedule'!J:J,ROW()+9))</f>
        <v/>
      </c>
      <c r="D119" s="74" t="str">
        <f>IFERROR(IF(A119="","",'Event Info'!$B$2),"")</f>
        <v/>
      </c>
      <c r="E119" cm="1">
        <f t="array" ref="E119">IF(INDEX('Test schedule'!B:B,ROW()+9)="START",E118+1,E118+0)</f>
        <v>5</v>
      </c>
      <c r="F119" s="82" t="str">
        <f>IF(A119&lt;&gt;"",_xlfn.CONCAT(TEXT(A119,"yyyy-mm-dd"),"T",TEXT(A119,"hh:mm:ss"),'Event Info'!$B$5,",",," ",C119),"")</f>
        <v/>
      </c>
      <c r="G119" t="e">
        <f t="shared" si="2"/>
        <v>#VALUE!</v>
      </c>
      <c r="H119" s="92" t="str">
        <f t="shared" si="3"/>
        <v/>
      </c>
      <c r="I119" s="88">
        <v>0</v>
      </c>
    </row>
    <row r="120" spans="1:9">
      <c r="A120" s="76" t="str" cm="1">
        <f t="array" ref="A12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Calculators'!$B$2+E120)</f>
        <v/>
      </c>
      <c r="B120" s="76" t="str" cm="1">
        <f t="array" ref="B120">IF(OR(A120=""),"",IF(INDEX('Test schedule'!E:E,ROW()+9)="",IF(A121="",A120+$Q$10,A121),INDEX('Test schedule'!E:E,ROW()+9)+'Date Calculators'!$B$2+E120))</f>
        <v/>
      </c>
      <c r="C120" s="74" t="str" cm="1">
        <f t="array" ref="C120">IF(A120="","",INDEX('Test schedule'!J:J,ROW()+9))</f>
        <v/>
      </c>
      <c r="D120" s="74" t="str">
        <f>IFERROR(IF(A120="","",'Event Info'!$B$2),"")</f>
        <v/>
      </c>
      <c r="E120" cm="1">
        <f t="array" ref="E120">IF(INDEX('Test schedule'!B:B,ROW()+9)="START",E119+1,E119+0)</f>
        <v>5</v>
      </c>
      <c r="F120" s="82" t="str">
        <f>IF(A120&lt;&gt;"",_xlfn.CONCAT(TEXT(A120,"yyyy-mm-dd"),"T",TEXT(A120,"hh:mm:ss"),'Event Info'!$B$5,",",," ",C120),"")</f>
        <v/>
      </c>
      <c r="G120" t="e">
        <f t="shared" si="2"/>
        <v>#VALUE!</v>
      </c>
      <c r="H120" s="92" t="str">
        <f t="shared" si="3"/>
        <v/>
      </c>
      <c r="I120" s="88">
        <v>0</v>
      </c>
    </row>
    <row r="121" spans="1:9" ht="16.899999999999999">
      <c r="A121" s="76" t="str" cm="1">
        <f t="array" ref="A12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Calculators'!$B$2+E121)</f>
        <v/>
      </c>
      <c r="B121" s="76" t="str" cm="1">
        <f t="array" ref="B121">IF(OR(A121=""),"",IF(INDEX('Test schedule'!E:E,ROW()+9)="",IF(A122="",A121+$Q$10,A122),INDEX('Test schedule'!E:E,ROW()+9)+'Date Calculators'!$B$2+E121))</f>
        <v/>
      </c>
      <c r="C121" s="74" t="str" cm="1">
        <f t="array" ref="C121">IF(A121="","",INDEX('Test schedule'!J:J,ROW()+9))</f>
        <v/>
      </c>
      <c r="D121" s="74" t="str">
        <f>IFERROR(IF(A121="","",'Event Info'!$B$2),"")</f>
        <v/>
      </c>
      <c r="E121" cm="1">
        <f t="array" ref="E121">IF(INDEX('Test schedule'!B:B,ROW()+9)="START",E120+1,E120+0)</f>
        <v>5</v>
      </c>
      <c r="F121" s="82" t="str">
        <f>IF(A121&lt;&gt;"",_xlfn.CONCAT(TEXT(A121,"yyyy-mm-dd"),"T",TEXT(A121,"hh:mm:ss"),'Event Info'!$B$5,",",," ",C121),"")</f>
        <v/>
      </c>
      <c r="G121" t="e">
        <f t="shared" si="2"/>
        <v>#VALUE!</v>
      </c>
      <c r="H121" s="92" t="str">
        <f t="shared" si="3"/>
        <v/>
      </c>
      <c r="I121" s="91">
        <v>0</v>
      </c>
    </row>
    <row r="122" spans="1:9">
      <c r="A122" s="76" t="str" cm="1">
        <f t="array" ref="A12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Calculators'!$B$2+E122)</f>
        <v/>
      </c>
      <c r="B122" s="76" t="str" cm="1">
        <f t="array" ref="B122">IF(OR(A122=""),"",IF(INDEX('Test schedule'!E:E,ROW()+9)="",IF(A123="",A122+$Q$10,A123),INDEX('Test schedule'!E:E,ROW()+9)+'Date Calculators'!$B$2+E122))</f>
        <v/>
      </c>
      <c r="C122" s="74" t="str" cm="1">
        <f t="array" ref="C122">IF(A122="","",INDEX('Test schedule'!J:J,ROW()+9))</f>
        <v/>
      </c>
      <c r="D122" s="74" t="str">
        <f>IFERROR(IF(A122="","",'Event Info'!$B$2),"")</f>
        <v/>
      </c>
      <c r="E122" cm="1">
        <f t="array" ref="E122">IF(INDEX('Test schedule'!B:B,ROW()+9)="START",E121+1,E121+0)</f>
        <v>5</v>
      </c>
      <c r="F122" s="82" t="str">
        <f>IF(A122&lt;&gt;"",_xlfn.CONCAT(TEXT(A122,"yyyy-mm-dd"),"T",TEXT(A122,"hh:mm:ss"),'Event Info'!$B$5,",",," ",C122),"")</f>
        <v/>
      </c>
      <c r="G122" t="e">
        <f t="shared" si="2"/>
        <v>#VALUE!</v>
      </c>
      <c r="H122" s="92" t="str">
        <f t="shared" si="3"/>
        <v/>
      </c>
      <c r="I122" s="88">
        <v>0</v>
      </c>
    </row>
    <row r="123" spans="1:9">
      <c r="A123" s="76" t="str" cm="1">
        <f t="array" ref="A12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Calculators'!$B$2+E123)</f>
        <v/>
      </c>
      <c r="B123" s="76" t="str" cm="1">
        <f t="array" ref="B123">IF(OR(A123=""),"",IF(INDEX('Test schedule'!E:E,ROW()+9)="",IF(A124="",A123+$Q$10,A124),INDEX('Test schedule'!E:E,ROW()+9)+'Date Calculators'!$B$2+E123))</f>
        <v/>
      </c>
      <c r="C123" s="74" t="str" cm="1">
        <f t="array" ref="C123">IF(A123="","",INDEX('Test schedule'!J:J,ROW()+9))</f>
        <v/>
      </c>
      <c r="D123" s="74" t="str">
        <f>IFERROR(IF(A123="","",'Event Info'!$B$2),"")</f>
        <v/>
      </c>
      <c r="E123" cm="1">
        <f t="array" ref="E123">IF(INDEX('Test schedule'!B:B,ROW()+9)="START",E122+1,E122+0)</f>
        <v>5</v>
      </c>
      <c r="F123" s="82" t="str">
        <f>IF(A123&lt;&gt;"",_xlfn.CONCAT(TEXT(A123,"yyyy-mm-dd"),"T",TEXT(A123,"hh:mm:ss"),'Event Info'!$B$5,",",," ",C123),"")</f>
        <v/>
      </c>
      <c r="G123" t="e">
        <f t="shared" si="2"/>
        <v>#VALUE!</v>
      </c>
      <c r="H123" s="92" t="str">
        <f t="shared" si="3"/>
        <v/>
      </c>
      <c r="I123" s="88">
        <v>0</v>
      </c>
    </row>
    <row r="124" spans="1:9" ht="16.899999999999999">
      <c r="A124" s="76" t="str" cm="1">
        <f t="array" ref="A12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Calculators'!$B$2+E124)</f>
        <v/>
      </c>
      <c r="B124" s="76" t="str" cm="1">
        <f t="array" ref="B124">IF(OR(A124=""),"",IF(INDEX('Test schedule'!E:E,ROW()+9)="",IF(A125="",A124+$Q$10,A125),INDEX('Test schedule'!E:E,ROW()+9)+'Date Calculators'!$B$2+E124))</f>
        <v/>
      </c>
      <c r="C124" s="74" t="str" cm="1">
        <f t="array" ref="C124">IF(A124="","",INDEX('Test schedule'!J:J,ROW()+9))</f>
        <v/>
      </c>
      <c r="D124" s="74" t="str">
        <f>IFERROR(IF(A124="","",'Event Info'!$B$2),"")</f>
        <v/>
      </c>
      <c r="E124" cm="1">
        <f t="array" ref="E124">IF(INDEX('Test schedule'!B:B,ROW()+9)="START",E123+1,E123+0)</f>
        <v>5</v>
      </c>
      <c r="F124" s="82" t="str">
        <f>IF(A124&lt;&gt;"",_xlfn.CONCAT(TEXT(A124,"yyyy-mm-dd"),"T",TEXT(A124,"hh:mm:ss"),'Event Info'!$B$5,",",," ",C124),"")</f>
        <v/>
      </c>
      <c r="G124" t="e">
        <f t="shared" si="2"/>
        <v>#VALUE!</v>
      </c>
      <c r="H124" s="92" t="str">
        <f t="shared" si="3"/>
        <v/>
      </c>
      <c r="I124" s="91">
        <v>0</v>
      </c>
    </row>
    <row r="125" spans="1:9">
      <c r="A125" s="76" t="str" cm="1">
        <f t="array" ref="A12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Calculators'!$B$2+E125)</f>
        <v/>
      </c>
      <c r="B125" s="76" t="str" cm="1">
        <f t="array" ref="B125">IF(OR(A125=""),"",IF(INDEX('Test schedule'!E:E,ROW()+9)="",IF(A126="",A125+$Q$10,A126),INDEX('Test schedule'!E:E,ROW()+9)+'Date Calculators'!$B$2+E125))</f>
        <v/>
      </c>
      <c r="C125" s="74" t="str" cm="1">
        <f t="array" ref="C125">IF(A125="","",INDEX('Test schedule'!J:J,ROW()+9))</f>
        <v/>
      </c>
      <c r="D125" s="74" t="str">
        <f>IFERROR(IF(A125="","",'Event Info'!$B$2),"")</f>
        <v/>
      </c>
      <c r="E125" cm="1">
        <f t="array" ref="E125">IF(INDEX('Test schedule'!B:B,ROW()+9)="START",E124+1,E124+0)</f>
        <v>5</v>
      </c>
      <c r="F125" s="82" t="str">
        <f>IF(A125&lt;&gt;"",_xlfn.CONCAT(TEXT(A125,"yyyy-mm-dd"),"T",TEXT(A125,"hh:mm:ss"),'Event Info'!$B$5,",",," ",C125),"")</f>
        <v/>
      </c>
      <c r="G125" t="e">
        <f t="shared" si="2"/>
        <v>#VALUE!</v>
      </c>
      <c r="H125" s="92" t="str">
        <f t="shared" si="3"/>
        <v/>
      </c>
      <c r="I125" s="88">
        <v>0</v>
      </c>
    </row>
    <row r="126" spans="1:9">
      <c r="A126" s="76" t="str" cm="1">
        <f t="array" ref="A12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Calculators'!$B$2+E126)</f>
        <v/>
      </c>
      <c r="B126" s="76" t="str" cm="1">
        <f t="array" ref="B126">IF(OR(A126=""),"",IF(INDEX('Test schedule'!E:E,ROW()+9)="",IF(A127="",A126+$Q$10,A127),INDEX('Test schedule'!E:E,ROW()+9)+'Date Calculators'!$B$2+E126))</f>
        <v/>
      </c>
      <c r="C126" s="74" t="str" cm="1">
        <f t="array" ref="C126">IF(A126="","",INDEX('Test schedule'!J:J,ROW()+9))</f>
        <v/>
      </c>
      <c r="D126" s="74" t="str">
        <f>IFERROR(IF(A126="","",'Event Info'!$B$2),"")</f>
        <v/>
      </c>
      <c r="E126" cm="1">
        <f t="array" ref="E126">IF(INDEX('Test schedule'!B:B,ROW()+9)="START",E125+1,E125+0)</f>
        <v>5</v>
      </c>
      <c r="F126" s="82" t="str">
        <f>IF(A126&lt;&gt;"",_xlfn.CONCAT(TEXT(A126,"yyyy-mm-dd"),"T",TEXT(A126,"hh:mm:ss"),'Event Info'!$B$5,",",," ",C126),"")</f>
        <v/>
      </c>
      <c r="G126" t="e">
        <f t="shared" si="2"/>
        <v>#VALUE!</v>
      </c>
      <c r="H126" s="92" t="str">
        <f t="shared" si="3"/>
        <v/>
      </c>
      <c r="I126" s="88">
        <v>0</v>
      </c>
    </row>
    <row r="127" spans="1:9" ht="16.899999999999999">
      <c r="A127" s="76" t="str" cm="1">
        <f t="array" ref="A12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Calculators'!$B$2+E127)</f>
        <v/>
      </c>
      <c r="B127" s="76" t="str" cm="1">
        <f t="array" ref="B127">IF(OR(A127=""),"",IF(INDEX('Test schedule'!E:E,ROW()+9)="",IF(A128="",A127+$Q$10,A128),INDEX('Test schedule'!E:E,ROW()+9)+'Date Calculators'!$B$2+E127))</f>
        <v/>
      </c>
      <c r="C127" s="74" t="str" cm="1">
        <f t="array" ref="C127">IF(A127="","",INDEX('Test schedule'!J:J,ROW()+9))</f>
        <v/>
      </c>
      <c r="D127" s="74" t="str">
        <f>IFERROR(IF(A127="","",'Event Info'!$B$2),"")</f>
        <v/>
      </c>
      <c r="E127" cm="1">
        <f t="array" ref="E127">IF(INDEX('Test schedule'!B:B,ROW()+9)="START",E126+1,E126+0)</f>
        <v>5</v>
      </c>
      <c r="F127" s="82" t="str">
        <f>IF(A127&lt;&gt;"",_xlfn.CONCAT(TEXT(A127,"yyyy-mm-dd"),"T",TEXT(A127,"hh:mm:ss"),'Event Info'!$B$5,",",," ",C127),"")</f>
        <v/>
      </c>
      <c r="G127" t="e">
        <f t="shared" si="2"/>
        <v>#VALUE!</v>
      </c>
      <c r="H127" s="92" t="str">
        <f t="shared" si="3"/>
        <v/>
      </c>
      <c r="I127" s="91">
        <v>0</v>
      </c>
    </row>
    <row r="128" spans="1:9">
      <c r="A128" s="76" t="str" cm="1">
        <f t="array" ref="A12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Calculators'!$B$2+E128)</f>
        <v/>
      </c>
      <c r="B128" s="76" t="str" cm="1">
        <f t="array" ref="B128">IF(OR(A128=""),"",IF(INDEX('Test schedule'!E:E,ROW()+9)="",IF(A129="",A128+$Q$10,A129),INDEX('Test schedule'!E:E,ROW()+9)+'Date Calculators'!$B$2+E128))</f>
        <v/>
      </c>
      <c r="C128" s="74" t="str" cm="1">
        <f t="array" ref="C128">IF(A128="","",INDEX('Test schedule'!J:J,ROW()+9))</f>
        <v/>
      </c>
      <c r="D128" s="74" t="str">
        <f>IFERROR(IF(A128="","",'Event Info'!$B$2),"")</f>
        <v/>
      </c>
      <c r="E128" cm="1">
        <f t="array" ref="E128">IF(INDEX('Test schedule'!B:B,ROW()+9)="START",E127+1,E127+0)</f>
        <v>5</v>
      </c>
      <c r="F128" s="82" t="str">
        <f>IF(A128&lt;&gt;"",_xlfn.CONCAT(TEXT(A128,"yyyy-mm-dd"),"T",TEXT(A128,"hh:mm:ss"),'Event Info'!$B$5,",",," ",C128),"")</f>
        <v/>
      </c>
      <c r="G128" t="e">
        <f t="shared" si="2"/>
        <v>#VALUE!</v>
      </c>
      <c r="H128" s="92" t="str">
        <f t="shared" si="3"/>
        <v/>
      </c>
      <c r="I128" s="88">
        <v>0</v>
      </c>
    </row>
    <row r="129" spans="1:9">
      <c r="A129" s="76" t="str" cm="1">
        <f t="array" ref="A12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Calculators'!$B$2+E129)</f>
        <v/>
      </c>
      <c r="B129" s="76" t="str" cm="1">
        <f t="array" ref="B129">IF(OR(A129=""),"",IF(INDEX('Test schedule'!E:E,ROW()+9)="",IF(A130="",A129+$Q$10,A130),INDEX('Test schedule'!E:E,ROW()+9)+'Date Calculators'!$B$2+E129))</f>
        <v/>
      </c>
      <c r="C129" s="74" t="str" cm="1">
        <f t="array" ref="C129">IF(A129="","",INDEX('Test schedule'!J:J,ROW()+9))</f>
        <v/>
      </c>
      <c r="D129" s="74" t="str">
        <f>IFERROR(IF(A129="","",'Event Info'!$B$2),"")</f>
        <v/>
      </c>
      <c r="E129" cm="1">
        <f t="array" ref="E129">IF(INDEX('Test schedule'!B:B,ROW()+9)="START",E128+1,E128+0)</f>
        <v>5</v>
      </c>
      <c r="F129" s="82" t="str">
        <f>IF(A129&lt;&gt;"",_xlfn.CONCAT(TEXT(A129,"yyyy-mm-dd"),"T",TEXT(A129,"hh:mm:ss"),'Event Info'!$B$5,",",," ",C129),"")</f>
        <v/>
      </c>
      <c r="G129" t="e">
        <f t="shared" si="2"/>
        <v>#VALUE!</v>
      </c>
      <c r="H129" s="92" t="str">
        <f t="shared" si="3"/>
        <v/>
      </c>
      <c r="I129" s="88">
        <v>0</v>
      </c>
    </row>
    <row r="130" spans="1:9" ht="16.899999999999999">
      <c r="A130" s="76" t="str" cm="1">
        <f t="array" ref="A13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Calculators'!$B$2+E130)</f>
        <v/>
      </c>
      <c r="B130" s="76" t="str" cm="1">
        <f t="array" ref="B130">IF(OR(A130=""),"",IF(INDEX('Test schedule'!E:E,ROW()+9)="",IF(A131="",A130+$Q$10,A131),INDEX('Test schedule'!E:E,ROW()+9)+'Date Calculators'!$B$2+E130))</f>
        <v/>
      </c>
      <c r="C130" s="74" t="str" cm="1">
        <f t="array" ref="C130">IF(A130="","",INDEX('Test schedule'!J:J,ROW()+9))</f>
        <v/>
      </c>
      <c r="D130" s="74" t="str">
        <f>IFERROR(IF(A130="","",'Event Info'!$B$2),"")</f>
        <v/>
      </c>
      <c r="E130" cm="1">
        <f t="array" ref="E130">IF(INDEX('Test schedule'!B:B,ROW()+9)="START",E129+1,E129+0)</f>
        <v>5</v>
      </c>
      <c r="F130" s="82" t="str">
        <f>IF(A130&lt;&gt;"",_xlfn.CONCAT(TEXT(A130,"yyyy-mm-dd"),"T",TEXT(A130,"hh:mm:ss"),'Event Info'!$B$5,",",," ",C130),"")</f>
        <v/>
      </c>
      <c r="G130" t="e">
        <f t="shared" si="2"/>
        <v>#VALUE!</v>
      </c>
      <c r="H130" s="92" t="str">
        <f t="shared" si="3"/>
        <v/>
      </c>
      <c r="I130" s="91">
        <v>0</v>
      </c>
    </row>
    <row r="131" spans="1:9">
      <c r="A131" s="76" t="str" cm="1">
        <f t="array" ref="A13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Calculators'!$B$2+E131)</f>
        <v/>
      </c>
      <c r="B131" s="76" t="str" cm="1">
        <f t="array" ref="B131">IF(OR(A131=""),"",IF(INDEX('Test schedule'!E:E,ROW()+9)="",IF(A132="",A131+$Q$10,A132),INDEX('Test schedule'!E:E,ROW()+9)+'Date Calculators'!$B$2+E131))</f>
        <v/>
      </c>
      <c r="C131" s="74" t="str" cm="1">
        <f t="array" ref="C131">IF(A131="","",INDEX('Test schedule'!J:J,ROW()+9))</f>
        <v/>
      </c>
      <c r="D131" s="74" t="str">
        <f>IFERROR(IF(A131="","",'Event Info'!$B$2),"")</f>
        <v/>
      </c>
      <c r="E131" cm="1">
        <f t="array" ref="E131">IF(INDEX('Test schedule'!B:B,ROW()+9)="START",E130+1,E130+0)</f>
        <v>5</v>
      </c>
      <c r="F131" s="82" t="str">
        <f>IF(A131&lt;&gt;"",_xlfn.CONCAT(TEXT(A131,"yyyy-mm-dd"),"T",TEXT(A131,"hh:mm:ss"),'Event Info'!$B$5,",",," ",C131),"")</f>
        <v/>
      </c>
      <c r="G131" t="e">
        <f t="shared" ref="G131:G194" si="4">G130+IF(A131&lt;&gt;"",1,0)</f>
        <v>#VALUE!</v>
      </c>
      <c r="H131" s="92" t="str">
        <f t="shared" si="3"/>
        <v/>
      </c>
      <c r="I131" s="88">
        <v>0</v>
      </c>
    </row>
    <row r="132" spans="1:9">
      <c r="A132" s="76" t="str" cm="1">
        <f t="array" ref="A13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Calculators'!$B$2+E132)</f>
        <v/>
      </c>
      <c r="B132" s="76" t="str" cm="1">
        <f t="array" ref="B132">IF(OR(A132=""),"",IF(INDEX('Test schedule'!E:E,ROW()+9)="",IF(A133="",A132+$Q$10,A133),INDEX('Test schedule'!E:E,ROW()+9)+'Date Calculators'!$B$2+E132))</f>
        <v/>
      </c>
      <c r="C132" s="74" t="str" cm="1">
        <f t="array" ref="C132">IF(A132="","",INDEX('Test schedule'!J:J,ROW()+9))</f>
        <v/>
      </c>
      <c r="D132" s="74" t="str">
        <f>IFERROR(IF(A132="","",'Event Info'!$B$2),"")</f>
        <v/>
      </c>
      <c r="E132" cm="1">
        <f t="array" ref="E132">IF(INDEX('Test schedule'!B:B,ROW()+9)="START",E131+1,E131+0)</f>
        <v>5</v>
      </c>
      <c r="F132" s="82" t="str">
        <f>IF(A132&lt;&gt;"",_xlfn.CONCAT(TEXT(A132,"yyyy-mm-dd"),"T",TEXT(A132,"hh:mm:ss"),'Event Info'!$B$5,",",," ",C132),"")</f>
        <v/>
      </c>
      <c r="G132" t="e">
        <f t="shared" si="4"/>
        <v>#VALUE!</v>
      </c>
      <c r="H132" s="92" t="str">
        <f t="shared" ref="H132:H195" si="5">IFERROR(INDEX($F$2:$F$500,MATCH(ROW()-1,$G$2:$G$500,0)),"")</f>
        <v/>
      </c>
      <c r="I132" s="88">
        <v>0</v>
      </c>
    </row>
    <row r="133" spans="1:9" ht="16.899999999999999">
      <c r="A133" s="76" t="str" cm="1">
        <f t="array" ref="A13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Calculators'!$B$2+E133)</f>
        <v/>
      </c>
      <c r="B133" s="76" t="str" cm="1">
        <f t="array" ref="B133">IF(OR(A133=""),"",IF(INDEX('Test schedule'!E:E,ROW()+9)="",IF(A134="",A133+$Q$10,A134),INDEX('Test schedule'!E:E,ROW()+9)+'Date Calculators'!$B$2+E133))</f>
        <v/>
      </c>
      <c r="C133" s="74" t="str" cm="1">
        <f t="array" ref="C133">IF(A133="","",INDEX('Test schedule'!J:J,ROW()+9))</f>
        <v/>
      </c>
      <c r="D133" s="74" t="str">
        <f>IFERROR(IF(A133="","",'Event Info'!$B$2),"")</f>
        <v/>
      </c>
      <c r="E133" cm="1">
        <f t="array" ref="E133">IF(INDEX('Test schedule'!B:B,ROW()+9)="START",E132+1,E132+0)</f>
        <v>5</v>
      </c>
      <c r="F133" s="82" t="str">
        <f>IF(A133&lt;&gt;"",_xlfn.CONCAT(TEXT(A133,"yyyy-mm-dd"),"T",TEXT(A133,"hh:mm:ss"),'Event Info'!$B$5,",",," ",C133),"")</f>
        <v/>
      </c>
      <c r="G133" t="e">
        <f t="shared" si="4"/>
        <v>#VALUE!</v>
      </c>
      <c r="H133" s="92" t="str">
        <f t="shared" si="5"/>
        <v/>
      </c>
      <c r="I133" s="91">
        <v>0</v>
      </c>
    </row>
    <row r="134" spans="1:9">
      <c r="A134" s="76" t="str" cm="1">
        <f t="array" ref="A13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Calculators'!$B$2+E134)</f>
        <v/>
      </c>
      <c r="B134" s="76" t="str" cm="1">
        <f t="array" ref="B134">IF(OR(A134=""),"",IF(INDEX('Test schedule'!E:E,ROW()+9)="",IF(A135="",A134+$Q$10,A135),INDEX('Test schedule'!E:E,ROW()+9)+'Date Calculators'!$B$2+E134))</f>
        <v/>
      </c>
      <c r="C134" s="74" t="str" cm="1">
        <f t="array" ref="C134">IF(A134="","",INDEX('Test schedule'!J:J,ROW()+9))</f>
        <v/>
      </c>
      <c r="D134" s="74" t="str">
        <f>IFERROR(IF(A134="","",'Event Info'!$B$2),"")</f>
        <v/>
      </c>
      <c r="E134" cm="1">
        <f t="array" ref="E134">IF(INDEX('Test schedule'!B:B,ROW()+9)="START",E133+1,E133+0)</f>
        <v>5</v>
      </c>
      <c r="F134" s="82" t="str">
        <f>IF(A134&lt;&gt;"",_xlfn.CONCAT(TEXT(A134,"yyyy-mm-dd"),"T",TEXT(A134,"hh:mm:ss"),'Event Info'!$B$5,",",," ",C134),"")</f>
        <v/>
      </c>
      <c r="G134" t="e">
        <f t="shared" si="4"/>
        <v>#VALUE!</v>
      </c>
      <c r="H134" s="92" t="str">
        <f t="shared" si="5"/>
        <v/>
      </c>
      <c r="I134" s="88">
        <v>0</v>
      </c>
    </row>
    <row r="135" spans="1:9">
      <c r="A135" s="76" t="str" cm="1">
        <f t="array" ref="A13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Calculators'!$B$2+E135)</f>
        <v/>
      </c>
      <c r="B135" s="76" t="str" cm="1">
        <f t="array" ref="B135">IF(OR(A135=""),"",IF(INDEX('Test schedule'!E:E,ROW()+9)="",IF(A136="",A135+$Q$10,A136),INDEX('Test schedule'!E:E,ROW()+9)+'Date Calculators'!$B$2+E135))</f>
        <v/>
      </c>
      <c r="C135" s="74" t="str" cm="1">
        <f t="array" ref="C135">IF(A135="","",INDEX('Test schedule'!J:J,ROW()+9))</f>
        <v/>
      </c>
      <c r="D135" s="74" t="str">
        <f>IFERROR(IF(A135="","",'Event Info'!$B$2),"")</f>
        <v/>
      </c>
      <c r="E135" cm="1">
        <f t="array" ref="E135">IF(INDEX('Test schedule'!B:B,ROW()+9)="START",E134+1,E134+0)</f>
        <v>5</v>
      </c>
      <c r="F135" s="82" t="str">
        <f>IF(A135&lt;&gt;"",_xlfn.CONCAT(TEXT(A135,"yyyy-mm-dd"),"T",TEXT(A135,"hh:mm:ss"),'Event Info'!$B$5,",",," ",C135),"")</f>
        <v/>
      </c>
      <c r="G135" t="e">
        <f t="shared" si="4"/>
        <v>#VALUE!</v>
      </c>
      <c r="H135" s="92" t="str">
        <f t="shared" si="5"/>
        <v/>
      </c>
      <c r="I135" s="88">
        <v>0</v>
      </c>
    </row>
    <row r="136" spans="1:9" ht="16.899999999999999">
      <c r="A136" s="76" t="str" cm="1">
        <f t="array" ref="A13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Calculators'!$B$2+E136)</f>
        <v/>
      </c>
      <c r="B136" s="76" t="str" cm="1">
        <f t="array" ref="B136">IF(OR(A136=""),"",IF(INDEX('Test schedule'!E:E,ROW()+9)="",IF(A137="",A136+$Q$10,A137),INDEX('Test schedule'!E:E,ROW()+9)+'Date Calculators'!$B$2+E136))</f>
        <v/>
      </c>
      <c r="C136" s="74" t="str" cm="1">
        <f t="array" ref="C136">IF(A136="","",INDEX('Test schedule'!J:J,ROW()+9))</f>
        <v/>
      </c>
      <c r="D136" s="74" t="str">
        <f>IFERROR(IF(A136="","",'Event Info'!$B$2),"")</f>
        <v/>
      </c>
      <c r="E136" cm="1">
        <f t="array" ref="E136">IF(INDEX('Test schedule'!B:B,ROW()+9)="START",E135+1,E135+0)</f>
        <v>5</v>
      </c>
      <c r="F136" s="82" t="str">
        <f>IF(A136&lt;&gt;"",_xlfn.CONCAT(TEXT(A136,"yyyy-mm-dd"),"T",TEXT(A136,"hh:mm:ss"),'Event Info'!$B$5,",",," ",C136),"")</f>
        <v/>
      </c>
      <c r="G136" t="e">
        <f t="shared" si="4"/>
        <v>#VALUE!</v>
      </c>
      <c r="H136" s="92" t="str">
        <f t="shared" si="5"/>
        <v/>
      </c>
      <c r="I136" s="91">
        <v>0</v>
      </c>
    </row>
    <row r="137" spans="1:9">
      <c r="A137" s="76" t="str" cm="1">
        <f t="array" ref="A13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Calculators'!$B$2+E137)</f>
        <v/>
      </c>
      <c r="B137" s="76" t="str" cm="1">
        <f t="array" ref="B137">IF(OR(A137=""),"",IF(INDEX('Test schedule'!E:E,ROW()+9)="",IF(A138="",A137+$Q$10,A138),INDEX('Test schedule'!E:E,ROW()+9)+'Date Calculators'!$B$2+E137))</f>
        <v/>
      </c>
      <c r="C137" s="74" t="str" cm="1">
        <f t="array" ref="C137">IF(A137="","",INDEX('Test schedule'!J:J,ROW()+9))</f>
        <v/>
      </c>
      <c r="D137" s="74" t="str">
        <f>IFERROR(IF(A137="","",'Event Info'!$B$2),"")</f>
        <v/>
      </c>
      <c r="E137" cm="1">
        <f t="array" ref="E137">IF(INDEX('Test schedule'!B:B,ROW()+9)="START",E136+1,E136+0)</f>
        <v>5</v>
      </c>
      <c r="F137" s="82" t="str">
        <f>IF(A137&lt;&gt;"",_xlfn.CONCAT(TEXT(A137,"yyyy-mm-dd"),"T",TEXT(A137,"hh:mm:ss"),'Event Info'!$B$5,",",," ",C137),"")</f>
        <v/>
      </c>
      <c r="G137" t="e">
        <f t="shared" si="4"/>
        <v>#VALUE!</v>
      </c>
      <c r="H137" s="92" t="str">
        <f t="shared" si="5"/>
        <v/>
      </c>
      <c r="I137" s="88">
        <v>0</v>
      </c>
    </row>
    <row r="138" spans="1:9">
      <c r="A138" s="76" t="str" cm="1">
        <f t="array" ref="A13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Calculators'!$B$2+E138)</f>
        <v/>
      </c>
      <c r="B138" s="76" t="str" cm="1">
        <f t="array" ref="B138">IF(OR(A138=""),"",IF(INDEX('Test schedule'!E:E,ROW()+9)="",IF(A139="",A138+$Q$10,A139),INDEX('Test schedule'!E:E,ROW()+9)+'Date Calculators'!$B$2+E138))</f>
        <v/>
      </c>
      <c r="C138" s="74" t="str" cm="1">
        <f t="array" ref="C138">IF(A138="","",INDEX('Test schedule'!J:J,ROW()+9))</f>
        <v/>
      </c>
      <c r="D138" s="74" t="str">
        <f>IFERROR(IF(A138="","",'Event Info'!$B$2),"")</f>
        <v/>
      </c>
      <c r="E138" cm="1">
        <f t="array" ref="E138">IF(INDEX('Test schedule'!B:B,ROW()+9)="START",E137+1,E137+0)</f>
        <v>5</v>
      </c>
      <c r="F138" s="82" t="str">
        <f>IF(A138&lt;&gt;"",_xlfn.CONCAT(TEXT(A138,"yyyy-mm-dd"),"T",TEXT(A138,"hh:mm:ss"),'Event Info'!$B$5,",",," ",C138),"")</f>
        <v/>
      </c>
      <c r="G138" t="e">
        <f t="shared" si="4"/>
        <v>#VALUE!</v>
      </c>
      <c r="H138" s="92" t="str">
        <f t="shared" si="5"/>
        <v/>
      </c>
      <c r="I138" s="88">
        <v>0</v>
      </c>
    </row>
    <row r="139" spans="1:9" ht="16.899999999999999">
      <c r="A139" s="76" t="str" cm="1">
        <f t="array" ref="A13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Calculators'!$B$2+E139)</f>
        <v/>
      </c>
      <c r="B139" s="76" t="str" cm="1">
        <f t="array" ref="B139">IF(OR(A139=""),"",IF(INDEX('Test schedule'!E:E,ROW()+9)="",IF(A140="",A139+$Q$10,A140),INDEX('Test schedule'!E:E,ROW()+9)+'Date Calculators'!$B$2+E139))</f>
        <v/>
      </c>
      <c r="C139" s="74" t="str" cm="1">
        <f t="array" ref="C139">IF(A139="","",INDEX('Test schedule'!J:J,ROW()+9))</f>
        <v/>
      </c>
      <c r="D139" s="74" t="str">
        <f>IFERROR(IF(A139="","",'Event Info'!$B$2),"")</f>
        <v/>
      </c>
      <c r="E139" cm="1">
        <f t="array" ref="E139">IF(INDEX('Test schedule'!B:B,ROW()+9)="START",E138+1,E138+0)</f>
        <v>5</v>
      </c>
      <c r="F139" s="82" t="str">
        <f>IF(A139&lt;&gt;"",_xlfn.CONCAT(TEXT(A139,"yyyy-mm-dd"),"T",TEXT(A139,"hh:mm:ss"),'Event Info'!$B$5,",",," ",C139),"")</f>
        <v/>
      </c>
      <c r="G139" t="e">
        <f t="shared" si="4"/>
        <v>#VALUE!</v>
      </c>
      <c r="H139" s="92" t="str">
        <f t="shared" si="5"/>
        <v/>
      </c>
      <c r="I139" s="91">
        <v>0</v>
      </c>
    </row>
    <row r="140" spans="1:9">
      <c r="A140" s="76" t="str" cm="1">
        <f t="array" ref="A14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Calculators'!$B$2+E140)</f>
        <v/>
      </c>
      <c r="B140" s="76" t="str" cm="1">
        <f t="array" ref="B140">IF(OR(A140=""),"",IF(INDEX('Test schedule'!E:E,ROW()+9)="",IF(A141="",A140+$Q$10,A141),INDEX('Test schedule'!E:E,ROW()+9)+'Date Calculators'!$B$2+E140))</f>
        <v/>
      </c>
      <c r="C140" s="74" t="str" cm="1">
        <f t="array" ref="C140">IF(A140="","",INDEX('Test schedule'!J:J,ROW()+9))</f>
        <v/>
      </c>
      <c r="D140" s="74" t="str">
        <f>IFERROR(IF(A140="","",'Event Info'!$B$2),"")</f>
        <v/>
      </c>
      <c r="E140" cm="1">
        <f t="array" ref="E140">IF(INDEX('Test schedule'!B:B,ROW()+9)="START",E139+1,E139+0)</f>
        <v>5</v>
      </c>
      <c r="F140" s="82" t="str">
        <f>IF(A140&lt;&gt;"",_xlfn.CONCAT(TEXT(A140,"yyyy-mm-dd"),"T",TEXT(A140,"hh:mm:ss"),'Event Info'!$B$5,",",," ",C140),"")</f>
        <v/>
      </c>
      <c r="G140" t="e">
        <f t="shared" si="4"/>
        <v>#VALUE!</v>
      </c>
      <c r="H140" s="92" t="str">
        <f t="shared" si="5"/>
        <v/>
      </c>
      <c r="I140" s="88">
        <v>0</v>
      </c>
    </row>
    <row r="141" spans="1:9">
      <c r="A141" s="76" t="str" cm="1">
        <f t="array" ref="A14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Calculators'!$B$2+E141)</f>
        <v/>
      </c>
      <c r="B141" s="76" t="str" cm="1">
        <f t="array" ref="B141">IF(OR(A141=""),"",IF(INDEX('Test schedule'!E:E,ROW()+9)="",IF(A142="",A141+$Q$10,A142),INDEX('Test schedule'!E:E,ROW()+9)+'Date Calculators'!$B$2+E141))</f>
        <v/>
      </c>
      <c r="C141" s="74" t="str" cm="1">
        <f t="array" ref="C141">IF(A141="","",INDEX('Test schedule'!J:J,ROW()+9))</f>
        <v/>
      </c>
      <c r="D141" s="74" t="str">
        <f>IFERROR(IF(A141="","",'Event Info'!$B$2),"")</f>
        <v/>
      </c>
      <c r="E141" cm="1">
        <f t="array" ref="E141">IF(INDEX('Test schedule'!B:B,ROW()+9)="START",E140+1,E140+0)</f>
        <v>5</v>
      </c>
      <c r="F141" s="82" t="str">
        <f>IF(A141&lt;&gt;"",_xlfn.CONCAT(TEXT(A141,"yyyy-mm-dd"),"T",TEXT(A141,"hh:mm:ss"),'Event Info'!$B$5,",",," ",C141),"")</f>
        <v/>
      </c>
      <c r="G141" t="e">
        <f t="shared" si="4"/>
        <v>#VALUE!</v>
      </c>
      <c r="H141" s="92" t="str">
        <f t="shared" si="5"/>
        <v/>
      </c>
      <c r="I141" s="88">
        <v>0</v>
      </c>
    </row>
    <row r="142" spans="1:9" ht="16.899999999999999">
      <c r="A142" s="76" t="str" cm="1">
        <f t="array" ref="A14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Calculators'!$B$2+E142)</f>
        <v/>
      </c>
      <c r="B142" s="76" t="str" cm="1">
        <f t="array" ref="B142">IF(OR(A142=""),"",IF(INDEX('Test schedule'!E:E,ROW()+9)="",IF(A143="",A142+$Q$10,A143),INDEX('Test schedule'!E:E,ROW()+9)+'Date Calculators'!$B$2+E142))</f>
        <v/>
      </c>
      <c r="C142" s="74" t="str" cm="1">
        <f t="array" ref="C142">IF(A142="","",INDEX('Test schedule'!J:J,ROW()+9))</f>
        <v/>
      </c>
      <c r="D142" s="74" t="str">
        <f>IFERROR(IF(A142="","",'Event Info'!$B$2),"")</f>
        <v/>
      </c>
      <c r="E142" cm="1">
        <f t="array" ref="E142">IF(INDEX('Test schedule'!B:B,ROW()+9)="START",E141+1,E141+0)</f>
        <v>5</v>
      </c>
      <c r="F142" s="82" t="str">
        <f>IF(A142&lt;&gt;"",_xlfn.CONCAT(TEXT(A142,"yyyy-mm-dd"),"T",TEXT(A142,"hh:mm:ss"),'Event Info'!$B$5,",",," ",C142),"")</f>
        <v/>
      </c>
      <c r="G142" t="e">
        <f t="shared" si="4"/>
        <v>#VALUE!</v>
      </c>
      <c r="H142" s="92" t="str">
        <f t="shared" si="5"/>
        <v/>
      </c>
      <c r="I142" s="91">
        <v>0</v>
      </c>
    </row>
    <row r="143" spans="1:9">
      <c r="A143" s="76" t="str" cm="1">
        <f t="array" ref="A14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Calculators'!$B$2+E143)</f>
        <v/>
      </c>
      <c r="B143" s="76" t="str" cm="1">
        <f t="array" ref="B143">IF(OR(A143=""),"",IF(INDEX('Test schedule'!E:E,ROW()+9)="",IF(A144="",A143+$Q$10,A144),INDEX('Test schedule'!E:E,ROW()+9)+'Date Calculators'!$B$2+E143))</f>
        <v/>
      </c>
      <c r="C143" s="74" t="str" cm="1">
        <f t="array" ref="C143">IF(A143="","",INDEX('Test schedule'!J:J,ROW()+9))</f>
        <v/>
      </c>
      <c r="D143" s="74" t="str">
        <f>IFERROR(IF(A143="","",'Event Info'!$B$2),"")</f>
        <v/>
      </c>
      <c r="E143" cm="1">
        <f t="array" ref="E143">IF(INDEX('Test schedule'!B:B,ROW()+9)="START",E142+1,E142+0)</f>
        <v>5</v>
      </c>
      <c r="F143" s="82" t="str">
        <f>IF(A143&lt;&gt;"",_xlfn.CONCAT(TEXT(A143,"yyyy-mm-dd"),"T",TEXT(A143,"hh:mm:ss"),'Event Info'!$B$5,",",," ",C143),"")</f>
        <v/>
      </c>
      <c r="G143" t="e">
        <f t="shared" si="4"/>
        <v>#VALUE!</v>
      </c>
      <c r="H143" s="92" t="str">
        <f t="shared" si="5"/>
        <v/>
      </c>
      <c r="I143" s="88">
        <v>0</v>
      </c>
    </row>
    <row r="144" spans="1:9">
      <c r="A144" s="76" t="str" cm="1">
        <f t="array" ref="A14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Calculators'!$B$2+E144)</f>
        <v/>
      </c>
      <c r="B144" s="76" t="str" cm="1">
        <f t="array" ref="B144">IF(OR(A144=""),"",IF(INDEX('Test schedule'!E:E,ROW()+9)="",IF(A145="",A144+$Q$10,A145),INDEX('Test schedule'!E:E,ROW()+9)+'Date Calculators'!$B$2+E144))</f>
        <v/>
      </c>
      <c r="C144" s="74" t="str" cm="1">
        <f t="array" ref="C144">IF(A144="","",INDEX('Test schedule'!J:J,ROW()+9))</f>
        <v/>
      </c>
      <c r="D144" s="74" t="str">
        <f>IFERROR(IF(A144="","",'Event Info'!$B$2),"")</f>
        <v/>
      </c>
      <c r="E144" cm="1">
        <f t="array" ref="E144">IF(INDEX('Test schedule'!B:B,ROW()+9)="START",E143+1,E143+0)</f>
        <v>5</v>
      </c>
      <c r="F144" s="82" t="str">
        <f>IF(A144&lt;&gt;"",_xlfn.CONCAT(TEXT(A144,"yyyy-mm-dd"),"T",TEXT(A144,"hh:mm:ss"),'Event Info'!$B$5,",",," ",C144),"")</f>
        <v/>
      </c>
      <c r="G144" t="e">
        <f t="shared" si="4"/>
        <v>#VALUE!</v>
      </c>
      <c r="H144" s="92" t="str">
        <f t="shared" si="5"/>
        <v/>
      </c>
      <c r="I144" s="88">
        <v>0</v>
      </c>
    </row>
    <row r="145" spans="1:9" ht="16.899999999999999">
      <c r="A145" s="76" t="str" cm="1">
        <f t="array" ref="A14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Calculators'!$B$2+E145)</f>
        <v/>
      </c>
      <c r="B145" s="76" t="str" cm="1">
        <f t="array" ref="B145">IF(OR(A145=""),"",IF(INDEX('Test schedule'!E:E,ROW()+9)="",IF(A146="",A145+$Q$10,A146),INDEX('Test schedule'!E:E,ROW()+9)+'Date Calculators'!$B$2+E145))</f>
        <v/>
      </c>
      <c r="C145" s="74" t="str" cm="1">
        <f t="array" ref="C145">IF(A145="","",INDEX('Test schedule'!J:J,ROW()+9))</f>
        <v/>
      </c>
      <c r="D145" s="74" t="str">
        <f>IFERROR(IF(A145="","",'Event Info'!$B$2),"")</f>
        <v/>
      </c>
      <c r="E145" cm="1">
        <f t="array" ref="E145">IF(INDEX('Test schedule'!B:B,ROW()+9)="START",E144+1,E144+0)</f>
        <v>5</v>
      </c>
      <c r="F145" s="82" t="str">
        <f>IF(A145&lt;&gt;"",_xlfn.CONCAT(TEXT(A145,"yyyy-mm-dd"),"T",TEXT(A145,"hh:mm:ss"),'Event Info'!$B$5,",",," ",C145),"")</f>
        <v/>
      </c>
      <c r="G145" t="e">
        <f t="shared" si="4"/>
        <v>#VALUE!</v>
      </c>
      <c r="H145" s="92" t="str">
        <f t="shared" si="5"/>
        <v/>
      </c>
      <c r="I145" s="91">
        <v>0</v>
      </c>
    </row>
    <row r="146" spans="1:9">
      <c r="A146" s="76" t="str" cm="1">
        <f t="array" ref="A14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Calculators'!$B$2+E146)</f>
        <v/>
      </c>
      <c r="B146" s="76" t="str" cm="1">
        <f t="array" ref="B146">IF(OR(A146=""),"",IF(INDEX('Test schedule'!E:E,ROW()+9)="",IF(A147="",A146+$Q$10,A147),INDEX('Test schedule'!E:E,ROW()+9)+'Date Calculators'!$B$2+E146))</f>
        <v/>
      </c>
      <c r="C146" s="74" t="str" cm="1">
        <f t="array" ref="C146">IF(A146="","",INDEX('Test schedule'!J:J,ROW()+9))</f>
        <v/>
      </c>
      <c r="D146" s="74" t="str">
        <f>IFERROR(IF(A146="","",'Event Info'!$B$2),"")</f>
        <v/>
      </c>
      <c r="E146" cm="1">
        <f t="array" ref="E146">IF(INDEX('Test schedule'!B:B,ROW()+9)="START",E145+1,E145+0)</f>
        <v>5</v>
      </c>
      <c r="F146" s="82" t="str">
        <f>IF(A146&lt;&gt;"",_xlfn.CONCAT(TEXT(A146,"yyyy-mm-dd"),"T",TEXT(A146,"hh:mm:ss"),'Event Info'!$B$5,",",," ",C146),"")</f>
        <v/>
      </c>
      <c r="G146" t="e">
        <f t="shared" si="4"/>
        <v>#VALUE!</v>
      </c>
      <c r="H146" s="92" t="str">
        <f t="shared" si="5"/>
        <v/>
      </c>
      <c r="I146" s="88">
        <v>0</v>
      </c>
    </row>
    <row r="147" spans="1:9">
      <c r="A147" s="76" t="str" cm="1">
        <f t="array" ref="A14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Calculators'!$B$2+E147)</f>
        <v/>
      </c>
      <c r="B147" s="76" t="str" cm="1">
        <f t="array" ref="B147">IF(OR(A147=""),"",IF(INDEX('Test schedule'!E:E,ROW()+9)="",IF(A148="",A147+$Q$10,A148),INDEX('Test schedule'!E:E,ROW()+9)+'Date Calculators'!$B$2+E147))</f>
        <v/>
      </c>
      <c r="C147" s="74" t="str" cm="1">
        <f t="array" ref="C147">IF(A147="","",INDEX('Test schedule'!J:J,ROW()+9))</f>
        <v/>
      </c>
      <c r="D147" s="74" t="str">
        <f>IFERROR(IF(A147="","",'Event Info'!$B$2),"")</f>
        <v/>
      </c>
      <c r="E147" cm="1">
        <f t="array" ref="E147">IF(INDEX('Test schedule'!B:B,ROW()+9)="START",E146+1,E146+0)</f>
        <v>5</v>
      </c>
      <c r="F147" s="82" t="str">
        <f>IF(A147&lt;&gt;"",_xlfn.CONCAT(TEXT(A147,"yyyy-mm-dd"),"T",TEXT(A147,"hh:mm:ss"),'Event Info'!$B$5,",",," ",C147),"")</f>
        <v/>
      </c>
      <c r="G147" t="e">
        <f t="shared" si="4"/>
        <v>#VALUE!</v>
      </c>
      <c r="H147" s="92" t="str">
        <f t="shared" si="5"/>
        <v/>
      </c>
      <c r="I147" s="88">
        <v>0</v>
      </c>
    </row>
    <row r="148" spans="1:9" ht="16.899999999999999">
      <c r="A148" s="76" t="str" cm="1">
        <f t="array" ref="A14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Calculators'!$B$2+E148)</f>
        <v/>
      </c>
      <c r="B148" s="76" t="str" cm="1">
        <f t="array" ref="B148">IF(OR(A148=""),"",IF(INDEX('Test schedule'!E:E,ROW()+9)="",IF(A149="",A148+$Q$10,A149),INDEX('Test schedule'!E:E,ROW()+9)+'Date Calculators'!$B$2+E148))</f>
        <v/>
      </c>
      <c r="C148" s="74" t="str" cm="1">
        <f t="array" ref="C148">IF(A148="","",INDEX('Test schedule'!J:J,ROW()+9))</f>
        <v/>
      </c>
      <c r="D148" s="74" t="str">
        <f>IFERROR(IF(A148="","",'Event Info'!$B$2),"")</f>
        <v/>
      </c>
      <c r="E148" cm="1">
        <f t="array" ref="E148">IF(INDEX('Test schedule'!B:B,ROW()+9)="START",E147+1,E147+0)</f>
        <v>5</v>
      </c>
      <c r="F148" s="82" t="str">
        <f>IF(A148&lt;&gt;"",_xlfn.CONCAT(TEXT(A148,"yyyy-mm-dd"),"T",TEXT(A148,"hh:mm:ss"),'Event Info'!$B$5,",",," ",C148),"")</f>
        <v/>
      </c>
      <c r="G148" t="e">
        <f t="shared" si="4"/>
        <v>#VALUE!</v>
      </c>
      <c r="H148" s="92" t="str">
        <f t="shared" si="5"/>
        <v/>
      </c>
      <c r="I148" s="91">
        <v>0</v>
      </c>
    </row>
    <row r="149" spans="1:9">
      <c r="A149" s="76" t="str" cm="1">
        <f t="array" ref="A14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Calculators'!$B$2+E149)</f>
        <v/>
      </c>
      <c r="B149" s="76" t="str" cm="1">
        <f t="array" ref="B149">IF(OR(A149=""),"",IF(INDEX('Test schedule'!E:E,ROW()+9)="",IF(A150="",A149+$Q$10,A150),INDEX('Test schedule'!E:E,ROW()+9)+'Date Calculators'!$B$2+E149))</f>
        <v/>
      </c>
      <c r="C149" s="74" t="str" cm="1">
        <f t="array" ref="C149">IF(A149="","",INDEX('Test schedule'!J:J,ROW()+9))</f>
        <v/>
      </c>
      <c r="D149" s="74" t="str">
        <f>IFERROR(IF(A149="","",'Event Info'!$B$2),"")</f>
        <v/>
      </c>
      <c r="E149" cm="1">
        <f t="array" ref="E149">IF(INDEX('Test schedule'!B:B,ROW()+9)="START",E148+1,E148+0)</f>
        <v>5</v>
      </c>
      <c r="F149" s="82" t="str">
        <f>IF(A149&lt;&gt;"",_xlfn.CONCAT(TEXT(A149,"yyyy-mm-dd"),"T",TEXT(A149,"hh:mm:ss"),'Event Info'!$B$5,",",," ",C149),"")</f>
        <v/>
      </c>
      <c r="G149" t="e">
        <f t="shared" si="4"/>
        <v>#VALUE!</v>
      </c>
      <c r="H149" s="92" t="str">
        <f t="shared" si="5"/>
        <v/>
      </c>
      <c r="I149" s="88">
        <v>0</v>
      </c>
    </row>
    <row r="150" spans="1:9">
      <c r="A150" s="76" t="str" cm="1">
        <f t="array" ref="A15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Calculators'!$B$2+E150)</f>
        <v/>
      </c>
      <c r="B150" s="76" t="str" cm="1">
        <f t="array" ref="B150">IF(OR(A150=""),"",IF(INDEX('Test schedule'!E:E,ROW()+9)="",IF(A151="",A150+$Q$10,A151),INDEX('Test schedule'!E:E,ROW()+9)+'Date Calculators'!$B$2+E150))</f>
        <v/>
      </c>
      <c r="C150" s="74" t="str" cm="1">
        <f t="array" ref="C150">IF(A150="","",INDEX('Test schedule'!J:J,ROW()+9))</f>
        <v/>
      </c>
      <c r="D150" s="74" t="str">
        <f>IFERROR(IF(A150="","",'Event Info'!$B$2),"")</f>
        <v/>
      </c>
      <c r="E150" cm="1">
        <f t="array" ref="E150">IF(INDEX('Test schedule'!B:B,ROW()+9)="START",E149+1,E149+0)</f>
        <v>5</v>
      </c>
      <c r="F150" s="82" t="str">
        <f>IF(A150&lt;&gt;"",_xlfn.CONCAT(TEXT(A150,"yyyy-mm-dd"),"T",TEXT(A150,"hh:mm:ss"),'Event Info'!$B$5,",",," ",C150),"")</f>
        <v/>
      </c>
      <c r="G150" t="e">
        <f t="shared" si="4"/>
        <v>#VALUE!</v>
      </c>
      <c r="H150" s="92" t="str">
        <f t="shared" si="5"/>
        <v/>
      </c>
      <c r="I150" s="88">
        <v>0</v>
      </c>
    </row>
    <row r="151" spans="1:9" ht="16.899999999999999">
      <c r="A151" s="76" t="str" cm="1">
        <f t="array" ref="A15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Calculators'!$B$2+E151)</f>
        <v/>
      </c>
      <c r="B151" s="76" t="str" cm="1">
        <f t="array" ref="B151">IF(OR(A151=""),"",IF(INDEX('Test schedule'!E:E,ROW()+9)="",IF(A152="",A151+$Q$10,A152),INDEX('Test schedule'!E:E,ROW()+9)+'Date Calculators'!$B$2+E151))</f>
        <v/>
      </c>
      <c r="C151" s="74" t="str" cm="1">
        <f t="array" ref="C151">IF(A151="","",INDEX('Test schedule'!J:J,ROW()+9))</f>
        <v/>
      </c>
      <c r="D151" s="74" t="str">
        <f>IFERROR(IF(A151="","",'Event Info'!$B$2),"")</f>
        <v/>
      </c>
      <c r="E151" cm="1">
        <f t="array" ref="E151">IF(INDEX('Test schedule'!B:B,ROW()+9)="START",E150+1,E150+0)</f>
        <v>5</v>
      </c>
      <c r="F151" s="82" t="str">
        <f>IF(A151&lt;&gt;"",_xlfn.CONCAT(TEXT(A151,"yyyy-mm-dd"),"T",TEXT(A151,"hh:mm:ss"),'Event Info'!$B$5,",",," ",C151),"")</f>
        <v/>
      </c>
      <c r="G151" t="e">
        <f t="shared" si="4"/>
        <v>#VALUE!</v>
      </c>
      <c r="H151" s="92" t="str">
        <f t="shared" si="5"/>
        <v/>
      </c>
      <c r="I151" s="91">
        <v>0</v>
      </c>
    </row>
    <row r="152" spans="1:9">
      <c r="A152" s="76" t="str" cm="1">
        <f t="array" ref="A15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Calculators'!$B$2+E152)</f>
        <v/>
      </c>
      <c r="B152" s="76" t="str" cm="1">
        <f t="array" ref="B152">IF(OR(A152=""),"",IF(INDEX('Test schedule'!E:E,ROW()+9)="",IF(A153="",A152+$Q$10,A153),INDEX('Test schedule'!E:E,ROW()+9)+'Date Calculators'!$B$2+E152))</f>
        <v/>
      </c>
      <c r="C152" s="74" t="str" cm="1">
        <f t="array" ref="C152">IF(A152="","",INDEX('Test schedule'!J:J,ROW()+9))</f>
        <v/>
      </c>
      <c r="D152" s="74" t="str">
        <f>IFERROR(IF(A152="","",'Event Info'!$B$2),"")</f>
        <v/>
      </c>
      <c r="E152" cm="1">
        <f t="array" ref="E152">IF(INDEX('Test schedule'!B:B,ROW()+9)="START",E151+1,E151+0)</f>
        <v>5</v>
      </c>
      <c r="F152" s="82" t="str">
        <f>IF(A152&lt;&gt;"",_xlfn.CONCAT(TEXT(A152,"yyyy-mm-dd"),"T",TEXT(A152,"hh:mm:ss"),'Event Info'!$B$5,",",," ",C152),"")</f>
        <v/>
      </c>
      <c r="G152" t="e">
        <f t="shared" si="4"/>
        <v>#VALUE!</v>
      </c>
      <c r="H152" s="92" t="str">
        <f t="shared" si="5"/>
        <v/>
      </c>
      <c r="I152" s="88">
        <v>0</v>
      </c>
    </row>
    <row r="153" spans="1:9">
      <c r="A153" s="76" t="str" cm="1">
        <f t="array" ref="A15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Calculators'!$B$2+E153)</f>
        <v/>
      </c>
      <c r="B153" s="76" t="str" cm="1">
        <f t="array" ref="B153">IF(OR(A153=""),"",IF(INDEX('Test schedule'!E:E,ROW()+9)="",IF(A154="",A153+$Q$10,A154),INDEX('Test schedule'!E:E,ROW()+9)+'Date Calculators'!$B$2+E153))</f>
        <v/>
      </c>
      <c r="C153" s="74" t="str" cm="1">
        <f t="array" ref="C153">IF(A153="","",INDEX('Test schedule'!J:J,ROW()+9))</f>
        <v/>
      </c>
      <c r="D153" s="74" t="str">
        <f>IFERROR(IF(A153="","",'Event Info'!$B$2),"")</f>
        <v/>
      </c>
      <c r="E153" cm="1">
        <f t="array" ref="E153">IF(INDEX('Test schedule'!B:B,ROW()+9)="START",E152+1,E152+0)</f>
        <v>5</v>
      </c>
      <c r="F153" s="82" t="str">
        <f>IF(A153&lt;&gt;"",_xlfn.CONCAT(TEXT(A153,"yyyy-mm-dd"),"T",TEXT(A153,"hh:mm:ss"),'Event Info'!$B$5,",",," ",C153),"")</f>
        <v/>
      </c>
      <c r="G153" t="e">
        <f t="shared" si="4"/>
        <v>#VALUE!</v>
      </c>
      <c r="H153" s="92" t="str">
        <f t="shared" si="5"/>
        <v/>
      </c>
      <c r="I153" s="88">
        <v>0</v>
      </c>
    </row>
    <row r="154" spans="1:9" ht="16.899999999999999">
      <c r="A154" s="76" t="str" cm="1">
        <f t="array" ref="A15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Calculators'!$B$2+E154)</f>
        <v/>
      </c>
      <c r="B154" s="76" t="str" cm="1">
        <f t="array" ref="B154">IF(OR(A154=""),"",IF(INDEX('Test schedule'!E:E,ROW()+9)="",IF(A155="",A154+$Q$10,A155),INDEX('Test schedule'!E:E,ROW()+9)+'Date Calculators'!$B$2+E154))</f>
        <v/>
      </c>
      <c r="C154" s="74" t="str" cm="1">
        <f t="array" ref="C154">IF(A154="","",INDEX('Test schedule'!J:J,ROW()+9))</f>
        <v/>
      </c>
      <c r="D154" s="74" t="str">
        <f>IFERROR(IF(A154="","",'Event Info'!$B$2),"")</f>
        <v/>
      </c>
      <c r="E154" cm="1">
        <f t="array" ref="E154">IF(INDEX('Test schedule'!B:B,ROW()+9)="START",E153+1,E153+0)</f>
        <v>5</v>
      </c>
      <c r="F154" s="82" t="str">
        <f>IF(A154&lt;&gt;"",_xlfn.CONCAT(TEXT(A154,"yyyy-mm-dd"),"T",TEXT(A154,"hh:mm:ss"),'Event Info'!$B$5,",",," ",C154),"")</f>
        <v/>
      </c>
      <c r="G154" t="e">
        <f t="shared" si="4"/>
        <v>#VALUE!</v>
      </c>
      <c r="H154" s="92" t="str">
        <f t="shared" si="5"/>
        <v/>
      </c>
      <c r="I154" s="91">
        <v>0</v>
      </c>
    </row>
    <row r="155" spans="1:9">
      <c r="A155" s="76" t="str" cm="1">
        <f t="array" ref="A15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Calculators'!$B$2+E155)</f>
        <v/>
      </c>
      <c r="B155" s="76" t="str" cm="1">
        <f t="array" ref="B155">IF(OR(A155=""),"",IF(INDEX('Test schedule'!E:E,ROW()+9)="",IF(A156="",A155+$Q$10,A156),INDEX('Test schedule'!E:E,ROW()+9)+'Date Calculators'!$B$2+E155))</f>
        <v/>
      </c>
      <c r="C155" s="74" t="str" cm="1">
        <f t="array" ref="C155">IF(A155="","",INDEX('Test schedule'!J:J,ROW()+9))</f>
        <v/>
      </c>
      <c r="D155" s="74" t="str">
        <f>IFERROR(IF(A155="","",'Event Info'!$B$2),"")</f>
        <v/>
      </c>
      <c r="E155" cm="1">
        <f t="array" ref="E155">IF(INDEX('Test schedule'!B:B,ROW()+9)="START",E154+1,E154+0)</f>
        <v>5</v>
      </c>
      <c r="F155" s="82" t="str">
        <f>IF(A155&lt;&gt;"",_xlfn.CONCAT(TEXT(A155,"yyyy-mm-dd"),"T",TEXT(A155,"hh:mm:ss"),'Event Info'!$B$5,",",," ",C155),"")</f>
        <v/>
      </c>
      <c r="G155" t="e">
        <f t="shared" si="4"/>
        <v>#VALUE!</v>
      </c>
      <c r="H155" s="92" t="str">
        <f t="shared" si="5"/>
        <v/>
      </c>
      <c r="I155" s="88">
        <v>0</v>
      </c>
    </row>
    <row r="156" spans="1:9">
      <c r="A156" s="76" t="str" cm="1">
        <f t="array" ref="A15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Calculators'!$B$2+E156)</f>
        <v/>
      </c>
      <c r="B156" s="76" t="str" cm="1">
        <f t="array" ref="B156">IF(OR(A156=""),"",IF(INDEX('Test schedule'!E:E,ROW()+9)="",IF(A157="",A156+$Q$10,A157),INDEX('Test schedule'!E:E,ROW()+9)+'Date Calculators'!$B$2+E156))</f>
        <v/>
      </c>
      <c r="C156" s="74" t="str" cm="1">
        <f t="array" ref="C156">IF(A156="","",INDEX('Test schedule'!J:J,ROW()+9))</f>
        <v/>
      </c>
      <c r="D156" s="74" t="str">
        <f>IFERROR(IF(A156="","",'Event Info'!$B$2),"")</f>
        <v/>
      </c>
      <c r="E156" cm="1">
        <f t="array" ref="E156">IF(INDEX('Test schedule'!B:B,ROW()+9)="START",E155+1,E155+0)</f>
        <v>5</v>
      </c>
      <c r="F156" s="82" t="str">
        <f>IF(A156&lt;&gt;"",_xlfn.CONCAT(TEXT(A156,"yyyy-mm-dd"),"T",TEXT(A156,"hh:mm:ss"),'Event Info'!$B$5,",",," ",C156),"")</f>
        <v/>
      </c>
      <c r="G156" t="e">
        <f t="shared" si="4"/>
        <v>#VALUE!</v>
      </c>
      <c r="H156" s="92" t="str">
        <f t="shared" si="5"/>
        <v/>
      </c>
      <c r="I156" s="88">
        <v>0</v>
      </c>
    </row>
    <row r="157" spans="1:9" ht="16.899999999999999">
      <c r="A157" s="76" t="str" cm="1">
        <f t="array" ref="A15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Calculators'!$B$2+E157)</f>
        <v/>
      </c>
      <c r="B157" s="76" t="str" cm="1">
        <f t="array" ref="B157">IF(OR(A157=""),"",IF(INDEX('Test schedule'!E:E,ROW()+9)="",IF(A158="",A157+$Q$10,A158),INDEX('Test schedule'!E:E,ROW()+9)+'Date Calculators'!$B$2+E157))</f>
        <v/>
      </c>
      <c r="C157" s="74" t="str" cm="1">
        <f t="array" ref="C157">IF(A157="","",INDEX('Test schedule'!J:J,ROW()+9))</f>
        <v/>
      </c>
      <c r="D157" s="74" t="str">
        <f>IFERROR(IF(A157="","",'Event Info'!$B$2),"")</f>
        <v/>
      </c>
      <c r="E157" cm="1">
        <f t="array" ref="E157">IF(INDEX('Test schedule'!B:B,ROW()+9)="START",E156+1,E156+0)</f>
        <v>5</v>
      </c>
      <c r="F157" s="82" t="str">
        <f>IF(A157&lt;&gt;"",_xlfn.CONCAT(TEXT(A157,"yyyy-mm-dd"),"T",TEXT(A157,"hh:mm:ss"),'Event Info'!$B$5,",",," ",C157),"")</f>
        <v/>
      </c>
      <c r="G157" t="e">
        <f t="shared" si="4"/>
        <v>#VALUE!</v>
      </c>
      <c r="H157" s="92" t="str">
        <f t="shared" si="5"/>
        <v/>
      </c>
      <c r="I157" s="91">
        <v>0</v>
      </c>
    </row>
    <row r="158" spans="1:9">
      <c r="A158" s="76" t="str" cm="1">
        <f t="array" ref="A15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Calculators'!$B$2+E158)</f>
        <v/>
      </c>
      <c r="B158" s="76" t="str" cm="1">
        <f t="array" ref="B158">IF(OR(A158=""),"",IF(INDEX('Test schedule'!E:E,ROW()+9)="",IF(A159="",A158+$Q$10,A159),INDEX('Test schedule'!E:E,ROW()+9)+'Date Calculators'!$B$2+E158))</f>
        <v/>
      </c>
      <c r="C158" s="74" t="str" cm="1">
        <f t="array" ref="C158">IF(A158="","",INDEX('Test schedule'!J:J,ROW()+9))</f>
        <v/>
      </c>
      <c r="D158" s="74" t="str">
        <f>IFERROR(IF(A158="","",'Event Info'!$B$2),"")</f>
        <v/>
      </c>
      <c r="E158" cm="1">
        <f t="array" ref="E158">IF(INDEX('Test schedule'!B:B,ROW()+9)="START",E157+1,E157+0)</f>
        <v>5</v>
      </c>
      <c r="F158" s="82" t="str">
        <f>IF(A158&lt;&gt;"",_xlfn.CONCAT(TEXT(A158,"yyyy-mm-dd"),"T",TEXT(A158,"hh:mm:ss"),'Event Info'!$B$5,",",," ",C158),"")</f>
        <v/>
      </c>
      <c r="G158" t="e">
        <f t="shared" si="4"/>
        <v>#VALUE!</v>
      </c>
      <c r="H158" s="92" t="str">
        <f t="shared" si="5"/>
        <v/>
      </c>
      <c r="I158" s="88">
        <v>0</v>
      </c>
    </row>
    <row r="159" spans="1:9">
      <c r="A159" s="76" t="str" cm="1">
        <f t="array" ref="A15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Calculators'!$B$2+E159)</f>
        <v/>
      </c>
      <c r="B159" s="76" t="str" cm="1">
        <f t="array" ref="B159">IF(OR(A159=""),"",IF(INDEX('Test schedule'!E:E,ROW()+9)="",IF(A160="",A159+$Q$10,A160),INDEX('Test schedule'!E:E,ROW()+9)+'Date Calculators'!$B$2+E159))</f>
        <v/>
      </c>
      <c r="C159" s="74" t="str" cm="1">
        <f t="array" ref="C159">IF(A159="","",INDEX('Test schedule'!J:J,ROW()+9))</f>
        <v/>
      </c>
      <c r="D159" s="74" t="str">
        <f>IFERROR(IF(A159="","",'Event Info'!$B$2),"")</f>
        <v/>
      </c>
      <c r="E159" cm="1">
        <f t="array" ref="E159">IF(INDEX('Test schedule'!B:B,ROW()+9)="START",E158+1,E158+0)</f>
        <v>5</v>
      </c>
      <c r="F159" s="82" t="str">
        <f>IF(A159&lt;&gt;"",_xlfn.CONCAT(TEXT(A159,"yyyy-mm-dd"),"T",TEXT(A159,"hh:mm:ss"),'Event Info'!$B$5,",",," ",C159),"")</f>
        <v/>
      </c>
      <c r="G159" t="e">
        <f t="shared" si="4"/>
        <v>#VALUE!</v>
      </c>
      <c r="H159" s="92" t="str">
        <f t="shared" si="5"/>
        <v/>
      </c>
      <c r="I159" s="88">
        <v>0</v>
      </c>
    </row>
    <row r="160" spans="1:9" ht="16.899999999999999">
      <c r="A160" s="76" t="str" cm="1">
        <f t="array" ref="A16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Calculators'!$B$2+E160)</f>
        <v/>
      </c>
      <c r="B160" s="76" t="str" cm="1">
        <f t="array" ref="B160">IF(OR(A160=""),"",IF(INDEX('Test schedule'!E:E,ROW()+9)="",IF(A161="",A160+$Q$10,A161),INDEX('Test schedule'!E:E,ROW()+9)+'Date Calculators'!$B$2+E160))</f>
        <v/>
      </c>
      <c r="C160" s="74" t="str" cm="1">
        <f t="array" ref="C160">IF(A160="","",INDEX('Test schedule'!J:J,ROW()+9))</f>
        <v/>
      </c>
      <c r="D160" s="74" t="str">
        <f>IFERROR(IF(A160="","",'Event Info'!$B$2),"")</f>
        <v/>
      </c>
      <c r="E160" cm="1">
        <f t="array" ref="E160">IF(INDEX('Test schedule'!B:B,ROW()+9)="START",E159+1,E159+0)</f>
        <v>5</v>
      </c>
      <c r="F160" s="82" t="str">
        <f>IF(A160&lt;&gt;"",_xlfn.CONCAT(TEXT(A160,"yyyy-mm-dd"),"T",TEXT(A160,"hh:mm:ss"),'Event Info'!$B$5,",",," ",C160),"")</f>
        <v/>
      </c>
      <c r="G160" t="e">
        <f t="shared" si="4"/>
        <v>#VALUE!</v>
      </c>
      <c r="H160" s="92" t="str">
        <f t="shared" si="5"/>
        <v/>
      </c>
      <c r="I160" s="91">
        <v>0</v>
      </c>
    </row>
    <row r="161" spans="1:9">
      <c r="A161" s="76" t="str" cm="1">
        <f t="array" ref="A16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Calculators'!$B$2+E161)</f>
        <v/>
      </c>
      <c r="B161" s="76" t="str" cm="1">
        <f t="array" ref="B161">IF(OR(A161=""),"",IF(INDEX('Test schedule'!E:E,ROW()+9)="",IF(A162="",A161+$Q$10,A162),INDEX('Test schedule'!E:E,ROW()+9)+'Date Calculators'!$B$2+E161))</f>
        <v/>
      </c>
      <c r="C161" s="74" t="str" cm="1">
        <f t="array" ref="C161">IF(A161="","",INDEX('Test schedule'!J:J,ROW()+9))</f>
        <v/>
      </c>
      <c r="D161" s="74" t="str">
        <f>IFERROR(IF(A161="","",'Event Info'!$B$2),"")</f>
        <v/>
      </c>
      <c r="E161" cm="1">
        <f t="array" ref="E161">IF(INDEX('Test schedule'!B:B,ROW()+9)="START",E160+1,E160+0)</f>
        <v>5</v>
      </c>
      <c r="F161" s="82" t="str">
        <f>IF(A161&lt;&gt;"",_xlfn.CONCAT(TEXT(A161,"yyyy-mm-dd"),"T",TEXT(A161,"hh:mm:ss"),'Event Info'!$B$5,",",," ",C161),"")</f>
        <v/>
      </c>
      <c r="G161" t="e">
        <f t="shared" si="4"/>
        <v>#VALUE!</v>
      </c>
      <c r="H161" s="92" t="str">
        <f t="shared" si="5"/>
        <v/>
      </c>
      <c r="I161" s="88">
        <v>0</v>
      </c>
    </row>
    <row r="162" spans="1:9">
      <c r="A162" s="76" t="str" cm="1">
        <f t="array" ref="A16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Calculators'!$B$2+E162)</f>
        <v/>
      </c>
      <c r="B162" s="76" t="str" cm="1">
        <f t="array" ref="B162">IF(OR(A162=""),"",IF(INDEX('Test schedule'!E:E,ROW()+9)="",IF(A163="",A162+$Q$10,A163),INDEX('Test schedule'!E:E,ROW()+9)+'Date Calculators'!$B$2+E162))</f>
        <v/>
      </c>
      <c r="C162" s="74" t="str" cm="1">
        <f t="array" ref="C162">IF(A162="","",INDEX('Test schedule'!J:J,ROW()+9))</f>
        <v/>
      </c>
      <c r="D162" s="74" t="str">
        <f>IFERROR(IF(A162="","",'Event Info'!$B$2),"")</f>
        <v/>
      </c>
      <c r="E162" cm="1">
        <f t="array" ref="E162">IF(INDEX('Test schedule'!B:B,ROW()+9)="START",E161+1,E161+0)</f>
        <v>5</v>
      </c>
      <c r="F162" s="82" t="str">
        <f>IF(A162&lt;&gt;"",_xlfn.CONCAT(TEXT(A162,"yyyy-mm-dd"),"T",TEXT(A162,"hh:mm:ss"),'Event Info'!$B$5,",",," ",C162),"")</f>
        <v/>
      </c>
      <c r="G162" t="e">
        <f t="shared" si="4"/>
        <v>#VALUE!</v>
      </c>
      <c r="H162" s="92" t="str">
        <f t="shared" si="5"/>
        <v/>
      </c>
      <c r="I162" s="88">
        <v>0</v>
      </c>
    </row>
    <row r="163" spans="1:9" ht="16.899999999999999">
      <c r="A163" s="76" t="str" cm="1">
        <f t="array" ref="A16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Calculators'!$B$2+E163)</f>
        <v/>
      </c>
      <c r="B163" s="76" t="str" cm="1">
        <f t="array" ref="B163">IF(OR(A163=""),"",IF(INDEX('Test schedule'!E:E,ROW()+9)="",IF(A164="",A163+$Q$10,A164),INDEX('Test schedule'!E:E,ROW()+9)+'Date Calculators'!$B$2+E163))</f>
        <v/>
      </c>
      <c r="C163" s="74" t="str" cm="1">
        <f t="array" ref="C163">IF(A163="","",INDEX('Test schedule'!J:J,ROW()+9))</f>
        <v/>
      </c>
      <c r="D163" s="74" t="str">
        <f>IFERROR(IF(A163="","",'Event Info'!$B$2),"")</f>
        <v/>
      </c>
      <c r="E163" cm="1">
        <f t="array" ref="E163">IF(INDEX('Test schedule'!B:B,ROW()+9)="START",E162+1,E162+0)</f>
        <v>5</v>
      </c>
      <c r="F163" s="82" t="str">
        <f>IF(A163&lt;&gt;"",_xlfn.CONCAT(TEXT(A163,"yyyy-mm-dd"),"T",TEXT(A163,"hh:mm:ss"),'Event Info'!$B$5,",",," ",C163),"")</f>
        <v/>
      </c>
      <c r="G163" t="e">
        <f t="shared" si="4"/>
        <v>#VALUE!</v>
      </c>
      <c r="H163" s="92" t="str">
        <f t="shared" si="5"/>
        <v/>
      </c>
      <c r="I163" s="91">
        <v>0</v>
      </c>
    </row>
    <row r="164" spans="1:9">
      <c r="A164" s="76" t="str" cm="1">
        <f t="array" ref="A16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Calculators'!$B$2+E164)</f>
        <v/>
      </c>
      <c r="B164" s="76" t="str" cm="1">
        <f t="array" ref="B164">IF(OR(A164=""),"",IF(INDEX('Test schedule'!E:E,ROW()+9)="",IF(A165="",A164+$Q$10,A165),INDEX('Test schedule'!E:E,ROW()+9)+'Date Calculators'!$B$2+E164))</f>
        <v/>
      </c>
      <c r="C164" s="74" t="str" cm="1">
        <f t="array" ref="C164">IF(A164="","",INDEX('Test schedule'!J:J,ROW()+9))</f>
        <v/>
      </c>
      <c r="D164" s="74" t="str">
        <f>IFERROR(IF(A164="","",'Event Info'!$B$2),"")</f>
        <v/>
      </c>
      <c r="E164" cm="1">
        <f t="array" ref="E164">IF(INDEX('Test schedule'!B:B,ROW()+9)="START",E163+1,E163+0)</f>
        <v>5</v>
      </c>
      <c r="F164" s="82" t="str">
        <f>IF(A164&lt;&gt;"",_xlfn.CONCAT(TEXT(A164,"yyyy-mm-dd"),"T",TEXT(A164,"hh:mm:ss"),'Event Info'!$B$5,",",," ",C164),"")</f>
        <v/>
      </c>
      <c r="G164" t="e">
        <f t="shared" si="4"/>
        <v>#VALUE!</v>
      </c>
      <c r="H164" s="92" t="str">
        <f t="shared" si="5"/>
        <v/>
      </c>
      <c r="I164" s="88">
        <v>0</v>
      </c>
    </row>
    <row r="165" spans="1:9">
      <c r="A165" s="76" t="str" cm="1">
        <f t="array" ref="A16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Calculators'!$B$2+E165)</f>
        <v/>
      </c>
      <c r="B165" s="76" t="str" cm="1">
        <f t="array" ref="B165">IF(OR(A165=""),"",IF(INDEX('Test schedule'!E:E,ROW()+9)="",IF(A166="",A165+$Q$10,A166),INDEX('Test schedule'!E:E,ROW()+9)+'Date Calculators'!$B$2+E165))</f>
        <v/>
      </c>
      <c r="C165" s="74" t="str" cm="1">
        <f t="array" ref="C165">IF(A165="","",INDEX('Test schedule'!J:J,ROW()+9))</f>
        <v/>
      </c>
      <c r="D165" s="74" t="str">
        <f>IFERROR(IF(A165="","",'Event Info'!$B$2),"")</f>
        <v/>
      </c>
      <c r="E165" cm="1">
        <f t="array" ref="E165">IF(INDEX('Test schedule'!B:B,ROW()+9)="START",E164+1,E164+0)</f>
        <v>5</v>
      </c>
      <c r="F165" s="82" t="str">
        <f>IF(A165&lt;&gt;"",_xlfn.CONCAT(TEXT(A165,"yyyy-mm-dd"),"T",TEXT(A165,"hh:mm:ss"),'Event Info'!$B$5,",",," ",C165),"")</f>
        <v/>
      </c>
      <c r="G165" t="e">
        <f t="shared" si="4"/>
        <v>#VALUE!</v>
      </c>
      <c r="H165" s="92" t="str">
        <f t="shared" si="5"/>
        <v/>
      </c>
      <c r="I165" s="88">
        <v>0</v>
      </c>
    </row>
    <row r="166" spans="1:9" ht="16.899999999999999">
      <c r="A166" s="76" t="str" cm="1">
        <f t="array" ref="A16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Calculators'!$B$2+E166)</f>
        <v/>
      </c>
      <c r="B166" s="76" t="str" cm="1">
        <f t="array" ref="B166">IF(OR(A166=""),"",IF(INDEX('Test schedule'!E:E,ROW()+9)="",IF(A167="",A166+$Q$10,A167),INDEX('Test schedule'!E:E,ROW()+9)+'Date Calculators'!$B$2+E166))</f>
        <v/>
      </c>
      <c r="C166" s="74" t="str" cm="1">
        <f t="array" ref="C166">IF(A166="","",INDEX('Test schedule'!J:J,ROW()+9))</f>
        <v/>
      </c>
      <c r="D166" s="74" t="str">
        <f>IFERROR(IF(A166="","",'Event Info'!$B$2),"")</f>
        <v/>
      </c>
      <c r="E166" cm="1">
        <f t="array" ref="E166">IF(INDEX('Test schedule'!B:B,ROW()+9)="START",E165+1,E165+0)</f>
        <v>5</v>
      </c>
      <c r="F166" s="82" t="str">
        <f>IF(A166&lt;&gt;"",_xlfn.CONCAT(TEXT(A166,"yyyy-mm-dd"),"T",TEXT(A166,"hh:mm:ss"),'Event Info'!$B$5,",",," ",C166),"")</f>
        <v/>
      </c>
      <c r="G166" t="e">
        <f t="shared" si="4"/>
        <v>#VALUE!</v>
      </c>
      <c r="H166" s="92" t="str">
        <f t="shared" si="5"/>
        <v/>
      </c>
      <c r="I166" s="91">
        <v>0</v>
      </c>
    </row>
    <row r="167" spans="1:9">
      <c r="A167" s="76" t="str" cm="1">
        <f t="array" ref="A16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Calculators'!$B$2+E167)</f>
        <v/>
      </c>
      <c r="B167" s="76" t="str" cm="1">
        <f t="array" ref="B167">IF(OR(A167=""),"",IF(INDEX('Test schedule'!E:E,ROW()+9)="",IF(A168="",A167+$Q$10,A168),INDEX('Test schedule'!E:E,ROW()+9)+'Date Calculators'!$B$2+E167))</f>
        <v/>
      </c>
      <c r="C167" s="74" t="str" cm="1">
        <f t="array" ref="C167">IF(A167="","",INDEX('Test schedule'!J:J,ROW()+9))</f>
        <v/>
      </c>
      <c r="D167" s="74" t="str">
        <f>IFERROR(IF(A167="","",'Event Info'!$B$2),"")</f>
        <v/>
      </c>
      <c r="E167" cm="1">
        <f t="array" ref="E167">IF(INDEX('Test schedule'!B:B,ROW()+9)="START",E166+1,E166+0)</f>
        <v>5</v>
      </c>
      <c r="F167" s="82" t="str">
        <f>IF(A167&lt;&gt;"",_xlfn.CONCAT(TEXT(A167,"yyyy-mm-dd"),"T",TEXT(A167,"hh:mm:ss"),'Event Info'!$B$5,",",," ",C167),"")</f>
        <v/>
      </c>
      <c r="G167" t="e">
        <f t="shared" si="4"/>
        <v>#VALUE!</v>
      </c>
      <c r="H167" s="92" t="str">
        <f t="shared" si="5"/>
        <v/>
      </c>
      <c r="I167" s="88">
        <v>0</v>
      </c>
    </row>
    <row r="168" spans="1:9">
      <c r="A168" s="76" t="str" cm="1">
        <f t="array" ref="A16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Calculators'!$B$2+E168)</f>
        <v/>
      </c>
      <c r="B168" s="76" t="str" cm="1">
        <f t="array" ref="B168">IF(OR(A168=""),"",IF(INDEX('Test schedule'!E:E,ROW()+9)="",IF(A169="",A168+$Q$10,A169),INDEX('Test schedule'!E:E,ROW()+9)+'Date Calculators'!$B$2+E168))</f>
        <v/>
      </c>
      <c r="C168" s="74" t="str" cm="1">
        <f t="array" ref="C168">IF(A168="","",INDEX('Test schedule'!J:J,ROW()+9))</f>
        <v/>
      </c>
      <c r="D168" s="74" t="str">
        <f>IFERROR(IF(A168="","",'Event Info'!$B$2),"")</f>
        <v/>
      </c>
      <c r="E168" cm="1">
        <f t="array" ref="E168">IF(INDEX('Test schedule'!B:B,ROW()+9)="START",E167+1,E167+0)</f>
        <v>5</v>
      </c>
      <c r="F168" s="82" t="str">
        <f>IF(A168&lt;&gt;"",_xlfn.CONCAT(TEXT(A168,"yyyy-mm-dd"),"T",TEXT(A168,"hh:mm:ss"),'Event Info'!$B$5,",",," ",C168),"")</f>
        <v/>
      </c>
      <c r="G168" t="e">
        <f t="shared" si="4"/>
        <v>#VALUE!</v>
      </c>
      <c r="H168" s="92" t="str">
        <f t="shared" si="5"/>
        <v/>
      </c>
      <c r="I168" s="88">
        <v>0</v>
      </c>
    </row>
    <row r="169" spans="1:9" ht="16.899999999999999">
      <c r="A169" s="76" t="str" cm="1">
        <f t="array" ref="A16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Calculators'!$B$2+E169)</f>
        <v/>
      </c>
      <c r="B169" s="76" t="str" cm="1">
        <f t="array" ref="B169">IF(OR(A169=""),"",IF(INDEX('Test schedule'!E:E,ROW()+9)="",IF(A170="",A169+$Q$10,A170),INDEX('Test schedule'!E:E,ROW()+9)+'Date Calculators'!$B$2+E169))</f>
        <v/>
      </c>
      <c r="C169" s="74" t="str" cm="1">
        <f t="array" ref="C169">IF(A169="","",INDEX('Test schedule'!J:J,ROW()+9))</f>
        <v/>
      </c>
      <c r="D169" s="74" t="str">
        <f>IFERROR(IF(A169="","",'Event Info'!$B$2),"")</f>
        <v/>
      </c>
      <c r="E169" cm="1">
        <f t="array" ref="E169">IF(INDEX('Test schedule'!B:B,ROW()+9)="START",E168+1,E168+0)</f>
        <v>5</v>
      </c>
      <c r="F169" s="82" t="str">
        <f>IF(A169&lt;&gt;"",_xlfn.CONCAT(TEXT(A169,"yyyy-mm-dd"),"T",TEXT(A169,"hh:mm:ss"),'Event Info'!$B$5,",",," ",C169),"")</f>
        <v/>
      </c>
      <c r="G169" t="e">
        <f t="shared" si="4"/>
        <v>#VALUE!</v>
      </c>
      <c r="H169" s="92" t="str">
        <f t="shared" si="5"/>
        <v/>
      </c>
      <c r="I169" s="91">
        <v>0</v>
      </c>
    </row>
    <row r="170" spans="1:9">
      <c r="A170" s="76" t="str" cm="1">
        <f t="array" ref="A17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Calculators'!$B$2+E170)</f>
        <v/>
      </c>
      <c r="B170" s="76" t="str" cm="1">
        <f t="array" ref="B170">IF(OR(A170=""),"",IF(INDEX('Test schedule'!E:E,ROW()+9)="",IF(A171="",A170+$Q$10,A171),INDEX('Test schedule'!E:E,ROW()+9)+'Date Calculators'!$B$2+E170))</f>
        <v/>
      </c>
      <c r="C170" s="74" t="str" cm="1">
        <f t="array" ref="C170">IF(A170="","",INDEX('Test schedule'!J:J,ROW()+9))</f>
        <v/>
      </c>
      <c r="D170" s="74" t="str">
        <f>IFERROR(IF(A170="","",'Event Info'!$B$2),"")</f>
        <v/>
      </c>
      <c r="E170" cm="1">
        <f t="array" ref="E170">IF(INDEX('Test schedule'!B:B,ROW()+9)="START",E169+1,E169+0)</f>
        <v>5</v>
      </c>
      <c r="F170" s="82" t="str">
        <f>IF(A170&lt;&gt;"",_xlfn.CONCAT(TEXT(A170,"yyyy-mm-dd"),"T",TEXT(A170,"hh:mm:ss"),'Event Info'!$B$5,",",," ",C170),"")</f>
        <v/>
      </c>
      <c r="G170" t="e">
        <f t="shared" si="4"/>
        <v>#VALUE!</v>
      </c>
      <c r="H170" s="92" t="str">
        <f t="shared" si="5"/>
        <v/>
      </c>
      <c r="I170" s="88">
        <v>0</v>
      </c>
    </row>
    <row r="171" spans="1:9">
      <c r="A171" s="76" t="str" cm="1">
        <f t="array" ref="A17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Calculators'!$B$2+E171)</f>
        <v/>
      </c>
      <c r="B171" s="76" t="str" cm="1">
        <f t="array" ref="B171">IF(OR(A171=""),"",IF(INDEX('Test schedule'!E:E,ROW()+9)="",IF(A172="",A171+$Q$10,A172),INDEX('Test schedule'!E:E,ROW()+9)+'Date Calculators'!$B$2+E171))</f>
        <v/>
      </c>
      <c r="C171" s="74" t="str" cm="1">
        <f t="array" ref="C171">IF(A171="","",INDEX('Test schedule'!J:J,ROW()+9))</f>
        <v/>
      </c>
      <c r="D171" s="74" t="str">
        <f>IFERROR(IF(A171="","",'Event Info'!$B$2),"")</f>
        <v/>
      </c>
      <c r="E171" cm="1">
        <f t="array" ref="E171">IF(INDEX('Test schedule'!B:B,ROW()+9)="START",E170+1,E170+0)</f>
        <v>5</v>
      </c>
      <c r="F171" s="82" t="str">
        <f>IF(A171&lt;&gt;"",_xlfn.CONCAT(TEXT(A171,"yyyy-mm-dd"),"T",TEXT(A171,"hh:mm:ss"),'Event Info'!$B$5,",",," ",C171),"")</f>
        <v/>
      </c>
      <c r="G171" t="e">
        <f t="shared" si="4"/>
        <v>#VALUE!</v>
      </c>
      <c r="H171" s="92" t="str">
        <f t="shared" si="5"/>
        <v/>
      </c>
      <c r="I171" s="88">
        <v>0</v>
      </c>
    </row>
    <row r="172" spans="1:9" ht="16.899999999999999">
      <c r="A172" s="76" t="str" cm="1">
        <f t="array" ref="A17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Calculators'!$B$2+E172)</f>
        <v/>
      </c>
      <c r="B172" s="76" t="str" cm="1">
        <f t="array" ref="B172">IF(OR(A172=""),"",IF(INDEX('Test schedule'!E:E,ROW()+9)="",IF(A173="",A172+$Q$10,A173),INDEX('Test schedule'!E:E,ROW()+9)+'Date Calculators'!$B$2+E172))</f>
        <v/>
      </c>
      <c r="C172" s="74" t="str" cm="1">
        <f t="array" ref="C172">IF(A172="","",INDEX('Test schedule'!J:J,ROW()+9))</f>
        <v/>
      </c>
      <c r="D172" s="74" t="str">
        <f>IFERROR(IF(A172="","",'Event Info'!$B$2),"")</f>
        <v/>
      </c>
      <c r="E172" cm="1">
        <f t="array" ref="E172">IF(INDEX('Test schedule'!B:B,ROW()+9)="START",E171+1,E171+0)</f>
        <v>5</v>
      </c>
      <c r="F172" s="82" t="str">
        <f>IF(A172&lt;&gt;"",_xlfn.CONCAT(TEXT(A172,"yyyy-mm-dd"),"T",TEXT(A172,"hh:mm:ss"),'Event Info'!$B$5,",",," ",C172),"")</f>
        <v/>
      </c>
      <c r="G172" t="e">
        <f t="shared" si="4"/>
        <v>#VALUE!</v>
      </c>
      <c r="H172" s="92" t="str">
        <f t="shared" si="5"/>
        <v/>
      </c>
      <c r="I172" s="91">
        <v>0</v>
      </c>
    </row>
    <row r="173" spans="1:9">
      <c r="A173" s="76" t="str" cm="1">
        <f t="array" ref="A17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Calculators'!$B$2+E173)</f>
        <v/>
      </c>
      <c r="B173" s="76" t="str" cm="1">
        <f t="array" ref="B173">IF(OR(A173=""),"",IF(INDEX('Test schedule'!E:E,ROW()+9)="",IF(A174="",A173+$Q$10,A174),INDEX('Test schedule'!E:E,ROW()+9)+'Date Calculators'!$B$2+E173))</f>
        <v/>
      </c>
      <c r="C173" s="74" t="str" cm="1">
        <f t="array" ref="C173">IF(A173="","",INDEX('Test schedule'!J:J,ROW()+9))</f>
        <v/>
      </c>
      <c r="D173" s="74" t="str">
        <f>IFERROR(IF(A173="","",'Event Info'!$B$2),"")</f>
        <v/>
      </c>
      <c r="E173" cm="1">
        <f t="array" ref="E173">IF(INDEX('Test schedule'!B:B,ROW()+9)="START",E172+1,E172+0)</f>
        <v>5</v>
      </c>
      <c r="F173" s="82" t="str">
        <f>IF(A173&lt;&gt;"",_xlfn.CONCAT(TEXT(A173,"yyyy-mm-dd"),"T",TEXT(A173,"hh:mm:ss"),'Event Info'!$B$5,",",," ",C173),"")</f>
        <v/>
      </c>
      <c r="G173" t="e">
        <f t="shared" si="4"/>
        <v>#VALUE!</v>
      </c>
      <c r="H173" s="92" t="str">
        <f t="shared" si="5"/>
        <v/>
      </c>
      <c r="I173" s="88">
        <v>0</v>
      </c>
    </row>
    <row r="174" spans="1:9">
      <c r="A174" s="76" t="str" cm="1">
        <f t="array" ref="A17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Calculators'!$B$2+E174)</f>
        <v/>
      </c>
      <c r="B174" s="76" t="str" cm="1">
        <f t="array" ref="B174">IF(OR(A174=""),"",IF(INDEX('Test schedule'!E:E,ROW()+9)="",IF(A175="",A174+$Q$10,A175),INDEX('Test schedule'!E:E,ROW()+9)+'Date Calculators'!$B$2+E174))</f>
        <v/>
      </c>
      <c r="C174" s="74" t="str" cm="1">
        <f t="array" ref="C174">IF(A174="","",INDEX('Test schedule'!J:J,ROW()+9))</f>
        <v/>
      </c>
      <c r="D174" s="74" t="str">
        <f>IFERROR(IF(A174="","",'Event Info'!$B$2),"")</f>
        <v/>
      </c>
      <c r="E174" cm="1">
        <f t="array" ref="E174">IF(INDEX('Test schedule'!B:B,ROW()+9)="START",E173+1,E173+0)</f>
        <v>5</v>
      </c>
      <c r="F174" s="82" t="str">
        <f>IF(A174&lt;&gt;"",_xlfn.CONCAT(TEXT(A174,"yyyy-mm-dd"),"T",TEXT(A174,"hh:mm:ss"),'Event Info'!$B$5,",",," ",C174),"")</f>
        <v/>
      </c>
      <c r="G174" t="e">
        <f t="shared" si="4"/>
        <v>#VALUE!</v>
      </c>
      <c r="H174" s="92" t="str">
        <f t="shared" si="5"/>
        <v/>
      </c>
      <c r="I174" s="88">
        <v>0</v>
      </c>
    </row>
    <row r="175" spans="1:9" ht="16.899999999999999">
      <c r="A175" s="76" t="str" cm="1">
        <f t="array" ref="A17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Calculators'!$B$2+E175)</f>
        <v/>
      </c>
      <c r="B175" s="76" t="str" cm="1">
        <f t="array" ref="B175">IF(OR(A175=""),"",IF(INDEX('Test schedule'!E:E,ROW()+9)="",IF(A176="",A175+$Q$10,A176),INDEX('Test schedule'!E:E,ROW()+9)+'Date Calculators'!$B$2+E175))</f>
        <v/>
      </c>
      <c r="C175" s="74" t="str" cm="1">
        <f t="array" ref="C175">IF(A175="","",INDEX('Test schedule'!J:J,ROW()+9))</f>
        <v/>
      </c>
      <c r="D175" s="74" t="str">
        <f>IFERROR(IF(A175="","",'Event Info'!$B$2),"")</f>
        <v/>
      </c>
      <c r="E175" cm="1">
        <f t="array" ref="E175">IF(INDEX('Test schedule'!B:B,ROW()+9)="START",E174+1,E174+0)</f>
        <v>5</v>
      </c>
      <c r="F175" s="82" t="str">
        <f>IF(A175&lt;&gt;"",_xlfn.CONCAT(TEXT(A175,"yyyy-mm-dd"),"T",TEXT(A175,"hh:mm:ss"),'Event Info'!$B$5,",",," ",C175),"")</f>
        <v/>
      </c>
      <c r="G175" t="e">
        <f t="shared" si="4"/>
        <v>#VALUE!</v>
      </c>
      <c r="H175" s="92" t="str">
        <f t="shared" si="5"/>
        <v/>
      </c>
      <c r="I175" s="91">
        <v>0</v>
      </c>
    </row>
    <row r="176" spans="1:9">
      <c r="A176" s="76" t="str" cm="1">
        <f t="array" ref="A17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Calculators'!$B$2+E176)</f>
        <v/>
      </c>
      <c r="B176" s="76" t="str" cm="1">
        <f t="array" ref="B176">IF(OR(A176=""),"",IF(INDEX('Test schedule'!E:E,ROW()+9)="",IF(A177="",A176+$Q$10,A177),INDEX('Test schedule'!E:E,ROW()+9)+'Date Calculators'!$B$2+E176))</f>
        <v/>
      </c>
      <c r="C176" s="74" t="str" cm="1">
        <f t="array" ref="C176">IF(A176="","",INDEX('Test schedule'!J:J,ROW()+9))</f>
        <v/>
      </c>
      <c r="D176" s="74" t="str">
        <f>IFERROR(IF(A176="","",'Event Info'!$B$2),"")</f>
        <v/>
      </c>
      <c r="E176" cm="1">
        <f t="array" ref="E176">IF(INDEX('Test schedule'!B:B,ROW()+9)="START",E175+1,E175+0)</f>
        <v>5</v>
      </c>
      <c r="F176" s="82" t="str">
        <f>IF(A176&lt;&gt;"",_xlfn.CONCAT(TEXT(A176,"yyyy-mm-dd"),"T",TEXT(A176,"hh:mm:ss"),'Event Info'!$B$5,",",," ",C176),"")</f>
        <v/>
      </c>
      <c r="G176" t="e">
        <f t="shared" si="4"/>
        <v>#VALUE!</v>
      </c>
      <c r="H176" s="92" t="str">
        <f t="shared" si="5"/>
        <v/>
      </c>
      <c r="I176" s="88">
        <v>0</v>
      </c>
    </row>
    <row r="177" spans="1:9">
      <c r="A177" s="76" t="str" cm="1">
        <f t="array" ref="A17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Calculators'!$B$2+E177)</f>
        <v/>
      </c>
      <c r="B177" s="76" t="str" cm="1">
        <f t="array" ref="B177">IF(OR(A177=""),"",IF(INDEX('Test schedule'!E:E,ROW()+9)="",IF(A178="",A177+$Q$10,A178),INDEX('Test schedule'!E:E,ROW()+9)+'Date Calculators'!$B$2+E177))</f>
        <v/>
      </c>
      <c r="C177" s="74" t="str" cm="1">
        <f t="array" ref="C177">IF(A177="","",INDEX('Test schedule'!J:J,ROW()+9))</f>
        <v/>
      </c>
      <c r="D177" s="74" t="str">
        <f>IFERROR(IF(A177="","",'Event Info'!$B$2),"")</f>
        <v/>
      </c>
      <c r="E177" cm="1">
        <f t="array" ref="E177">IF(INDEX('Test schedule'!B:B,ROW()+9)="START",E176+1,E176+0)</f>
        <v>5</v>
      </c>
      <c r="F177" s="82" t="str">
        <f>IF(A177&lt;&gt;"",_xlfn.CONCAT(TEXT(A177,"yyyy-mm-dd"),"T",TEXT(A177,"hh:mm:ss"),'Event Info'!$B$5,",",," ",C177),"")</f>
        <v/>
      </c>
      <c r="G177" t="e">
        <f t="shared" si="4"/>
        <v>#VALUE!</v>
      </c>
      <c r="H177" s="92" t="str">
        <f t="shared" si="5"/>
        <v/>
      </c>
      <c r="I177" s="88">
        <v>0</v>
      </c>
    </row>
    <row r="178" spans="1:9" ht="16.899999999999999">
      <c r="A178" s="76" t="str" cm="1">
        <f t="array" ref="A17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Calculators'!$B$2+E178)</f>
        <v/>
      </c>
      <c r="B178" s="76" t="str" cm="1">
        <f t="array" ref="B178">IF(OR(A178=""),"",IF(INDEX('Test schedule'!E:E,ROW()+9)="",IF(A179="",A178+$Q$10,A179),INDEX('Test schedule'!E:E,ROW()+9)+'Date Calculators'!$B$2+E178))</f>
        <v/>
      </c>
      <c r="C178" s="74" t="str" cm="1">
        <f t="array" ref="C178">IF(A178="","",INDEX('Test schedule'!J:J,ROW()+9))</f>
        <v/>
      </c>
      <c r="D178" s="74" t="str">
        <f>IFERROR(IF(A178="","",'Event Info'!$B$2),"")</f>
        <v/>
      </c>
      <c r="E178" cm="1">
        <f t="array" ref="E178">IF(INDEX('Test schedule'!B:B,ROW()+9)="START",E177+1,E177+0)</f>
        <v>5</v>
      </c>
      <c r="F178" s="82" t="str">
        <f>IF(A178&lt;&gt;"",_xlfn.CONCAT(TEXT(A178,"yyyy-mm-dd"),"T",TEXT(A178,"hh:mm:ss"),'Event Info'!$B$5,",",," ",C178),"")</f>
        <v/>
      </c>
      <c r="G178" t="e">
        <f t="shared" si="4"/>
        <v>#VALUE!</v>
      </c>
      <c r="H178" s="92" t="str">
        <f t="shared" si="5"/>
        <v/>
      </c>
      <c r="I178" s="91">
        <v>0</v>
      </c>
    </row>
    <row r="179" spans="1:9">
      <c r="A179" s="76" t="str" cm="1">
        <f t="array" ref="A17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Calculators'!$B$2+E179)</f>
        <v/>
      </c>
      <c r="B179" s="76" t="str" cm="1">
        <f t="array" ref="B179">IF(OR(A179=""),"",IF(INDEX('Test schedule'!E:E,ROW()+9)="",IF(A180="",A179+$Q$10,A180),INDEX('Test schedule'!E:E,ROW()+9)+'Date Calculators'!$B$2+E179))</f>
        <v/>
      </c>
      <c r="C179" s="74" t="str" cm="1">
        <f t="array" ref="C179">IF(A179="","",INDEX('Test schedule'!J:J,ROW()+9))</f>
        <v/>
      </c>
      <c r="D179" s="74" t="str">
        <f>IFERROR(IF(A179="","",'Event Info'!$B$2),"")</f>
        <v/>
      </c>
      <c r="E179" cm="1">
        <f t="array" ref="E179">IF(INDEX('Test schedule'!B:B,ROW()+9)="START",E178+1,E178+0)</f>
        <v>5</v>
      </c>
      <c r="F179" s="82" t="str">
        <f>IF(A179&lt;&gt;"",_xlfn.CONCAT(TEXT(A179,"yyyy-mm-dd"),"T",TEXT(A179,"hh:mm:ss"),'Event Info'!$B$5,",",," ",C179),"")</f>
        <v/>
      </c>
      <c r="G179" t="e">
        <f t="shared" si="4"/>
        <v>#VALUE!</v>
      </c>
      <c r="H179" s="92" t="str">
        <f t="shared" si="5"/>
        <v/>
      </c>
      <c r="I179" s="88">
        <v>0</v>
      </c>
    </row>
    <row r="180" spans="1:9">
      <c r="A180" s="76" t="str" cm="1">
        <f t="array" ref="A18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Calculators'!$B$2+E180)</f>
        <v/>
      </c>
      <c r="B180" s="76" t="str" cm="1">
        <f t="array" ref="B180">IF(OR(A180=""),"",IF(INDEX('Test schedule'!E:E,ROW()+9)="",IF(A181="",A180+$Q$10,A181),INDEX('Test schedule'!E:E,ROW()+9)+'Date Calculators'!$B$2+E180))</f>
        <v/>
      </c>
      <c r="C180" s="74" t="str" cm="1">
        <f t="array" ref="C180">IF(A180="","",INDEX('Test schedule'!J:J,ROW()+9))</f>
        <v/>
      </c>
      <c r="D180" s="74" t="str">
        <f>IFERROR(IF(A180="","",'Event Info'!$B$2),"")</f>
        <v/>
      </c>
      <c r="E180" cm="1">
        <f t="array" ref="E180">IF(INDEX('Test schedule'!B:B,ROW()+9)="START",E179+1,E179+0)</f>
        <v>5</v>
      </c>
      <c r="F180" s="82" t="str">
        <f>IF(A180&lt;&gt;"",_xlfn.CONCAT(TEXT(A180,"yyyy-mm-dd"),"T",TEXT(A180,"hh:mm:ss"),'Event Info'!$B$5,",",," ",C180),"")</f>
        <v/>
      </c>
      <c r="G180" t="e">
        <f t="shared" si="4"/>
        <v>#VALUE!</v>
      </c>
      <c r="H180" s="92" t="str">
        <f t="shared" si="5"/>
        <v/>
      </c>
      <c r="I180" s="88">
        <v>0</v>
      </c>
    </row>
    <row r="181" spans="1:9" ht="16.899999999999999">
      <c r="A181" s="76" t="str" cm="1">
        <f t="array" ref="A18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Calculators'!$B$2+E181)</f>
        <v/>
      </c>
      <c r="B181" s="76" t="str" cm="1">
        <f t="array" ref="B181">IF(OR(A181=""),"",IF(INDEX('Test schedule'!E:E,ROW()+9)="",IF(A182="",A181+$Q$10,A182),INDEX('Test schedule'!E:E,ROW()+9)+'Date Calculators'!$B$2+E181))</f>
        <v/>
      </c>
      <c r="C181" s="74" t="str" cm="1">
        <f t="array" ref="C181">IF(A181="","",INDEX('Test schedule'!J:J,ROW()+9))</f>
        <v/>
      </c>
      <c r="D181" s="74" t="str">
        <f>IFERROR(IF(A181="","",'Event Info'!$B$2),"")</f>
        <v/>
      </c>
      <c r="E181" cm="1">
        <f t="array" ref="E181">IF(INDEX('Test schedule'!B:B,ROW()+9)="START",E180+1,E180+0)</f>
        <v>5</v>
      </c>
      <c r="F181" s="82" t="str">
        <f>IF(A181&lt;&gt;"",_xlfn.CONCAT(TEXT(A181,"yyyy-mm-dd"),"T",TEXT(A181,"hh:mm:ss"),'Event Info'!$B$5,",",," ",C181),"")</f>
        <v/>
      </c>
      <c r="G181" t="e">
        <f t="shared" si="4"/>
        <v>#VALUE!</v>
      </c>
      <c r="H181" s="92" t="str">
        <f t="shared" si="5"/>
        <v/>
      </c>
      <c r="I181" s="91">
        <v>0</v>
      </c>
    </row>
    <row r="182" spans="1:9">
      <c r="A182" s="76" t="str" cm="1">
        <f t="array" ref="A18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Calculators'!$B$2+E182)</f>
        <v/>
      </c>
      <c r="B182" s="76" t="str" cm="1">
        <f t="array" ref="B182">IF(OR(A182=""),"",IF(INDEX('Test schedule'!E:E,ROW()+9)="",IF(A183="",A182+$Q$10,A183),INDEX('Test schedule'!E:E,ROW()+9)+'Date Calculators'!$B$2+E182))</f>
        <v/>
      </c>
      <c r="C182" s="74" t="str" cm="1">
        <f t="array" ref="C182">IF(A182="","",INDEX('Test schedule'!J:J,ROW()+9))</f>
        <v/>
      </c>
      <c r="D182" s="74" t="str">
        <f>IFERROR(IF(A182="","",'Event Info'!$B$2),"")</f>
        <v/>
      </c>
      <c r="E182" cm="1">
        <f t="array" ref="E182">IF(INDEX('Test schedule'!B:B,ROW()+9)="START",E181+1,E181+0)</f>
        <v>5</v>
      </c>
      <c r="F182" s="82" t="str">
        <f>IF(A182&lt;&gt;"",_xlfn.CONCAT(TEXT(A182,"yyyy-mm-dd"),"T",TEXT(A182,"hh:mm:ss"),'Event Info'!$B$5,",",," ",C182),"")</f>
        <v/>
      </c>
      <c r="G182" t="e">
        <f t="shared" si="4"/>
        <v>#VALUE!</v>
      </c>
      <c r="H182" s="92" t="str">
        <f t="shared" si="5"/>
        <v/>
      </c>
      <c r="I182" s="88">
        <v>0</v>
      </c>
    </row>
    <row r="183" spans="1:9">
      <c r="A183" s="76" t="str" cm="1">
        <f t="array" ref="A18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Calculators'!$B$2+E183)</f>
        <v/>
      </c>
      <c r="B183" s="76" t="str" cm="1">
        <f t="array" ref="B183">IF(OR(A183=""),"",IF(INDEX('Test schedule'!E:E,ROW()+9)="",IF(A184="",A183+$Q$10,A184),INDEX('Test schedule'!E:E,ROW()+9)+'Date Calculators'!$B$2+E183))</f>
        <v/>
      </c>
      <c r="C183" s="74" t="str" cm="1">
        <f t="array" ref="C183">IF(A183="","",INDEX('Test schedule'!J:J,ROW()+9))</f>
        <v/>
      </c>
      <c r="D183" s="74" t="str">
        <f>IFERROR(IF(A183="","",'Event Info'!$B$2),"")</f>
        <v/>
      </c>
      <c r="E183" cm="1">
        <f t="array" ref="E183">IF(INDEX('Test schedule'!B:B,ROW()+9)="START",E182+1,E182+0)</f>
        <v>5</v>
      </c>
      <c r="F183" s="82" t="str">
        <f>IF(A183&lt;&gt;"",_xlfn.CONCAT(TEXT(A183,"yyyy-mm-dd"),"T",TEXT(A183,"hh:mm:ss"),'Event Info'!$B$5,",",," ",C183),"")</f>
        <v/>
      </c>
      <c r="G183" t="e">
        <f t="shared" si="4"/>
        <v>#VALUE!</v>
      </c>
      <c r="H183" s="92" t="str">
        <f t="shared" si="5"/>
        <v/>
      </c>
      <c r="I183" s="88">
        <v>0</v>
      </c>
    </row>
    <row r="184" spans="1:9" ht="16.899999999999999">
      <c r="A184" s="76" t="str" cm="1">
        <f t="array" ref="A18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Calculators'!$B$2+E184)</f>
        <v/>
      </c>
      <c r="B184" s="76" t="str" cm="1">
        <f t="array" ref="B184">IF(OR(A184=""),"",IF(INDEX('Test schedule'!E:E,ROW()+9)="",IF(A185="",A184+$Q$10,A185),INDEX('Test schedule'!E:E,ROW()+9)+'Date Calculators'!$B$2+E184))</f>
        <v/>
      </c>
      <c r="C184" s="74" t="str" cm="1">
        <f t="array" ref="C184">IF(A184="","",INDEX('Test schedule'!J:J,ROW()+9))</f>
        <v/>
      </c>
      <c r="D184" s="74" t="str">
        <f>IFERROR(IF(A184="","",'Event Info'!$B$2),"")</f>
        <v/>
      </c>
      <c r="E184" cm="1">
        <f t="array" ref="E184">IF(INDEX('Test schedule'!B:B,ROW()+9)="START",E183+1,E183+0)</f>
        <v>5</v>
      </c>
      <c r="F184" s="82" t="str">
        <f>IF(A184&lt;&gt;"",_xlfn.CONCAT(TEXT(A184,"yyyy-mm-dd"),"T",TEXT(A184,"hh:mm:ss"),'Event Info'!$B$5,",",," ",C184),"")</f>
        <v/>
      </c>
      <c r="G184" t="e">
        <f t="shared" si="4"/>
        <v>#VALUE!</v>
      </c>
      <c r="H184" s="92" t="str">
        <f t="shared" si="5"/>
        <v/>
      </c>
      <c r="I184" s="91">
        <v>0</v>
      </c>
    </row>
    <row r="185" spans="1:9">
      <c r="A185" s="76" t="str" cm="1">
        <f t="array" ref="A18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Calculators'!$B$2+E185)</f>
        <v/>
      </c>
      <c r="B185" s="76" t="str" cm="1">
        <f t="array" ref="B185">IF(OR(A185=""),"",IF(INDEX('Test schedule'!E:E,ROW()+9)="",IF(A186="",A185+$Q$10,A186),INDEX('Test schedule'!E:E,ROW()+9)+'Date Calculators'!$B$2+E185))</f>
        <v/>
      </c>
      <c r="C185" s="74" t="str" cm="1">
        <f t="array" ref="C185">IF(A185="","",INDEX('Test schedule'!J:J,ROW()+9))</f>
        <v/>
      </c>
      <c r="D185" s="74" t="str">
        <f>IFERROR(IF(A185="","",'Event Info'!$B$2),"")</f>
        <v/>
      </c>
      <c r="E185" cm="1">
        <f t="array" ref="E185">IF(INDEX('Test schedule'!B:B,ROW()+9)="START",E184+1,E184+0)</f>
        <v>5</v>
      </c>
      <c r="F185" s="82" t="str">
        <f>IF(A185&lt;&gt;"",_xlfn.CONCAT(TEXT(A185,"yyyy-mm-dd"),"T",TEXT(A185,"hh:mm:ss"),'Event Info'!$B$5,",",," ",C185),"")</f>
        <v/>
      </c>
      <c r="G185" t="e">
        <f t="shared" si="4"/>
        <v>#VALUE!</v>
      </c>
      <c r="H185" s="92" t="str">
        <f t="shared" si="5"/>
        <v/>
      </c>
      <c r="I185" s="88">
        <v>0</v>
      </c>
    </row>
    <row r="186" spans="1:9">
      <c r="A186" s="76" t="str" cm="1">
        <f t="array" ref="A18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Calculators'!$B$2+E186)</f>
        <v/>
      </c>
      <c r="B186" s="76" t="str" cm="1">
        <f t="array" ref="B186">IF(OR(A186=""),"",IF(INDEX('Test schedule'!E:E,ROW()+9)="",IF(A187="",A186+$Q$10,A187),INDEX('Test schedule'!E:E,ROW()+9)+'Date Calculators'!$B$2+E186))</f>
        <v/>
      </c>
      <c r="C186" s="74" t="str" cm="1">
        <f t="array" ref="C186">IF(A186="","",INDEX('Test schedule'!J:J,ROW()+9))</f>
        <v/>
      </c>
      <c r="D186" s="74" t="str">
        <f>IFERROR(IF(A186="","",'Event Info'!$B$2),"")</f>
        <v/>
      </c>
      <c r="E186" cm="1">
        <f t="array" ref="E186">IF(INDEX('Test schedule'!B:B,ROW()+9)="START",E185+1,E185+0)</f>
        <v>5</v>
      </c>
      <c r="F186" s="82" t="str">
        <f>IF(A186&lt;&gt;"",_xlfn.CONCAT(TEXT(A186,"yyyy-mm-dd"),"T",TEXT(A186,"hh:mm:ss"),'Event Info'!$B$5,",",," ",C186),"")</f>
        <v/>
      </c>
      <c r="G186" t="e">
        <f t="shared" si="4"/>
        <v>#VALUE!</v>
      </c>
      <c r="H186" s="92" t="str">
        <f t="shared" si="5"/>
        <v/>
      </c>
      <c r="I186" s="88">
        <v>0</v>
      </c>
    </row>
    <row r="187" spans="1:9" ht="16.899999999999999">
      <c r="A187" s="76" t="str" cm="1">
        <f t="array" ref="A18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Calculators'!$B$2+E187)</f>
        <v/>
      </c>
      <c r="B187" s="76" t="str" cm="1">
        <f t="array" ref="B187">IF(OR(A187=""),"",IF(INDEX('Test schedule'!E:E,ROW()+9)="",IF(A188="",A187+$Q$10,A188),INDEX('Test schedule'!E:E,ROW()+9)+'Date Calculators'!$B$2+E187))</f>
        <v/>
      </c>
      <c r="C187" s="74" t="str" cm="1">
        <f t="array" ref="C187">IF(A187="","",INDEX('Test schedule'!J:J,ROW()+9))</f>
        <v/>
      </c>
      <c r="D187" s="74" t="str">
        <f>IFERROR(IF(A187="","",'Event Info'!$B$2),"")</f>
        <v/>
      </c>
      <c r="E187" cm="1">
        <f t="array" ref="E187">IF(INDEX('Test schedule'!B:B,ROW()+9)="START",E186+1,E186+0)</f>
        <v>5</v>
      </c>
      <c r="F187" s="82" t="str">
        <f>IF(A187&lt;&gt;"",_xlfn.CONCAT(TEXT(A187,"yyyy-mm-dd"),"T",TEXT(A187,"hh:mm:ss"),'Event Info'!$B$5,",",," ",C187),"")</f>
        <v/>
      </c>
      <c r="G187" t="e">
        <f t="shared" si="4"/>
        <v>#VALUE!</v>
      </c>
      <c r="H187" s="92" t="str">
        <f t="shared" si="5"/>
        <v/>
      </c>
      <c r="I187" s="91">
        <v>0</v>
      </c>
    </row>
    <row r="188" spans="1:9">
      <c r="A188" s="76" t="str" cm="1">
        <f t="array" ref="A18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Calculators'!$B$2+E188)</f>
        <v/>
      </c>
      <c r="B188" s="76" t="str" cm="1">
        <f t="array" ref="B188">IF(OR(A188=""),"",IF(INDEX('Test schedule'!E:E,ROW()+9)="",IF(A189="",A188+$Q$10,A189),INDEX('Test schedule'!E:E,ROW()+9)+'Date Calculators'!$B$2+E188))</f>
        <v/>
      </c>
      <c r="C188" s="74" t="str" cm="1">
        <f t="array" ref="C188">IF(A188="","",INDEX('Test schedule'!J:J,ROW()+9))</f>
        <v/>
      </c>
      <c r="D188" s="74" t="str">
        <f>IFERROR(IF(A188="","",'Event Info'!$B$2),"")</f>
        <v/>
      </c>
      <c r="E188" cm="1">
        <f t="array" ref="E188">IF(INDEX('Test schedule'!B:B,ROW()+9)="START",E187+1,E187+0)</f>
        <v>5</v>
      </c>
      <c r="F188" s="82" t="str">
        <f>IF(A188&lt;&gt;"",_xlfn.CONCAT(TEXT(A188,"yyyy-mm-dd"),"T",TEXT(A188,"hh:mm:ss"),'Event Info'!$B$5,",",," ",C188),"")</f>
        <v/>
      </c>
      <c r="G188" t="e">
        <f t="shared" si="4"/>
        <v>#VALUE!</v>
      </c>
      <c r="H188" s="92" t="str">
        <f t="shared" si="5"/>
        <v/>
      </c>
      <c r="I188" s="88">
        <v>0</v>
      </c>
    </row>
    <row r="189" spans="1:9">
      <c r="A189" s="76" t="str" cm="1">
        <f t="array" ref="A18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Calculators'!$B$2+E189)</f>
        <v/>
      </c>
      <c r="B189" s="76" t="str" cm="1">
        <f t="array" ref="B189">IF(OR(A189=""),"",IF(INDEX('Test schedule'!E:E,ROW()+9)="",IF(A190="",A189+$Q$10,A190),INDEX('Test schedule'!E:E,ROW()+9)+'Date Calculators'!$B$2+E189))</f>
        <v/>
      </c>
      <c r="C189" s="74" t="str" cm="1">
        <f t="array" ref="C189">IF(A189="","",INDEX('Test schedule'!J:J,ROW()+9))</f>
        <v/>
      </c>
      <c r="D189" s="74" t="str">
        <f>IFERROR(IF(A189="","",'Event Info'!$B$2),"")</f>
        <v/>
      </c>
      <c r="E189" cm="1">
        <f t="array" ref="E189">IF(INDEX('Test schedule'!B:B,ROW()+9)="START",E188+1,E188+0)</f>
        <v>5</v>
      </c>
      <c r="F189" s="82" t="str">
        <f>IF(A189&lt;&gt;"",_xlfn.CONCAT(TEXT(A189,"yyyy-mm-dd"),"T",TEXT(A189,"hh:mm:ss"),'Event Info'!$B$5,",",," ",C189),"")</f>
        <v/>
      </c>
      <c r="G189" t="e">
        <f t="shared" si="4"/>
        <v>#VALUE!</v>
      </c>
      <c r="H189" s="92" t="str">
        <f t="shared" si="5"/>
        <v/>
      </c>
      <c r="I189" s="88">
        <v>0</v>
      </c>
    </row>
    <row r="190" spans="1:9" ht="16.899999999999999">
      <c r="A190" s="76" t="str" cm="1">
        <f t="array" ref="A19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Calculators'!$B$2+E190)</f>
        <v/>
      </c>
      <c r="B190" s="76" t="str" cm="1">
        <f t="array" ref="B190">IF(OR(A190=""),"",IF(INDEX('Test schedule'!E:E,ROW()+9)="",IF(A191="",A190+$Q$10,A191),INDEX('Test schedule'!E:E,ROW()+9)+'Date Calculators'!$B$2+E190))</f>
        <v/>
      </c>
      <c r="C190" s="74" t="str" cm="1">
        <f t="array" ref="C190">IF(A190="","",INDEX('Test schedule'!J:J,ROW()+9))</f>
        <v/>
      </c>
      <c r="D190" s="74" t="str">
        <f>IFERROR(IF(A190="","",'Event Info'!$B$2),"")</f>
        <v/>
      </c>
      <c r="E190" cm="1">
        <f t="array" ref="E190">IF(INDEX('Test schedule'!B:B,ROW()+9)="START",E189+1,E189+0)</f>
        <v>5</v>
      </c>
      <c r="F190" s="82" t="str">
        <f>IF(A190&lt;&gt;"",_xlfn.CONCAT(TEXT(A190,"yyyy-mm-dd"),"T",TEXT(A190,"hh:mm:ss"),'Event Info'!$B$5,",",," ",C190),"")</f>
        <v/>
      </c>
      <c r="G190" t="e">
        <f t="shared" si="4"/>
        <v>#VALUE!</v>
      </c>
      <c r="H190" s="92" t="str">
        <f t="shared" si="5"/>
        <v/>
      </c>
      <c r="I190" s="91">
        <v>0</v>
      </c>
    </row>
    <row r="191" spans="1:9">
      <c r="A191" s="76" t="str" cm="1">
        <f t="array" ref="A19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Calculators'!$B$2+E191)</f>
        <v/>
      </c>
      <c r="B191" s="76" t="str" cm="1">
        <f t="array" ref="B191">IF(OR(A191=""),"",IF(INDEX('Test schedule'!E:E,ROW()+9)="",IF(A192="",A191+$Q$10,A192),INDEX('Test schedule'!E:E,ROW()+9)+'Date Calculators'!$B$2+E191))</f>
        <v/>
      </c>
      <c r="C191" s="74" t="str" cm="1">
        <f t="array" ref="C191">IF(A191="","",INDEX('Test schedule'!J:J,ROW()+9))</f>
        <v/>
      </c>
      <c r="D191" s="74" t="str">
        <f>IFERROR(IF(A191="","",'Event Info'!$B$2),"")</f>
        <v/>
      </c>
      <c r="E191" cm="1">
        <f t="array" ref="E191">IF(INDEX('Test schedule'!B:B,ROW()+9)="START",E190+1,E190+0)</f>
        <v>5</v>
      </c>
      <c r="F191" s="82" t="str">
        <f>IF(A191&lt;&gt;"",_xlfn.CONCAT(TEXT(A191,"yyyy-mm-dd"),"T",TEXT(A191,"hh:mm:ss"),'Event Info'!$B$5,",",," ",C191),"")</f>
        <v/>
      </c>
      <c r="G191" t="e">
        <f t="shared" si="4"/>
        <v>#VALUE!</v>
      </c>
      <c r="H191" s="92" t="str">
        <f t="shared" si="5"/>
        <v/>
      </c>
      <c r="I191" s="88">
        <v>0</v>
      </c>
    </row>
    <row r="192" spans="1:9">
      <c r="A192" s="76" t="str" cm="1">
        <f t="array" ref="A19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Calculators'!$B$2+E192)</f>
        <v/>
      </c>
      <c r="B192" s="76" t="str" cm="1">
        <f t="array" ref="B192">IF(OR(A192=""),"",IF(INDEX('Test schedule'!E:E,ROW()+9)="",IF(A193="",A192+$Q$10,A193),INDEX('Test schedule'!E:E,ROW()+9)+'Date Calculators'!$B$2+E192))</f>
        <v/>
      </c>
      <c r="C192" s="74" t="str" cm="1">
        <f t="array" ref="C192">IF(A192="","",INDEX('Test schedule'!J:J,ROW()+9))</f>
        <v/>
      </c>
      <c r="D192" s="74" t="str">
        <f>IFERROR(IF(A192="","",'Event Info'!$B$2),"")</f>
        <v/>
      </c>
      <c r="E192" cm="1">
        <f t="array" ref="E192">IF(INDEX('Test schedule'!B:B,ROW()+9)="START",E191+1,E191+0)</f>
        <v>5</v>
      </c>
      <c r="F192" s="82" t="str">
        <f>IF(A192&lt;&gt;"",_xlfn.CONCAT(TEXT(A192,"yyyy-mm-dd"),"T",TEXT(A192,"hh:mm:ss"),'Event Info'!$B$5,",",," ",C192),"")</f>
        <v/>
      </c>
      <c r="G192" t="e">
        <f t="shared" si="4"/>
        <v>#VALUE!</v>
      </c>
      <c r="H192" s="92" t="str">
        <f t="shared" si="5"/>
        <v/>
      </c>
      <c r="I192" s="88">
        <v>0</v>
      </c>
    </row>
    <row r="193" spans="1:9" ht="16.899999999999999">
      <c r="A193" s="76" t="str" cm="1">
        <f t="array" ref="A19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Calculators'!$B$2+E193)</f>
        <v/>
      </c>
      <c r="B193" s="76" t="str" cm="1">
        <f t="array" ref="B193">IF(OR(A193=""),"",IF(INDEX('Test schedule'!E:E,ROW()+9)="",IF(A194="",A193+$Q$10,A194),INDEX('Test schedule'!E:E,ROW()+9)+'Date Calculators'!$B$2+E193))</f>
        <v/>
      </c>
      <c r="C193" s="74" t="str" cm="1">
        <f t="array" ref="C193">IF(A193="","",INDEX('Test schedule'!J:J,ROW()+9))</f>
        <v/>
      </c>
      <c r="D193" s="74" t="str">
        <f>IFERROR(IF(A193="","",'Event Info'!$B$2),"")</f>
        <v/>
      </c>
      <c r="E193" cm="1">
        <f t="array" ref="E193">IF(INDEX('Test schedule'!B:B,ROW()+9)="START",E192+1,E192+0)</f>
        <v>5</v>
      </c>
      <c r="F193" s="82" t="str">
        <f>IF(A193&lt;&gt;"",_xlfn.CONCAT(TEXT(A193,"yyyy-mm-dd"),"T",TEXT(A193,"hh:mm:ss"),'Event Info'!$B$5,",",," ",C193),"")</f>
        <v/>
      </c>
      <c r="G193" t="e">
        <f t="shared" si="4"/>
        <v>#VALUE!</v>
      </c>
      <c r="H193" s="92" t="str">
        <f t="shared" si="5"/>
        <v/>
      </c>
      <c r="I193" s="91">
        <v>0</v>
      </c>
    </row>
    <row r="194" spans="1:9">
      <c r="A194" s="76" t="str" cm="1">
        <f t="array" ref="A19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Calculators'!$B$2+E194)</f>
        <v/>
      </c>
      <c r="B194" s="76" t="str" cm="1">
        <f t="array" ref="B194">IF(OR(A194=""),"",IF(INDEX('Test schedule'!E:E,ROW()+9)="",IF(A195="",A194+$Q$10,A195),INDEX('Test schedule'!E:E,ROW()+9)+'Date Calculators'!$B$2+E194))</f>
        <v/>
      </c>
      <c r="C194" s="74" t="str" cm="1">
        <f t="array" ref="C194">IF(A194="","",INDEX('Test schedule'!J:J,ROW()+9))</f>
        <v/>
      </c>
      <c r="D194" s="74" t="str">
        <f>IFERROR(IF(A194="","",'Event Info'!$B$2),"")</f>
        <v/>
      </c>
      <c r="E194" cm="1">
        <f t="array" ref="E194">IF(INDEX('Test schedule'!B:B,ROW()+9)="START",E193+1,E193+0)</f>
        <v>5</v>
      </c>
      <c r="F194" s="82" t="str">
        <f>IF(A194&lt;&gt;"",_xlfn.CONCAT(TEXT(A194,"yyyy-mm-dd"),"T",TEXT(A194,"hh:mm:ss"),'Event Info'!$B$5,",",," ",C194),"")</f>
        <v/>
      </c>
      <c r="G194" t="e">
        <f t="shared" si="4"/>
        <v>#VALUE!</v>
      </c>
      <c r="H194" s="92" t="str">
        <f t="shared" si="5"/>
        <v/>
      </c>
      <c r="I194" s="88">
        <v>0</v>
      </c>
    </row>
    <row r="195" spans="1:9">
      <c r="A195" s="76" t="str" cm="1">
        <f t="array" ref="A19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Calculators'!$B$2+E195)</f>
        <v/>
      </c>
      <c r="B195" s="76" t="str" cm="1">
        <f t="array" ref="B195">IF(OR(A195=""),"",IF(INDEX('Test schedule'!E:E,ROW()+9)="",IF(A196="",A195+$Q$10,A196),INDEX('Test schedule'!E:E,ROW()+9)+'Date Calculators'!$B$2+E195))</f>
        <v/>
      </c>
      <c r="C195" s="74" t="str" cm="1">
        <f t="array" ref="C195">IF(A195="","",INDEX('Test schedule'!J:J,ROW()+9))</f>
        <v/>
      </c>
      <c r="D195" s="74" t="str">
        <f>IFERROR(IF(A195="","",'Event Info'!$B$2),"")</f>
        <v/>
      </c>
      <c r="E195" cm="1">
        <f t="array" ref="E195">IF(INDEX('Test schedule'!B:B,ROW()+9)="START",E194+1,E194+0)</f>
        <v>5</v>
      </c>
      <c r="F195" s="82" t="str">
        <f>IF(A195&lt;&gt;"",_xlfn.CONCAT(TEXT(A195,"yyyy-mm-dd"),"T",TEXT(A195,"hh:mm:ss"),'Event Info'!$B$5,",",," ",C195),"")</f>
        <v/>
      </c>
      <c r="G195" t="e">
        <f t="shared" ref="G195:G258" si="6">G194+IF(A195&lt;&gt;"",1,0)</f>
        <v>#VALUE!</v>
      </c>
      <c r="H195" s="92" t="str">
        <f t="shared" si="5"/>
        <v/>
      </c>
      <c r="I195" s="88">
        <v>0</v>
      </c>
    </row>
    <row r="196" spans="1:9" ht="16.899999999999999">
      <c r="A196" s="76" t="str" cm="1">
        <f t="array" ref="A19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Calculators'!$B$2+E196)</f>
        <v/>
      </c>
      <c r="B196" s="76" t="str" cm="1">
        <f t="array" ref="B196">IF(OR(A196=""),"",IF(INDEX('Test schedule'!E:E,ROW()+9)="",IF(A197="",A196+$Q$10,A197),INDEX('Test schedule'!E:E,ROW()+9)+'Date Calculators'!$B$2+E196))</f>
        <v/>
      </c>
      <c r="C196" s="74" t="str" cm="1">
        <f t="array" ref="C196">IF(A196="","",INDEX('Test schedule'!J:J,ROW()+9))</f>
        <v/>
      </c>
      <c r="D196" s="74" t="str">
        <f>IFERROR(IF(A196="","",'Event Info'!$B$2),"")</f>
        <v/>
      </c>
      <c r="E196" cm="1">
        <f t="array" ref="E196">IF(INDEX('Test schedule'!B:B,ROW()+9)="START",E195+1,E195+0)</f>
        <v>5</v>
      </c>
      <c r="F196" s="82" t="str">
        <f>IF(A196&lt;&gt;"",_xlfn.CONCAT(TEXT(A196,"yyyy-mm-dd"),"T",TEXT(A196,"hh:mm:ss"),'Event Info'!$B$5,",",," ",C196),"")</f>
        <v/>
      </c>
      <c r="G196" t="e">
        <f t="shared" si="6"/>
        <v>#VALUE!</v>
      </c>
      <c r="H196" s="92" t="str">
        <f t="shared" ref="H196:H259" si="7">IFERROR(INDEX($F$2:$F$500,MATCH(ROW()-1,$G$2:$G$500,0)),"")</f>
        <v/>
      </c>
      <c r="I196" s="91">
        <v>0</v>
      </c>
    </row>
    <row r="197" spans="1:9">
      <c r="A197" s="76" t="str" cm="1">
        <f t="array" ref="A19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Calculators'!$B$2+E197)</f>
        <v/>
      </c>
      <c r="B197" s="76" t="str" cm="1">
        <f t="array" ref="B197">IF(OR(A197=""),"",IF(INDEX('Test schedule'!E:E,ROW()+9)="",IF(A198="",A197+$Q$10,A198),INDEX('Test schedule'!E:E,ROW()+9)+'Date Calculators'!$B$2+E197))</f>
        <v/>
      </c>
      <c r="C197" s="74" t="str" cm="1">
        <f t="array" ref="C197">IF(A197="","",INDEX('Test schedule'!J:J,ROW()+9))</f>
        <v/>
      </c>
      <c r="D197" s="74" t="str">
        <f>IFERROR(IF(A197="","",'Event Info'!$B$2),"")</f>
        <v/>
      </c>
      <c r="E197" cm="1">
        <f t="array" ref="E197">IF(INDEX('Test schedule'!B:B,ROW()+9)="START",E196+1,E196+0)</f>
        <v>5</v>
      </c>
      <c r="F197" s="82" t="str">
        <f>IF(A197&lt;&gt;"",_xlfn.CONCAT(TEXT(A197,"yyyy-mm-dd"),"T",TEXT(A197,"hh:mm:ss"),'Event Info'!$B$5,",",," ",C197),"")</f>
        <v/>
      </c>
      <c r="G197" t="e">
        <f t="shared" si="6"/>
        <v>#VALUE!</v>
      </c>
      <c r="H197" s="92" t="str">
        <f t="shared" si="7"/>
        <v/>
      </c>
      <c r="I197" s="88">
        <v>0</v>
      </c>
    </row>
    <row r="198" spans="1:9">
      <c r="A198" s="76" t="str" cm="1">
        <f t="array" ref="A19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Calculators'!$B$2+E198)</f>
        <v/>
      </c>
      <c r="B198" s="76" t="str" cm="1">
        <f t="array" ref="B198">IF(OR(A198=""),"",IF(INDEX('Test schedule'!E:E,ROW()+9)="",IF(A199="",A198+$Q$10,A199),INDEX('Test schedule'!E:E,ROW()+9)+'Date Calculators'!$B$2+E198))</f>
        <v/>
      </c>
      <c r="C198" s="74" t="str" cm="1">
        <f t="array" ref="C198">IF(A198="","",INDEX('Test schedule'!J:J,ROW()+9))</f>
        <v/>
      </c>
      <c r="D198" s="74" t="str">
        <f>IFERROR(IF(A198="","",'Event Info'!$B$2),"")</f>
        <v/>
      </c>
      <c r="E198" cm="1">
        <f t="array" ref="E198">IF(INDEX('Test schedule'!B:B,ROW()+9)="START",E197+1,E197+0)</f>
        <v>5</v>
      </c>
      <c r="F198" s="82" t="str">
        <f>IF(A198&lt;&gt;"",_xlfn.CONCAT(TEXT(A198,"yyyy-mm-dd"),"T",TEXT(A198,"hh:mm:ss"),'Event Info'!$B$5,",",," ",C198),"")</f>
        <v/>
      </c>
      <c r="G198" t="e">
        <f t="shared" si="6"/>
        <v>#VALUE!</v>
      </c>
      <c r="H198" s="92" t="str">
        <f t="shared" si="7"/>
        <v/>
      </c>
      <c r="I198" s="88">
        <v>0</v>
      </c>
    </row>
    <row r="199" spans="1:9" ht="16.899999999999999">
      <c r="A199" s="76" t="str" cm="1">
        <f t="array" ref="A19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Calculators'!$B$2+E199)</f>
        <v/>
      </c>
      <c r="B199" s="76" t="str" cm="1">
        <f t="array" ref="B199">IF(OR(A199=""),"",IF(INDEX('Test schedule'!E:E,ROW()+9)="",IF(A200="",A199+$Q$10,A200),INDEX('Test schedule'!E:E,ROW()+9)+'Date Calculators'!$B$2+E199))</f>
        <v/>
      </c>
      <c r="C199" s="74" t="str" cm="1">
        <f t="array" ref="C199">IF(A199="","",INDEX('Test schedule'!J:J,ROW()+9))</f>
        <v/>
      </c>
      <c r="D199" s="74" t="str">
        <f>IFERROR(IF(A199="","",'Event Info'!$B$2),"")</f>
        <v/>
      </c>
      <c r="E199" cm="1">
        <f t="array" ref="E199">IF(INDEX('Test schedule'!B:B,ROW()+9)="START",E198+1,E198+0)</f>
        <v>5</v>
      </c>
      <c r="F199" s="82" t="str">
        <f>IF(A199&lt;&gt;"",_xlfn.CONCAT(TEXT(A199,"yyyy-mm-dd"),"T",TEXT(A199,"hh:mm:ss"),'Event Info'!$B$5,",",," ",C199),"")</f>
        <v/>
      </c>
      <c r="G199" t="e">
        <f t="shared" si="6"/>
        <v>#VALUE!</v>
      </c>
      <c r="H199" s="92" t="str">
        <f t="shared" si="7"/>
        <v/>
      </c>
      <c r="I199" s="91">
        <v>0</v>
      </c>
    </row>
    <row r="200" spans="1:9">
      <c r="A200" s="76" t="str" cm="1">
        <f t="array" ref="A20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Calculators'!$B$2+E200)</f>
        <v/>
      </c>
      <c r="B200" s="76" t="str" cm="1">
        <f t="array" ref="B200">IF(OR(A200=""),"",IF(INDEX('Test schedule'!E:E,ROW()+9)="",IF(A201="",A200+$Q$10,A201),INDEX('Test schedule'!E:E,ROW()+9)+'Date Calculators'!$B$2+E200))</f>
        <v/>
      </c>
      <c r="C200" s="74" t="str" cm="1">
        <f t="array" ref="C200">IF(A200="","",INDEX('Test schedule'!J:J,ROW()+9))</f>
        <v/>
      </c>
      <c r="D200" s="74" t="str">
        <f>IFERROR(IF(A200="","",'Event Info'!$B$2),"")</f>
        <v/>
      </c>
      <c r="E200" cm="1">
        <f t="array" ref="E200">IF(INDEX('Test schedule'!B:B,ROW()+9)="START",E199+1,E199+0)</f>
        <v>5</v>
      </c>
      <c r="F200" s="82" t="str">
        <f>IF(A200&lt;&gt;"",_xlfn.CONCAT(TEXT(A200,"yyyy-mm-dd"),"T",TEXT(A200,"hh:mm:ss"),'Event Info'!$B$5,",",," ",C200),"")</f>
        <v/>
      </c>
      <c r="G200" t="e">
        <f t="shared" si="6"/>
        <v>#VALUE!</v>
      </c>
      <c r="H200" s="92" t="str">
        <f t="shared" si="7"/>
        <v/>
      </c>
      <c r="I200" s="88">
        <v>0</v>
      </c>
    </row>
    <row r="201" spans="1:9">
      <c r="A201" s="76" t="str" cm="1">
        <f t="array" ref="A20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Calculators'!$B$2+E201)</f>
        <v/>
      </c>
      <c r="B201" s="76" t="str" cm="1">
        <f t="array" ref="B201">IF(OR(A201=""),"",IF(INDEX('Test schedule'!E:E,ROW()+9)="",IF(A202="",A201+$Q$10,A202),INDEX('Test schedule'!E:E,ROW()+9)+'Date Calculators'!$B$2+E201))</f>
        <v/>
      </c>
      <c r="C201" s="74" t="str" cm="1">
        <f t="array" ref="C201">IF(A201="","",INDEX('Test schedule'!J:J,ROW()+9))</f>
        <v/>
      </c>
      <c r="D201" s="74" t="str">
        <f>IFERROR(IF(A201="","",'Event Info'!$B$2),"")</f>
        <v/>
      </c>
      <c r="E201" cm="1">
        <f t="array" ref="E201">IF(INDEX('Test schedule'!B:B,ROW()+9)="START",E200+1,E200+0)</f>
        <v>5</v>
      </c>
      <c r="F201" s="82" t="str">
        <f>IF(A201&lt;&gt;"",_xlfn.CONCAT(TEXT(A201,"yyyy-mm-dd"),"T",TEXT(A201,"hh:mm:ss"),'Event Info'!$B$5,",",," ",C201),"")</f>
        <v/>
      </c>
      <c r="G201" t="e">
        <f t="shared" si="6"/>
        <v>#VALUE!</v>
      </c>
      <c r="H201" s="92" t="str">
        <f t="shared" si="7"/>
        <v/>
      </c>
      <c r="I201" s="88">
        <v>0</v>
      </c>
    </row>
    <row r="202" spans="1:9" ht="16.899999999999999">
      <c r="A202" s="76" t="str" cm="1">
        <f t="array" ref="A20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Calculators'!$B$2+E202)</f>
        <v/>
      </c>
      <c r="B202" s="76" t="str" cm="1">
        <f t="array" ref="B202">IF(OR(A202=""),"",IF(INDEX('Test schedule'!E:E,ROW()+9)="",IF(A203="",A202+$Q$10,A203),INDEX('Test schedule'!E:E,ROW()+9)+'Date Calculators'!$B$2+E202))</f>
        <v/>
      </c>
      <c r="C202" s="74" t="str" cm="1">
        <f t="array" ref="C202">IF(A202="","",INDEX('Test schedule'!J:J,ROW()+9))</f>
        <v/>
      </c>
      <c r="D202" s="74" t="str">
        <f>IFERROR(IF(A202="","",'Event Info'!$B$2),"")</f>
        <v/>
      </c>
      <c r="E202" cm="1">
        <f t="array" ref="E202">IF(INDEX('Test schedule'!B:B,ROW()+9)="START",E201+1,E201+0)</f>
        <v>5</v>
      </c>
      <c r="F202" s="82" t="str">
        <f>IF(A202&lt;&gt;"",_xlfn.CONCAT(TEXT(A202,"yyyy-mm-dd"),"T",TEXT(A202,"hh:mm:ss"),'Event Info'!$B$5,",",," ",C202),"")</f>
        <v/>
      </c>
      <c r="G202" t="e">
        <f t="shared" si="6"/>
        <v>#VALUE!</v>
      </c>
      <c r="H202" s="92" t="str">
        <f t="shared" si="7"/>
        <v/>
      </c>
      <c r="I202" s="91">
        <v>0</v>
      </c>
    </row>
    <row r="203" spans="1:9">
      <c r="A203" s="76" t="str" cm="1">
        <f t="array" ref="A20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Calculators'!$B$2+E203)</f>
        <v/>
      </c>
      <c r="B203" s="76" t="str" cm="1">
        <f t="array" ref="B203">IF(OR(A203=""),"",IF(INDEX('Test schedule'!E:E,ROW()+9)="",IF(A204="",A203+$Q$10,A204),INDEX('Test schedule'!E:E,ROW()+9)+'Date Calculators'!$B$2+E203))</f>
        <v/>
      </c>
      <c r="C203" s="74" t="str" cm="1">
        <f t="array" ref="C203">IF(A203="","",INDEX('Test schedule'!J:J,ROW()+9))</f>
        <v/>
      </c>
      <c r="D203" s="74" t="str">
        <f>IFERROR(IF(A203="","",'Event Info'!$B$2),"")</f>
        <v/>
      </c>
      <c r="E203" cm="1">
        <f t="array" ref="E203">IF(INDEX('Test schedule'!B:B,ROW()+9)="START",E202+1,E202+0)</f>
        <v>5</v>
      </c>
      <c r="F203" s="82" t="str">
        <f>IF(A203&lt;&gt;"",_xlfn.CONCAT(TEXT(A203,"yyyy-mm-dd"),"T",TEXT(A203,"hh:mm:ss"),'Event Info'!$B$5,",",," ",C203),"")</f>
        <v/>
      </c>
      <c r="G203" t="e">
        <f t="shared" si="6"/>
        <v>#VALUE!</v>
      </c>
      <c r="H203" s="92" t="str">
        <f t="shared" si="7"/>
        <v/>
      </c>
      <c r="I203" s="88">
        <v>0</v>
      </c>
    </row>
    <row r="204" spans="1:9">
      <c r="A204" s="76" t="str" cm="1">
        <f t="array" ref="A20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Calculators'!$B$2+E204)</f>
        <v/>
      </c>
      <c r="B204" s="76" t="str" cm="1">
        <f t="array" ref="B204">IF(OR(A204=""),"",IF(INDEX('Test schedule'!E:E,ROW()+9)="",IF(A205="",A204+$Q$10,A205),INDEX('Test schedule'!E:E,ROW()+9)+'Date Calculators'!$B$2+E204))</f>
        <v/>
      </c>
      <c r="C204" s="74" t="str" cm="1">
        <f t="array" ref="C204">IF(A204="","",INDEX('Test schedule'!J:J,ROW()+9))</f>
        <v/>
      </c>
      <c r="D204" s="74" t="str">
        <f>IFERROR(IF(A204="","",'Event Info'!$B$2),"")</f>
        <v/>
      </c>
      <c r="E204" cm="1">
        <f t="array" ref="E204">IF(INDEX('Test schedule'!B:B,ROW()+9)="START",E203+1,E203+0)</f>
        <v>5</v>
      </c>
      <c r="F204" s="82" t="str">
        <f>IF(A204&lt;&gt;"",_xlfn.CONCAT(TEXT(A204,"yyyy-mm-dd"),"T",TEXT(A204,"hh:mm:ss"),'Event Info'!$B$5,",",," ",C204),"")</f>
        <v/>
      </c>
      <c r="G204" t="e">
        <f t="shared" si="6"/>
        <v>#VALUE!</v>
      </c>
      <c r="H204" s="92" t="str">
        <f t="shared" si="7"/>
        <v/>
      </c>
      <c r="I204" s="88">
        <v>0</v>
      </c>
    </row>
    <row r="205" spans="1:9" ht="16.899999999999999">
      <c r="A205" s="76" t="str" cm="1">
        <f t="array" ref="A20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Calculators'!$B$2+E205)</f>
        <v/>
      </c>
      <c r="B205" s="76" t="str" cm="1">
        <f t="array" ref="B205">IF(OR(A205=""),"",IF(INDEX('Test schedule'!E:E,ROW()+9)="",IF(A206="",A205+$Q$10,A206),INDEX('Test schedule'!E:E,ROW()+9)+'Date Calculators'!$B$2+E205))</f>
        <v/>
      </c>
      <c r="C205" s="74" t="str" cm="1">
        <f t="array" ref="C205">IF(A205="","",INDEX('Test schedule'!J:J,ROW()+9))</f>
        <v/>
      </c>
      <c r="D205" s="74" t="str">
        <f>IFERROR(IF(A205="","",'Event Info'!$B$2),"")</f>
        <v/>
      </c>
      <c r="E205" cm="1">
        <f t="array" ref="E205">IF(INDEX('Test schedule'!B:B,ROW()+9)="START",E204+1,E204+0)</f>
        <v>5</v>
      </c>
      <c r="F205" s="82" t="str">
        <f>IF(A205&lt;&gt;"",_xlfn.CONCAT(TEXT(A205,"yyyy-mm-dd"),"T",TEXT(A205,"hh:mm:ss"),'Event Info'!$B$5,",",," ",C205),"")</f>
        <v/>
      </c>
      <c r="G205" t="e">
        <f t="shared" si="6"/>
        <v>#VALUE!</v>
      </c>
      <c r="H205" s="92" t="str">
        <f t="shared" si="7"/>
        <v/>
      </c>
      <c r="I205" s="91">
        <v>0</v>
      </c>
    </row>
    <row r="206" spans="1:9">
      <c r="A206" s="76" t="str" cm="1">
        <f t="array" ref="A20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Calculators'!$B$2+E206)</f>
        <v/>
      </c>
      <c r="B206" s="76" t="str" cm="1">
        <f t="array" ref="B206">IF(OR(A206=""),"",IF(INDEX('Test schedule'!E:E,ROW()+9)="",IF(A207="",A206+$Q$10,A207),INDEX('Test schedule'!E:E,ROW()+9)+'Date Calculators'!$B$2+E206))</f>
        <v/>
      </c>
      <c r="C206" s="74" t="str" cm="1">
        <f t="array" ref="C206">IF(A206="","",INDEX('Test schedule'!J:J,ROW()+9))</f>
        <v/>
      </c>
      <c r="D206" s="74" t="str">
        <f>IFERROR(IF(A206="","",'Event Info'!$B$2),"")</f>
        <v/>
      </c>
      <c r="E206" cm="1">
        <f t="array" ref="E206">IF(INDEX('Test schedule'!B:B,ROW()+9)="START",E205+1,E205+0)</f>
        <v>5</v>
      </c>
      <c r="F206" s="82" t="str">
        <f>IF(A206&lt;&gt;"",_xlfn.CONCAT(TEXT(A206,"yyyy-mm-dd"),"T",TEXT(A206,"hh:mm:ss"),'Event Info'!$B$5,",",," ",C206),"")</f>
        <v/>
      </c>
      <c r="G206" t="e">
        <f t="shared" si="6"/>
        <v>#VALUE!</v>
      </c>
      <c r="H206" s="92" t="str">
        <f t="shared" si="7"/>
        <v/>
      </c>
      <c r="I206" s="88">
        <v>0</v>
      </c>
    </row>
    <row r="207" spans="1:9">
      <c r="A207" s="76" t="str" cm="1">
        <f t="array" ref="A20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Calculators'!$B$2+E207)</f>
        <v/>
      </c>
      <c r="B207" s="76" t="str" cm="1">
        <f t="array" ref="B207">IF(OR(A207=""),"",IF(INDEX('Test schedule'!E:E,ROW()+9)="",IF(A208="",A207+$Q$10,A208),INDEX('Test schedule'!E:E,ROW()+9)+'Date Calculators'!$B$2+E207))</f>
        <v/>
      </c>
      <c r="C207" s="74" t="str" cm="1">
        <f t="array" ref="C207">IF(A207="","",INDEX('Test schedule'!J:J,ROW()+9))</f>
        <v/>
      </c>
      <c r="D207" s="74" t="str">
        <f>IFERROR(IF(A207="","",'Event Info'!$B$2),"")</f>
        <v/>
      </c>
      <c r="E207" cm="1">
        <f t="array" ref="E207">IF(INDEX('Test schedule'!B:B,ROW()+9)="START",E206+1,E206+0)</f>
        <v>5</v>
      </c>
      <c r="F207" s="82" t="str">
        <f>IF(A207&lt;&gt;"",_xlfn.CONCAT(TEXT(A207,"yyyy-mm-dd"),"T",TEXT(A207,"hh:mm:ss"),'Event Info'!$B$5,",",," ",C207),"")</f>
        <v/>
      </c>
      <c r="G207" t="e">
        <f t="shared" si="6"/>
        <v>#VALUE!</v>
      </c>
      <c r="H207" s="92" t="str">
        <f t="shared" si="7"/>
        <v/>
      </c>
      <c r="I207" s="88">
        <v>0</v>
      </c>
    </row>
    <row r="208" spans="1:9" ht="16.899999999999999">
      <c r="A208" s="76" t="str" cm="1">
        <f t="array" ref="A20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Calculators'!$B$2+E208)</f>
        <v/>
      </c>
      <c r="B208" s="76" t="str" cm="1">
        <f t="array" ref="B208">IF(OR(A208=""),"",IF(INDEX('Test schedule'!E:E,ROW()+9)="",IF(A209="",A208+$Q$10,A209),INDEX('Test schedule'!E:E,ROW()+9)+'Date Calculators'!$B$2+E208))</f>
        <v/>
      </c>
      <c r="C208" s="74" t="str" cm="1">
        <f t="array" ref="C208">IF(A208="","",INDEX('Test schedule'!J:J,ROW()+9))</f>
        <v/>
      </c>
      <c r="D208" s="74" t="str">
        <f>IFERROR(IF(A208="","",'Event Info'!$B$2),"")</f>
        <v/>
      </c>
      <c r="E208" cm="1">
        <f t="array" ref="E208">IF(INDEX('Test schedule'!B:B,ROW()+9)="START",E207+1,E207+0)</f>
        <v>5</v>
      </c>
      <c r="F208" s="82" t="str">
        <f>IF(A208&lt;&gt;"",_xlfn.CONCAT(TEXT(A208,"yyyy-mm-dd"),"T",TEXT(A208,"hh:mm:ss"),'Event Info'!$B$5,",",," ",C208),"")</f>
        <v/>
      </c>
      <c r="G208" t="e">
        <f t="shared" si="6"/>
        <v>#VALUE!</v>
      </c>
      <c r="H208" s="92" t="str">
        <f t="shared" si="7"/>
        <v/>
      </c>
      <c r="I208" s="91">
        <v>0</v>
      </c>
    </row>
    <row r="209" spans="1:9">
      <c r="A209" s="76" t="str" cm="1">
        <f t="array" ref="A20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Calculators'!$B$2+E209)</f>
        <v/>
      </c>
      <c r="B209" s="76" t="str" cm="1">
        <f t="array" ref="B209">IF(OR(A209=""),"",IF(INDEX('Test schedule'!E:E,ROW()+9)="",IF(A210="",A209+$Q$10,A210),INDEX('Test schedule'!E:E,ROW()+9)+'Date Calculators'!$B$2+E209))</f>
        <v/>
      </c>
      <c r="C209" s="74" t="str" cm="1">
        <f t="array" ref="C209">IF(A209="","",INDEX('Test schedule'!J:J,ROW()+9))</f>
        <v/>
      </c>
      <c r="D209" s="74" t="str">
        <f>IFERROR(IF(A209="","",'Event Info'!$B$2),"")</f>
        <v/>
      </c>
      <c r="E209" cm="1">
        <f t="array" ref="E209">IF(INDEX('Test schedule'!B:B,ROW()+9)="START",E208+1,E208+0)</f>
        <v>5</v>
      </c>
      <c r="F209" s="82" t="str">
        <f>IF(A209&lt;&gt;"",_xlfn.CONCAT(TEXT(A209,"yyyy-mm-dd"),"T",TEXT(A209,"hh:mm:ss"),'Event Info'!$B$5,",",," ",C209),"")</f>
        <v/>
      </c>
      <c r="G209" t="e">
        <f t="shared" si="6"/>
        <v>#VALUE!</v>
      </c>
      <c r="H209" s="92" t="str">
        <f t="shared" si="7"/>
        <v/>
      </c>
      <c r="I209" s="88">
        <v>0</v>
      </c>
    </row>
    <row r="210" spans="1:9">
      <c r="A210" s="76" t="str" cm="1">
        <f t="array" ref="A21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Calculators'!$B$2+E210)</f>
        <v/>
      </c>
      <c r="B210" s="76" t="str" cm="1">
        <f t="array" ref="B210">IF(OR(A210=""),"",IF(INDEX('Test schedule'!E:E,ROW()+9)="",IF(A211="",A210+$Q$10,A211),INDEX('Test schedule'!E:E,ROW()+9)+'Date Calculators'!$B$2+E210))</f>
        <v/>
      </c>
      <c r="C210" s="74" t="str" cm="1">
        <f t="array" ref="C210">IF(A210="","",INDEX('Test schedule'!J:J,ROW()+9))</f>
        <v/>
      </c>
      <c r="D210" s="74" t="str">
        <f>IFERROR(IF(A210="","",'Event Info'!$B$2),"")</f>
        <v/>
      </c>
      <c r="E210" cm="1">
        <f t="array" ref="E210">IF(INDEX('Test schedule'!B:B,ROW()+9)="START",E209+1,E209+0)</f>
        <v>5</v>
      </c>
      <c r="F210" s="82" t="str">
        <f>IF(A210&lt;&gt;"",_xlfn.CONCAT(TEXT(A210,"yyyy-mm-dd"),"T",TEXT(A210,"hh:mm:ss"),'Event Info'!$B$5,",",," ",C210),"")</f>
        <v/>
      </c>
      <c r="G210" t="e">
        <f t="shared" si="6"/>
        <v>#VALUE!</v>
      </c>
      <c r="H210" s="92" t="str">
        <f t="shared" si="7"/>
        <v/>
      </c>
      <c r="I210" s="88">
        <v>0</v>
      </c>
    </row>
    <row r="211" spans="1:9" ht="16.899999999999999">
      <c r="A211" s="76" t="str" cm="1">
        <f t="array" ref="A21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Calculators'!$B$2+E211)</f>
        <v/>
      </c>
      <c r="B211" s="76" t="str" cm="1">
        <f t="array" ref="B211">IF(OR(A211=""),"",IF(INDEX('Test schedule'!E:E,ROW()+9)="",IF(A212="",A211+$Q$10,A212),INDEX('Test schedule'!E:E,ROW()+9)+'Date Calculators'!$B$2+E211))</f>
        <v/>
      </c>
      <c r="C211" s="74" t="str" cm="1">
        <f t="array" ref="C211">IF(A211="","",INDEX('Test schedule'!J:J,ROW()+9))</f>
        <v/>
      </c>
      <c r="D211" s="74" t="str">
        <f>IFERROR(IF(A211="","",'Event Info'!$B$2),"")</f>
        <v/>
      </c>
      <c r="E211" cm="1">
        <f t="array" ref="E211">IF(INDEX('Test schedule'!B:B,ROW()+9)="START",E210+1,E210+0)</f>
        <v>5</v>
      </c>
      <c r="F211" s="82" t="str">
        <f>IF(A211&lt;&gt;"",_xlfn.CONCAT(TEXT(A211,"yyyy-mm-dd"),"T",TEXT(A211,"hh:mm:ss"),'Event Info'!$B$5,",",," ",C211),"")</f>
        <v/>
      </c>
      <c r="G211" t="e">
        <f t="shared" si="6"/>
        <v>#VALUE!</v>
      </c>
      <c r="H211" s="92" t="str">
        <f t="shared" si="7"/>
        <v/>
      </c>
      <c r="I211" s="91">
        <v>0</v>
      </c>
    </row>
    <row r="212" spans="1:9">
      <c r="A212" s="76" t="str" cm="1">
        <f t="array" ref="A21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Calculators'!$B$2+E212)</f>
        <v/>
      </c>
      <c r="B212" s="76" t="str" cm="1">
        <f t="array" ref="B212">IF(OR(A212=""),"",IF(INDEX('Test schedule'!E:E,ROW()+9)="",IF(A213="",A212+$Q$10,A213),INDEX('Test schedule'!E:E,ROW()+9)+'Date Calculators'!$B$2+E212))</f>
        <v/>
      </c>
      <c r="C212" s="74" t="str" cm="1">
        <f t="array" ref="C212">IF(A212="","",INDEX('Test schedule'!J:J,ROW()+9))</f>
        <v/>
      </c>
      <c r="D212" s="74" t="str">
        <f>IFERROR(IF(A212="","",'Event Info'!$B$2),"")</f>
        <v/>
      </c>
      <c r="E212" cm="1">
        <f t="array" ref="E212">IF(INDEX('Test schedule'!B:B,ROW()+9)="START",E211+1,E211+0)</f>
        <v>5</v>
      </c>
      <c r="F212" s="82" t="str">
        <f>IF(A212&lt;&gt;"",_xlfn.CONCAT(TEXT(A212,"yyyy-mm-dd"),"T",TEXT(A212,"hh:mm:ss"),'Event Info'!$B$5,",",," ",C212),"")</f>
        <v/>
      </c>
      <c r="G212" t="e">
        <f t="shared" si="6"/>
        <v>#VALUE!</v>
      </c>
      <c r="H212" s="92" t="str">
        <f t="shared" si="7"/>
        <v/>
      </c>
      <c r="I212" s="88">
        <v>0</v>
      </c>
    </row>
    <row r="213" spans="1:9">
      <c r="A213" s="76" t="str" cm="1">
        <f t="array" ref="A21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Calculators'!$B$2+E213)</f>
        <v/>
      </c>
      <c r="B213" s="76" t="str" cm="1">
        <f t="array" ref="B213">IF(OR(A213=""),"",IF(INDEX('Test schedule'!E:E,ROW()+9)="",IF(A214="",A213+$Q$10,A214),INDEX('Test schedule'!E:E,ROW()+9)+'Date Calculators'!$B$2+E213))</f>
        <v/>
      </c>
      <c r="C213" s="74" t="str" cm="1">
        <f t="array" ref="C213">IF(A213="","",INDEX('Test schedule'!J:J,ROW()+9))</f>
        <v/>
      </c>
      <c r="D213" s="74" t="str">
        <f>IFERROR(IF(A213="","",'Event Info'!$B$2),"")</f>
        <v/>
      </c>
      <c r="E213" cm="1">
        <f t="array" ref="E213">IF(INDEX('Test schedule'!B:B,ROW()+9)="START",E212+1,E212+0)</f>
        <v>5</v>
      </c>
      <c r="F213" s="82" t="str">
        <f>IF(A213&lt;&gt;"",_xlfn.CONCAT(TEXT(A213,"yyyy-mm-dd"),"T",TEXT(A213,"hh:mm:ss"),'Event Info'!$B$5,",",," ",C213),"")</f>
        <v/>
      </c>
      <c r="G213" t="e">
        <f t="shared" si="6"/>
        <v>#VALUE!</v>
      </c>
      <c r="H213" s="92" t="str">
        <f t="shared" si="7"/>
        <v/>
      </c>
      <c r="I213" s="88">
        <v>0</v>
      </c>
    </row>
    <row r="214" spans="1:9" ht="16.899999999999999">
      <c r="A214" s="76" t="str" cm="1">
        <f t="array" ref="A21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Calculators'!$B$2+E214)</f>
        <v/>
      </c>
      <c r="B214" s="76" t="str" cm="1">
        <f t="array" ref="B214">IF(OR(A214=""),"",IF(INDEX('Test schedule'!E:E,ROW()+9)="",IF(A215="",A214+$Q$10,A215),INDEX('Test schedule'!E:E,ROW()+9)+'Date Calculators'!$B$2+E214))</f>
        <v/>
      </c>
      <c r="C214" s="74" t="str" cm="1">
        <f t="array" ref="C214">IF(A214="","",INDEX('Test schedule'!J:J,ROW()+9))</f>
        <v/>
      </c>
      <c r="D214" s="74" t="str">
        <f>IFERROR(IF(A214="","",'Event Info'!$B$2),"")</f>
        <v/>
      </c>
      <c r="E214" cm="1">
        <f t="array" ref="E214">IF(INDEX('Test schedule'!B:B,ROW()+9)="START",E213+1,E213+0)</f>
        <v>5</v>
      </c>
      <c r="F214" s="82" t="str">
        <f>IF(A214&lt;&gt;"",_xlfn.CONCAT(TEXT(A214,"yyyy-mm-dd"),"T",TEXT(A214,"hh:mm:ss"),'Event Info'!$B$5,",",," ",C214),"")</f>
        <v/>
      </c>
      <c r="G214" t="e">
        <f t="shared" si="6"/>
        <v>#VALUE!</v>
      </c>
      <c r="H214" s="92" t="str">
        <f t="shared" si="7"/>
        <v/>
      </c>
      <c r="I214" s="91">
        <v>0</v>
      </c>
    </row>
    <row r="215" spans="1:9">
      <c r="A215" s="76" t="str" cm="1">
        <f t="array" ref="A21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Calculators'!$B$2+E215)</f>
        <v/>
      </c>
      <c r="B215" s="76" t="str" cm="1">
        <f t="array" ref="B215">IF(OR(A215=""),"",IF(INDEX('Test schedule'!E:E,ROW()+9)="",IF(A216="",A215+$Q$10,A216),INDEX('Test schedule'!E:E,ROW()+9)+'Date Calculators'!$B$2+E215))</f>
        <v/>
      </c>
      <c r="C215" s="74" t="str" cm="1">
        <f t="array" ref="C215">IF(A215="","",INDEX('Test schedule'!J:J,ROW()+9))</f>
        <v/>
      </c>
      <c r="D215" s="74" t="str">
        <f>IFERROR(IF(A215="","",'Event Info'!$B$2),"")</f>
        <v/>
      </c>
      <c r="E215" cm="1">
        <f t="array" ref="E215">IF(INDEX('Test schedule'!B:B,ROW()+9)="START",E214+1,E214+0)</f>
        <v>5</v>
      </c>
      <c r="F215" s="82" t="str">
        <f>IF(A215&lt;&gt;"",_xlfn.CONCAT(TEXT(A215,"yyyy-mm-dd"),"T",TEXT(A215,"hh:mm:ss"),'Event Info'!$B$5,",",," ",C215),"")</f>
        <v/>
      </c>
      <c r="G215" t="e">
        <f t="shared" si="6"/>
        <v>#VALUE!</v>
      </c>
      <c r="H215" s="92" t="str">
        <f t="shared" si="7"/>
        <v/>
      </c>
      <c r="I215" s="88">
        <v>0</v>
      </c>
    </row>
    <row r="216" spans="1:9">
      <c r="A216" s="76" t="str" cm="1">
        <f t="array" ref="A21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Calculators'!$B$2+E216)</f>
        <v/>
      </c>
      <c r="B216" s="76" t="str" cm="1">
        <f t="array" ref="B216">IF(OR(A216=""),"",IF(INDEX('Test schedule'!E:E,ROW()+9)="",IF(A217="",A216+$Q$10,A217),INDEX('Test schedule'!E:E,ROW()+9)+'Date Calculators'!$B$2+E216))</f>
        <v/>
      </c>
      <c r="C216" s="74" t="str" cm="1">
        <f t="array" ref="C216">IF(A216="","",INDEX('Test schedule'!J:J,ROW()+9))</f>
        <v/>
      </c>
      <c r="D216" s="74" t="str">
        <f>IFERROR(IF(A216="","",'Event Info'!$B$2),"")</f>
        <v/>
      </c>
      <c r="E216" cm="1">
        <f t="array" ref="E216">IF(INDEX('Test schedule'!B:B,ROW()+9)="START",E215+1,E215+0)</f>
        <v>5</v>
      </c>
      <c r="F216" s="82" t="str">
        <f>IF(A216&lt;&gt;"",_xlfn.CONCAT(TEXT(A216,"yyyy-mm-dd"),"T",TEXT(A216,"hh:mm:ss"),'Event Info'!$B$5,",",," ",C216),"")</f>
        <v/>
      </c>
      <c r="G216" t="e">
        <f t="shared" si="6"/>
        <v>#VALUE!</v>
      </c>
      <c r="H216" s="92" t="str">
        <f t="shared" si="7"/>
        <v/>
      </c>
      <c r="I216" s="88">
        <v>0</v>
      </c>
    </row>
    <row r="217" spans="1:9" ht="16.899999999999999">
      <c r="A217" s="76" t="str" cm="1">
        <f t="array" ref="A21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Calculators'!$B$2+E217)</f>
        <v/>
      </c>
      <c r="B217" s="76" t="str" cm="1">
        <f t="array" ref="B217">IF(OR(A217=""),"",IF(INDEX('Test schedule'!E:E,ROW()+9)="",IF(A218="",A217+$Q$10,A218),INDEX('Test schedule'!E:E,ROW()+9)+'Date Calculators'!$B$2+E217))</f>
        <v/>
      </c>
      <c r="C217" s="74" t="str" cm="1">
        <f t="array" ref="C217">IF(A217="","",INDEX('Test schedule'!J:J,ROW()+9))</f>
        <v/>
      </c>
      <c r="D217" s="74" t="str">
        <f>IFERROR(IF(A217="","",'Event Info'!$B$2),"")</f>
        <v/>
      </c>
      <c r="E217" cm="1">
        <f t="array" ref="E217">IF(INDEX('Test schedule'!B:B,ROW()+9)="START",E216+1,E216+0)</f>
        <v>5</v>
      </c>
      <c r="F217" s="82" t="str">
        <f>IF(A217&lt;&gt;"",_xlfn.CONCAT(TEXT(A217,"yyyy-mm-dd"),"T",TEXT(A217,"hh:mm:ss"),'Event Info'!$B$5,",",," ",C217),"")</f>
        <v/>
      </c>
      <c r="G217" t="e">
        <f t="shared" si="6"/>
        <v>#VALUE!</v>
      </c>
      <c r="H217" s="92" t="str">
        <f t="shared" si="7"/>
        <v/>
      </c>
      <c r="I217" s="91">
        <v>0</v>
      </c>
    </row>
    <row r="218" spans="1:9">
      <c r="A218" s="76" t="str" cm="1">
        <f t="array" ref="A21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Calculators'!$B$2+E218)</f>
        <v/>
      </c>
      <c r="B218" s="76" t="str" cm="1">
        <f t="array" ref="B218">IF(OR(A218=""),"",IF(INDEX('Test schedule'!E:E,ROW()+9)="",IF(A219="",A218+$Q$10,A219),INDEX('Test schedule'!E:E,ROW()+9)+'Date Calculators'!$B$2+E218))</f>
        <v/>
      </c>
      <c r="C218" s="74" t="str" cm="1">
        <f t="array" ref="C218">IF(A218="","",INDEX('Test schedule'!J:J,ROW()+9))</f>
        <v/>
      </c>
      <c r="D218" s="74" t="str">
        <f>IFERROR(IF(A218="","",'Event Info'!$B$2),"")</f>
        <v/>
      </c>
      <c r="E218" cm="1">
        <f t="array" ref="E218">IF(INDEX('Test schedule'!B:B,ROW()+9)="START",E217+1,E217+0)</f>
        <v>5</v>
      </c>
      <c r="F218" s="82" t="str">
        <f>IF(A218&lt;&gt;"",_xlfn.CONCAT(TEXT(A218,"yyyy-mm-dd"),"T",TEXT(A218,"hh:mm:ss"),'Event Info'!$B$5,",",," ",C218),"")</f>
        <v/>
      </c>
      <c r="G218" t="e">
        <f t="shared" si="6"/>
        <v>#VALUE!</v>
      </c>
      <c r="H218" s="92" t="str">
        <f t="shared" si="7"/>
        <v/>
      </c>
      <c r="I218" s="88">
        <v>0</v>
      </c>
    </row>
    <row r="219" spans="1:9">
      <c r="A219" s="76" t="str" cm="1">
        <f t="array" ref="A21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Calculators'!$B$2+E219)</f>
        <v/>
      </c>
      <c r="B219" s="76" t="str" cm="1">
        <f t="array" ref="B219">IF(OR(A219=""),"",IF(INDEX('Test schedule'!E:E,ROW()+9)="",IF(A220="",A219+$Q$10,A220),INDEX('Test schedule'!E:E,ROW()+9)+'Date Calculators'!$B$2+E219))</f>
        <v/>
      </c>
      <c r="C219" s="74" t="str" cm="1">
        <f t="array" ref="C219">IF(A219="","",INDEX('Test schedule'!J:J,ROW()+9))</f>
        <v/>
      </c>
      <c r="D219" s="74" t="str">
        <f>IFERROR(IF(A219="","",'Event Info'!$B$2),"")</f>
        <v/>
      </c>
      <c r="E219" cm="1">
        <f t="array" ref="E219">IF(INDEX('Test schedule'!B:B,ROW()+9)="START",E218+1,E218+0)</f>
        <v>5</v>
      </c>
      <c r="F219" s="82" t="str">
        <f>IF(A219&lt;&gt;"",_xlfn.CONCAT(TEXT(A219,"yyyy-mm-dd"),"T",TEXT(A219,"hh:mm:ss"),'Event Info'!$B$5,",",," ",C219),"")</f>
        <v/>
      </c>
      <c r="G219" t="e">
        <f t="shared" si="6"/>
        <v>#VALUE!</v>
      </c>
      <c r="H219" s="92" t="str">
        <f t="shared" si="7"/>
        <v/>
      </c>
      <c r="I219" s="88">
        <v>0</v>
      </c>
    </row>
    <row r="220" spans="1:9" ht="16.899999999999999">
      <c r="A220" s="76" t="str" cm="1">
        <f t="array" ref="A22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Calculators'!$B$2+E220)</f>
        <v/>
      </c>
      <c r="B220" s="76" t="str" cm="1">
        <f t="array" ref="B220">IF(OR(A220=""),"",IF(INDEX('Test schedule'!E:E,ROW()+9)="",IF(A221="",A220+$Q$10,A221),INDEX('Test schedule'!E:E,ROW()+9)+'Date Calculators'!$B$2+E220))</f>
        <v/>
      </c>
      <c r="C220" s="74" t="str" cm="1">
        <f t="array" ref="C220">IF(A220="","",INDEX('Test schedule'!J:J,ROW()+9))</f>
        <v/>
      </c>
      <c r="D220" s="74" t="str">
        <f>IFERROR(IF(A220="","",'Event Info'!$B$2),"")</f>
        <v/>
      </c>
      <c r="E220" cm="1">
        <f t="array" ref="E220">IF(INDEX('Test schedule'!B:B,ROW()+9)="START",E219+1,E219+0)</f>
        <v>5</v>
      </c>
      <c r="F220" s="82" t="str">
        <f>IF(A220&lt;&gt;"",_xlfn.CONCAT(TEXT(A220,"yyyy-mm-dd"),"T",TEXT(A220,"hh:mm:ss"),'Event Info'!$B$5,",",," ",C220),"")</f>
        <v/>
      </c>
      <c r="G220" t="e">
        <f t="shared" si="6"/>
        <v>#VALUE!</v>
      </c>
      <c r="H220" s="92" t="str">
        <f t="shared" si="7"/>
        <v/>
      </c>
      <c r="I220" s="91">
        <v>0</v>
      </c>
    </row>
    <row r="221" spans="1:9">
      <c r="A221" s="76" t="str" cm="1">
        <f t="array" ref="A22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Calculators'!$B$2+E221)</f>
        <v/>
      </c>
      <c r="B221" s="76" t="str" cm="1">
        <f t="array" ref="B221">IF(OR(A221=""),"",IF(INDEX('Test schedule'!E:E,ROW()+9)="",IF(A222="",A221+$Q$10,A222),INDEX('Test schedule'!E:E,ROW()+9)+'Date Calculators'!$B$2+E221))</f>
        <v/>
      </c>
      <c r="C221" s="74" t="str" cm="1">
        <f t="array" ref="C221">IF(A221="","",INDEX('Test schedule'!J:J,ROW()+9))</f>
        <v/>
      </c>
      <c r="D221" s="74" t="str">
        <f>IFERROR(IF(A221="","",'Event Info'!$B$2),"")</f>
        <v/>
      </c>
      <c r="E221" cm="1">
        <f t="array" ref="E221">IF(INDEX('Test schedule'!B:B,ROW()+9)="START",E220+1,E220+0)</f>
        <v>5</v>
      </c>
      <c r="F221" s="82" t="str">
        <f>IF(A221&lt;&gt;"",_xlfn.CONCAT(TEXT(A221,"yyyy-mm-dd"),"T",TEXT(A221,"hh:mm:ss"),'Event Info'!$B$5,",",," ",C221),"")</f>
        <v/>
      </c>
      <c r="G221" t="e">
        <f t="shared" si="6"/>
        <v>#VALUE!</v>
      </c>
      <c r="H221" s="92" t="str">
        <f t="shared" si="7"/>
        <v/>
      </c>
      <c r="I221" s="88">
        <v>0</v>
      </c>
    </row>
    <row r="222" spans="1:9">
      <c r="A222" s="76" t="str" cm="1">
        <f t="array" ref="A22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Calculators'!$B$2+E222)</f>
        <v/>
      </c>
      <c r="B222" s="76" t="str" cm="1">
        <f t="array" ref="B222">IF(OR(A222=""),"",IF(INDEX('Test schedule'!E:E,ROW()+9)="",IF(A223="",A222+$Q$10,A223),INDEX('Test schedule'!E:E,ROW()+9)+'Date Calculators'!$B$2+E222))</f>
        <v/>
      </c>
      <c r="C222" s="74" t="str" cm="1">
        <f t="array" ref="C222">IF(A222="","",INDEX('Test schedule'!J:J,ROW()+9))</f>
        <v/>
      </c>
      <c r="D222" s="74" t="str">
        <f>IFERROR(IF(A222="","",'Event Info'!$B$2),"")</f>
        <v/>
      </c>
      <c r="E222" cm="1">
        <f t="array" ref="E222">IF(INDEX('Test schedule'!B:B,ROW()+9)="START",E221+1,E221+0)</f>
        <v>5</v>
      </c>
      <c r="F222" s="82" t="str">
        <f>IF(A222&lt;&gt;"",_xlfn.CONCAT(TEXT(A222,"yyyy-mm-dd"),"T",TEXT(A222,"hh:mm:ss"),'Event Info'!$B$5,",",," ",C222),"")</f>
        <v/>
      </c>
      <c r="G222" t="e">
        <f t="shared" si="6"/>
        <v>#VALUE!</v>
      </c>
      <c r="H222" s="92" t="str">
        <f t="shared" si="7"/>
        <v/>
      </c>
      <c r="I222" s="88">
        <v>0</v>
      </c>
    </row>
    <row r="223" spans="1:9" ht="16.899999999999999">
      <c r="A223" s="76" t="str" cm="1">
        <f t="array" ref="A22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Calculators'!$B$2+E223)</f>
        <v/>
      </c>
      <c r="B223" s="76" t="str" cm="1">
        <f t="array" ref="B223">IF(OR(A223=""),"",IF(INDEX('Test schedule'!E:E,ROW()+9)="",IF(A224="",A223+$Q$10,A224),INDEX('Test schedule'!E:E,ROW()+9)+'Date Calculators'!$B$2+E223))</f>
        <v/>
      </c>
      <c r="C223" s="74" t="str" cm="1">
        <f t="array" ref="C223">IF(A223="","",INDEX('Test schedule'!J:J,ROW()+9))</f>
        <v/>
      </c>
      <c r="D223" s="74" t="str">
        <f>IFERROR(IF(A223="","",'Event Info'!$B$2),"")</f>
        <v/>
      </c>
      <c r="E223" cm="1">
        <f t="array" ref="E223">IF(INDEX('Test schedule'!B:B,ROW()+9)="START",E222+1,E222+0)</f>
        <v>5</v>
      </c>
      <c r="F223" s="82" t="str">
        <f>IF(A223&lt;&gt;"",_xlfn.CONCAT(TEXT(A223,"yyyy-mm-dd"),"T",TEXT(A223,"hh:mm:ss"),'Event Info'!$B$5,",",," ",C223),"")</f>
        <v/>
      </c>
      <c r="G223" t="e">
        <f t="shared" si="6"/>
        <v>#VALUE!</v>
      </c>
      <c r="H223" s="92" t="str">
        <f t="shared" si="7"/>
        <v/>
      </c>
      <c r="I223" s="91">
        <v>0</v>
      </c>
    </row>
    <row r="224" spans="1:9">
      <c r="A224" s="76" t="str" cm="1">
        <f t="array" ref="A22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Calculators'!$B$2+E224)</f>
        <v/>
      </c>
      <c r="B224" s="76" t="str" cm="1">
        <f t="array" ref="B224">IF(OR(A224=""),"",IF(INDEX('Test schedule'!E:E,ROW()+9)="",IF(A225="",A224+$Q$10,A225),INDEX('Test schedule'!E:E,ROW()+9)+'Date Calculators'!$B$2+E224))</f>
        <v/>
      </c>
      <c r="C224" s="74" t="str" cm="1">
        <f t="array" ref="C224">IF(A224="","",INDEX('Test schedule'!J:J,ROW()+9))</f>
        <v/>
      </c>
      <c r="D224" s="74" t="str">
        <f>IFERROR(IF(A224="","",'Event Info'!$B$2),"")</f>
        <v/>
      </c>
      <c r="E224" cm="1">
        <f t="array" ref="E224">IF(INDEX('Test schedule'!B:B,ROW()+9)="START",E223+1,E223+0)</f>
        <v>5</v>
      </c>
      <c r="F224" s="82" t="str">
        <f>IF(A224&lt;&gt;"",_xlfn.CONCAT(TEXT(A224,"yyyy-mm-dd"),"T",TEXT(A224,"hh:mm:ss"),'Event Info'!$B$5,",",," ",C224),"")</f>
        <v/>
      </c>
      <c r="G224" t="e">
        <f t="shared" si="6"/>
        <v>#VALUE!</v>
      </c>
      <c r="H224" s="92" t="str">
        <f t="shared" si="7"/>
        <v/>
      </c>
      <c r="I224" s="88">
        <v>0</v>
      </c>
    </row>
    <row r="225" spans="1:9">
      <c r="A225" s="76" t="str" cm="1">
        <f t="array" ref="A22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Calculators'!$B$2+E225)</f>
        <v/>
      </c>
      <c r="B225" s="76" t="str" cm="1">
        <f t="array" ref="B225">IF(OR(A225=""),"",IF(INDEX('Test schedule'!E:E,ROW()+9)="",IF(A226="",A225+$Q$10,A226),INDEX('Test schedule'!E:E,ROW()+9)+'Date Calculators'!$B$2+E225))</f>
        <v/>
      </c>
      <c r="C225" s="74" t="str" cm="1">
        <f t="array" ref="C225">IF(A225="","",INDEX('Test schedule'!J:J,ROW()+9))</f>
        <v/>
      </c>
      <c r="D225" s="74" t="str">
        <f>IFERROR(IF(A225="","",'Event Info'!$B$2),"")</f>
        <v/>
      </c>
      <c r="E225" cm="1">
        <f t="array" ref="E225">IF(INDEX('Test schedule'!B:B,ROW()+9)="START",E224+1,E224+0)</f>
        <v>5</v>
      </c>
      <c r="F225" s="82" t="str">
        <f>IF(A225&lt;&gt;"",_xlfn.CONCAT(TEXT(A225,"yyyy-mm-dd"),"T",TEXT(A225,"hh:mm:ss"),'Event Info'!$B$5,",",," ",C225),"")</f>
        <v/>
      </c>
      <c r="G225" t="e">
        <f t="shared" si="6"/>
        <v>#VALUE!</v>
      </c>
      <c r="H225" s="92" t="str">
        <f t="shared" si="7"/>
        <v/>
      </c>
      <c r="I225" s="88">
        <v>0</v>
      </c>
    </row>
    <row r="226" spans="1:9" ht="16.899999999999999">
      <c r="A226" s="76" t="str" cm="1">
        <f t="array" ref="A22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Calculators'!$B$2+E226)</f>
        <v/>
      </c>
      <c r="B226" s="76" t="str" cm="1">
        <f t="array" ref="B226">IF(OR(A226=""),"",IF(INDEX('Test schedule'!E:E,ROW()+9)="",IF(A227="",A226+$Q$10,A227),INDEX('Test schedule'!E:E,ROW()+9)+'Date Calculators'!$B$2+E226))</f>
        <v/>
      </c>
      <c r="C226" s="74" t="str" cm="1">
        <f t="array" ref="C226">IF(A226="","",INDEX('Test schedule'!J:J,ROW()+9))</f>
        <v/>
      </c>
      <c r="D226" s="74" t="str">
        <f>IFERROR(IF(A226="","",'Event Info'!$B$2),"")</f>
        <v/>
      </c>
      <c r="E226" cm="1">
        <f t="array" ref="E226">IF(INDEX('Test schedule'!B:B,ROW()+9)="START",E225+1,E225+0)</f>
        <v>5</v>
      </c>
      <c r="F226" s="82" t="str">
        <f>IF(A226&lt;&gt;"",_xlfn.CONCAT(TEXT(A226,"yyyy-mm-dd"),"T",TEXT(A226,"hh:mm:ss"),'Event Info'!$B$5,",",," ",C226),"")</f>
        <v/>
      </c>
      <c r="G226" t="e">
        <f t="shared" si="6"/>
        <v>#VALUE!</v>
      </c>
      <c r="H226" s="92" t="str">
        <f t="shared" si="7"/>
        <v/>
      </c>
      <c r="I226" s="91">
        <v>0</v>
      </c>
    </row>
    <row r="227" spans="1:9">
      <c r="A227" s="76" t="str" cm="1">
        <f t="array" ref="A22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Calculators'!$B$2+E227)</f>
        <v/>
      </c>
      <c r="B227" s="76" t="str" cm="1">
        <f t="array" ref="B227">IF(OR(A227=""),"",IF(INDEX('Test schedule'!E:E,ROW()+9)="",IF(A228="",A227+$Q$10,A228),INDEX('Test schedule'!E:E,ROW()+9)+'Date Calculators'!$B$2+E227))</f>
        <v/>
      </c>
      <c r="C227" s="74" t="str" cm="1">
        <f t="array" ref="C227">IF(A227="","",INDEX('Test schedule'!J:J,ROW()+9))</f>
        <v/>
      </c>
      <c r="D227" s="74" t="str">
        <f>IFERROR(IF(A227="","",'Event Info'!$B$2),"")</f>
        <v/>
      </c>
      <c r="E227" cm="1">
        <f t="array" ref="E227">IF(INDEX('Test schedule'!B:B,ROW()+9)="START",E226+1,E226+0)</f>
        <v>5</v>
      </c>
      <c r="F227" s="82" t="str">
        <f>IF(A227&lt;&gt;"",_xlfn.CONCAT(TEXT(A227,"yyyy-mm-dd"),"T",TEXT(A227,"hh:mm:ss"),'Event Info'!$B$5,",",," ",C227),"")</f>
        <v/>
      </c>
      <c r="G227" t="e">
        <f t="shared" si="6"/>
        <v>#VALUE!</v>
      </c>
      <c r="H227" s="92" t="str">
        <f t="shared" si="7"/>
        <v/>
      </c>
      <c r="I227" s="88">
        <v>0</v>
      </c>
    </row>
    <row r="228" spans="1:9">
      <c r="A228" s="76" t="str" cm="1">
        <f t="array" ref="A22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Calculators'!$B$2+E228)</f>
        <v/>
      </c>
      <c r="B228" s="76" t="str" cm="1">
        <f t="array" ref="B228">IF(OR(A228=""),"",IF(INDEX('Test schedule'!E:E,ROW()+9)="",IF(A229="",A228+$Q$10,A229),INDEX('Test schedule'!E:E,ROW()+9)+'Date Calculators'!$B$2+E228))</f>
        <v/>
      </c>
      <c r="C228" s="74" t="str" cm="1">
        <f t="array" ref="C228">IF(A228="","",INDEX('Test schedule'!J:J,ROW()+9))</f>
        <v/>
      </c>
      <c r="D228" s="74" t="str">
        <f>IFERROR(IF(A228="","",'Event Info'!$B$2),"")</f>
        <v/>
      </c>
      <c r="E228" cm="1">
        <f t="array" ref="E228">IF(INDEX('Test schedule'!B:B,ROW()+9)="START",E227+1,E227+0)</f>
        <v>5</v>
      </c>
      <c r="F228" s="82" t="str">
        <f>IF(A228&lt;&gt;"",_xlfn.CONCAT(TEXT(A228,"yyyy-mm-dd"),"T",TEXT(A228,"hh:mm:ss"),'Event Info'!$B$5,",",," ",C228),"")</f>
        <v/>
      </c>
      <c r="G228" t="e">
        <f t="shared" si="6"/>
        <v>#VALUE!</v>
      </c>
      <c r="H228" s="92" t="str">
        <f t="shared" si="7"/>
        <v/>
      </c>
      <c r="I228" s="88">
        <v>0</v>
      </c>
    </row>
    <row r="229" spans="1:9" ht="16.899999999999999">
      <c r="A229" s="76" t="str" cm="1">
        <f t="array" ref="A22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Calculators'!$B$2+E229)</f>
        <v/>
      </c>
      <c r="B229" s="76" t="str" cm="1">
        <f t="array" ref="B229">IF(OR(A229=""),"",IF(INDEX('Test schedule'!E:E,ROW()+9)="",IF(A230="",A229+$Q$10,A230),INDEX('Test schedule'!E:E,ROW()+9)+'Date Calculators'!$B$2+E229))</f>
        <v/>
      </c>
      <c r="C229" s="74" t="str" cm="1">
        <f t="array" ref="C229">IF(A229="","",INDEX('Test schedule'!J:J,ROW()+9))</f>
        <v/>
      </c>
      <c r="D229" s="74" t="str">
        <f>IFERROR(IF(A229="","",'Event Info'!$B$2),"")</f>
        <v/>
      </c>
      <c r="E229" cm="1">
        <f t="array" ref="E229">IF(INDEX('Test schedule'!B:B,ROW()+9)="START",E228+1,E228+0)</f>
        <v>5</v>
      </c>
      <c r="F229" s="82" t="str">
        <f>IF(A229&lt;&gt;"",_xlfn.CONCAT(TEXT(A229,"yyyy-mm-dd"),"T",TEXT(A229,"hh:mm:ss"),'Event Info'!$B$5,",",," ",C229),"")</f>
        <v/>
      </c>
      <c r="G229" t="e">
        <f t="shared" si="6"/>
        <v>#VALUE!</v>
      </c>
      <c r="H229" s="92" t="str">
        <f t="shared" si="7"/>
        <v/>
      </c>
      <c r="I229" s="91">
        <v>0</v>
      </c>
    </row>
    <row r="230" spans="1:9">
      <c r="A230" s="76" t="str" cm="1">
        <f t="array" ref="A23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Calculators'!$B$2+E230)</f>
        <v/>
      </c>
      <c r="B230" s="76" t="str" cm="1">
        <f t="array" ref="B230">IF(OR(A230=""),"",IF(INDEX('Test schedule'!E:E,ROW()+9)="",IF(A231="",A230+$Q$10,A231),INDEX('Test schedule'!E:E,ROW()+9)+'Date Calculators'!$B$2+E230))</f>
        <v/>
      </c>
      <c r="C230" s="74" t="str" cm="1">
        <f t="array" ref="C230">IF(A230="","",INDEX('Test schedule'!J:J,ROW()+9))</f>
        <v/>
      </c>
      <c r="D230" s="74" t="str">
        <f>IFERROR(IF(A230="","",'Event Info'!$B$2),"")</f>
        <v/>
      </c>
      <c r="E230" cm="1">
        <f t="array" ref="E230">IF(INDEX('Test schedule'!B:B,ROW()+9)="START",E229+1,E229+0)</f>
        <v>5</v>
      </c>
      <c r="F230" s="82" t="str">
        <f>IF(A230&lt;&gt;"",_xlfn.CONCAT(TEXT(A230,"yyyy-mm-dd"),"T",TEXT(A230,"hh:mm:ss"),'Event Info'!$B$5,",",," ",C230),"")</f>
        <v/>
      </c>
      <c r="G230" t="e">
        <f t="shared" si="6"/>
        <v>#VALUE!</v>
      </c>
      <c r="H230" s="92" t="str">
        <f t="shared" si="7"/>
        <v/>
      </c>
      <c r="I230" s="88">
        <v>0</v>
      </c>
    </row>
    <row r="231" spans="1:9">
      <c r="A231" s="76" t="str" cm="1">
        <f t="array" ref="A23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Calculators'!$B$2+E231)</f>
        <v/>
      </c>
      <c r="B231" s="76" t="str" cm="1">
        <f t="array" ref="B231">IF(OR(A231=""),"",IF(INDEX('Test schedule'!E:E,ROW()+9)="",IF(A232="",A231+$Q$10,A232),INDEX('Test schedule'!E:E,ROW()+9)+'Date Calculators'!$B$2+E231))</f>
        <v/>
      </c>
      <c r="C231" s="74" t="str" cm="1">
        <f t="array" ref="C231">IF(A231="","",INDEX('Test schedule'!J:J,ROW()+9))</f>
        <v/>
      </c>
      <c r="D231" s="74" t="str">
        <f>IFERROR(IF(A231="","",'Event Info'!$B$2),"")</f>
        <v/>
      </c>
      <c r="E231" cm="1">
        <f t="array" ref="E231">IF(INDEX('Test schedule'!B:B,ROW()+9)="START",E230+1,E230+0)</f>
        <v>5</v>
      </c>
      <c r="F231" s="82" t="str">
        <f>IF(A231&lt;&gt;"",_xlfn.CONCAT(TEXT(A231,"yyyy-mm-dd"),"T",TEXT(A231,"hh:mm:ss"),'Event Info'!$B$5,",",," ",C231),"")</f>
        <v/>
      </c>
      <c r="G231" t="e">
        <f t="shared" si="6"/>
        <v>#VALUE!</v>
      </c>
      <c r="H231" s="92" t="str">
        <f t="shared" si="7"/>
        <v/>
      </c>
      <c r="I231" s="88">
        <v>0</v>
      </c>
    </row>
    <row r="232" spans="1:9" ht="16.899999999999999">
      <c r="A232" s="76" t="str" cm="1">
        <f t="array" ref="A23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Calculators'!$B$2+E232)</f>
        <v/>
      </c>
      <c r="B232" s="76" t="str" cm="1">
        <f t="array" ref="B232">IF(OR(A232=""),"",IF(INDEX('Test schedule'!E:E,ROW()+9)="",IF(A233="",A232+$Q$10,A233),INDEX('Test schedule'!E:E,ROW()+9)+'Date Calculators'!$B$2+E232))</f>
        <v/>
      </c>
      <c r="C232" s="74" t="str" cm="1">
        <f t="array" ref="C232">IF(A232="","",INDEX('Test schedule'!J:J,ROW()+9))</f>
        <v/>
      </c>
      <c r="D232" s="74" t="str">
        <f>IFERROR(IF(A232="","",'Event Info'!$B$2),"")</f>
        <v/>
      </c>
      <c r="E232" cm="1">
        <f t="array" ref="E232">IF(INDEX('Test schedule'!B:B,ROW()+9)="START",E231+1,E231+0)</f>
        <v>5</v>
      </c>
      <c r="F232" s="82" t="str">
        <f>IF(A232&lt;&gt;"",_xlfn.CONCAT(TEXT(A232,"yyyy-mm-dd"),"T",TEXT(A232,"hh:mm:ss"),'Event Info'!$B$5,",",," ",C232),"")</f>
        <v/>
      </c>
      <c r="G232" t="e">
        <f t="shared" si="6"/>
        <v>#VALUE!</v>
      </c>
      <c r="H232" s="92" t="str">
        <f t="shared" si="7"/>
        <v/>
      </c>
      <c r="I232" s="91">
        <v>0</v>
      </c>
    </row>
    <row r="233" spans="1:9">
      <c r="A233" s="76" t="str" cm="1">
        <f t="array" ref="A23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Calculators'!$B$2+E233)</f>
        <v/>
      </c>
      <c r="B233" s="76" t="str" cm="1">
        <f t="array" ref="B233">IF(OR(A233=""),"",IF(INDEX('Test schedule'!E:E,ROW()+9)="",IF(A234="",A233+$Q$10,A234),INDEX('Test schedule'!E:E,ROW()+9)+'Date Calculators'!$B$2+E233))</f>
        <v/>
      </c>
      <c r="C233" s="74" t="str" cm="1">
        <f t="array" ref="C233">IF(A233="","",INDEX('Test schedule'!J:J,ROW()+9))</f>
        <v/>
      </c>
      <c r="D233" s="74" t="str">
        <f>IFERROR(IF(A233="","",'Event Info'!$B$2),"")</f>
        <v/>
      </c>
      <c r="E233" cm="1">
        <f t="array" ref="E233">IF(INDEX('Test schedule'!B:B,ROW()+9)="START",E232+1,E232+0)</f>
        <v>5</v>
      </c>
      <c r="F233" s="82" t="str">
        <f>IF(A233&lt;&gt;"",_xlfn.CONCAT(TEXT(A233,"yyyy-mm-dd"),"T",TEXT(A233,"hh:mm:ss"),'Event Info'!$B$5,",",," ",C233),"")</f>
        <v/>
      </c>
      <c r="G233" t="e">
        <f t="shared" si="6"/>
        <v>#VALUE!</v>
      </c>
      <c r="H233" s="92" t="str">
        <f t="shared" si="7"/>
        <v/>
      </c>
      <c r="I233" s="88">
        <v>0</v>
      </c>
    </row>
    <row r="234" spans="1:9">
      <c r="A234" s="76" t="str" cm="1">
        <f t="array" ref="A23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Calculators'!$B$2+E234)</f>
        <v/>
      </c>
      <c r="B234" s="76" t="str" cm="1">
        <f t="array" ref="B234">IF(OR(A234=""),"",IF(INDEX('Test schedule'!E:E,ROW()+9)="",IF(A235="",A234+$Q$10,A235),INDEX('Test schedule'!E:E,ROW()+9)+'Date Calculators'!$B$2+E234))</f>
        <v/>
      </c>
      <c r="C234" s="74" t="str" cm="1">
        <f t="array" ref="C234">IF(A234="","",INDEX('Test schedule'!J:J,ROW()+9))</f>
        <v/>
      </c>
      <c r="D234" s="74" t="str">
        <f>IFERROR(IF(A234="","",'Event Info'!$B$2),"")</f>
        <v/>
      </c>
      <c r="E234" cm="1">
        <f t="array" ref="E234">IF(INDEX('Test schedule'!B:B,ROW()+9)="START",E233+1,E233+0)</f>
        <v>5</v>
      </c>
      <c r="F234" s="82" t="str">
        <f>IF(A234&lt;&gt;"",_xlfn.CONCAT(TEXT(A234,"yyyy-mm-dd"),"T",TEXT(A234,"hh:mm:ss"),'Event Info'!$B$5,",",," ",C234),"")</f>
        <v/>
      </c>
      <c r="G234" t="e">
        <f t="shared" si="6"/>
        <v>#VALUE!</v>
      </c>
      <c r="H234" s="92" t="str">
        <f t="shared" si="7"/>
        <v/>
      </c>
      <c r="I234" s="88">
        <v>0</v>
      </c>
    </row>
    <row r="235" spans="1:9" ht="16.899999999999999">
      <c r="A235" s="76" t="str" cm="1">
        <f t="array" ref="A23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Calculators'!$B$2+E235)</f>
        <v/>
      </c>
      <c r="B235" s="76" t="str" cm="1">
        <f t="array" ref="B235">IF(OR(A235=""),"",IF(INDEX('Test schedule'!E:E,ROW()+9)="",IF(A236="",A235+$Q$10,A236),INDEX('Test schedule'!E:E,ROW()+9)+'Date Calculators'!$B$2+E235))</f>
        <v/>
      </c>
      <c r="C235" s="74" t="str" cm="1">
        <f t="array" ref="C235">IF(A235="","",INDEX('Test schedule'!J:J,ROW()+9))</f>
        <v/>
      </c>
      <c r="D235" s="74" t="str">
        <f>IFERROR(IF(A235="","",'Event Info'!$B$2),"")</f>
        <v/>
      </c>
      <c r="E235" cm="1">
        <f t="array" ref="E235">IF(INDEX('Test schedule'!B:B,ROW()+9)="START",E234+1,E234+0)</f>
        <v>5</v>
      </c>
      <c r="F235" s="82" t="str">
        <f>IF(A235&lt;&gt;"",_xlfn.CONCAT(TEXT(A235,"yyyy-mm-dd"),"T",TEXT(A235,"hh:mm:ss"),'Event Info'!$B$5,",",," ",C235),"")</f>
        <v/>
      </c>
      <c r="G235" t="e">
        <f t="shared" si="6"/>
        <v>#VALUE!</v>
      </c>
      <c r="H235" s="92" t="str">
        <f t="shared" si="7"/>
        <v/>
      </c>
      <c r="I235" s="91">
        <v>0</v>
      </c>
    </row>
    <row r="236" spans="1:9">
      <c r="A236" s="76" t="str" cm="1">
        <f t="array" ref="A23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Calculators'!$B$2+E236)</f>
        <v/>
      </c>
      <c r="B236" s="76" t="str" cm="1">
        <f t="array" ref="B236">IF(OR(A236=""),"",IF(INDEX('Test schedule'!E:E,ROW()+9)="",IF(A237="",A236+$Q$10,A237),INDEX('Test schedule'!E:E,ROW()+9)+'Date Calculators'!$B$2+E236))</f>
        <v/>
      </c>
      <c r="C236" s="74" t="str" cm="1">
        <f t="array" ref="C236">IF(A236="","",INDEX('Test schedule'!J:J,ROW()+9))</f>
        <v/>
      </c>
      <c r="D236" s="74" t="str">
        <f>IFERROR(IF(A236="","",'Event Info'!$B$2),"")</f>
        <v/>
      </c>
      <c r="E236" cm="1">
        <f t="array" ref="E236">IF(INDEX('Test schedule'!B:B,ROW()+9)="START",E235+1,E235+0)</f>
        <v>5</v>
      </c>
      <c r="F236" s="82" t="str">
        <f>IF(A236&lt;&gt;"",_xlfn.CONCAT(TEXT(A236,"yyyy-mm-dd"),"T",TEXT(A236,"hh:mm:ss"),'Event Info'!$B$5,",",," ",C236),"")</f>
        <v/>
      </c>
      <c r="G236" t="e">
        <f t="shared" si="6"/>
        <v>#VALUE!</v>
      </c>
      <c r="H236" s="92" t="str">
        <f t="shared" si="7"/>
        <v/>
      </c>
      <c r="I236" s="88">
        <v>0</v>
      </c>
    </row>
    <row r="237" spans="1:9">
      <c r="A237" s="76" t="str" cm="1">
        <f t="array" ref="A23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Calculators'!$B$2+E237)</f>
        <v/>
      </c>
      <c r="B237" s="76" t="str" cm="1">
        <f t="array" ref="B237">IF(OR(A237=""),"",IF(INDEX('Test schedule'!E:E,ROW()+9)="",IF(A238="",A237+$Q$10,A238),INDEX('Test schedule'!E:E,ROW()+9)+'Date Calculators'!$B$2+E237))</f>
        <v/>
      </c>
      <c r="C237" s="74" t="str" cm="1">
        <f t="array" ref="C237">IF(A237="","",INDEX('Test schedule'!J:J,ROW()+9))</f>
        <v/>
      </c>
      <c r="D237" s="74" t="str">
        <f>IFERROR(IF(A237="","",'Event Info'!$B$2),"")</f>
        <v/>
      </c>
      <c r="E237" cm="1">
        <f t="array" ref="E237">IF(INDEX('Test schedule'!B:B,ROW()+9)="START",E236+1,E236+0)</f>
        <v>5</v>
      </c>
      <c r="F237" s="82" t="str">
        <f>IF(A237&lt;&gt;"",_xlfn.CONCAT(TEXT(A237,"yyyy-mm-dd"),"T",TEXT(A237,"hh:mm:ss"),'Event Info'!$B$5,",",," ",C237),"")</f>
        <v/>
      </c>
      <c r="G237" t="e">
        <f t="shared" si="6"/>
        <v>#VALUE!</v>
      </c>
      <c r="H237" s="92" t="str">
        <f t="shared" si="7"/>
        <v/>
      </c>
      <c r="I237" s="88">
        <v>0</v>
      </c>
    </row>
    <row r="238" spans="1:9" ht="16.899999999999999">
      <c r="A238" s="76" t="str" cm="1">
        <f t="array" ref="A23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Calculators'!$B$2+E238)</f>
        <v/>
      </c>
      <c r="B238" s="76" t="str" cm="1">
        <f t="array" ref="B238">IF(OR(A238=""),"",IF(INDEX('Test schedule'!E:E,ROW()+9)="",IF(A239="",A238+$Q$10,A239),INDEX('Test schedule'!E:E,ROW()+9)+'Date Calculators'!$B$2+E238))</f>
        <v/>
      </c>
      <c r="C238" s="74" t="str" cm="1">
        <f t="array" ref="C238">IF(A238="","",INDEX('Test schedule'!J:J,ROW()+9))</f>
        <v/>
      </c>
      <c r="D238" s="74" t="str">
        <f>IFERROR(IF(A238="","",'Event Info'!$B$2),"")</f>
        <v/>
      </c>
      <c r="E238" cm="1">
        <f t="array" ref="E238">IF(INDEX('Test schedule'!B:B,ROW()+9)="START",E237+1,E237+0)</f>
        <v>5</v>
      </c>
      <c r="F238" s="82" t="str">
        <f>IF(A238&lt;&gt;"",_xlfn.CONCAT(TEXT(A238,"yyyy-mm-dd"),"T",TEXT(A238,"hh:mm:ss"),'Event Info'!$B$5,",",," ",C238),"")</f>
        <v/>
      </c>
      <c r="G238" t="e">
        <f t="shared" si="6"/>
        <v>#VALUE!</v>
      </c>
      <c r="H238" s="92" t="str">
        <f t="shared" si="7"/>
        <v/>
      </c>
      <c r="I238" s="91">
        <v>0</v>
      </c>
    </row>
    <row r="239" spans="1:9">
      <c r="A239" s="76" t="str" cm="1">
        <f t="array" ref="A23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Calculators'!$B$2+E239)</f>
        <v/>
      </c>
      <c r="B239" s="76" t="str" cm="1">
        <f t="array" ref="B239">IF(OR(A239=""),"",IF(INDEX('Test schedule'!E:E,ROW()+9)="",IF(A240="",A239+$Q$10,A240),INDEX('Test schedule'!E:E,ROW()+9)+'Date Calculators'!$B$2+E239))</f>
        <v/>
      </c>
      <c r="C239" s="74" t="str" cm="1">
        <f t="array" ref="C239">IF(A239="","",INDEX('Test schedule'!J:J,ROW()+9))</f>
        <v/>
      </c>
      <c r="D239" s="74" t="str">
        <f>IFERROR(IF(A239="","",'Event Info'!$B$2),"")</f>
        <v/>
      </c>
      <c r="E239" cm="1">
        <f t="array" ref="E239">IF(INDEX('Test schedule'!B:B,ROW()+9)="START",E238+1,E238+0)</f>
        <v>5</v>
      </c>
      <c r="F239" s="82" t="str">
        <f>IF(A239&lt;&gt;"",_xlfn.CONCAT(TEXT(A239,"yyyy-mm-dd"),"T",TEXT(A239,"hh:mm:ss"),'Event Info'!$B$5,",",," ",C239),"")</f>
        <v/>
      </c>
      <c r="G239" t="e">
        <f t="shared" si="6"/>
        <v>#VALUE!</v>
      </c>
      <c r="H239" s="92" t="str">
        <f t="shared" si="7"/>
        <v/>
      </c>
      <c r="I239" s="88">
        <v>0</v>
      </c>
    </row>
    <row r="240" spans="1:9">
      <c r="A240" s="76" t="str" cm="1">
        <f t="array" ref="A24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Calculators'!$B$2+E240)</f>
        <v/>
      </c>
      <c r="B240" s="76" t="str" cm="1">
        <f t="array" ref="B240">IF(OR(A240=""),"",IF(INDEX('Test schedule'!E:E,ROW()+9)="",IF(A241="",A240+$Q$10,A241),INDEX('Test schedule'!E:E,ROW()+9)+'Date Calculators'!$B$2+E240))</f>
        <v/>
      </c>
      <c r="C240" s="74" t="str" cm="1">
        <f t="array" ref="C240">IF(A240="","",INDEX('Test schedule'!J:J,ROW()+9))</f>
        <v/>
      </c>
      <c r="D240" s="74" t="str">
        <f>IFERROR(IF(A240="","",'Event Info'!$B$2),"")</f>
        <v/>
      </c>
      <c r="E240" cm="1">
        <f t="array" ref="E240">IF(INDEX('Test schedule'!B:B,ROW()+9)="START",E239+1,E239+0)</f>
        <v>5</v>
      </c>
      <c r="F240" s="82" t="str">
        <f>IF(A240&lt;&gt;"",_xlfn.CONCAT(TEXT(A240,"yyyy-mm-dd"),"T",TEXT(A240,"hh:mm:ss"),'Event Info'!$B$5,",",," ",C240),"")</f>
        <v/>
      </c>
      <c r="G240" t="e">
        <f t="shared" si="6"/>
        <v>#VALUE!</v>
      </c>
      <c r="H240" s="92" t="str">
        <f t="shared" si="7"/>
        <v/>
      </c>
      <c r="I240" s="88">
        <v>0</v>
      </c>
    </row>
    <row r="241" spans="1:9" ht="16.899999999999999">
      <c r="A241" s="76" t="str" cm="1">
        <f t="array" ref="A24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Calculators'!$B$2+E241)</f>
        <v/>
      </c>
      <c r="B241" s="76" t="str" cm="1">
        <f t="array" ref="B241">IF(OR(A241=""),"",IF(INDEX('Test schedule'!E:E,ROW()+9)="",IF(A242="",A241+$Q$10,A242),INDEX('Test schedule'!E:E,ROW()+9)+'Date Calculators'!$B$2+E241))</f>
        <v/>
      </c>
      <c r="C241" s="74" t="str" cm="1">
        <f t="array" ref="C241">IF(A241="","",INDEX('Test schedule'!J:J,ROW()+9))</f>
        <v/>
      </c>
      <c r="D241" s="74" t="str">
        <f>IFERROR(IF(A241="","",'Event Info'!$B$2),"")</f>
        <v/>
      </c>
      <c r="E241" cm="1">
        <f t="array" ref="E241">IF(INDEX('Test schedule'!B:B,ROW()+9)="START",E240+1,E240+0)</f>
        <v>5</v>
      </c>
      <c r="F241" s="82" t="str">
        <f>IF(A241&lt;&gt;"",_xlfn.CONCAT(TEXT(A241,"yyyy-mm-dd"),"T",TEXT(A241,"hh:mm:ss"),'Event Info'!$B$5,",",," ",C241),"")</f>
        <v/>
      </c>
      <c r="G241" t="e">
        <f t="shared" si="6"/>
        <v>#VALUE!</v>
      </c>
      <c r="H241" s="92" t="str">
        <f t="shared" si="7"/>
        <v/>
      </c>
      <c r="I241" s="91">
        <v>0</v>
      </c>
    </row>
    <row r="242" spans="1:9">
      <c r="A242" s="76" t="str" cm="1">
        <f t="array" ref="A24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Calculators'!$B$2+E242)</f>
        <v/>
      </c>
      <c r="B242" s="76" t="str" cm="1">
        <f t="array" ref="B242">IF(OR(A242=""),"",IF(INDEX('Test schedule'!E:E,ROW()+9)="",IF(A243="",A242+$Q$10,A243),INDEX('Test schedule'!E:E,ROW()+9)+'Date Calculators'!$B$2+E242))</f>
        <v/>
      </c>
      <c r="C242" s="74" t="str" cm="1">
        <f t="array" ref="C242">IF(A242="","",INDEX('Test schedule'!J:J,ROW()+9))</f>
        <v/>
      </c>
      <c r="D242" s="74" t="str">
        <f>IFERROR(IF(A242="","",'Event Info'!$B$2),"")</f>
        <v/>
      </c>
      <c r="E242" cm="1">
        <f t="array" ref="E242">IF(INDEX('Test schedule'!B:B,ROW()+9)="START",E241+1,E241+0)</f>
        <v>5</v>
      </c>
      <c r="F242" s="82" t="str">
        <f>IF(A242&lt;&gt;"",_xlfn.CONCAT(TEXT(A242,"yyyy-mm-dd"),"T",TEXT(A242,"hh:mm:ss"),'Event Info'!$B$5,",",," ",C242),"")</f>
        <v/>
      </c>
      <c r="G242" t="e">
        <f t="shared" si="6"/>
        <v>#VALUE!</v>
      </c>
      <c r="H242" s="92" t="str">
        <f t="shared" si="7"/>
        <v/>
      </c>
      <c r="I242" s="88">
        <v>0</v>
      </c>
    </row>
    <row r="243" spans="1:9">
      <c r="A243" s="76" t="str" cm="1">
        <f t="array" ref="A24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Calculators'!$B$2+E243)</f>
        <v/>
      </c>
      <c r="B243" s="76" t="str" cm="1">
        <f t="array" ref="B243">IF(OR(A243=""),"",IF(INDEX('Test schedule'!E:E,ROW()+9)="",IF(A244="",A243+$Q$10,A244),INDEX('Test schedule'!E:E,ROW()+9)+'Date Calculators'!$B$2+E243))</f>
        <v/>
      </c>
      <c r="C243" s="74" t="str" cm="1">
        <f t="array" ref="C243">IF(A243="","",INDEX('Test schedule'!J:J,ROW()+9))</f>
        <v/>
      </c>
      <c r="D243" s="74" t="str">
        <f>IFERROR(IF(A243="","",'Event Info'!$B$2),"")</f>
        <v/>
      </c>
      <c r="E243" cm="1">
        <f t="array" ref="E243">IF(INDEX('Test schedule'!B:B,ROW()+9)="START",E242+1,E242+0)</f>
        <v>5</v>
      </c>
      <c r="F243" s="82" t="str">
        <f>IF(A243&lt;&gt;"",_xlfn.CONCAT(TEXT(A243,"yyyy-mm-dd"),"T",TEXT(A243,"hh:mm:ss"),'Event Info'!$B$5,",",," ",C243),"")</f>
        <v/>
      </c>
      <c r="G243" t="e">
        <f t="shared" si="6"/>
        <v>#VALUE!</v>
      </c>
      <c r="H243" s="92" t="str">
        <f t="shared" si="7"/>
        <v/>
      </c>
      <c r="I243" s="88">
        <v>0</v>
      </c>
    </row>
    <row r="244" spans="1:9" ht="16.899999999999999">
      <c r="A244" s="76" t="str" cm="1">
        <f t="array" ref="A24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Calculators'!$B$2+E244)</f>
        <v/>
      </c>
      <c r="B244" s="76" t="str" cm="1">
        <f t="array" ref="B244">IF(OR(A244=""),"",IF(INDEX('Test schedule'!E:E,ROW()+9)="",IF(A245="",A244+$Q$10,A245),INDEX('Test schedule'!E:E,ROW()+9)+'Date Calculators'!$B$2+E244))</f>
        <v/>
      </c>
      <c r="C244" s="74" t="str" cm="1">
        <f t="array" ref="C244">IF(A244="","",INDEX('Test schedule'!J:J,ROW()+9))</f>
        <v/>
      </c>
      <c r="D244" s="74" t="str">
        <f>IFERROR(IF(A244="","",'Event Info'!$B$2),"")</f>
        <v/>
      </c>
      <c r="E244" cm="1">
        <f t="array" ref="E244">IF(INDEX('Test schedule'!B:B,ROW()+9)="START",E243+1,E243+0)</f>
        <v>5</v>
      </c>
      <c r="F244" s="82" t="str">
        <f>IF(A244&lt;&gt;"",_xlfn.CONCAT(TEXT(A244,"yyyy-mm-dd"),"T",TEXT(A244,"hh:mm:ss"),'Event Info'!$B$5,",",," ",C244),"")</f>
        <v/>
      </c>
      <c r="G244" t="e">
        <f t="shared" si="6"/>
        <v>#VALUE!</v>
      </c>
      <c r="H244" s="92" t="str">
        <f t="shared" si="7"/>
        <v/>
      </c>
      <c r="I244" s="91">
        <v>0</v>
      </c>
    </row>
    <row r="245" spans="1:9">
      <c r="A245" s="76" t="str" cm="1">
        <f t="array" ref="A24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Calculators'!$B$2+E245)</f>
        <v/>
      </c>
      <c r="B245" s="76" t="str" cm="1">
        <f t="array" ref="B245">IF(OR(A245=""),"",IF(INDEX('Test schedule'!E:E,ROW()+9)="",IF(A246="",A245+$Q$10,A246),INDEX('Test schedule'!E:E,ROW()+9)+'Date Calculators'!$B$2+E245))</f>
        <v/>
      </c>
      <c r="C245" s="74" t="str" cm="1">
        <f t="array" ref="C245">IF(A245="","",INDEX('Test schedule'!J:J,ROW()+9))</f>
        <v/>
      </c>
      <c r="D245" s="74" t="str">
        <f>IFERROR(IF(A245="","",'Event Info'!$B$2),"")</f>
        <v/>
      </c>
      <c r="E245" cm="1">
        <f t="array" ref="E245">IF(INDEX('Test schedule'!B:B,ROW()+9)="START",E244+1,E244+0)</f>
        <v>5</v>
      </c>
      <c r="F245" s="82" t="str">
        <f>IF(A245&lt;&gt;"",_xlfn.CONCAT(TEXT(A245,"yyyy-mm-dd"),"T",TEXT(A245,"hh:mm:ss"),'Event Info'!$B$5,",",," ",C245),"")</f>
        <v/>
      </c>
      <c r="G245" t="e">
        <f t="shared" si="6"/>
        <v>#VALUE!</v>
      </c>
      <c r="H245" s="92" t="str">
        <f t="shared" si="7"/>
        <v/>
      </c>
      <c r="I245" s="88">
        <v>0</v>
      </c>
    </row>
    <row r="246" spans="1:9">
      <c r="A246" s="76" t="str" cm="1">
        <f t="array" ref="A24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Calculators'!$B$2+E246)</f>
        <v/>
      </c>
      <c r="B246" s="76" t="str" cm="1">
        <f t="array" ref="B246">IF(OR(A246=""),"",IF(INDEX('Test schedule'!E:E,ROW()+9)="",IF(A247="",A246+$Q$10,A247),INDEX('Test schedule'!E:E,ROW()+9)+'Date Calculators'!$B$2+E246))</f>
        <v/>
      </c>
      <c r="C246" s="74" t="str" cm="1">
        <f t="array" ref="C246">IF(A246="","",INDEX('Test schedule'!J:J,ROW()+9))</f>
        <v/>
      </c>
      <c r="D246" s="74" t="str">
        <f>IFERROR(IF(A246="","",'Event Info'!$B$2),"")</f>
        <v/>
      </c>
      <c r="E246" cm="1">
        <f t="array" ref="E246">IF(INDEX('Test schedule'!B:B,ROW()+9)="START",E245+1,E245+0)</f>
        <v>5</v>
      </c>
      <c r="F246" s="82" t="str">
        <f>IF(A246&lt;&gt;"",_xlfn.CONCAT(TEXT(A246,"yyyy-mm-dd"),"T",TEXT(A246,"hh:mm:ss"),'Event Info'!$B$5,",",," ",C246),"")</f>
        <v/>
      </c>
      <c r="G246" t="e">
        <f t="shared" si="6"/>
        <v>#VALUE!</v>
      </c>
      <c r="H246" s="92" t="str">
        <f t="shared" si="7"/>
        <v/>
      </c>
      <c r="I246" s="88">
        <v>0</v>
      </c>
    </row>
    <row r="247" spans="1:9" ht="16.899999999999999">
      <c r="A247" s="76" t="str" cm="1">
        <f t="array" ref="A24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Calculators'!$B$2+E247)</f>
        <v/>
      </c>
      <c r="B247" s="76" t="str" cm="1">
        <f t="array" ref="B247">IF(OR(A247=""),"",IF(INDEX('Test schedule'!E:E,ROW()+9)="",IF(A248="",A247+$Q$10,A248),INDEX('Test schedule'!E:E,ROW()+9)+'Date Calculators'!$B$2+E247))</f>
        <v/>
      </c>
      <c r="C247" s="74" t="str" cm="1">
        <f t="array" ref="C247">IF(A247="","",INDEX('Test schedule'!J:J,ROW()+9))</f>
        <v/>
      </c>
      <c r="D247" s="74" t="str">
        <f>IFERROR(IF(A247="","",'Event Info'!$B$2),"")</f>
        <v/>
      </c>
      <c r="E247" cm="1">
        <f t="array" ref="E247">IF(INDEX('Test schedule'!B:B,ROW()+9)="START",E246+1,E246+0)</f>
        <v>5</v>
      </c>
      <c r="F247" s="82" t="str">
        <f>IF(A247&lt;&gt;"",_xlfn.CONCAT(TEXT(A247,"yyyy-mm-dd"),"T",TEXT(A247,"hh:mm:ss"),'Event Info'!$B$5,",",," ",C247),"")</f>
        <v/>
      </c>
      <c r="G247" t="e">
        <f t="shared" si="6"/>
        <v>#VALUE!</v>
      </c>
      <c r="H247" s="92" t="str">
        <f t="shared" si="7"/>
        <v/>
      </c>
      <c r="I247" s="91">
        <v>0</v>
      </c>
    </row>
    <row r="248" spans="1:9">
      <c r="A248" s="76" t="str" cm="1">
        <f t="array" ref="A24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Calculators'!$B$2+E248)</f>
        <v/>
      </c>
      <c r="B248" s="76" t="str" cm="1">
        <f t="array" ref="B248">IF(OR(A248=""),"",IF(INDEX('Test schedule'!E:E,ROW()+9)="",IF(A249="",A248+$Q$10,A249),INDEX('Test schedule'!E:E,ROW()+9)+'Date Calculators'!$B$2+E248))</f>
        <v/>
      </c>
      <c r="C248" s="74" t="str" cm="1">
        <f t="array" ref="C248">IF(A248="","",INDEX('Test schedule'!J:J,ROW()+9))</f>
        <v/>
      </c>
      <c r="D248" s="74" t="str">
        <f>IFERROR(IF(A248="","",'Event Info'!$B$2),"")</f>
        <v/>
      </c>
      <c r="E248" cm="1">
        <f t="array" ref="E248">IF(INDEX('Test schedule'!B:B,ROW()+9)="START",E247+1,E247+0)</f>
        <v>5</v>
      </c>
      <c r="F248" s="82" t="str">
        <f>IF(A248&lt;&gt;"",_xlfn.CONCAT(TEXT(A248,"yyyy-mm-dd"),"T",TEXT(A248,"hh:mm:ss"),'Event Info'!$B$5,",",," ",C248),"")</f>
        <v/>
      </c>
      <c r="G248" t="e">
        <f t="shared" si="6"/>
        <v>#VALUE!</v>
      </c>
      <c r="H248" s="92" t="str">
        <f t="shared" si="7"/>
        <v/>
      </c>
      <c r="I248" s="88">
        <v>0</v>
      </c>
    </row>
    <row r="249" spans="1:9">
      <c r="A249" s="76" t="str" cm="1">
        <f t="array" ref="A24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Calculators'!$B$2+E249)</f>
        <v/>
      </c>
      <c r="B249" s="76" t="str" cm="1">
        <f t="array" ref="B249">IF(OR(A249=""),"",IF(INDEX('Test schedule'!E:E,ROW()+9)="",IF(A250="",A249+$Q$10,A250),INDEX('Test schedule'!E:E,ROW()+9)+'Date Calculators'!$B$2+E249))</f>
        <v/>
      </c>
      <c r="C249" s="74" t="str" cm="1">
        <f t="array" ref="C249">IF(A249="","",INDEX('Test schedule'!J:J,ROW()+9))</f>
        <v/>
      </c>
      <c r="D249" s="74" t="str">
        <f>IFERROR(IF(A249="","",'Event Info'!$B$2),"")</f>
        <v/>
      </c>
      <c r="E249" cm="1">
        <f t="array" ref="E249">IF(INDEX('Test schedule'!B:B,ROW()+9)="START",E248+1,E248+0)</f>
        <v>5</v>
      </c>
      <c r="F249" s="82" t="str">
        <f>IF(A249&lt;&gt;"",_xlfn.CONCAT(TEXT(A249,"yyyy-mm-dd"),"T",TEXT(A249,"hh:mm:ss"),'Event Info'!$B$5,",",," ",C249),"")</f>
        <v/>
      </c>
      <c r="G249" t="e">
        <f t="shared" si="6"/>
        <v>#VALUE!</v>
      </c>
      <c r="H249" s="92" t="str">
        <f t="shared" si="7"/>
        <v/>
      </c>
      <c r="I249" s="88">
        <v>0</v>
      </c>
    </row>
    <row r="250" spans="1:9" ht="16.899999999999999">
      <c r="A250" s="76" t="str" cm="1">
        <f t="array" ref="A25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Calculators'!$B$2+E250)</f>
        <v/>
      </c>
      <c r="B250" s="76" t="str" cm="1">
        <f t="array" ref="B250">IF(OR(A250=""),"",IF(INDEX('Test schedule'!E:E,ROW()+9)="",IF(A251="",A250+$Q$10,A251),INDEX('Test schedule'!E:E,ROW()+9)+'Date Calculators'!$B$2+E250))</f>
        <v/>
      </c>
      <c r="C250" s="74" t="str" cm="1">
        <f t="array" ref="C250">IF(A250="","",INDEX('Test schedule'!J:J,ROW()+9))</f>
        <v/>
      </c>
      <c r="D250" s="74" t="str">
        <f>IFERROR(IF(A250="","",'Event Info'!$B$2),"")</f>
        <v/>
      </c>
      <c r="E250" cm="1">
        <f t="array" ref="E250">IF(INDEX('Test schedule'!B:B,ROW()+9)="START",E249+1,E249+0)</f>
        <v>5</v>
      </c>
      <c r="F250" s="82" t="str">
        <f>IF(A250&lt;&gt;"",_xlfn.CONCAT(TEXT(A250,"yyyy-mm-dd"),"T",TEXT(A250,"hh:mm:ss"),'Event Info'!$B$5,",",," ",C250),"")</f>
        <v/>
      </c>
      <c r="G250" t="e">
        <f t="shared" si="6"/>
        <v>#VALUE!</v>
      </c>
      <c r="H250" s="92" t="str">
        <f t="shared" si="7"/>
        <v/>
      </c>
      <c r="I250" s="91">
        <v>0</v>
      </c>
    </row>
    <row r="251" spans="1:9">
      <c r="A251" s="76" t="str" cm="1">
        <f t="array" ref="A25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Calculators'!$B$2+E251)</f>
        <v/>
      </c>
      <c r="B251" s="76" t="str" cm="1">
        <f t="array" ref="B251">IF(OR(A251=""),"",IF(INDEX('Test schedule'!E:E,ROW()+9)="",IF(A252="",A251+$Q$10,A252),INDEX('Test schedule'!E:E,ROW()+9)+'Date Calculators'!$B$2+E251))</f>
        <v/>
      </c>
      <c r="C251" s="74" t="str" cm="1">
        <f t="array" ref="C251">IF(A251="","",INDEX('Test schedule'!J:J,ROW()+9))</f>
        <v/>
      </c>
      <c r="D251" s="74" t="str">
        <f>IFERROR(IF(A251="","",'Event Info'!$B$2),"")</f>
        <v/>
      </c>
      <c r="E251" cm="1">
        <f t="array" ref="E251">IF(INDEX('Test schedule'!B:B,ROW()+9)="START",E250+1,E250+0)</f>
        <v>5</v>
      </c>
      <c r="F251" s="82" t="str">
        <f>IF(A251&lt;&gt;"",_xlfn.CONCAT(TEXT(A251,"yyyy-mm-dd"),"T",TEXT(A251,"hh:mm:ss"),'Event Info'!$B$5,",",," ",C251),"")</f>
        <v/>
      </c>
      <c r="G251" t="e">
        <f t="shared" si="6"/>
        <v>#VALUE!</v>
      </c>
      <c r="H251" s="92" t="str">
        <f t="shared" si="7"/>
        <v/>
      </c>
      <c r="I251" s="88">
        <v>0</v>
      </c>
    </row>
    <row r="252" spans="1:9">
      <c r="A252" s="76" t="str" cm="1">
        <f t="array" ref="A25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Calculators'!$B$2+E252)</f>
        <v/>
      </c>
      <c r="B252" s="76" t="str" cm="1">
        <f t="array" ref="B252">IF(OR(A252=""),"",IF(INDEX('Test schedule'!E:E,ROW()+9)="",IF(A253="",A252+$Q$10,A253),INDEX('Test schedule'!E:E,ROW()+9)+'Date Calculators'!$B$2+E252))</f>
        <v/>
      </c>
      <c r="C252" s="74" t="str" cm="1">
        <f t="array" ref="C252">IF(A252="","",INDEX('Test schedule'!J:J,ROW()+9))</f>
        <v/>
      </c>
      <c r="D252" s="74" t="str">
        <f>IFERROR(IF(A252="","",'Event Info'!$B$2),"")</f>
        <v/>
      </c>
      <c r="E252" cm="1">
        <f t="array" ref="E252">IF(INDEX('Test schedule'!B:B,ROW()+9)="START",E251+1,E251+0)</f>
        <v>5</v>
      </c>
      <c r="F252" s="82" t="str">
        <f>IF(A252&lt;&gt;"",_xlfn.CONCAT(TEXT(A252,"yyyy-mm-dd"),"T",TEXT(A252,"hh:mm:ss"),'Event Info'!$B$5,",",," ",C252),"")</f>
        <v/>
      </c>
      <c r="G252" t="e">
        <f t="shared" si="6"/>
        <v>#VALUE!</v>
      </c>
      <c r="H252" s="92" t="str">
        <f t="shared" si="7"/>
        <v/>
      </c>
      <c r="I252" s="88">
        <v>0</v>
      </c>
    </row>
    <row r="253" spans="1:9" ht="16.899999999999999">
      <c r="A253" s="76" t="str" cm="1">
        <f t="array" ref="A25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Calculators'!$B$2+E253)</f>
        <v/>
      </c>
      <c r="B253" s="76" t="str" cm="1">
        <f t="array" ref="B253">IF(OR(A253=""),"",IF(INDEX('Test schedule'!E:E,ROW()+9)="",IF(A254="",A253+$Q$10,A254),INDEX('Test schedule'!E:E,ROW()+9)+'Date Calculators'!$B$2+E253))</f>
        <v/>
      </c>
      <c r="C253" s="74" t="str" cm="1">
        <f t="array" ref="C253">IF(A253="","",INDEX('Test schedule'!J:J,ROW()+9))</f>
        <v/>
      </c>
      <c r="D253" s="74" t="str">
        <f>IFERROR(IF(A253="","",'Event Info'!$B$2),"")</f>
        <v/>
      </c>
      <c r="E253" cm="1">
        <f t="array" ref="E253">IF(INDEX('Test schedule'!B:B,ROW()+9)="START",E252+1,E252+0)</f>
        <v>5</v>
      </c>
      <c r="F253" s="82" t="str">
        <f>IF(A253&lt;&gt;"",_xlfn.CONCAT(TEXT(A253,"yyyy-mm-dd"),"T",TEXT(A253,"hh:mm:ss"),'Event Info'!$B$5,",",," ",C253),"")</f>
        <v/>
      </c>
      <c r="G253" t="e">
        <f t="shared" si="6"/>
        <v>#VALUE!</v>
      </c>
      <c r="H253" s="92" t="str">
        <f t="shared" si="7"/>
        <v/>
      </c>
      <c r="I253" s="91">
        <v>0</v>
      </c>
    </row>
    <row r="254" spans="1:9">
      <c r="A254" s="76" t="str" cm="1">
        <f t="array" ref="A25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Calculators'!$B$2+E254)</f>
        <v/>
      </c>
      <c r="B254" s="76" t="str" cm="1">
        <f t="array" ref="B254">IF(OR(A254=""),"",IF(INDEX('Test schedule'!E:E,ROW()+9)="",IF(A255="",A254+$Q$10,A255),INDEX('Test schedule'!E:E,ROW()+9)+'Date Calculators'!$B$2+E254))</f>
        <v/>
      </c>
      <c r="C254" s="74" t="str" cm="1">
        <f t="array" ref="C254">IF(A254="","",INDEX('Test schedule'!J:J,ROW()+9))</f>
        <v/>
      </c>
      <c r="D254" s="74" t="str">
        <f>IFERROR(IF(A254="","",'Event Info'!$B$2),"")</f>
        <v/>
      </c>
      <c r="E254" cm="1">
        <f t="array" ref="E254">IF(INDEX('Test schedule'!B:B,ROW()+9)="START",E253+1,E253+0)</f>
        <v>5</v>
      </c>
      <c r="F254" s="82" t="str">
        <f>IF(A254&lt;&gt;"",_xlfn.CONCAT(TEXT(A254,"yyyy-mm-dd"),"T",TEXT(A254,"hh:mm:ss"),'Event Info'!$B$5,",",," ",C254),"")</f>
        <v/>
      </c>
      <c r="G254" t="e">
        <f t="shared" si="6"/>
        <v>#VALUE!</v>
      </c>
      <c r="H254" s="92" t="str">
        <f t="shared" si="7"/>
        <v/>
      </c>
      <c r="I254" s="88">
        <v>0</v>
      </c>
    </row>
    <row r="255" spans="1:9">
      <c r="A255" s="76" t="str" cm="1">
        <f t="array" ref="A25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Calculators'!$B$2+E255)</f>
        <v/>
      </c>
      <c r="B255" s="76" t="str" cm="1">
        <f t="array" ref="B255">IF(OR(A255=""),"",IF(INDEX('Test schedule'!E:E,ROW()+9)="",IF(A256="",A255+$Q$10,A256),INDEX('Test schedule'!E:E,ROW()+9)+'Date Calculators'!$B$2+E255))</f>
        <v/>
      </c>
      <c r="C255" s="74" t="str" cm="1">
        <f t="array" ref="C255">IF(A255="","",INDEX('Test schedule'!J:J,ROW()+9))</f>
        <v/>
      </c>
      <c r="D255" s="74" t="str">
        <f>IFERROR(IF(A255="","",'Event Info'!$B$2),"")</f>
        <v/>
      </c>
      <c r="E255" cm="1">
        <f t="array" ref="E255">IF(INDEX('Test schedule'!B:B,ROW()+9)="START",E254+1,E254+0)</f>
        <v>5</v>
      </c>
      <c r="F255" s="82" t="str">
        <f>IF(A255&lt;&gt;"",_xlfn.CONCAT(TEXT(A255,"yyyy-mm-dd"),"T",TEXT(A255,"hh:mm:ss"),'Event Info'!$B$5,",",," ",C255),"")</f>
        <v/>
      </c>
      <c r="G255" t="e">
        <f t="shared" si="6"/>
        <v>#VALUE!</v>
      </c>
      <c r="H255" s="92" t="str">
        <f t="shared" si="7"/>
        <v/>
      </c>
      <c r="I255" s="88">
        <v>0</v>
      </c>
    </row>
    <row r="256" spans="1:9" ht="16.899999999999999">
      <c r="A256" s="76" t="str" cm="1">
        <f t="array" ref="A25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Calculators'!$B$2+E256)</f>
        <v/>
      </c>
      <c r="B256" s="76" t="str" cm="1">
        <f t="array" ref="B256">IF(OR(A256=""),"",IF(INDEX('Test schedule'!E:E,ROW()+9)="",IF(A257="",A256+$Q$10,A257),INDEX('Test schedule'!E:E,ROW()+9)+'Date Calculators'!$B$2+E256))</f>
        <v/>
      </c>
      <c r="C256" s="74" t="str" cm="1">
        <f t="array" ref="C256">IF(A256="","",INDEX('Test schedule'!J:J,ROW()+9))</f>
        <v/>
      </c>
      <c r="D256" s="74" t="str">
        <f>IFERROR(IF(A256="","",'Event Info'!$B$2),"")</f>
        <v/>
      </c>
      <c r="E256" cm="1">
        <f t="array" ref="E256">IF(INDEX('Test schedule'!B:B,ROW()+9)="START",E255+1,E255+0)</f>
        <v>5</v>
      </c>
      <c r="F256" s="82" t="str">
        <f>IF(A256&lt;&gt;"",_xlfn.CONCAT(TEXT(A256,"yyyy-mm-dd"),"T",TEXT(A256,"hh:mm:ss"),'Event Info'!$B$5,",",," ",C256),"")</f>
        <v/>
      </c>
      <c r="G256" t="e">
        <f t="shared" si="6"/>
        <v>#VALUE!</v>
      </c>
      <c r="H256" s="92" t="str">
        <f t="shared" si="7"/>
        <v/>
      </c>
      <c r="I256" s="91">
        <v>0</v>
      </c>
    </row>
    <row r="257" spans="1:9">
      <c r="A257" s="76" t="str" cm="1">
        <f t="array" ref="A25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Calculators'!$B$2+E257)</f>
        <v/>
      </c>
      <c r="B257" s="76" t="str" cm="1">
        <f t="array" ref="B257">IF(OR(A257=""),"",IF(INDEX('Test schedule'!E:E,ROW()+9)="",IF(A258="",A257+$Q$10,A258),INDEX('Test schedule'!E:E,ROW()+9)+'Date Calculators'!$B$2+E257))</f>
        <v/>
      </c>
      <c r="C257" s="74" t="str" cm="1">
        <f t="array" ref="C257">IF(A257="","",INDEX('Test schedule'!J:J,ROW()+9))</f>
        <v/>
      </c>
      <c r="D257" s="74" t="str">
        <f>IFERROR(IF(A257="","",'Event Info'!$B$2),"")</f>
        <v/>
      </c>
      <c r="E257" cm="1">
        <f t="array" ref="E257">IF(INDEX('Test schedule'!B:B,ROW()+9)="START",E256+1,E256+0)</f>
        <v>5</v>
      </c>
      <c r="F257" s="82" t="str">
        <f>IF(A257&lt;&gt;"",_xlfn.CONCAT(TEXT(A257,"yyyy-mm-dd"),"T",TEXT(A257,"hh:mm:ss"),'Event Info'!$B$5,",",," ",C257),"")</f>
        <v/>
      </c>
      <c r="G257" t="e">
        <f t="shared" si="6"/>
        <v>#VALUE!</v>
      </c>
      <c r="H257" s="92" t="str">
        <f t="shared" si="7"/>
        <v/>
      </c>
      <c r="I257" s="88">
        <v>0</v>
      </c>
    </row>
    <row r="258" spans="1:9">
      <c r="A258" s="76" t="str" cm="1">
        <f t="array" ref="A25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Calculators'!$B$2+E258)</f>
        <v/>
      </c>
      <c r="B258" s="76" t="str" cm="1">
        <f t="array" ref="B258">IF(OR(A258=""),"",IF(INDEX('Test schedule'!E:E,ROW()+9)="",IF(A259="",A258+$Q$10,A259),INDEX('Test schedule'!E:E,ROW()+9)+'Date Calculators'!$B$2+E258))</f>
        <v/>
      </c>
      <c r="C258" s="74" t="str" cm="1">
        <f t="array" ref="C258">IF(A258="","",INDEX('Test schedule'!J:J,ROW()+9))</f>
        <v/>
      </c>
      <c r="D258" s="74" t="str">
        <f>IFERROR(IF(A258="","",'Event Info'!$B$2),"")</f>
        <v/>
      </c>
      <c r="E258" cm="1">
        <f t="array" ref="E258">IF(INDEX('Test schedule'!B:B,ROW()+9)="START",E257+1,E257+0)</f>
        <v>5</v>
      </c>
      <c r="F258" s="82" t="str">
        <f>IF(A258&lt;&gt;"",_xlfn.CONCAT(TEXT(A258,"yyyy-mm-dd"),"T",TEXT(A258,"hh:mm:ss"),'Event Info'!$B$5,",",," ",C258),"")</f>
        <v/>
      </c>
      <c r="G258" t="e">
        <f t="shared" si="6"/>
        <v>#VALUE!</v>
      </c>
      <c r="H258" s="92" t="str">
        <f t="shared" si="7"/>
        <v/>
      </c>
      <c r="I258" s="88">
        <v>0</v>
      </c>
    </row>
    <row r="259" spans="1:9" ht="16.899999999999999">
      <c r="A259" s="76" t="str" cm="1">
        <f t="array" ref="A25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Calculators'!$B$2+E259)</f>
        <v/>
      </c>
      <c r="B259" s="76" t="str" cm="1">
        <f t="array" ref="B259">IF(OR(A259=""),"",IF(INDEX('Test schedule'!E:E,ROW()+9)="",IF(A260="",A259+$Q$10,A260),INDEX('Test schedule'!E:E,ROW()+9)+'Date Calculators'!$B$2+E259))</f>
        <v/>
      </c>
      <c r="C259" s="74" t="str" cm="1">
        <f t="array" ref="C259">IF(A259="","",INDEX('Test schedule'!J:J,ROW()+9))</f>
        <v/>
      </c>
      <c r="D259" s="74" t="str">
        <f>IFERROR(IF(A259="","",'Event Info'!$B$2),"")</f>
        <v/>
      </c>
      <c r="E259" cm="1">
        <f t="array" ref="E259">IF(INDEX('Test schedule'!B:B,ROW()+9)="START",E258+1,E258+0)</f>
        <v>5</v>
      </c>
      <c r="F259" s="82" t="str">
        <f>IF(A259&lt;&gt;"",_xlfn.CONCAT(TEXT(A259,"yyyy-mm-dd"),"T",TEXT(A259,"hh:mm:ss"),'Event Info'!$B$5,",",," ",C259),"")</f>
        <v/>
      </c>
      <c r="G259" t="e">
        <f t="shared" ref="G259:G322" si="8">G258+IF(A259&lt;&gt;"",1,0)</f>
        <v>#VALUE!</v>
      </c>
      <c r="H259" s="92" t="str">
        <f t="shared" si="7"/>
        <v/>
      </c>
      <c r="I259" s="91">
        <v>0</v>
      </c>
    </row>
    <row r="260" spans="1:9">
      <c r="A260" s="76" t="str" cm="1">
        <f t="array" ref="A26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Calculators'!$B$2+E260)</f>
        <v/>
      </c>
      <c r="B260" s="76" t="str" cm="1">
        <f t="array" ref="B260">IF(OR(A260=""),"",IF(INDEX('Test schedule'!E:E,ROW()+9)="",IF(A261="",A260+$Q$10,A261),INDEX('Test schedule'!E:E,ROW()+9)+'Date Calculators'!$B$2+E260))</f>
        <v/>
      </c>
      <c r="C260" s="74" t="str" cm="1">
        <f t="array" ref="C260">IF(A260="","",INDEX('Test schedule'!J:J,ROW()+9))</f>
        <v/>
      </c>
      <c r="D260" s="74" t="str">
        <f>IFERROR(IF(A260="","",'Event Info'!$B$2),"")</f>
        <v/>
      </c>
      <c r="E260" cm="1">
        <f t="array" ref="E260">IF(INDEX('Test schedule'!B:B,ROW()+9)="START",E259+1,E259+0)</f>
        <v>5</v>
      </c>
      <c r="F260" s="82" t="str">
        <f>IF(A260&lt;&gt;"",_xlfn.CONCAT(TEXT(A260,"yyyy-mm-dd"),"T",TEXT(A260,"hh:mm:ss"),'Event Info'!$B$5,",",," ",C260),"")</f>
        <v/>
      </c>
      <c r="G260" t="e">
        <f t="shared" si="8"/>
        <v>#VALUE!</v>
      </c>
      <c r="H260" s="92" t="str">
        <f t="shared" ref="H260:H323" si="9">IFERROR(INDEX($F$2:$F$500,MATCH(ROW()-1,$G$2:$G$500,0)),"")</f>
        <v/>
      </c>
      <c r="I260" s="88">
        <v>0</v>
      </c>
    </row>
    <row r="261" spans="1:9">
      <c r="A261" s="76" t="str" cm="1">
        <f t="array" ref="A26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Calculators'!$B$2+E261)</f>
        <v/>
      </c>
      <c r="B261" s="76" t="str" cm="1">
        <f t="array" ref="B261">IF(OR(A261=""),"",IF(INDEX('Test schedule'!E:E,ROW()+9)="",IF(A262="",A261+$Q$10,A262),INDEX('Test schedule'!E:E,ROW()+9)+'Date Calculators'!$B$2+E261))</f>
        <v/>
      </c>
      <c r="C261" s="74" t="str" cm="1">
        <f t="array" ref="C261">IF(A261="","",INDEX('Test schedule'!J:J,ROW()+9))</f>
        <v/>
      </c>
      <c r="D261" s="74" t="str">
        <f>IFERROR(IF(A261="","",'Event Info'!$B$2),"")</f>
        <v/>
      </c>
      <c r="E261" cm="1">
        <f t="array" ref="E261">IF(INDEX('Test schedule'!B:B,ROW()+9)="START",E260+1,E260+0)</f>
        <v>5</v>
      </c>
      <c r="F261" s="82" t="str">
        <f>IF(A261&lt;&gt;"",_xlfn.CONCAT(TEXT(A261,"yyyy-mm-dd"),"T",TEXT(A261,"hh:mm:ss"),'Event Info'!$B$5,",",," ",C261),"")</f>
        <v/>
      </c>
      <c r="G261" t="e">
        <f t="shared" si="8"/>
        <v>#VALUE!</v>
      </c>
      <c r="H261" s="92" t="str">
        <f t="shared" si="9"/>
        <v/>
      </c>
      <c r="I261" s="88">
        <v>0</v>
      </c>
    </row>
    <row r="262" spans="1:9" ht="16.899999999999999">
      <c r="A262" s="76" t="str" cm="1">
        <f t="array" ref="A26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Calculators'!$B$2+E262)</f>
        <v/>
      </c>
      <c r="B262" s="76" t="str" cm="1">
        <f t="array" ref="B262">IF(OR(A262=""),"",IF(INDEX('Test schedule'!E:E,ROW()+9)="",IF(A263="",A262+$Q$10,A263),INDEX('Test schedule'!E:E,ROW()+9)+'Date Calculators'!$B$2+E262))</f>
        <v/>
      </c>
      <c r="C262" s="74" t="str" cm="1">
        <f t="array" ref="C262">IF(A262="","",INDEX('Test schedule'!J:J,ROW()+9))</f>
        <v/>
      </c>
      <c r="D262" s="74" t="str">
        <f>IFERROR(IF(A262="","",'Event Info'!$B$2),"")</f>
        <v/>
      </c>
      <c r="E262" cm="1">
        <f t="array" ref="E262">IF(INDEX('Test schedule'!B:B,ROW()+9)="START",E261+1,E261+0)</f>
        <v>5</v>
      </c>
      <c r="F262" s="82" t="str">
        <f>IF(A262&lt;&gt;"",_xlfn.CONCAT(TEXT(A262,"yyyy-mm-dd"),"T",TEXT(A262,"hh:mm:ss"),'Event Info'!$B$5,",",," ",C262),"")</f>
        <v/>
      </c>
      <c r="G262" t="e">
        <f t="shared" si="8"/>
        <v>#VALUE!</v>
      </c>
      <c r="H262" s="92" t="str">
        <f t="shared" si="9"/>
        <v/>
      </c>
      <c r="I262" s="91">
        <v>0</v>
      </c>
    </row>
    <row r="263" spans="1:9">
      <c r="A263" s="76" t="str" cm="1">
        <f t="array" ref="A26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Calculators'!$B$2+E263)</f>
        <v/>
      </c>
      <c r="B263" s="76" t="str" cm="1">
        <f t="array" ref="B263">IF(OR(A263=""),"",IF(INDEX('Test schedule'!E:E,ROW()+9)="",IF(A264="",A263+$Q$10,A264),INDEX('Test schedule'!E:E,ROW()+9)+'Date Calculators'!$B$2+E263))</f>
        <v/>
      </c>
      <c r="C263" s="74" t="str" cm="1">
        <f t="array" ref="C263">IF(A263="","",INDEX('Test schedule'!J:J,ROW()+9))</f>
        <v/>
      </c>
      <c r="D263" s="74" t="str">
        <f>IFERROR(IF(A263="","",'Event Info'!$B$2),"")</f>
        <v/>
      </c>
      <c r="E263" cm="1">
        <f t="array" ref="E263">IF(INDEX('Test schedule'!B:B,ROW()+9)="START",E262+1,E262+0)</f>
        <v>5</v>
      </c>
      <c r="F263" s="82" t="str">
        <f>IF(A263&lt;&gt;"",_xlfn.CONCAT(TEXT(A263,"yyyy-mm-dd"),"T",TEXT(A263,"hh:mm:ss"),'Event Info'!$B$5,",",," ",C263),"")</f>
        <v/>
      </c>
      <c r="G263" t="e">
        <f t="shared" si="8"/>
        <v>#VALUE!</v>
      </c>
      <c r="H263" s="92" t="str">
        <f t="shared" si="9"/>
        <v/>
      </c>
      <c r="I263" s="88">
        <v>0</v>
      </c>
    </row>
    <row r="264" spans="1:9">
      <c r="A264" s="76" t="str" cm="1">
        <f t="array" ref="A26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Calculators'!$B$2+E264)</f>
        <v/>
      </c>
      <c r="B264" s="76" t="str" cm="1">
        <f t="array" ref="B264">IF(OR(A264=""),"",IF(INDEX('Test schedule'!E:E,ROW()+9)="",IF(A265="",A264+$Q$10,A265),INDEX('Test schedule'!E:E,ROW()+9)+'Date Calculators'!$B$2+E264))</f>
        <v/>
      </c>
      <c r="C264" s="74" t="str" cm="1">
        <f t="array" ref="C264">IF(A264="","",INDEX('Test schedule'!J:J,ROW()+9))</f>
        <v/>
      </c>
      <c r="D264" s="74" t="str">
        <f>IFERROR(IF(A264="","",'Event Info'!$B$2),"")</f>
        <v/>
      </c>
      <c r="E264" cm="1">
        <f t="array" ref="E264">IF(INDEX('Test schedule'!B:B,ROW()+9)="START",E263+1,E263+0)</f>
        <v>5</v>
      </c>
      <c r="F264" s="82" t="str">
        <f>IF(A264&lt;&gt;"",_xlfn.CONCAT(TEXT(A264,"yyyy-mm-dd"),"T",TEXT(A264,"hh:mm:ss"),'Event Info'!$B$5,",",," ",C264),"")</f>
        <v/>
      </c>
      <c r="G264" t="e">
        <f t="shared" si="8"/>
        <v>#VALUE!</v>
      </c>
      <c r="H264" s="92" t="str">
        <f t="shared" si="9"/>
        <v/>
      </c>
      <c r="I264" s="88">
        <v>0</v>
      </c>
    </row>
    <row r="265" spans="1:9" ht="16.899999999999999">
      <c r="A265" s="76" t="str" cm="1">
        <f t="array" ref="A26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Calculators'!$B$2+E265)</f>
        <v/>
      </c>
      <c r="B265" s="76" t="str" cm="1">
        <f t="array" ref="B265">IF(OR(A265=""),"",IF(INDEX('Test schedule'!E:E,ROW()+9)="",IF(A266="",A265+$Q$10,A266),INDEX('Test schedule'!E:E,ROW()+9)+'Date Calculators'!$B$2+E265))</f>
        <v/>
      </c>
      <c r="C265" s="74" t="str" cm="1">
        <f t="array" ref="C265">IF(A265="","",INDEX('Test schedule'!J:J,ROW()+9))</f>
        <v/>
      </c>
      <c r="D265" s="74" t="str">
        <f>IFERROR(IF(A265="","",'Event Info'!$B$2),"")</f>
        <v/>
      </c>
      <c r="E265" cm="1">
        <f t="array" ref="E265">IF(INDEX('Test schedule'!B:B,ROW()+9)="START",E264+1,E264+0)</f>
        <v>5</v>
      </c>
      <c r="F265" s="82" t="str">
        <f>IF(A265&lt;&gt;"",_xlfn.CONCAT(TEXT(A265,"yyyy-mm-dd"),"T",TEXT(A265,"hh:mm:ss"),'Event Info'!$B$5,",",," ",C265),"")</f>
        <v/>
      </c>
      <c r="G265" t="e">
        <f t="shared" si="8"/>
        <v>#VALUE!</v>
      </c>
      <c r="H265" s="92" t="str">
        <f t="shared" si="9"/>
        <v/>
      </c>
      <c r="I265" s="91">
        <v>0</v>
      </c>
    </row>
    <row r="266" spans="1:9">
      <c r="A266" s="76" t="str" cm="1">
        <f t="array" ref="A26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Calculators'!$B$2+E266)</f>
        <v/>
      </c>
      <c r="B266" s="76" t="str" cm="1">
        <f t="array" ref="B266">IF(OR(A266=""),"",IF(INDEX('Test schedule'!E:E,ROW()+9)="",IF(A267="",A266+$Q$10,A267),INDEX('Test schedule'!E:E,ROW()+9)+'Date Calculators'!$B$2+E266))</f>
        <v/>
      </c>
      <c r="C266" s="74" t="str" cm="1">
        <f t="array" ref="C266">IF(A266="","",INDEX('Test schedule'!J:J,ROW()+9))</f>
        <v/>
      </c>
      <c r="D266" s="74" t="str">
        <f>IFERROR(IF(A266="","",'Event Info'!$B$2),"")</f>
        <v/>
      </c>
      <c r="E266" cm="1">
        <f t="array" ref="E266">IF(INDEX('Test schedule'!B:B,ROW()+9)="START",E265+1,E265+0)</f>
        <v>5</v>
      </c>
      <c r="F266" s="82" t="str">
        <f>IF(A266&lt;&gt;"",_xlfn.CONCAT(TEXT(A266,"yyyy-mm-dd"),"T",TEXT(A266,"hh:mm:ss"),'Event Info'!$B$5,",",," ",C266),"")</f>
        <v/>
      </c>
      <c r="G266" t="e">
        <f t="shared" si="8"/>
        <v>#VALUE!</v>
      </c>
      <c r="H266" s="92" t="str">
        <f t="shared" si="9"/>
        <v/>
      </c>
      <c r="I266" s="88">
        <v>0</v>
      </c>
    </row>
    <row r="267" spans="1:9">
      <c r="A267" s="76" t="str" cm="1">
        <f t="array" ref="A26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Calculators'!$B$2+E267)</f>
        <v/>
      </c>
      <c r="B267" s="76" t="str" cm="1">
        <f t="array" ref="B267">IF(OR(A267=""),"",IF(INDEX('Test schedule'!E:E,ROW()+9)="",IF(A268="",A267+$Q$10,A268),INDEX('Test schedule'!E:E,ROW()+9)+'Date Calculators'!$B$2+E267))</f>
        <v/>
      </c>
      <c r="C267" s="74" t="str" cm="1">
        <f t="array" ref="C267">IF(A267="","",INDEX('Test schedule'!J:J,ROW()+9))</f>
        <v/>
      </c>
      <c r="D267" s="74" t="str">
        <f>IFERROR(IF(A267="","",'Event Info'!$B$2),"")</f>
        <v/>
      </c>
      <c r="E267" cm="1">
        <f t="array" ref="E267">IF(INDEX('Test schedule'!B:B,ROW()+9)="START",E266+1,E266+0)</f>
        <v>5</v>
      </c>
      <c r="F267" s="82" t="str">
        <f>IF(A267&lt;&gt;"",_xlfn.CONCAT(TEXT(A267,"yyyy-mm-dd"),"T",TEXT(A267,"hh:mm:ss"),'Event Info'!$B$5,",",," ",C267),"")</f>
        <v/>
      </c>
      <c r="G267" t="e">
        <f t="shared" si="8"/>
        <v>#VALUE!</v>
      </c>
      <c r="H267" s="92" t="str">
        <f t="shared" si="9"/>
        <v/>
      </c>
      <c r="I267" s="88">
        <v>0</v>
      </c>
    </row>
    <row r="268" spans="1:9" ht="16.899999999999999">
      <c r="A268" s="76" t="str" cm="1">
        <f t="array" ref="A26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Calculators'!$B$2+E268)</f>
        <v/>
      </c>
      <c r="B268" s="76" t="str" cm="1">
        <f t="array" ref="B268">IF(OR(A268=""),"",IF(INDEX('Test schedule'!E:E,ROW()+9)="",IF(A269="",A268+$Q$10,A269),INDEX('Test schedule'!E:E,ROW()+9)+'Date Calculators'!$B$2+E268))</f>
        <v/>
      </c>
      <c r="C268" s="74" t="str" cm="1">
        <f t="array" ref="C268">IF(A268="","",INDEX('Test schedule'!J:J,ROW()+9))</f>
        <v/>
      </c>
      <c r="D268" s="74" t="str">
        <f>IFERROR(IF(A268="","",'Event Info'!$B$2),"")</f>
        <v/>
      </c>
      <c r="E268" cm="1">
        <f t="array" ref="E268">IF(INDEX('Test schedule'!B:B,ROW()+9)="START",E267+1,E267+0)</f>
        <v>5</v>
      </c>
      <c r="F268" s="82" t="str">
        <f>IF(A268&lt;&gt;"",_xlfn.CONCAT(TEXT(A268,"yyyy-mm-dd"),"T",TEXT(A268,"hh:mm:ss"),'Event Info'!$B$5,",",," ",C268),"")</f>
        <v/>
      </c>
      <c r="G268" t="e">
        <f t="shared" si="8"/>
        <v>#VALUE!</v>
      </c>
      <c r="H268" s="92" t="str">
        <f t="shared" si="9"/>
        <v/>
      </c>
      <c r="I268" s="91">
        <v>0</v>
      </c>
    </row>
    <row r="269" spans="1:9">
      <c r="A269" s="76" t="str" cm="1">
        <f t="array" ref="A26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Calculators'!$B$2+E269)</f>
        <v/>
      </c>
      <c r="B269" s="76" t="str" cm="1">
        <f t="array" ref="B269">IF(OR(A269=""),"",IF(INDEX('Test schedule'!E:E,ROW()+9)="",IF(A270="",A269+$Q$10,A270),INDEX('Test schedule'!E:E,ROW()+9)+'Date Calculators'!$B$2+E269))</f>
        <v/>
      </c>
      <c r="C269" s="74" t="str" cm="1">
        <f t="array" ref="C269">IF(A269="","",INDEX('Test schedule'!J:J,ROW()+9))</f>
        <v/>
      </c>
      <c r="D269" s="74" t="str">
        <f>IFERROR(IF(A269="","",'Event Info'!$B$2),"")</f>
        <v/>
      </c>
      <c r="E269" cm="1">
        <f t="array" ref="E269">IF(INDEX('Test schedule'!B:B,ROW()+9)="START",E268+1,E268+0)</f>
        <v>5</v>
      </c>
      <c r="F269" s="82" t="str">
        <f>IF(A269&lt;&gt;"",_xlfn.CONCAT(TEXT(A269,"yyyy-mm-dd"),"T",TEXT(A269,"hh:mm:ss"),'Event Info'!$B$5,",",," ",C269),"")</f>
        <v/>
      </c>
      <c r="G269" t="e">
        <f t="shared" si="8"/>
        <v>#VALUE!</v>
      </c>
      <c r="H269" s="92" t="str">
        <f t="shared" si="9"/>
        <v/>
      </c>
      <c r="I269" s="88">
        <v>0</v>
      </c>
    </row>
    <row r="270" spans="1:9">
      <c r="A270" s="76" t="str" cm="1">
        <f t="array" ref="A27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Calculators'!$B$2+E270)</f>
        <v/>
      </c>
      <c r="B270" s="76" t="str" cm="1">
        <f t="array" ref="B270">IF(OR(A270=""),"",IF(INDEX('Test schedule'!E:E,ROW()+9)="",IF(A271="",A270+$Q$10,A271),INDEX('Test schedule'!E:E,ROW()+9)+'Date Calculators'!$B$2+E270))</f>
        <v/>
      </c>
      <c r="C270" s="74" t="str" cm="1">
        <f t="array" ref="C270">IF(A270="","",INDEX('Test schedule'!J:J,ROW()+9))</f>
        <v/>
      </c>
      <c r="D270" s="74" t="str">
        <f>IFERROR(IF(A270="","",'Event Info'!$B$2),"")</f>
        <v/>
      </c>
      <c r="E270" cm="1">
        <f t="array" ref="E270">IF(INDEX('Test schedule'!B:B,ROW()+9)="START",E269+1,E269+0)</f>
        <v>5</v>
      </c>
      <c r="F270" s="82" t="str">
        <f>IF(A270&lt;&gt;"",_xlfn.CONCAT(TEXT(A270,"yyyy-mm-dd"),"T",TEXT(A270,"hh:mm:ss"),'Event Info'!$B$5,",",," ",C270),"")</f>
        <v/>
      </c>
      <c r="G270" t="e">
        <f t="shared" si="8"/>
        <v>#VALUE!</v>
      </c>
      <c r="H270" s="92" t="str">
        <f t="shared" si="9"/>
        <v/>
      </c>
      <c r="I270" s="88">
        <v>0</v>
      </c>
    </row>
    <row r="271" spans="1:9" ht="16.899999999999999">
      <c r="A271" s="76" t="str" cm="1">
        <f t="array" ref="A27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Calculators'!$B$2+E271)</f>
        <v/>
      </c>
      <c r="B271" s="76" t="str" cm="1">
        <f t="array" ref="B271">IF(OR(A271=""),"",IF(INDEX('Test schedule'!E:E,ROW()+9)="",IF(A272="",A271+$Q$10,A272),INDEX('Test schedule'!E:E,ROW()+9)+'Date Calculators'!$B$2+E271))</f>
        <v/>
      </c>
      <c r="C271" s="74" t="str" cm="1">
        <f t="array" ref="C271">IF(A271="","",INDEX('Test schedule'!J:J,ROW()+9))</f>
        <v/>
      </c>
      <c r="D271" s="74" t="str">
        <f>IFERROR(IF(A271="","",'Event Info'!$B$2),"")</f>
        <v/>
      </c>
      <c r="E271" cm="1">
        <f t="array" ref="E271">IF(INDEX('Test schedule'!B:B,ROW()+9)="START",E270+1,E270+0)</f>
        <v>5</v>
      </c>
      <c r="F271" s="82" t="str">
        <f>IF(A271&lt;&gt;"",_xlfn.CONCAT(TEXT(A271,"yyyy-mm-dd"),"T",TEXT(A271,"hh:mm:ss"),'Event Info'!$B$5,",",," ",C271),"")</f>
        <v/>
      </c>
      <c r="G271" t="e">
        <f t="shared" si="8"/>
        <v>#VALUE!</v>
      </c>
      <c r="H271" s="92" t="str">
        <f t="shared" si="9"/>
        <v/>
      </c>
      <c r="I271" s="91">
        <v>0</v>
      </c>
    </row>
    <row r="272" spans="1:9">
      <c r="A272" s="76" t="str" cm="1">
        <f t="array" ref="A27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Calculators'!$B$2+E272)</f>
        <v/>
      </c>
      <c r="B272" s="76" t="str" cm="1">
        <f t="array" ref="B272">IF(OR(A272=""),"",IF(INDEX('Test schedule'!E:E,ROW()+9)="",IF(A273="",A272+$Q$10,A273),INDEX('Test schedule'!E:E,ROW()+9)+'Date Calculators'!$B$2+E272))</f>
        <v/>
      </c>
      <c r="C272" s="74" t="str" cm="1">
        <f t="array" ref="C272">IF(A272="","",INDEX('Test schedule'!J:J,ROW()+9))</f>
        <v/>
      </c>
      <c r="D272" s="74" t="str">
        <f>IFERROR(IF(A272="","",'Event Info'!$B$2),"")</f>
        <v/>
      </c>
      <c r="E272" cm="1">
        <f t="array" ref="E272">IF(INDEX('Test schedule'!B:B,ROW()+9)="START",E271+1,E271+0)</f>
        <v>5</v>
      </c>
      <c r="F272" s="82" t="str">
        <f>IF(A272&lt;&gt;"",_xlfn.CONCAT(TEXT(A272,"yyyy-mm-dd"),"T",TEXT(A272,"hh:mm:ss"),'Event Info'!$B$5,",",," ",C272),"")</f>
        <v/>
      </c>
      <c r="G272" t="e">
        <f t="shared" si="8"/>
        <v>#VALUE!</v>
      </c>
      <c r="H272" s="92" t="str">
        <f t="shared" si="9"/>
        <v/>
      </c>
      <c r="I272" s="88">
        <v>0</v>
      </c>
    </row>
    <row r="273" spans="1:9">
      <c r="A273" s="76" t="str" cm="1">
        <f t="array" ref="A27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Calculators'!$B$2+E273)</f>
        <v/>
      </c>
      <c r="B273" s="76" t="str" cm="1">
        <f t="array" ref="B273">IF(OR(A273=""),"",IF(INDEX('Test schedule'!E:E,ROW()+9)="",IF(A274="",A273+$Q$10,A274),INDEX('Test schedule'!E:E,ROW()+9)+'Date Calculators'!$B$2+E273))</f>
        <v/>
      </c>
      <c r="C273" s="74" t="str" cm="1">
        <f t="array" ref="C273">IF(A273="","",INDEX('Test schedule'!J:J,ROW()+9))</f>
        <v/>
      </c>
      <c r="D273" s="74" t="str">
        <f>IFERROR(IF(A273="","",'Event Info'!$B$2),"")</f>
        <v/>
      </c>
      <c r="E273" cm="1">
        <f t="array" ref="E273">IF(INDEX('Test schedule'!B:B,ROW()+9)="START",E272+1,E272+0)</f>
        <v>5</v>
      </c>
      <c r="F273" s="82" t="str">
        <f>IF(A273&lt;&gt;"",_xlfn.CONCAT(TEXT(A273,"yyyy-mm-dd"),"T",TEXT(A273,"hh:mm:ss"),'Event Info'!$B$5,",",," ",C273),"")</f>
        <v/>
      </c>
      <c r="G273" t="e">
        <f t="shared" si="8"/>
        <v>#VALUE!</v>
      </c>
      <c r="H273" s="92" t="str">
        <f t="shared" si="9"/>
        <v/>
      </c>
      <c r="I273" s="88">
        <v>0</v>
      </c>
    </row>
    <row r="274" spans="1:9" ht="16.899999999999999">
      <c r="A274" s="76" t="str" cm="1">
        <f t="array" ref="A27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Calculators'!$B$2+E274)</f>
        <v/>
      </c>
      <c r="B274" s="76" t="str" cm="1">
        <f t="array" ref="B274">IF(OR(A274=""),"",IF(INDEX('Test schedule'!E:E,ROW()+9)="",IF(A275="",A274+$Q$10,A275),INDEX('Test schedule'!E:E,ROW()+9)+'Date Calculators'!$B$2+E274))</f>
        <v/>
      </c>
      <c r="C274" s="74" t="str" cm="1">
        <f t="array" ref="C274">IF(A274="","",INDEX('Test schedule'!J:J,ROW()+9))</f>
        <v/>
      </c>
      <c r="D274" s="74" t="str">
        <f>IFERROR(IF(A274="","",'Event Info'!$B$2),"")</f>
        <v/>
      </c>
      <c r="E274" cm="1">
        <f t="array" ref="E274">IF(INDEX('Test schedule'!B:B,ROW()+9)="START",E273+1,E273+0)</f>
        <v>5</v>
      </c>
      <c r="F274" s="82" t="str">
        <f>IF(A274&lt;&gt;"",_xlfn.CONCAT(TEXT(A274,"yyyy-mm-dd"),"T",TEXT(A274,"hh:mm:ss"),'Event Info'!$B$5,",",," ",C274),"")</f>
        <v/>
      </c>
      <c r="G274" t="e">
        <f t="shared" si="8"/>
        <v>#VALUE!</v>
      </c>
      <c r="H274" s="92" t="str">
        <f t="shared" si="9"/>
        <v/>
      </c>
      <c r="I274" s="91">
        <v>0</v>
      </c>
    </row>
    <row r="275" spans="1:9">
      <c r="A275" s="76" t="str" cm="1">
        <f t="array" ref="A27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Calculators'!$B$2+E275)</f>
        <v/>
      </c>
      <c r="B275" s="76" t="str" cm="1">
        <f t="array" ref="B275">IF(OR(A275=""),"",IF(INDEX('Test schedule'!E:E,ROW()+9)="",IF(A276="",A275+$Q$10,A276),INDEX('Test schedule'!E:E,ROW()+9)+'Date Calculators'!$B$2+E275))</f>
        <v/>
      </c>
      <c r="C275" s="74" t="str" cm="1">
        <f t="array" ref="C275">IF(A275="","",INDEX('Test schedule'!J:J,ROW()+9))</f>
        <v/>
      </c>
      <c r="D275" s="74" t="str">
        <f>IFERROR(IF(A275="","",'Event Info'!$B$2),"")</f>
        <v/>
      </c>
      <c r="E275" cm="1">
        <f t="array" ref="E275">IF(INDEX('Test schedule'!B:B,ROW()+9)="START",E274+1,E274+0)</f>
        <v>5</v>
      </c>
      <c r="F275" s="82" t="str">
        <f>IF(A275&lt;&gt;"",_xlfn.CONCAT(TEXT(A275,"yyyy-mm-dd"),"T",TEXT(A275,"hh:mm:ss"),'Event Info'!$B$5,",",," ",C275),"")</f>
        <v/>
      </c>
      <c r="G275" t="e">
        <f t="shared" si="8"/>
        <v>#VALUE!</v>
      </c>
      <c r="H275" s="92" t="str">
        <f t="shared" si="9"/>
        <v/>
      </c>
      <c r="I275" s="88">
        <v>0</v>
      </c>
    </row>
    <row r="276" spans="1:9">
      <c r="A276" s="76" t="str" cm="1">
        <f t="array" ref="A27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Calculators'!$B$2+E276)</f>
        <v/>
      </c>
      <c r="B276" s="76" t="str" cm="1">
        <f t="array" ref="B276">IF(OR(A276=""),"",IF(INDEX('Test schedule'!E:E,ROW()+9)="",IF(A277="",A276+$Q$10,A277),INDEX('Test schedule'!E:E,ROW()+9)+'Date Calculators'!$B$2+E276))</f>
        <v/>
      </c>
      <c r="C276" s="74" t="str" cm="1">
        <f t="array" ref="C276">IF(A276="","",INDEX('Test schedule'!J:J,ROW()+9))</f>
        <v/>
      </c>
      <c r="D276" s="74" t="str">
        <f>IFERROR(IF(A276="","",'Event Info'!$B$2),"")</f>
        <v/>
      </c>
      <c r="E276" cm="1">
        <f t="array" ref="E276">IF(INDEX('Test schedule'!B:B,ROW()+9)="START",E275+1,E275+0)</f>
        <v>5</v>
      </c>
      <c r="F276" s="82" t="str">
        <f>IF(A276&lt;&gt;"",_xlfn.CONCAT(TEXT(A276,"yyyy-mm-dd"),"T",TEXT(A276,"hh:mm:ss"),'Event Info'!$B$5,",",," ",C276),"")</f>
        <v/>
      </c>
      <c r="G276" t="e">
        <f t="shared" si="8"/>
        <v>#VALUE!</v>
      </c>
      <c r="H276" s="92" t="str">
        <f t="shared" si="9"/>
        <v/>
      </c>
      <c r="I276" s="88">
        <v>0</v>
      </c>
    </row>
    <row r="277" spans="1:9" ht="16.899999999999999">
      <c r="A277" s="76" t="str" cm="1">
        <f t="array" ref="A27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Calculators'!$B$2+E277)</f>
        <v/>
      </c>
      <c r="B277" s="76" t="str" cm="1">
        <f t="array" ref="B277">IF(OR(A277=""),"",IF(INDEX('Test schedule'!E:E,ROW()+9)="",IF(A278="",A277+$Q$10,A278),INDEX('Test schedule'!E:E,ROW()+9)+'Date Calculators'!$B$2+E277))</f>
        <v/>
      </c>
      <c r="C277" s="74" t="str" cm="1">
        <f t="array" ref="C277">IF(A277="","",INDEX('Test schedule'!J:J,ROW()+9))</f>
        <v/>
      </c>
      <c r="D277" s="74" t="str">
        <f>IFERROR(IF(A277="","",'Event Info'!$B$2),"")</f>
        <v/>
      </c>
      <c r="E277" cm="1">
        <f t="array" ref="E277">IF(INDEX('Test schedule'!B:B,ROW()+9)="START",E276+1,E276+0)</f>
        <v>5</v>
      </c>
      <c r="F277" s="82" t="str">
        <f>IF(A277&lt;&gt;"",_xlfn.CONCAT(TEXT(A277,"yyyy-mm-dd"),"T",TEXT(A277,"hh:mm:ss"),'Event Info'!$B$5,",",," ",C277),"")</f>
        <v/>
      </c>
      <c r="G277" t="e">
        <f t="shared" si="8"/>
        <v>#VALUE!</v>
      </c>
      <c r="H277" s="92" t="str">
        <f t="shared" si="9"/>
        <v/>
      </c>
      <c r="I277" s="91">
        <v>0</v>
      </c>
    </row>
    <row r="278" spans="1:9">
      <c r="A278" s="76" t="str" cm="1">
        <f t="array" ref="A27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Calculators'!$B$2+E278)</f>
        <v/>
      </c>
      <c r="B278" s="76" t="str" cm="1">
        <f t="array" ref="B278">IF(OR(A278=""),"",IF(INDEX('Test schedule'!E:E,ROW()+9)="",IF(A279="",A278+$Q$10,A279),INDEX('Test schedule'!E:E,ROW()+9)+'Date Calculators'!$B$2+E278))</f>
        <v/>
      </c>
      <c r="C278" s="74" t="str" cm="1">
        <f t="array" ref="C278">IF(A278="","",INDEX('Test schedule'!J:J,ROW()+9))</f>
        <v/>
      </c>
      <c r="D278" s="74" t="str">
        <f>IFERROR(IF(A278="","",'Event Info'!$B$2),"")</f>
        <v/>
      </c>
      <c r="E278" cm="1">
        <f t="array" ref="E278">IF(INDEX('Test schedule'!B:B,ROW()+9)="START",E277+1,E277+0)</f>
        <v>5</v>
      </c>
      <c r="F278" s="82" t="str">
        <f>IF(A278&lt;&gt;"",_xlfn.CONCAT(TEXT(A278,"yyyy-mm-dd"),"T",TEXT(A278,"hh:mm:ss"),'Event Info'!$B$5,",",," ",C278),"")</f>
        <v/>
      </c>
      <c r="G278" t="e">
        <f t="shared" si="8"/>
        <v>#VALUE!</v>
      </c>
      <c r="H278" s="92" t="str">
        <f t="shared" si="9"/>
        <v/>
      </c>
      <c r="I278" s="88">
        <v>0</v>
      </c>
    </row>
    <row r="279" spans="1:9">
      <c r="A279" s="76" t="str" cm="1">
        <f t="array" ref="A27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Calculators'!$B$2+E279)</f>
        <v/>
      </c>
      <c r="B279" s="76" t="str" cm="1">
        <f t="array" ref="B279">IF(OR(A279=""),"",IF(INDEX('Test schedule'!E:E,ROW()+9)="",IF(A280="",A279+$Q$10,A280),INDEX('Test schedule'!E:E,ROW()+9)+'Date Calculators'!$B$2+E279))</f>
        <v/>
      </c>
      <c r="C279" s="74" t="str" cm="1">
        <f t="array" ref="C279">IF(A279="","",INDEX('Test schedule'!J:J,ROW()+9))</f>
        <v/>
      </c>
      <c r="D279" s="74" t="str">
        <f>IFERROR(IF(A279="","",'Event Info'!$B$2),"")</f>
        <v/>
      </c>
      <c r="E279" cm="1">
        <f t="array" ref="E279">IF(INDEX('Test schedule'!B:B,ROW()+9)="START",E278+1,E278+0)</f>
        <v>5</v>
      </c>
      <c r="F279" s="82" t="str">
        <f>IF(A279&lt;&gt;"",_xlfn.CONCAT(TEXT(A279,"yyyy-mm-dd"),"T",TEXT(A279,"hh:mm:ss"),'Event Info'!$B$5,",",," ",C279),"")</f>
        <v/>
      </c>
      <c r="G279" t="e">
        <f t="shared" si="8"/>
        <v>#VALUE!</v>
      </c>
      <c r="H279" s="92" t="str">
        <f t="shared" si="9"/>
        <v/>
      </c>
      <c r="I279" s="88">
        <v>0</v>
      </c>
    </row>
    <row r="280" spans="1:9" ht="16.899999999999999">
      <c r="A280" s="76" t="str" cm="1">
        <f t="array" ref="A28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Calculators'!$B$2+E280)</f>
        <v/>
      </c>
      <c r="B280" s="76" t="str" cm="1">
        <f t="array" ref="B280">IF(OR(A280=""),"",IF(INDEX('Test schedule'!E:E,ROW()+9)="",IF(A281="",A280+$Q$10,A281),INDEX('Test schedule'!E:E,ROW()+9)+'Date Calculators'!$B$2+E280))</f>
        <v/>
      </c>
      <c r="C280" s="74" t="str" cm="1">
        <f t="array" ref="C280">IF(A280="","",INDEX('Test schedule'!J:J,ROW()+9))</f>
        <v/>
      </c>
      <c r="D280" s="74" t="str">
        <f>IFERROR(IF(A280="","",'Event Info'!$B$2),"")</f>
        <v/>
      </c>
      <c r="E280" cm="1">
        <f t="array" ref="E280">IF(INDEX('Test schedule'!B:B,ROW()+9)="START",E279+1,E279+0)</f>
        <v>5</v>
      </c>
      <c r="F280" s="82" t="str">
        <f>IF(A280&lt;&gt;"",_xlfn.CONCAT(TEXT(A280,"yyyy-mm-dd"),"T",TEXT(A280,"hh:mm:ss"),'Event Info'!$B$5,",",," ",C280),"")</f>
        <v/>
      </c>
      <c r="G280" t="e">
        <f t="shared" si="8"/>
        <v>#VALUE!</v>
      </c>
      <c r="H280" s="92" t="str">
        <f t="shared" si="9"/>
        <v/>
      </c>
      <c r="I280" s="91">
        <v>0</v>
      </c>
    </row>
    <row r="281" spans="1:9">
      <c r="A281" s="76" t="str" cm="1">
        <f t="array" ref="A28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Calculators'!$B$2+E281)</f>
        <v/>
      </c>
      <c r="B281" s="76" t="str" cm="1">
        <f t="array" ref="B281">IF(OR(A281=""),"",IF(INDEX('Test schedule'!E:E,ROW()+9)="",IF(A282="",A281+$Q$10,A282),INDEX('Test schedule'!E:E,ROW()+9)+'Date Calculators'!$B$2+E281))</f>
        <v/>
      </c>
      <c r="C281" s="74" t="str" cm="1">
        <f t="array" ref="C281">IF(A281="","",INDEX('Test schedule'!J:J,ROW()+9))</f>
        <v/>
      </c>
      <c r="D281" s="74" t="str">
        <f>IFERROR(IF(A281="","",'Event Info'!$B$2),"")</f>
        <v/>
      </c>
      <c r="E281" cm="1">
        <f t="array" ref="E281">IF(INDEX('Test schedule'!B:B,ROW()+9)="START",E280+1,E280+0)</f>
        <v>5</v>
      </c>
      <c r="F281" s="82" t="str">
        <f>IF(A281&lt;&gt;"",_xlfn.CONCAT(TEXT(A281,"yyyy-mm-dd"),"T",TEXT(A281,"hh:mm:ss"),'Event Info'!$B$5,",",," ",C281),"")</f>
        <v/>
      </c>
      <c r="G281" t="e">
        <f t="shared" si="8"/>
        <v>#VALUE!</v>
      </c>
      <c r="H281" s="92" t="str">
        <f t="shared" si="9"/>
        <v/>
      </c>
      <c r="I281" s="88">
        <v>0</v>
      </c>
    </row>
    <row r="282" spans="1:9">
      <c r="A282" s="76" t="str" cm="1">
        <f t="array" ref="A28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Calculators'!$B$2+E282)</f>
        <v/>
      </c>
      <c r="B282" s="76" t="str" cm="1">
        <f t="array" ref="B282">IF(OR(A282=""),"",IF(INDEX('Test schedule'!E:E,ROW()+9)="",IF(A283="",A282+$Q$10,A283),INDEX('Test schedule'!E:E,ROW()+9)+'Date Calculators'!$B$2+E282))</f>
        <v/>
      </c>
      <c r="C282" s="74" t="str" cm="1">
        <f t="array" ref="C282">IF(A282="","",INDEX('Test schedule'!J:J,ROW()+9))</f>
        <v/>
      </c>
      <c r="D282" s="74" t="str">
        <f>IFERROR(IF(A282="","",'Event Info'!$B$2),"")</f>
        <v/>
      </c>
      <c r="E282" cm="1">
        <f t="array" ref="E282">IF(INDEX('Test schedule'!B:B,ROW()+9)="START",E281+1,E281+0)</f>
        <v>5</v>
      </c>
      <c r="F282" s="82" t="str">
        <f>IF(A282&lt;&gt;"",_xlfn.CONCAT(TEXT(A282,"yyyy-mm-dd"),"T",TEXT(A282,"hh:mm:ss"),'Event Info'!$B$5,",",," ",C282),"")</f>
        <v/>
      </c>
      <c r="G282" t="e">
        <f t="shared" si="8"/>
        <v>#VALUE!</v>
      </c>
      <c r="H282" s="92" t="str">
        <f t="shared" si="9"/>
        <v/>
      </c>
      <c r="I282" s="88">
        <v>0</v>
      </c>
    </row>
    <row r="283" spans="1:9" ht="16.899999999999999">
      <c r="A283" s="76" t="str" cm="1">
        <f t="array" ref="A28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Calculators'!$B$2+E283)</f>
        <v/>
      </c>
      <c r="B283" s="76" t="str" cm="1">
        <f t="array" ref="B283">IF(OR(A283=""),"",IF(INDEX('Test schedule'!E:E,ROW()+9)="",IF(A284="",A283+$Q$10,A284),INDEX('Test schedule'!E:E,ROW()+9)+'Date Calculators'!$B$2+E283))</f>
        <v/>
      </c>
      <c r="C283" s="74" t="str" cm="1">
        <f t="array" ref="C283">IF(A283="","",INDEX('Test schedule'!J:J,ROW()+9))</f>
        <v/>
      </c>
      <c r="D283" s="74" t="str">
        <f>IFERROR(IF(A283="","",'Event Info'!$B$2),"")</f>
        <v/>
      </c>
      <c r="E283" cm="1">
        <f t="array" ref="E283">IF(INDEX('Test schedule'!B:B,ROW()+9)="START",E282+1,E282+0)</f>
        <v>5</v>
      </c>
      <c r="F283" s="82" t="str">
        <f>IF(A283&lt;&gt;"",_xlfn.CONCAT(TEXT(A283,"yyyy-mm-dd"),"T",TEXT(A283,"hh:mm:ss"),'Event Info'!$B$5,",",," ",C283),"")</f>
        <v/>
      </c>
      <c r="G283" t="e">
        <f t="shared" si="8"/>
        <v>#VALUE!</v>
      </c>
      <c r="H283" s="92" t="str">
        <f t="shared" si="9"/>
        <v/>
      </c>
      <c r="I283" s="91">
        <v>0</v>
      </c>
    </row>
    <row r="284" spans="1:9">
      <c r="A284" s="76" t="str" cm="1">
        <f t="array" ref="A28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Calculators'!$B$2+E284)</f>
        <v/>
      </c>
      <c r="B284" s="76" t="str" cm="1">
        <f t="array" ref="B284">IF(OR(A284=""),"",IF(INDEX('Test schedule'!E:E,ROW()+9)="",IF(A285="",A284+$Q$10,A285),INDEX('Test schedule'!E:E,ROW()+9)+'Date Calculators'!$B$2+E284))</f>
        <v/>
      </c>
      <c r="C284" s="74" t="str" cm="1">
        <f t="array" ref="C284">IF(A284="","",INDEX('Test schedule'!J:J,ROW()+9))</f>
        <v/>
      </c>
      <c r="D284" s="74" t="str">
        <f>IFERROR(IF(A284="","",'Event Info'!$B$2),"")</f>
        <v/>
      </c>
      <c r="E284" cm="1">
        <f t="array" ref="E284">IF(INDEX('Test schedule'!B:B,ROW()+9)="START",E283+1,E283+0)</f>
        <v>5</v>
      </c>
      <c r="F284" s="82" t="str">
        <f>IF(A284&lt;&gt;"",_xlfn.CONCAT(TEXT(A284,"yyyy-mm-dd"),"T",TEXT(A284,"hh:mm:ss"),'Event Info'!$B$5,",",," ",C284),"")</f>
        <v/>
      </c>
      <c r="G284" t="e">
        <f t="shared" si="8"/>
        <v>#VALUE!</v>
      </c>
      <c r="H284" s="92" t="str">
        <f t="shared" si="9"/>
        <v/>
      </c>
      <c r="I284" s="88">
        <v>0</v>
      </c>
    </row>
    <row r="285" spans="1:9">
      <c r="A285" s="76" t="str" cm="1">
        <f t="array" ref="A28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Calculators'!$B$2+E285)</f>
        <v/>
      </c>
      <c r="B285" s="76" t="str" cm="1">
        <f t="array" ref="B285">IF(OR(A285=""),"",IF(INDEX('Test schedule'!E:E,ROW()+9)="",IF(A286="",A285+$Q$10,A286),INDEX('Test schedule'!E:E,ROW()+9)+'Date Calculators'!$B$2+E285))</f>
        <v/>
      </c>
      <c r="C285" s="74" t="str" cm="1">
        <f t="array" ref="C285">IF(A285="","",INDEX('Test schedule'!J:J,ROW()+9))</f>
        <v/>
      </c>
      <c r="D285" s="74" t="str">
        <f>IFERROR(IF(A285="","",'Event Info'!$B$2),"")</f>
        <v/>
      </c>
      <c r="E285" cm="1">
        <f t="array" ref="E285">IF(INDEX('Test schedule'!B:B,ROW()+9)="START",E284+1,E284+0)</f>
        <v>5</v>
      </c>
      <c r="F285" s="82" t="str">
        <f>IF(A285&lt;&gt;"",_xlfn.CONCAT(TEXT(A285,"yyyy-mm-dd"),"T",TEXT(A285,"hh:mm:ss"),'Event Info'!$B$5,",",," ",C285),"")</f>
        <v/>
      </c>
      <c r="G285" t="e">
        <f t="shared" si="8"/>
        <v>#VALUE!</v>
      </c>
      <c r="H285" s="92" t="str">
        <f t="shared" si="9"/>
        <v/>
      </c>
      <c r="I285" s="88">
        <v>0</v>
      </c>
    </row>
    <row r="286" spans="1:9" ht="16.899999999999999">
      <c r="A286" s="76" t="str" cm="1">
        <f t="array" ref="A28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Calculators'!$B$2+E286)</f>
        <v/>
      </c>
      <c r="B286" s="76" t="str" cm="1">
        <f t="array" ref="B286">IF(OR(A286=""),"",IF(INDEX('Test schedule'!E:E,ROW()+9)="",IF(A287="",A286+$Q$10,A287),INDEX('Test schedule'!E:E,ROW()+9)+'Date Calculators'!$B$2+E286))</f>
        <v/>
      </c>
      <c r="C286" s="74" t="str" cm="1">
        <f t="array" ref="C286">IF(A286="","",INDEX('Test schedule'!J:J,ROW()+9))</f>
        <v/>
      </c>
      <c r="D286" s="74" t="str">
        <f>IFERROR(IF(A286="","",'Event Info'!$B$2),"")</f>
        <v/>
      </c>
      <c r="E286" cm="1">
        <f t="array" ref="E286">IF(INDEX('Test schedule'!B:B,ROW()+9)="START",E285+1,E285+0)</f>
        <v>5</v>
      </c>
      <c r="F286" s="82" t="str">
        <f>IF(A286&lt;&gt;"",_xlfn.CONCAT(TEXT(A286,"yyyy-mm-dd"),"T",TEXT(A286,"hh:mm:ss"),'Event Info'!$B$5,",",," ",C286),"")</f>
        <v/>
      </c>
      <c r="G286" t="e">
        <f t="shared" si="8"/>
        <v>#VALUE!</v>
      </c>
      <c r="H286" s="92" t="str">
        <f t="shared" si="9"/>
        <v/>
      </c>
      <c r="I286" s="91">
        <v>0</v>
      </c>
    </row>
    <row r="287" spans="1:9">
      <c r="A287" s="76" t="str" cm="1">
        <f t="array" ref="A28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Calculators'!$B$2+E287)</f>
        <v/>
      </c>
      <c r="B287" s="76" t="str" cm="1">
        <f t="array" ref="B287">IF(OR(A287=""),"",IF(INDEX('Test schedule'!E:E,ROW()+9)="",IF(A288="",A287+$Q$10,A288),INDEX('Test schedule'!E:E,ROW()+9)+'Date Calculators'!$B$2+E287))</f>
        <v/>
      </c>
      <c r="C287" s="74" t="str" cm="1">
        <f t="array" ref="C287">IF(A287="","",INDEX('Test schedule'!J:J,ROW()+9))</f>
        <v/>
      </c>
      <c r="D287" s="74" t="str">
        <f>IFERROR(IF(A287="","",'Event Info'!$B$2),"")</f>
        <v/>
      </c>
      <c r="E287" cm="1">
        <f t="array" ref="E287">IF(INDEX('Test schedule'!B:B,ROW()+9)="START",E286+1,E286+0)</f>
        <v>5</v>
      </c>
      <c r="F287" s="82" t="str">
        <f>IF(A287&lt;&gt;"",_xlfn.CONCAT(TEXT(A287,"yyyy-mm-dd"),"T",TEXT(A287,"hh:mm:ss"),'Event Info'!$B$5,",",," ",C287),"")</f>
        <v/>
      </c>
      <c r="G287" t="e">
        <f t="shared" si="8"/>
        <v>#VALUE!</v>
      </c>
      <c r="H287" s="92" t="str">
        <f t="shared" si="9"/>
        <v/>
      </c>
      <c r="I287" s="88">
        <v>0</v>
      </c>
    </row>
    <row r="288" spans="1:9">
      <c r="A288" s="76" t="str" cm="1">
        <f t="array" ref="A28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Calculators'!$B$2+E288)</f>
        <v/>
      </c>
      <c r="B288" s="76" t="str" cm="1">
        <f t="array" ref="B288">IF(OR(A288=""),"",IF(INDEX('Test schedule'!E:E,ROW()+9)="",IF(A289="",A288+$Q$10,A289),INDEX('Test schedule'!E:E,ROW()+9)+'Date Calculators'!$B$2+E288))</f>
        <v/>
      </c>
      <c r="C288" s="74" t="str" cm="1">
        <f t="array" ref="C288">IF(A288="","",INDEX('Test schedule'!J:J,ROW()+9))</f>
        <v/>
      </c>
      <c r="D288" s="74" t="str">
        <f>IFERROR(IF(A288="","",'Event Info'!$B$2),"")</f>
        <v/>
      </c>
      <c r="E288" cm="1">
        <f t="array" ref="E288">IF(INDEX('Test schedule'!B:B,ROW()+9)="START",E287+1,E287+0)</f>
        <v>5</v>
      </c>
      <c r="F288" s="82" t="str">
        <f>IF(A288&lt;&gt;"",_xlfn.CONCAT(TEXT(A288,"yyyy-mm-dd"),"T",TEXT(A288,"hh:mm:ss"),'Event Info'!$B$5,",",," ",C288),"")</f>
        <v/>
      </c>
      <c r="G288" t="e">
        <f t="shared" si="8"/>
        <v>#VALUE!</v>
      </c>
      <c r="H288" s="92" t="str">
        <f t="shared" si="9"/>
        <v/>
      </c>
      <c r="I288" s="88">
        <v>0</v>
      </c>
    </row>
    <row r="289" spans="1:9" ht="16.899999999999999">
      <c r="A289" s="76" t="str" cm="1">
        <f t="array" ref="A28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Calculators'!$B$2+E289)</f>
        <v/>
      </c>
      <c r="B289" s="76" t="str" cm="1">
        <f t="array" ref="B289">IF(OR(A289=""),"",IF(INDEX('Test schedule'!E:E,ROW()+9)="",IF(A290="",A289+$Q$10,A290),INDEX('Test schedule'!E:E,ROW()+9)+'Date Calculators'!$B$2+E289))</f>
        <v/>
      </c>
      <c r="C289" s="74" t="str" cm="1">
        <f t="array" ref="C289">IF(A289="","",INDEX('Test schedule'!J:J,ROW()+9))</f>
        <v/>
      </c>
      <c r="D289" s="74" t="str">
        <f>IFERROR(IF(A289="","",'Event Info'!$B$2),"")</f>
        <v/>
      </c>
      <c r="E289" cm="1">
        <f t="array" ref="E289">IF(INDEX('Test schedule'!B:B,ROW()+9)="START",E288+1,E288+0)</f>
        <v>5</v>
      </c>
      <c r="F289" s="82" t="str">
        <f>IF(A289&lt;&gt;"",_xlfn.CONCAT(TEXT(A289,"yyyy-mm-dd"),"T",TEXT(A289,"hh:mm:ss"),'Event Info'!$B$5,",",," ",C289),"")</f>
        <v/>
      </c>
      <c r="G289" t="e">
        <f t="shared" si="8"/>
        <v>#VALUE!</v>
      </c>
      <c r="H289" s="92" t="str">
        <f t="shared" si="9"/>
        <v/>
      </c>
      <c r="I289" s="91">
        <v>0</v>
      </c>
    </row>
    <row r="290" spans="1:9">
      <c r="A290" s="76" t="str" cm="1">
        <f t="array" ref="A29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Calculators'!$B$2+E290)</f>
        <v/>
      </c>
      <c r="B290" s="76" t="str" cm="1">
        <f t="array" ref="B290">IF(OR(A290=""),"",IF(INDEX('Test schedule'!E:E,ROW()+9)="",IF(A291="",A290+$Q$10,A291),INDEX('Test schedule'!E:E,ROW()+9)+'Date Calculators'!$B$2+E290))</f>
        <v/>
      </c>
      <c r="C290" s="74" t="str" cm="1">
        <f t="array" ref="C290">IF(A290="","",INDEX('Test schedule'!J:J,ROW()+9))</f>
        <v/>
      </c>
      <c r="D290" s="74" t="str">
        <f>IFERROR(IF(A290="","",'Event Info'!$B$2),"")</f>
        <v/>
      </c>
      <c r="E290" cm="1">
        <f t="array" ref="E290">IF(INDEX('Test schedule'!B:B,ROW()+9)="START",E289+1,E289+0)</f>
        <v>5</v>
      </c>
      <c r="F290" s="82" t="str">
        <f>IF(A290&lt;&gt;"",_xlfn.CONCAT(TEXT(A290,"yyyy-mm-dd"),"T",TEXT(A290,"hh:mm:ss"),'Event Info'!$B$5,",",," ",C290),"")</f>
        <v/>
      </c>
      <c r="G290" t="e">
        <f t="shared" si="8"/>
        <v>#VALUE!</v>
      </c>
      <c r="H290" s="92" t="str">
        <f t="shared" si="9"/>
        <v/>
      </c>
      <c r="I290" s="88">
        <v>0</v>
      </c>
    </row>
    <row r="291" spans="1:9">
      <c r="A291" s="76" t="str" cm="1">
        <f t="array" ref="A29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Calculators'!$B$2+E291)</f>
        <v/>
      </c>
      <c r="B291" s="76" t="str" cm="1">
        <f t="array" ref="B291">IF(OR(A291=""),"",IF(INDEX('Test schedule'!E:E,ROW()+9)="",IF(A292="",A291+$Q$10,A292),INDEX('Test schedule'!E:E,ROW()+9)+'Date Calculators'!$B$2+E291))</f>
        <v/>
      </c>
      <c r="C291" s="74" t="str" cm="1">
        <f t="array" ref="C291">IF(A291="","",INDEX('Test schedule'!J:J,ROW()+9))</f>
        <v/>
      </c>
      <c r="D291" s="74" t="str">
        <f>IFERROR(IF(A291="","",'Event Info'!$B$2),"")</f>
        <v/>
      </c>
      <c r="E291" cm="1">
        <f t="array" ref="E291">IF(INDEX('Test schedule'!B:B,ROW()+9)="START",E290+1,E290+0)</f>
        <v>5</v>
      </c>
      <c r="F291" s="82" t="str">
        <f>IF(A291&lt;&gt;"",_xlfn.CONCAT(TEXT(A291,"yyyy-mm-dd"),"T",TEXT(A291,"hh:mm:ss"),'Event Info'!$B$5,",",," ",C291),"")</f>
        <v/>
      </c>
      <c r="G291" t="e">
        <f t="shared" si="8"/>
        <v>#VALUE!</v>
      </c>
      <c r="H291" s="92" t="str">
        <f t="shared" si="9"/>
        <v/>
      </c>
      <c r="I291" s="88">
        <v>0</v>
      </c>
    </row>
    <row r="292" spans="1:9" ht="16.899999999999999">
      <c r="A292" s="76" t="str" cm="1">
        <f t="array" ref="A29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Calculators'!$B$2+E292)</f>
        <v/>
      </c>
      <c r="B292" s="76" t="str" cm="1">
        <f t="array" ref="B292">IF(OR(A292=""),"",IF(INDEX('Test schedule'!E:E,ROW()+9)="",IF(A293="",A292+$Q$10,A293),INDEX('Test schedule'!E:E,ROW()+9)+'Date Calculators'!$B$2+E292))</f>
        <v/>
      </c>
      <c r="C292" s="74" t="str" cm="1">
        <f t="array" ref="C292">IF(A292="","",INDEX('Test schedule'!J:J,ROW()+9))</f>
        <v/>
      </c>
      <c r="D292" s="74" t="str">
        <f>IFERROR(IF(A292="","",'Event Info'!$B$2),"")</f>
        <v/>
      </c>
      <c r="E292" cm="1">
        <f t="array" ref="E292">IF(INDEX('Test schedule'!B:B,ROW()+9)="START",E291+1,E291+0)</f>
        <v>5</v>
      </c>
      <c r="F292" s="82" t="str">
        <f>IF(A292&lt;&gt;"",_xlfn.CONCAT(TEXT(A292,"yyyy-mm-dd"),"T",TEXT(A292,"hh:mm:ss"),'Event Info'!$B$5,",",," ",C292),"")</f>
        <v/>
      </c>
      <c r="G292" t="e">
        <f t="shared" si="8"/>
        <v>#VALUE!</v>
      </c>
      <c r="H292" s="92" t="str">
        <f t="shared" si="9"/>
        <v/>
      </c>
      <c r="I292" s="91">
        <v>0</v>
      </c>
    </row>
    <row r="293" spans="1:9">
      <c r="A293" s="76" t="str" cm="1">
        <f t="array" ref="A29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Calculators'!$B$2+E293)</f>
        <v/>
      </c>
      <c r="B293" s="76" t="str" cm="1">
        <f t="array" ref="B293">IF(OR(A293=""),"",IF(INDEX('Test schedule'!E:E,ROW()+9)="",IF(A294="",A293+$Q$10,A294),INDEX('Test schedule'!E:E,ROW()+9)+'Date Calculators'!$B$2+E293))</f>
        <v/>
      </c>
      <c r="C293" s="74" t="str" cm="1">
        <f t="array" ref="C293">IF(A293="","",INDEX('Test schedule'!J:J,ROW()+9))</f>
        <v/>
      </c>
      <c r="D293" s="74" t="str">
        <f>IFERROR(IF(A293="","",'Event Info'!$B$2),"")</f>
        <v/>
      </c>
      <c r="E293" cm="1">
        <f t="array" ref="E293">IF(INDEX('Test schedule'!B:B,ROW()+9)="START",E292+1,E292+0)</f>
        <v>5</v>
      </c>
      <c r="F293" s="82" t="str">
        <f>IF(A293&lt;&gt;"",_xlfn.CONCAT(TEXT(A293,"yyyy-mm-dd"),"T",TEXT(A293,"hh:mm:ss"),'Event Info'!$B$5,",",," ",C293),"")</f>
        <v/>
      </c>
      <c r="G293" t="e">
        <f t="shared" si="8"/>
        <v>#VALUE!</v>
      </c>
      <c r="H293" s="92" t="str">
        <f t="shared" si="9"/>
        <v/>
      </c>
      <c r="I293" s="88">
        <v>0</v>
      </c>
    </row>
    <row r="294" spans="1:9">
      <c r="A294" s="76" t="str" cm="1">
        <f t="array" ref="A29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Calculators'!$B$2+E294)</f>
        <v/>
      </c>
      <c r="B294" s="76" t="str" cm="1">
        <f t="array" ref="B294">IF(OR(A294=""),"",IF(INDEX('Test schedule'!E:E,ROW()+9)="",IF(A295="",A294+$Q$10,A295),INDEX('Test schedule'!E:E,ROW()+9)+'Date Calculators'!$B$2+E294))</f>
        <v/>
      </c>
      <c r="C294" s="74" t="str" cm="1">
        <f t="array" ref="C294">IF(A294="","",INDEX('Test schedule'!J:J,ROW()+9))</f>
        <v/>
      </c>
      <c r="D294" s="74" t="str">
        <f>IFERROR(IF(A294="","",'Event Info'!$B$2),"")</f>
        <v/>
      </c>
      <c r="E294" cm="1">
        <f t="array" ref="E294">IF(INDEX('Test schedule'!B:B,ROW()+9)="START",E293+1,E293+0)</f>
        <v>5</v>
      </c>
      <c r="F294" s="82" t="str">
        <f>IF(A294&lt;&gt;"",_xlfn.CONCAT(TEXT(A294,"yyyy-mm-dd"),"T",TEXT(A294,"hh:mm:ss"),'Event Info'!$B$5,",",," ",C294),"")</f>
        <v/>
      </c>
      <c r="G294" t="e">
        <f t="shared" si="8"/>
        <v>#VALUE!</v>
      </c>
      <c r="H294" s="92" t="str">
        <f t="shared" si="9"/>
        <v/>
      </c>
      <c r="I294" s="88">
        <v>0</v>
      </c>
    </row>
    <row r="295" spans="1:9" ht="16.899999999999999">
      <c r="A295" s="76" t="str" cm="1">
        <f t="array" ref="A29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Calculators'!$B$2+E295)</f>
        <v/>
      </c>
      <c r="B295" s="76" t="str" cm="1">
        <f t="array" ref="B295">IF(OR(A295=""),"",IF(INDEX('Test schedule'!E:E,ROW()+9)="",IF(A296="",A295+$Q$10,A296),INDEX('Test schedule'!E:E,ROW()+9)+'Date Calculators'!$B$2+E295))</f>
        <v/>
      </c>
      <c r="C295" s="74" t="str" cm="1">
        <f t="array" ref="C295">IF(A295="","",INDEX('Test schedule'!J:J,ROW()+9))</f>
        <v/>
      </c>
      <c r="D295" s="74" t="str">
        <f>IFERROR(IF(A295="","",'Event Info'!$B$2),"")</f>
        <v/>
      </c>
      <c r="E295" cm="1">
        <f t="array" ref="E295">IF(INDEX('Test schedule'!B:B,ROW()+9)="START",E294+1,E294+0)</f>
        <v>5</v>
      </c>
      <c r="F295" s="82" t="str">
        <f>IF(A295&lt;&gt;"",_xlfn.CONCAT(TEXT(A295,"yyyy-mm-dd"),"T",TEXT(A295,"hh:mm:ss"),'Event Info'!$B$5,",",," ",C295),"")</f>
        <v/>
      </c>
      <c r="G295" t="e">
        <f t="shared" si="8"/>
        <v>#VALUE!</v>
      </c>
      <c r="H295" s="92" t="str">
        <f t="shared" si="9"/>
        <v/>
      </c>
      <c r="I295" s="91">
        <v>0</v>
      </c>
    </row>
    <row r="296" spans="1:9">
      <c r="A296" s="76" t="str" cm="1">
        <f t="array" ref="A29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Calculators'!$B$2+E296)</f>
        <v/>
      </c>
      <c r="B296" s="76" t="str" cm="1">
        <f t="array" ref="B296">IF(OR(A296=""),"",IF(INDEX('Test schedule'!E:E,ROW()+9)="",IF(A297="",A296+$Q$10,A297),INDEX('Test schedule'!E:E,ROW()+9)+'Date Calculators'!$B$2+E296))</f>
        <v/>
      </c>
      <c r="C296" s="74" t="str" cm="1">
        <f t="array" ref="C296">IF(A296="","",INDEX('Test schedule'!J:J,ROW()+9))</f>
        <v/>
      </c>
      <c r="D296" s="74" t="str">
        <f>IFERROR(IF(A296="","",'Event Info'!$B$2),"")</f>
        <v/>
      </c>
      <c r="E296" cm="1">
        <f t="array" ref="E296">IF(INDEX('Test schedule'!B:B,ROW()+9)="START",E295+1,E295+0)</f>
        <v>5</v>
      </c>
      <c r="F296" s="82" t="str">
        <f>IF(A296&lt;&gt;"",_xlfn.CONCAT(TEXT(A296,"yyyy-mm-dd"),"T",TEXT(A296,"hh:mm:ss"),'Event Info'!$B$5,",",," ",C296),"")</f>
        <v/>
      </c>
      <c r="G296" t="e">
        <f t="shared" si="8"/>
        <v>#VALUE!</v>
      </c>
      <c r="H296" s="92" t="str">
        <f t="shared" si="9"/>
        <v/>
      </c>
      <c r="I296" s="88">
        <v>0</v>
      </c>
    </row>
    <row r="297" spans="1:9">
      <c r="A297" s="76" t="str" cm="1">
        <f t="array" ref="A29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Calculators'!$B$2+E297)</f>
        <v/>
      </c>
      <c r="B297" s="76" t="str" cm="1">
        <f t="array" ref="B297">IF(OR(A297=""),"",IF(INDEX('Test schedule'!E:E,ROW()+9)="",IF(A298="",A297+$Q$10,A298),INDEX('Test schedule'!E:E,ROW()+9)+'Date Calculators'!$B$2+E297))</f>
        <v/>
      </c>
      <c r="C297" s="74" t="str" cm="1">
        <f t="array" ref="C297">IF(A297="","",INDEX('Test schedule'!J:J,ROW()+9))</f>
        <v/>
      </c>
      <c r="D297" s="74" t="str">
        <f>IFERROR(IF(A297="","",'Event Info'!$B$2),"")</f>
        <v/>
      </c>
      <c r="E297" cm="1">
        <f t="array" ref="E297">IF(INDEX('Test schedule'!B:B,ROW()+9)="START",E296+1,E296+0)</f>
        <v>5</v>
      </c>
      <c r="F297" s="82" t="str">
        <f>IF(A297&lt;&gt;"",_xlfn.CONCAT(TEXT(A297,"yyyy-mm-dd"),"T",TEXT(A297,"hh:mm:ss"),'Event Info'!$B$5,",",," ",C297),"")</f>
        <v/>
      </c>
      <c r="G297" t="e">
        <f t="shared" si="8"/>
        <v>#VALUE!</v>
      </c>
      <c r="H297" s="92" t="str">
        <f t="shared" si="9"/>
        <v/>
      </c>
      <c r="I297" s="88">
        <v>0</v>
      </c>
    </row>
    <row r="298" spans="1:9" ht="16.899999999999999">
      <c r="A298" s="76" t="str" cm="1">
        <f t="array" ref="A29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Calculators'!$B$2+E298)</f>
        <v/>
      </c>
      <c r="B298" s="76" t="str" cm="1">
        <f t="array" ref="B298">IF(OR(A298=""),"",IF(INDEX('Test schedule'!E:E,ROW()+9)="",IF(A299="",A298+$Q$10,A299),INDEX('Test schedule'!E:E,ROW()+9)+'Date Calculators'!$B$2+E298))</f>
        <v/>
      </c>
      <c r="C298" s="74" t="str" cm="1">
        <f t="array" ref="C298">IF(A298="","",INDEX('Test schedule'!J:J,ROW()+9))</f>
        <v/>
      </c>
      <c r="D298" s="74" t="str">
        <f>IFERROR(IF(A298="","",'Event Info'!$B$2),"")</f>
        <v/>
      </c>
      <c r="E298" cm="1">
        <f t="array" ref="E298">IF(INDEX('Test schedule'!B:B,ROW()+9)="START",E297+1,E297+0)</f>
        <v>5</v>
      </c>
      <c r="F298" s="82" t="str">
        <f>IF(A298&lt;&gt;"",_xlfn.CONCAT(TEXT(A298,"yyyy-mm-dd"),"T",TEXT(A298,"hh:mm:ss"),'Event Info'!$B$5,",",," ",C298),"")</f>
        <v/>
      </c>
      <c r="G298" t="e">
        <f t="shared" si="8"/>
        <v>#VALUE!</v>
      </c>
      <c r="H298" s="92" t="str">
        <f t="shared" si="9"/>
        <v/>
      </c>
      <c r="I298" s="91">
        <v>0</v>
      </c>
    </row>
    <row r="299" spans="1:9">
      <c r="A299" s="76" t="str" cm="1">
        <f t="array" ref="A29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Calculators'!$B$2+E299)</f>
        <v/>
      </c>
      <c r="B299" s="76" t="str" cm="1">
        <f t="array" ref="B299">IF(OR(A299=""),"",IF(INDEX('Test schedule'!E:E,ROW()+9)="",IF(A300="",A299+$Q$10,A300),INDEX('Test schedule'!E:E,ROW()+9)+'Date Calculators'!$B$2+E299))</f>
        <v/>
      </c>
      <c r="C299" s="74" t="str" cm="1">
        <f t="array" ref="C299">IF(A299="","",INDEX('Test schedule'!J:J,ROW()+9))</f>
        <v/>
      </c>
      <c r="D299" s="74" t="str">
        <f>IFERROR(IF(A299="","",'Event Info'!$B$2),"")</f>
        <v/>
      </c>
      <c r="E299" cm="1">
        <f t="array" ref="E299">IF(INDEX('Test schedule'!B:B,ROW()+9)="START",E298+1,E298+0)</f>
        <v>5</v>
      </c>
      <c r="F299" s="82" t="str">
        <f>IF(A299&lt;&gt;"",_xlfn.CONCAT(TEXT(A299,"yyyy-mm-dd"),"T",TEXT(A299,"hh:mm:ss"),'Event Info'!$B$5,",",," ",C299),"")</f>
        <v/>
      </c>
      <c r="G299" t="e">
        <f t="shared" si="8"/>
        <v>#VALUE!</v>
      </c>
      <c r="H299" s="92" t="str">
        <f t="shared" si="9"/>
        <v/>
      </c>
      <c r="I299" s="88">
        <v>0</v>
      </c>
    </row>
    <row r="300" spans="1:9">
      <c r="A300" s="76" t="str" cm="1">
        <f t="array" ref="A30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Calculators'!$B$2+E300)</f>
        <v/>
      </c>
      <c r="B300" s="76" t="str" cm="1">
        <f t="array" ref="B300">IF(OR(A300=""),"",IF(INDEX('Test schedule'!E:E,ROW()+9)="",IF(A301="",A300+$Q$10,A301),INDEX('Test schedule'!E:E,ROW()+9)+'Date Calculators'!$B$2+E300))</f>
        <v/>
      </c>
      <c r="C300" s="74" t="str" cm="1">
        <f t="array" ref="C300">IF(A300="","",INDEX('Test schedule'!J:J,ROW()+9))</f>
        <v/>
      </c>
      <c r="D300" s="74" t="str">
        <f>IFERROR(IF(A300="","",'Event Info'!$B$2),"")</f>
        <v/>
      </c>
      <c r="E300" cm="1">
        <f t="array" ref="E300">IF(INDEX('Test schedule'!B:B,ROW()+9)="START",E299+1,E299+0)</f>
        <v>5</v>
      </c>
      <c r="F300" s="82" t="str">
        <f>IF(A300&lt;&gt;"",_xlfn.CONCAT(TEXT(A300,"yyyy-mm-dd"),"T",TEXT(A300,"hh:mm:ss"),'Event Info'!$B$5,",",," ",C300),"")</f>
        <v/>
      </c>
      <c r="G300" t="e">
        <f t="shared" si="8"/>
        <v>#VALUE!</v>
      </c>
      <c r="H300" s="92" t="str">
        <f t="shared" si="9"/>
        <v/>
      </c>
      <c r="I300" s="88">
        <v>0</v>
      </c>
    </row>
    <row r="301" spans="1:9" ht="16.899999999999999">
      <c r="A301" s="76" t="str" cm="1">
        <f t="array" ref="A30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Calculators'!$B$2+E301)</f>
        <v/>
      </c>
      <c r="B301" s="76" t="str" cm="1">
        <f t="array" ref="B301">IF(OR(A301=""),"",IF(INDEX('Test schedule'!E:E,ROW()+9)="",IF(A302="",A301+$Q$10,A302),INDEX('Test schedule'!E:E,ROW()+9)+'Date Calculators'!$B$2+E301))</f>
        <v/>
      </c>
      <c r="C301" s="74" t="str" cm="1">
        <f t="array" ref="C301">IF(A301="","",INDEX('Test schedule'!J:J,ROW()+9))</f>
        <v/>
      </c>
      <c r="D301" s="74" t="str">
        <f>IFERROR(IF(A301="","",'Event Info'!$B$2),"")</f>
        <v/>
      </c>
      <c r="E301" cm="1">
        <f t="array" ref="E301">IF(INDEX('Test schedule'!B:B,ROW()+9)="START",E300+1,E300+0)</f>
        <v>5</v>
      </c>
      <c r="F301" s="82" t="str">
        <f>IF(A301&lt;&gt;"",_xlfn.CONCAT(TEXT(A301,"yyyy-mm-dd"),"T",TEXT(A301,"hh:mm:ss"),'Event Info'!$B$5,",",," ",C301),"")</f>
        <v/>
      </c>
      <c r="G301" t="e">
        <f t="shared" si="8"/>
        <v>#VALUE!</v>
      </c>
      <c r="H301" s="92" t="str">
        <f t="shared" si="9"/>
        <v/>
      </c>
      <c r="I301" s="91">
        <v>0</v>
      </c>
    </row>
    <row r="302" spans="1:9">
      <c r="A302" s="76" t="str" cm="1">
        <f t="array" ref="A30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Calculators'!$B$2+E302)</f>
        <v/>
      </c>
      <c r="B302" s="76" t="str" cm="1">
        <f t="array" ref="B302">IF(OR(A302=""),"",IF(INDEX('Test schedule'!E:E,ROW()+9)="",IF(A303="",A302+$Q$10,A303),INDEX('Test schedule'!E:E,ROW()+9)+'Date Calculators'!$B$2+E302))</f>
        <v/>
      </c>
      <c r="C302" s="74" t="str" cm="1">
        <f t="array" ref="C302">IF(A302="","",INDEX('Test schedule'!J:J,ROW()+9))</f>
        <v/>
      </c>
      <c r="D302" s="74" t="str">
        <f>IFERROR(IF(A302="","",'Event Info'!$B$2),"")</f>
        <v/>
      </c>
      <c r="E302" cm="1">
        <f t="array" ref="E302">IF(INDEX('Test schedule'!B:B,ROW()+9)="START",E301+1,E301+0)</f>
        <v>5</v>
      </c>
      <c r="F302" s="82" t="str">
        <f>IF(A302&lt;&gt;"",_xlfn.CONCAT(TEXT(A302,"yyyy-mm-dd"),"T",TEXT(A302,"hh:mm:ss"),'Event Info'!$B$5,",",," ",C302),"")</f>
        <v/>
      </c>
      <c r="G302" t="e">
        <f t="shared" si="8"/>
        <v>#VALUE!</v>
      </c>
      <c r="H302" s="92" t="str">
        <f t="shared" si="9"/>
        <v/>
      </c>
      <c r="I302" s="88">
        <v>0</v>
      </c>
    </row>
    <row r="303" spans="1:9">
      <c r="A303" s="76" t="str" cm="1">
        <f t="array" ref="A30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Calculators'!$B$2+E303)</f>
        <v/>
      </c>
      <c r="B303" s="76" t="str" cm="1">
        <f t="array" ref="B303">IF(OR(A303=""),"",IF(INDEX('Test schedule'!E:E,ROW()+9)="",IF(A304="",A303+$Q$10,A304),INDEX('Test schedule'!E:E,ROW()+9)+'Date Calculators'!$B$2+E303))</f>
        <v/>
      </c>
      <c r="C303" s="74" t="str" cm="1">
        <f t="array" ref="C303">IF(A303="","",INDEX('Test schedule'!J:J,ROW()+9))</f>
        <v/>
      </c>
      <c r="D303" s="74" t="str">
        <f>IFERROR(IF(A303="","",'Event Info'!$B$2),"")</f>
        <v/>
      </c>
      <c r="E303" cm="1">
        <f t="array" ref="E303">IF(INDEX('Test schedule'!B:B,ROW()+9)="START",E302+1,E302+0)</f>
        <v>5</v>
      </c>
      <c r="F303" s="82" t="str">
        <f>IF(A303&lt;&gt;"",_xlfn.CONCAT(TEXT(A303,"yyyy-mm-dd"),"T",TEXT(A303,"hh:mm:ss"),'Event Info'!$B$5,",",," ",C303),"")</f>
        <v/>
      </c>
      <c r="G303" t="e">
        <f t="shared" si="8"/>
        <v>#VALUE!</v>
      </c>
      <c r="H303" s="92" t="str">
        <f t="shared" si="9"/>
        <v/>
      </c>
      <c r="I303" s="88">
        <v>0</v>
      </c>
    </row>
    <row r="304" spans="1:9" ht="16.899999999999999">
      <c r="A304" s="76" t="str" cm="1">
        <f t="array" ref="A30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Calculators'!$B$2+E304)</f>
        <v/>
      </c>
      <c r="B304" s="76" t="str" cm="1">
        <f t="array" ref="B304">IF(OR(A304=""),"",IF(INDEX('Test schedule'!E:E,ROW()+9)="",IF(A305="",A304+$Q$10,A305),INDEX('Test schedule'!E:E,ROW()+9)+'Date Calculators'!$B$2+E304))</f>
        <v/>
      </c>
      <c r="C304" s="74" t="str" cm="1">
        <f t="array" ref="C304">IF(A304="","",INDEX('Test schedule'!J:J,ROW()+9))</f>
        <v/>
      </c>
      <c r="D304" s="74" t="str">
        <f>IFERROR(IF(A304="","",'Event Info'!$B$2),"")</f>
        <v/>
      </c>
      <c r="E304" cm="1">
        <f t="array" ref="E304">IF(INDEX('Test schedule'!B:B,ROW()+9)="START",E303+1,E303+0)</f>
        <v>5</v>
      </c>
      <c r="F304" s="82" t="str">
        <f>IF(A304&lt;&gt;"",_xlfn.CONCAT(TEXT(A304,"yyyy-mm-dd"),"T",TEXT(A304,"hh:mm:ss"),'Event Info'!$B$5,",",," ",C304),"")</f>
        <v/>
      </c>
      <c r="G304" t="e">
        <f t="shared" si="8"/>
        <v>#VALUE!</v>
      </c>
      <c r="H304" s="92" t="str">
        <f t="shared" si="9"/>
        <v/>
      </c>
      <c r="I304" s="91">
        <v>0</v>
      </c>
    </row>
    <row r="305" spans="1:9">
      <c r="A305" s="76" t="str" cm="1">
        <f t="array" ref="A30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Calculators'!$B$2+E305)</f>
        <v/>
      </c>
      <c r="B305" s="76" t="str" cm="1">
        <f t="array" ref="B305">IF(OR(A305=""),"",IF(INDEX('Test schedule'!E:E,ROW()+9)="",IF(A306="",A305+$Q$10,A306),INDEX('Test schedule'!E:E,ROW()+9)+'Date Calculators'!$B$2+E305))</f>
        <v/>
      </c>
      <c r="C305" s="74" t="str" cm="1">
        <f t="array" ref="C305">IF(A305="","",INDEX('Test schedule'!J:J,ROW()+9))</f>
        <v/>
      </c>
      <c r="D305" s="74" t="str">
        <f>IFERROR(IF(A305="","",'Event Info'!$B$2),"")</f>
        <v/>
      </c>
      <c r="E305" cm="1">
        <f t="array" ref="E305">IF(INDEX('Test schedule'!B:B,ROW()+9)="START",E304+1,E304+0)</f>
        <v>5</v>
      </c>
      <c r="F305" s="82" t="str">
        <f>IF(A305&lt;&gt;"",_xlfn.CONCAT(TEXT(A305,"yyyy-mm-dd"),"T",TEXT(A305,"hh:mm:ss"),'Event Info'!$B$5,",",," ",C305),"")</f>
        <v/>
      </c>
      <c r="G305" t="e">
        <f t="shared" si="8"/>
        <v>#VALUE!</v>
      </c>
      <c r="H305" s="92" t="str">
        <f t="shared" si="9"/>
        <v/>
      </c>
      <c r="I305" s="88">
        <v>0</v>
      </c>
    </row>
    <row r="306" spans="1:9">
      <c r="A306" s="76" t="str" cm="1">
        <f t="array" ref="A30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Calculators'!$B$2+E306)</f>
        <v/>
      </c>
      <c r="B306" s="76" t="str" cm="1">
        <f t="array" ref="B306">IF(OR(A306=""),"",IF(INDEX('Test schedule'!E:E,ROW()+9)="",IF(A307="",A306+$Q$10,A307),INDEX('Test schedule'!E:E,ROW()+9)+'Date Calculators'!$B$2+E306))</f>
        <v/>
      </c>
      <c r="C306" s="74" t="str" cm="1">
        <f t="array" ref="C306">IF(A306="","",INDEX('Test schedule'!J:J,ROW()+9))</f>
        <v/>
      </c>
      <c r="D306" s="74" t="str">
        <f>IFERROR(IF(A306="","",'Event Info'!$B$2),"")</f>
        <v/>
      </c>
      <c r="E306" cm="1">
        <f t="array" ref="E306">IF(INDEX('Test schedule'!B:B,ROW()+9)="START",E305+1,E305+0)</f>
        <v>5</v>
      </c>
      <c r="F306" s="82" t="str">
        <f>IF(A306&lt;&gt;"",_xlfn.CONCAT(TEXT(A306,"yyyy-mm-dd"),"T",TEXT(A306,"hh:mm:ss"),'Event Info'!$B$5,",",," ",C306),"")</f>
        <v/>
      </c>
      <c r="G306" t="e">
        <f t="shared" si="8"/>
        <v>#VALUE!</v>
      </c>
      <c r="H306" s="92" t="str">
        <f t="shared" si="9"/>
        <v/>
      </c>
      <c r="I306" s="88">
        <v>0</v>
      </c>
    </row>
    <row r="307" spans="1:9" ht="16.899999999999999">
      <c r="A307" s="76" t="str" cm="1">
        <f t="array" ref="A30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Calculators'!$B$2+E307)</f>
        <v/>
      </c>
      <c r="B307" s="76" t="str" cm="1">
        <f t="array" ref="B307">IF(OR(A307=""),"",IF(INDEX('Test schedule'!E:E,ROW()+9)="",IF(A308="",A307+$Q$10,A308),INDEX('Test schedule'!E:E,ROW()+9)+'Date Calculators'!$B$2+E307))</f>
        <v/>
      </c>
      <c r="C307" s="74" t="str" cm="1">
        <f t="array" ref="C307">IF(A307="","",INDEX('Test schedule'!J:J,ROW()+9))</f>
        <v/>
      </c>
      <c r="D307" s="74" t="str">
        <f>IFERROR(IF(A307="","",'Event Info'!$B$2),"")</f>
        <v/>
      </c>
      <c r="E307" cm="1">
        <f t="array" ref="E307">IF(INDEX('Test schedule'!B:B,ROW()+9)="START",E306+1,E306+0)</f>
        <v>5</v>
      </c>
      <c r="F307" s="82" t="str">
        <f>IF(A307&lt;&gt;"",_xlfn.CONCAT(TEXT(A307,"yyyy-mm-dd"),"T",TEXT(A307,"hh:mm:ss"),'Event Info'!$B$5,",",," ",C307),"")</f>
        <v/>
      </c>
      <c r="G307" t="e">
        <f t="shared" si="8"/>
        <v>#VALUE!</v>
      </c>
      <c r="H307" s="92" t="str">
        <f t="shared" si="9"/>
        <v/>
      </c>
      <c r="I307" s="91">
        <v>0</v>
      </c>
    </row>
    <row r="308" spans="1:9">
      <c r="A308" s="76" t="str" cm="1">
        <f t="array" ref="A30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Calculators'!$B$2+E308)</f>
        <v/>
      </c>
      <c r="B308" s="76" t="str" cm="1">
        <f t="array" ref="B308">IF(OR(A308=""),"",IF(INDEX('Test schedule'!E:E,ROW()+9)="",IF(A309="",A308+$Q$10,A309),INDEX('Test schedule'!E:E,ROW()+9)+'Date Calculators'!$B$2+E308))</f>
        <v/>
      </c>
      <c r="C308" s="74" t="str" cm="1">
        <f t="array" ref="C308">IF(A308="","",INDEX('Test schedule'!J:J,ROW()+9))</f>
        <v/>
      </c>
      <c r="D308" s="74" t="str">
        <f>IFERROR(IF(A308="","",'Event Info'!$B$2),"")</f>
        <v/>
      </c>
      <c r="E308" cm="1">
        <f t="array" ref="E308">IF(INDEX('Test schedule'!B:B,ROW()+9)="START",E307+1,E307+0)</f>
        <v>5</v>
      </c>
      <c r="F308" s="82" t="str">
        <f>IF(A308&lt;&gt;"",_xlfn.CONCAT(TEXT(A308,"yyyy-mm-dd"),"T",TEXT(A308,"hh:mm:ss"),'Event Info'!$B$5,",",," ",C308),"")</f>
        <v/>
      </c>
      <c r="G308" t="e">
        <f t="shared" si="8"/>
        <v>#VALUE!</v>
      </c>
      <c r="H308" s="92" t="str">
        <f t="shared" si="9"/>
        <v/>
      </c>
      <c r="I308" s="88">
        <v>0</v>
      </c>
    </row>
    <row r="309" spans="1:9">
      <c r="A309" s="76" t="str" cm="1">
        <f t="array" ref="A30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Calculators'!$B$2+E309)</f>
        <v/>
      </c>
      <c r="B309" s="76" t="str" cm="1">
        <f t="array" ref="B309">IF(OR(A309=""),"",IF(INDEX('Test schedule'!E:E,ROW()+9)="",IF(A310="",A309+$Q$10,A310),INDEX('Test schedule'!E:E,ROW()+9)+'Date Calculators'!$B$2+E309))</f>
        <v/>
      </c>
      <c r="C309" s="74" t="str" cm="1">
        <f t="array" ref="C309">IF(A309="","",INDEX('Test schedule'!J:J,ROW()+9))</f>
        <v/>
      </c>
      <c r="D309" s="74" t="str">
        <f>IFERROR(IF(A309="","",'Event Info'!$B$2),"")</f>
        <v/>
      </c>
      <c r="E309" cm="1">
        <f t="array" ref="E309">IF(INDEX('Test schedule'!B:B,ROW()+9)="START",E308+1,E308+0)</f>
        <v>5</v>
      </c>
      <c r="F309" s="82" t="str">
        <f>IF(A309&lt;&gt;"",_xlfn.CONCAT(TEXT(A309,"yyyy-mm-dd"),"T",TEXT(A309,"hh:mm:ss"),'Event Info'!$B$5,",",," ",C309),"")</f>
        <v/>
      </c>
      <c r="G309" t="e">
        <f t="shared" si="8"/>
        <v>#VALUE!</v>
      </c>
      <c r="H309" s="92" t="str">
        <f t="shared" si="9"/>
        <v/>
      </c>
      <c r="I309" s="88">
        <v>0</v>
      </c>
    </row>
    <row r="310" spans="1:9" ht="16.899999999999999">
      <c r="A310" s="76" t="str" cm="1">
        <f t="array" ref="A31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Calculators'!$B$2+E310)</f>
        <v/>
      </c>
      <c r="B310" s="76" t="str" cm="1">
        <f t="array" ref="B310">IF(OR(A310=""),"",IF(INDEX('Test schedule'!E:E,ROW()+9)="",IF(A311="",A310+$Q$10,A311),INDEX('Test schedule'!E:E,ROW()+9)+'Date Calculators'!$B$2+E310))</f>
        <v/>
      </c>
      <c r="C310" s="74" t="str" cm="1">
        <f t="array" ref="C310">IF(A310="","",INDEX('Test schedule'!J:J,ROW()+9))</f>
        <v/>
      </c>
      <c r="D310" s="74" t="str">
        <f>IFERROR(IF(A310="","",'Event Info'!$B$2),"")</f>
        <v/>
      </c>
      <c r="E310" cm="1">
        <f t="array" ref="E310">IF(INDEX('Test schedule'!B:B,ROW()+9)="START",E309+1,E309+0)</f>
        <v>5</v>
      </c>
      <c r="F310" s="82" t="str">
        <f>IF(A310&lt;&gt;"",_xlfn.CONCAT(TEXT(A310,"yyyy-mm-dd"),"T",TEXT(A310,"hh:mm:ss"),'Event Info'!$B$5,",",," ",C310),"")</f>
        <v/>
      </c>
      <c r="G310" t="e">
        <f t="shared" si="8"/>
        <v>#VALUE!</v>
      </c>
      <c r="H310" s="92" t="str">
        <f t="shared" si="9"/>
        <v/>
      </c>
      <c r="I310" s="91">
        <v>0</v>
      </c>
    </row>
    <row r="311" spans="1:9">
      <c r="A311" s="76" t="str" cm="1">
        <f t="array" ref="A31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Calculators'!$B$2+E311)</f>
        <v/>
      </c>
      <c r="B311" s="76" t="str" cm="1">
        <f t="array" ref="B311">IF(OR(A311=""),"",IF(INDEX('Test schedule'!E:E,ROW()+9)="",IF(A312="",A311+$Q$10,A312),INDEX('Test schedule'!E:E,ROW()+9)+'Date Calculators'!$B$2+E311))</f>
        <v/>
      </c>
      <c r="C311" s="74" t="str" cm="1">
        <f t="array" ref="C311">IF(A311="","",INDEX('Test schedule'!J:J,ROW()+9))</f>
        <v/>
      </c>
      <c r="D311" s="74" t="str">
        <f>IFERROR(IF(A311="","",'Event Info'!$B$2),"")</f>
        <v/>
      </c>
      <c r="E311" cm="1">
        <f t="array" ref="E311">IF(INDEX('Test schedule'!B:B,ROW()+9)="START",E310+1,E310+0)</f>
        <v>5</v>
      </c>
      <c r="F311" s="82" t="str">
        <f>IF(A311&lt;&gt;"",_xlfn.CONCAT(TEXT(A311,"yyyy-mm-dd"),"T",TEXT(A311,"hh:mm:ss"),'Event Info'!$B$5,",",," ",C311),"")</f>
        <v/>
      </c>
      <c r="G311" t="e">
        <f t="shared" si="8"/>
        <v>#VALUE!</v>
      </c>
      <c r="H311" s="92" t="str">
        <f t="shared" si="9"/>
        <v/>
      </c>
      <c r="I311" s="88">
        <v>0</v>
      </c>
    </row>
    <row r="312" spans="1:9">
      <c r="A312" s="76" t="str" cm="1">
        <f t="array" ref="A31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Calculators'!$B$2+E312)</f>
        <v/>
      </c>
      <c r="B312" s="76" t="str" cm="1">
        <f t="array" ref="B312">IF(OR(A312=""),"",IF(INDEX('Test schedule'!E:E,ROW()+9)="",IF(A313="",A312+$Q$10,A313),INDEX('Test schedule'!E:E,ROW()+9)+'Date Calculators'!$B$2+E312))</f>
        <v/>
      </c>
      <c r="C312" s="74" t="str" cm="1">
        <f t="array" ref="C312">IF(A312="","",INDEX('Test schedule'!J:J,ROW()+9))</f>
        <v/>
      </c>
      <c r="D312" s="74" t="str">
        <f>IFERROR(IF(A312="","",'Event Info'!$B$2),"")</f>
        <v/>
      </c>
      <c r="E312" cm="1">
        <f t="array" ref="E312">IF(INDEX('Test schedule'!B:B,ROW()+9)="START",E311+1,E311+0)</f>
        <v>5</v>
      </c>
      <c r="F312" s="82" t="str">
        <f>IF(A312&lt;&gt;"",_xlfn.CONCAT(TEXT(A312,"yyyy-mm-dd"),"T",TEXT(A312,"hh:mm:ss"),'Event Info'!$B$5,",",," ",C312),"")</f>
        <v/>
      </c>
      <c r="G312" t="e">
        <f t="shared" si="8"/>
        <v>#VALUE!</v>
      </c>
      <c r="H312" s="92" t="str">
        <f t="shared" si="9"/>
        <v/>
      </c>
      <c r="I312" s="88">
        <v>0</v>
      </c>
    </row>
    <row r="313" spans="1:9" ht="16.899999999999999">
      <c r="A313" s="76" t="str" cm="1">
        <f t="array" ref="A31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Calculators'!$B$2+E313)</f>
        <v/>
      </c>
      <c r="B313" s="76" t="str" cm="1">
        <f t="array" ref="B313">IF(OR(A313=""),"",IF(INDEX('Test schedule'!E:E,ROW()+9)="",IF(A314="",A313+$Q$10,A314),INDEX('Test schedule'!E:E,ROW()+9)+'Date Calculators'!$B$2+E313))</f>
        <v/>
      </c>
      <c r="C313" s="74" t="str" cm="1">
        <f t="array" ref="C313">IF(A313="","",INDEX('Test schedule'!J:J,ROW()+9))</f>
        <v/>
      </c>
      <c r="D313" s="74" t="str">
        <f>IFERROR(IF(A313="","",'Event Info'!$B$2),"")</f>
        <v/>
      </c>
      <c r="E313" cm="1">
        <f t="array" ref="E313">IF(INDEX('Test schedule'!B:B,ROW()+9)="START",E312+1,E312+0)</f>
        <v>5</v>
      </c>
      <c r="F313" s="82" t="str">
        <f>IF(A313&lt;&gt;"",_xlfn.CONCAT(TEXT(A313,"yyyy-mm-dd"),"T",TEXT(A313,"hh:mm:ss"),'Event Info'!$B$5,",",," ",C313),"")</f>
        <v/>
      </c>
      <c r="G313" t="e">
        <f t="shared" si="8"/>
        <v>#VALUE!</v>
      </c>
      <c r="H313" s="92" t="str">
        <f t="shared" si="9"/>
        <v/>
      </c>
      <c r="I313" s="91">
        <v>0</v>
      </c>
    </row>
    <row r="314" spans="1:9">
      <c r="A314" s="76" t="str" cm="1">
        <f t="array" ref="A31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Calculators'!$B$2+E314)</f>
        <v/>
      </c>
      <c r="B314" s="76" t="str" cm="1">
        <f t="array" ref="B314">IF(OR(A314=""),"",IF(INDEX('Test schedule'!E:E,ROW()+9)="",IF(A315="",A314+$Q$10,A315),INDEX('Test schedule'!E:E,ROW()+9)+'Date Calculators'!$B$2+E314))</f>
        <v/>
      </c>
      <c r="C314" s="74" t="str" cm="1">
        <f t="array" ref="C314">IF(A314="","",INDEX('Test schedule'!J:J,ROW()+9))</f>
        <v/>
      </c>
      <c r="D314" s="74" t="str">
        <f>IFERROR(IF(A314="","",'Event Info'!$B$2),"")</f>
        <v/>
      </c>
      <c r="E314" cm="1">
        <f t="array" ref="E314">IF(INDEX('Test schedule'!B:B,ROW()+9)="START",E313+1,E313+0)</f>
        <v>5</v>
      </c>
      <c r="F314" s="82" t="str">
        <f>IF(A314&lt;&gt;"",_xlfn.CONCAT(TEXT(A314,"yyyy-mm-dd"),"T",TEXT(A314,"hh:mm:ss"),'Event Info'!$B$5,",",," ",C314),"")</f>
        <v/>
      </c>
      <c r="G314" t="e">
        <f t="shared" si="8"/>
        <v>#VALUE!</v>
      </c>
      <c r="H314" s="92" t="str">
        <f t="shared" si="9"/>
        <v/>
      </c>
      <c r="I314" s="88">
        <v>0</v>
      </c>
    </row>
    <row r="315" spans="1:9">
      <c r="A315" s="76" t="str" cm="1">
        <f t="array" ref="A31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Calculators'!$B$2+E315)</f>
        <v/>
      </c>
      <c r="B315" s="76" t="str" cm="1">
        <f t="array" ref="B315">IF(OR(A315=""),"",IF(INDEX('Test schedule'!E:E,ROW()+9)="",IF(A316="",A315+$Q$10,A316),INDEX('Test schedule'!E:E,ROW()+9)+'Date Calculators'!$B$2+E315))</f>
        <v/>
      </c>
      <c r="C315" s="74" t="str" cm="1">
        <f t="array" ref="C315">IF(A315="","",INDEX('Test schedule'!J:J,ROW()+9))</f>
        <v/>
      </c>
      <c r="D315" s="74" t="str">
        <f>IFERROR(IF(A315="","",'Event Info'!$B$2),"")</f>
        <v/>
      </c>
      <c r="E315" cm="1">
        <f t="array" ref="E315">IF(INDEX('Test schedule'!B:B,ROW()+9)="START",E314+1,E314+0)</f>
        <v>5</v>
      </c>
      <c r="F315" s="82" t="str">
        <f>IF(A315&lt;&gt;"",_xlfn.CONCAT(TEXT(A315,"yyyy-mm-dd"),"T",TEXT(A315,"hh:mm:ss"),'Event Info'!$B$5,",",," ",C315),"")</f>
        <v/>
      </c>
      <c r="G315" t="e">
        <f t="shared" si="8"/>
        <v>#VALUE!</v>
      </c>
      <c r="H315" s="92" t="str">
        <f t="shared" si="9"/>
        <v/>
      </c>
      <c r="I315" s="88">
        <v>0</v>
      </c>
    </row>
    <row r="316" spans="1:9" ht="16.899999999999999">
      <c r="A316" s="76" t="str" cm="1">
        <f t="array" ref="A31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Calculators'!$B$2+E316)</f>
        <v/>
      </c>
      <c r="B316" s="76" t="str" cm="1">
        <f t="array" ref="B316">IF(OR(A316=""),"",IF(INDEX('Test schedule'!E:E,ROW()+9)="",IF(A317="",A316+$Q$10,A317),INDEX('Test schedule'!E:E,ROW()+9)+'Date Calculators'!$B$2+E316))</f>
        <v/>
      </c>
      <c r="C316" s="74" t="str" cm="1">
        <f t="array" ref="C316">IF(A316="","",INDEX('Test schedule'!J:J,ROW()+9))</f>
        <v/>
      </c>
      <c r="D316" s="74" t="str">
        <f>IFERROR(IF(A316="","",'Event Info'!$B$2),"")</f>
        <v/>
      </c>
      <c r="E316" cm="1">
        <f t="array" ref="E316">IF(INDEX('Test schedule'!B:B,ROW()+9)="START",E315+1,E315+0)</f>
        <v>5</v>
      </c>
      <c r="F316" s="82" t="str">
        <f>IF(A316&lt;&gt;"",_xlfn.CONCAT(TEXT(A316,"yyyy-mm-dd"),"T",TEXT(A316,"hh:mm:ss"),'Event Info'!$B$5,",",," ",C316),"")</f>
        <v/>
      </c>
      <c r="G316" t="e">
        <f t="shared" si="8"/>
        <v>#VALUE!</v>
      </c>
      <c r="H316" s="92" t="str">
        <f t="shared" si="9"/>
        <v/>
      </c>
      <c r="I316" s="91">
        <v>0</v>
      </c>
    </row>
    <row r="317" spans="1:9">
      <c r="A317" s="76" t="str" cm="1">
        <f t="array" ref="A31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Calculators'!$B$2+E317)</f>
        <v/>
      </c>
      <c r="B317" s="76" t="str" cm="1">
        <f t="array" ref="B317">IF(OR(A317=""),"",IF(INDEX('Test schedule'!E:E,ROW()+9)="",IF(A318="",A317+$Q$10,A318),INDEX('Test schedule'!E:E,ROW()+9)+'Date Calculators'!$B$2+E317))</f>
        <v/>
      </c>
      <c r="C317" s="74" t="str" cm="1">
        <f t="array" ref="C317">IF(A317="","",INDEX('Test schedule'!J:J,ROW()+9))</f>
        <v/>
      </c>
      <c r="D317" s="74" t="str">
        <f>IFERROR(IF(A317="","",'Event Info'!$B$2),"")</f>
        <v/>
      </c>
      <c r="E317" cm="1">
        <f t="array" ref="E317">IF(INDEX('Test schedule'!B:B,ROW()+9)="START",E316+1,E316+0)</f>
        <v>5</v>
      </c>
      <c r="F317" s="82" t="str">
        <f>IF(A317&lt;&gt;"",_xlfn.CONCAT(TEXT(A317,"yyyy-mm-dd"),"T",TEXT(A317,"hh:mm:ss"),'Event Info'!$B$5,",",," ",C317),"")</f>
        <v/>
      </c>
      <c r="G317" t="e">
        <f t="shared" si="8"/>
        <v>#VALUE!</v>
      </c>
      <c r="H317" s="92" t="str">
        <f t="shared" si="9"/>
        <v/>
      </c>
      <c r="I317" s="88">
        <v>0</v>
      </c>
    </row>
    <row r="318" spans="1:9">
      <c r="A318" s="76" t="str" cm="1">
        <f t="array" ref="A31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Calculators'!$B$2+E318)</f>
        <v/>
      </c>
      <c r="B318" s="76" t="str" cm="1">
        <f t="array" ref="B318">IF(OR(A318=""),"",IF(INDEX('Test schedule'!E:E,ROW()+9)="",IF(A319="",A318+$Q$10,A319),INDEX('Test schedule'!E:E,ROW()+9)+'Date Calculators'!$B$2+E318))</f>
        <v/>
      </c>
      <c r="C318" s="74" t="str" cm="1">
        <f t="array" ref="C318">IF(A318="","",INDEX('Test schedule'!J:J,ROW()+9))</f>
        <v/>
      </c>
      <c r="D318" s="74" t="str">
        <f>IFERROR(IF(A318="","",'Event Info'!$B$2),"")</f>
        <v/>
      </c>
      <c r="E318" cm="1">
        <f t="array" ref="E318">IF(INDEX('Test schedule'!B:B,ROW()+9)="START",E317+1,E317+0)</f>
        <v>5</v>
      </c>
      <c r="F318" s="82" t="str">
        <f>IF(A318&lt;&gt;"",_xlfn.CONCAT(TEXT(A318,"yyyy-mm-dd"),"T",TEXT(A318,"hh:mm:ss"),'Event Info'!$B$5,",",," ",C318),"")</f>
        <v/>
      </c>
      <c r="G318" t="e">
        <f t="shared" si="8"/>
        <v>#VALUE!</v>
      </c>
      <c r="H318" s="92" t="str">
        <f t="shared" si="9"/>
        <v/>
      </c>
      <c r="I318" s="88">
        <v>0</v>
      </c>
    </row>
    <row r="319" spans="1:9" ht="16.899999999999999">
      <c r="A319" s="76" t="str" cm="1">
        <f t="array" ref="A31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Calculators'!$B$2+E319)</f>
        <v/>
      </c>
      <c r="B319" s="76" t="str" cm="1">
        <f t="array" ref="B319">IF(OR(A319=""),"",IF(INDEX('Test schedule'!E:E,ROW()+9)="",IF(A320="",A319+$Q$10,A320),INDEX('Test schedule'!E:E,ROW()+9)+'Date Calculators'!$B$2+E319))</f>
        <v/>
      </c>
      <c r="C319" s="74" t="str" cm="1">
        <f t="array" ref="C319">IF(A319="","",INDEX('Test schedule'!J:J,ROW()+9))</f>
        <v/>
      </c>
      <c r="D319" s="74" t="str">
        <f>IFERROR(IF(A319="","",'Event Info'!$B$2),"")</f>
        <v/>
      </c>
      <c r="E319" cm="1">
        <f t="array" ref="E319">IF(INDEX('Test schedule'!B:B,ROW()+9)="START",E318+1,E318+0)</f>
        <v>5</v>
      </c>
      <c r="F319" s="82" t="str">
        <f>IF(A319&lt;&gt;"",_xlfn.CONCAT(TEXT(A319,"yyyy-mm-dd"),"T",TEXT(A319,"hh:mm:ss"),'Event Info'!$B$5,",",," ",C319),"")</f>
        <v/>
      </c>
      <c r="G319" t="e">
        <f t="shared" si="8"/>
        <v>#VALUE!</v>
      </c>
      <c r="H319" s="92" t="str">
        <f t="shared" si="9"/>
        <v/>
      </c>
      <c r="I319" s="91">
        <v>0</v>
      </c>
    </row>
    <row r="320" spans="1:9">
      <c r="A320" s="76" t="str" cm="1">
        <f t="array" ref="A32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Calculators'!$B$2+E320)</f>
        <v/>
      </c>
      <c r="B320" s="76" t="str" cm="1">
        <f t="array" ref="B320">IF(OR(A320=""),"",IF(INDEX('Test schedule'!E:E,ROW()+9)="",IF(A321="",A320+$Q$10,A321),INDEX('Test schedule'!E:E,ROW()+9)+'Date Calculators'!$B$2+E320))</f>
        <v/>
      </c>
      <c r="C320" s="74" t="str" cm="1">
        <f t="array" ref="C320">IF(A320="","",INDEX('Test schedule'!J:J,ROW()+9))</f>
        <v/>
      </c>
      <c r="D320" s="74" t="str">
        <f>IFERROR(IF(A320="","",'Event Info'!$B$2),"")</f>
        <v/>
      </c>
      <c r="E320" cm="1">
        <f t="array" ref="E320">IF(INDEX('Test schedule'!B:B,ROW()+9)="START",E319+1,E319+0)</f>
        <v>5</v>
      </c>
      <c r="F320" s="82" t="str">
        <f>IF(A320&lt;&gt;"",_xlfn.CONCAT(TEXT(A320,"yyyy-mm-dd"),"T",TEXT(A320,"hh:mm:ss"),'Event Info'!$B$5,",",," ",C320),"")</f>
        <v/>
      </c>
      <c r="G320" t="e">
        <f t="shared" si="8"/>
        <v>#VALUE!</v>
      </c>
      <c r="H320" s="92" t="str">
        <f t="shared" si="9"/>
        <v/>
      </c>
      <c r="I320" s="88">
        <v>0</v>
      </c>
    </row>
    <row r="321" spans="1:9">
      <c r="A321" s="76" t="str" cm="1">
        <f t="array" ref="A32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Calculators'!$B$2+E321)</f>
        <v/>
      </c>
      <c r="B321" s="76" t="str" cm="1">
        <f t="array" ref="B321">IF(OR(A321=""),"",IF(INDEX('Test schedule'!E:E,ROW()+9)="",IF(A322="",A321+$Q$10,A322),INDEX('Test schedule'!E:E,ROW()+9)+'Date Calculators'!$B$2+E321))</f>
        <v/>
      </c>
      <c r="C321" s="74" t="str" cm="1">
        <f t="array" ref="C321">IF(A321="","",INDEX('Test schedule'!J:J,ROW()+9))</f>
        <v/>
      </c>
      <c r="D321" s="74" t="str">
        <f>IFERROR(IF(A321="","",'Event Info'!$B$2),"")</f>
        <v/>
      </c>
      <c r="E321" cm="1">
        <f t="array" ref="E321">IF(INDEX('Test schedule'!B:B,ROW()+9)="START",E320+1,E320+0)</f>
        <v>5</v>
      </c>
      <c r="F321" s="82" t="str">
        <f>IF(A321&lt;&gt;"",_xlfn.CONCAT(TEXT(A321,"yyyy-mm-dd"),"T",TEXT(A321,"hh:mm:ss"),'Event Info'!$B$5,",",," ",C321),"")</f>
        <v/>
      </c>
      <c r="G321" t="e">
        <f t="shared" si="8"/>
        <v>#VALUE!</v>
      </c>
      <c r="H321" s="92" t="str">
        <f t="shared" si="9"/>
        <v/>
      </c>
      <c r="I321" s="88">
        <v>0</v>
      </c>
    </row>
    <row r="322" spans="1:9" ht="16.899999999999999">
      <c r="A322" s="76" t="str" cm="1">
        <f t="array" ref="A32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Calculators'!$B$2+E322)</f>
        <v/>
      </c>
      <c r="B322" s="76" t="str" cm="1">
        <f t="array" ref="B322">IF(OR(A322=""),"",IF(INDEX('Test schedule'!E:E,ROW()+9)="",IF(A323="",A322+$Q$10,A323),INDEX('Test schedule'!E:E,ROW()+9)+'Date Calculators'!$B$2+E322))</f>
        <v/>
      </c>
      <c r="C322" s="74" t="str" cm="1">
        <f t="array" ref="C322">IF(A322="","",INDEX('Test schedule'!J:J,ROW()+9))</f>
        <v/>
      </c>
      <c r="D322" s="74" t="str">
        <f>IFERROR(IF(A322="","",'Event Info'!$B$2),"")</f>
        <v/>
      </c>
      <c r="E322" cm="1">
        <f t="array" ref="E322">IF(INDEX('Test schedule'!B:B,ROW()+9)="START",E321+1,E321+0)</f>
        <v>5</v>
      </c>
      <c r="F322" s="82" t="str">
        <f>IF(A322&lt;&gt;"",_xlfn.CONCAT(TEXT(A322,"yyyy-mm-dd"),"T",TEXT(A322,"hh:mm:ss"),'Event Info'!$B$5,",",," ",C322),"")</f>
        <v/>
      </c>
      <c r="G322" t="e">
        <f t="shared" si="8"/>
        <v>#VALUE!</v>
      </c>
      <c r="H322" s="92" t="str">
        <f t="shared" si="9"/>
        <v/>
      </c>
      <c r="I322" s="91">
        <v>0</v>
      </c>
    </row>
    <row r="323" spans="1:9">
      <c r="A323" s="76" t="str" cm="1">
        <f t="array" ref="A32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Calculators'!$B$2+E323)</f>
        <v/>
      </c>
      <c r="B323" s="76" t="str" cm="1">
        <f t="array" ref="B323">IF(OR(A323=""),"",IF(INDEX('Test schedule'!E:E,ROW()+9)="",IF(A324="",A323+$Q$10,A324),INDEX('Test schedule'!E:E,ROW()+9)+'Date Calculators'!$B$2+E323))</f>
        <v/>
      </c>
      <c r="C323" s="74" t="str" cm="1">
        <f t="array" ref="C323">IF(A323="","",INDEX('Test schedule'!J:J,ROW()+9))</f>
        <v/>
      </c>
      <c r="D323" s="74" t="str">
        <f>IFERROR(IF(A323="","",'Event Info'!$B$2),"")</f>
        <v/>
      </c>
      <c r="E323" cm="1">
        <f t="array" ref="E323">IF(INDEX('Test schedule'!B:B,ROW()+9)="START",E322+1,E322+0)</f>
        <v>5</v>
      </c>
      <c r="F323" s="82" t="str">
        <f>IF(A323&lt;&gt;"",_xlfn.CONCAT(TEXT(A323,"yyyy-mm-dd"),"T",TEXT(A323,"hh:mm:ss"),'Event Info'!$B$5,",",," ",C323),"")</f>
        <v/>
      </c>
      <c r="G323" t="e">
        <f t="shared" ref="G323:G386" si="10">G322+IF(A323&lt;&gt;"",1,0)</f>
        <v>#VALUE!</v>
      </c>
      <c r="H323" s="92" t="str">
        <f t="shared" si="9"/>
        <v/>
      </c>
      <c r="I323" s="88">
        <v>0</v>
      </c>
    </row>
    <row r="324" spans="1:9">
      <c r="A324" s="76" t="str" cm="1">
        <f t="array" ref="A32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Calculators'!$B$2+E324)</f>
        <v/>
      </c>
      <c r="B324" s="76" t="str" cm="1">
        <f t="array" ref="B324">IF(OR(A324=""),"",IF(INDEX('Test schedule'!E:E,ROW()+9)="",IF(A325="",A324+$Q$10,A325),INDEX('Test schedule'!E:E,ROW()+9)+'Date Calculators'!$B$2+E324))</f>
        <v/>
      </c>
      <c r="C324" s="74" t="str" cm="1">
        <f t="array" ref="C324">IF(A324="","",INDEX('Test schedule'!J:J,ROW()+9))</f>
        <v/>
      </c>
      <c r="D324" s="74" t="str">
        <f>IFERROR(IF(A324="","",'Event Info'!$B$2),"")</f>
        <v/>
      </c>
      <c r="E324" cm="1">
        <f t="array" ref="E324">IF(INDEX('Test schedule'!B:B,ROW()+9)="START",E323+1,E323+0)</f>
        <v>5</v>
      </c>
      <c r="F324" s="82" t="str">
        <f>IF(A324&lt;&gt;"",_xlfn.CONCAT(TEXT(A324,"yyyy-mm-dd"),"T",TEXT(A324,"hh:mm:ss"),'Event Info'!$B$5,",",," ",C324),"")</f>
        <v/>
      </c>
      <c r="G324" t="e">
        <f t="shared" si="10"/>
        <v>#VALUE!</v>
      </c>
      <c r="H324" s="92" t="str">
        <f t="shared" ref="H324:H387" si="11">IFERROR(INDEX($F$2:$F$500,MATCH(ROW()-1,$G$2:$G$500,0)),"")</f>
        <v/>
      </c>
      <c r="I324" s="88">
        <v>0</v>
      </c>
    </row>
    <row r="325" spans="1:9" ht="16.899999999999999">
      <c r="A325" s="76" t="str" cm="1">
        <f t="array" ref="A32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Calculators'!$B$2+E325)</f>
        <v/>
      </c>
      <c r="B325" s="76" t="str" cm="1">
        <f t="array" ref="B325">IF(OR(A325=""),"",IF(INDEX('Test schedule'!E:E,ROW()+9)="",IF(A326="",A325+$Q$10,A326),INDEX('Test schedule'!E:E,ROW()+9)+'Date Calculators'!$B$2+E325))</f>
        <v/>
      </c>
      <c r="C325" s="74" t="str" cm="1">
        <f t="array" ref="C325">IF(A325="","",INDEX('Test schedule'!J:J,ROW()+9))</f>
        <v/>
      </c>
      <c r="D325" s="74" t="str">
        <f>IFERROR(IF(A325="","",'Event Info'!$B$2),"")</f>
        <v/>
      </c>
      <c r="E325" cm="1">
        <f t="array" ref="E325">IF(INDEX('Test schedule'!B:B,ROW()+9)="START",E324+1,E324+0)</f>
        <v>5</v>
      </c>
      <c r="F325" s="82" t="str">
        <f>IF(A325&lt;&gt;"",_xlfn.CONCAT(TEXT(A325,"yyyy-mm-dd"),"T",TEXT(A325,"hh:mm:ss"),'Event Info'!$B$5,",",," ",C325),"")</f>
        <v/>
      </c>
      <c r="G325" t="e">
        <f t="shared" si="10"/>
        <v>#VALUE!</v>
      </c>
      <c r="H325" s="92" t="str">
        <f t="shared" si="11"/>
        <v/>
      </c>
      <c r="I325" s="91">
        <v>0</v>
      </c>
    </row>
    <row r="326" spans="1:9">
      <c r="A326" s="76" t="str" cm="1">
        <f t="array" ref="A32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Calculators'!$B$2+E326)</f>
        <v/>
      </c>
      <c r="B326" s="76" t="str" cm="1">
        <f t="array" ref="B326">IF(OR(A326=""),"",IF(INDEX('Test schedule'!E:E,ROW()+9)="",IF(A327="",A326+$Q$10,A327),INDEX('Test schedule'!E:E,ROW()+9)+'Date Calculators'!$B$2+E326))</f>
        <v/>
      </c>
      <c r="C326" s="74" t="str" cm="1">
        <f t="array" ref="C326">IF(A326="","",INDEX('Test schedule'!J:J,ROW()+9))</f>
        <v/>
      </c>
      <c r="D326" s="74" t="str">
        <f>IFERROR(IF(A326="","",'Event Info'!$B$2),"")</f>
        <v/>
      </c>
      <c r="E326" cm="1">
        <f t="array" ref="E326">IF(INDEX('Test schedule'!B:B,ROW()+9)="START",E325+1,E325+0)</f>
        <v>5</v>
      </c>
      <c r="F326" s="82" t="str">
        <f>IF(A326&lt;&gt;"",_xlfn.CONCAT(TEXT(A326,"yyyy-mm-dd"),"T",TEXT(A326,"hh:mm:ss"),'Event Info'!$B$5,",",," ",C326),"")</f>
        <v/>
      </c>
      <c r="G326" t="e">
        <f t="shared" si="10"/>
        <v>#VALUE!</v>
      </c>
      <c r="H326" s="92" t="str">
        <f t="shared" si="11"/>
        <v/>
      </c>
      <c r="I326" s="88">
        <v>0</v>
      </c>
    </row>
    <row r="327" spans="1:9">
      <c r="A327" s="76" t="str" cm="1">
        <f t="array" ref="A32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Calculators'!$B$2+E327)</f>
        <v/>
      </c>
      <c r="B327" s="76" t="str" cm="1">
        <f t="array" ref="B327">IF(OR(A327=""),"",IF(INDEX('Test schedule'!E:E,ROW()+9)="",IF(A328="",A327+$Q$10,A328),INDEX('Test schedule'!E:E,ROW()+9)+'Date Calculators'!$B$2+E327))</f>
        <v/>
      </c>
      <c r="C327" s="74" t="str" cm="1">
        <f t="array" ref="C327">IF(A327="","",INDEX('Test schedule'!J:J,ROW()+9))</f>
        <v/>
      </c>
      <c r="D327" s="74" t="str">
        <f>IFERROR(IF(A327="","",'Event Info'!$B$2),"")</f>
        <v/>
      </c>
      <c r="E327" cm="1">
        <f t="array" ref="E327">IF(INDEX('Test schedule'!B:B,ROW()+9)="START",E326+1,E326+0)</f>
        <v>5</v>
      </c>
      <c r="F327" s="82" t="str">
        <f>IF(A327&lt;&gt;"",_xlfn.CONCAT(TEXT(A327,"yyyy-mm-dd"),"T",TEXT(A327,"hh:mm:ss"),'Event Info'!$B$5,",",," ",C327),"")</f>
        <v/>
      </c>
      <c r="G327" t="e">
        <f t="shared" si="10"/>
        <v>#VALUE!</v>
      </c>
      <c r="H327" s="92" t="str">
        <f t="shared" si="11"/>
        <v/>
      </c>
      <c r="I327" s="88">
        <v>0</v>
      </c>
    </row>
    <row r="328" spans="1:9" ht="16.899999999999999">
      <c r="A328" s="76" t="str" cm="1">
        <f t="array" ref="A32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Calculators'!$B$2+E328)</f>
        <v/>
      </c>
      <c r="B328" s="76" t="str" cm="1">
        <f t="array" ref="B328">IF(OR(A328=""),"",IF(INDEX('Test schedule'!E:E,ROW()+9)="",IF(A329="",A328+$Q$10,A329),INDEX('Test schedule'!E:E,ROW()+9)+'Date Calculators'!$B$2+E328))</f>
        <v/>
      </c>
      <c r="C328" s="74" t="str" cm="1">
        <f t="array" ref="C328">IF(A328="","",INDEX('Test schedule'!J:J,ROW()+9))</f>
        <v/>
      </c>
      <c r="D328" s="74" t="str">
        <f>IFERROR(IF(A328="","",'Event Info'!$B$2),"")</f>
        <v/>
      </c>
      <c r="E328" cm="1">
        <f t="array" ref="E328">IF(INDEX('Test schedule'!B:B,ROW()+9)="START",E327+1,E327+0)</f>
        <v>5</v>
      </c>
      <c r="F328" s="82" t="str">
        <f>IF(A328&lt;&gt;"",_xlfn.CONCAT(TEXT(A328,"yyyy-mm-dd"),"T",TEXT(A328,"hh:mm:ss"),'Event Info'!$B$5,",",," ",C328),"")</f>
        <v/>
      </c>
      <c r="G328" t="e">
        <f t="shared" si="10"/>
        <v>#VALUE!</v>
      </c>
      <c r="H328" s="92" t="str">
        <f t="shared" si="11"/>
        <v/>
      </c>
      <c r="I328" s="91">
        <v>0</v>
      </c>
    </row>
    <row r="329" spans="1:9">
      <c r="A329" s="76" t="str" cm="1">
        <f t="array" ref="A32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Calculators'!$B$2+E329)</f>
        <v/>
      </c>
      <c r="B329" s="76" t="str" cm="1">
        <f t="array" ref="B329">IF(OR(A329=""),"",IF(INDEX('Test schedule'!E:E,ROW()+9)="",IF(A330="",A329+$Q$10,A330),INDEX('Test schedule'!E:E,ROW()+9)+'Date Calculators'!$B$2+E329))</f>
        <v/>
      </c>
      <c r="C329" s="74" t="str" cm="1">
        <f t="array" ref="C329">IF(A329="","",INDEX('Test schedule'!J:J,ROW()+9))</f>
        <v/>
      </c>
      <c r="D329" s="74" t="str">
        <f>IFERROR(IF(A329="","",'Event Info'!$B$2),"")</f>
        <v/>
      </c>
      <c r="E329" cm="1">
        <f t="array" ref="E329">IF(INDEX('Test schedule'!B:B,ROW()+9)="START",E328+1,E328+0)</f>
        <v>5</v>
      </c>
      <c r="F329" s="82" t="str">
        <f>IF(A329&lt;&gt;"",_xlfn.CONCAT(TEXT(A329,"yyyy-mm-dd"),"T",TEXT(A329,"hh:mm:ss"),'Event Info'!$B$5,",",," ",C329),"")</f>
        <v/>
      </c>
      <c r="G329" t="e">
        <f t="shared" si="10"/>
        <v>#VALUE!</v>
      </c>
      <c r="H329" s="92" t="str">
        <f t="shared" si="11"/>
        <v/>
      </c>
      <c r="I329" s="88">
        <v>0</v>
      </c>
    </row>
    <row r="330" spans="1:9">
      <c r="A330" s="76" t="str" cm="1">
        <f t="array" ref="A33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Calculators'!$B$2+E330)</f>
        <v/>
      </c>
      <c r="B330" s="76" t="str" cm="1">
        <f t="array" ref="B330">IF(OR(A330=""),"",IF(INDEX('Test schedule'!E:E,ROW()+9)="",IF(A331="",A330+$Q$10,A331),INDEX('Test schedule'!E:E,ROW()+9)+'Date Calculators'!$B$2+E330))</f>
        <v/>
      </c>
      <c r="C330" s="74" t="str" cm="1">
        <f t="array" ref="C330">IF(A330="","",INDEX('Test schedule'!J:J,ROW()+9))</f>
        <v/>
      </c>
      <c r="D330" s="74" t="str">
        <f>IFERROR(IF(A330="","",'Event Info'!$B$2),"")</f>
        <v/>
      </c>
      <c r="E330" cm="1">
        <f t="array" ref="E330">IF(INDEX('Test schedule'!B:B,ROW()+9)="START",E329+1,E329+0)</f>
        <v>5</v>
      </c>
      <c r="F330" s="82" t="str">
        <f>IF(A330&lt;&gt;"",_xlfn.CONCAT(TEXT(A330,"yyyy-mm-dd"),"T",TEXT(A330,"hh:mm:ss"),'Event Info'!$B$5,",",," ",C330),"")</f>
        <v/>
      </c>
      <c r="G330" t="e">
        <f t="shared" si="10"/>
        <v>#VALUE!</v>
      </c>
      <c r="H330" s="92" t="str">
        <f t="shared" si="11"/>
        <v/>
      </c>
      <c r="I330" s="88">
        <v>0</v>
      </c>
    </row>
    <row r="331" spans="1:9" ht="16.899999999999999">
      <c r="A331" s="76" t="str" cm="1">
        <f t="array" ref="A33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Calculators'!$B$2+E331)</f>
        <v/>
      </c>
      <c r="B331" s="76" t="str" cm="1">
        <f t="array" ref="B331">IF(OR(A331=""),"",IF(INDEX('Test schedule'!E:E,ROW()+9)="",IF(A332="",A331+$Q$10,A332),INDEX('Test schedule'!E:E,ROW()+9)+'Date Calculators'!$B$2+E331))</f>
        <v/>
      </c>
      <c r="C331" s="74" t="str" cm="1">
        <f t="array" ref="C331">IF(A331="","",INDEX('Test schedule'!J:J,ROW()+9))</f>
        <v/>
      </c>
      <c r="D331" s="74" t="str">
        <f>IFERROR(IF(A331="","",'Event Info'!$B$2),"")</f>
        <v/>
      </c>
      <c r="E331" cm="1">
        <f t="array" ref="E331">IF(INDEX('Test schedule'!B:B,ROW()+9)="START",E330+1,E330+0)</f>
        <v>5</v>
      </c>
      <c r="F331" s="82" t="str">
        <f>IF(A331&lt;&gt;"",_xlfn.CONCAT(TEXT(A331,"yyyy-mm-dd"),"T",TEXT(A331,"hh:mm:ss"),'Event Info'!$B$5,",",," ",C331),"")</f>
        <v/>
      </c>
      <c r="G331" t="e">
        <f t="shared" si="10"/>
        <v>#VALUE!</v>
      </c>
      <c r="H331" s="92" t="str">
        <f t="shared" si="11"/>
        <v/>
      </c>
      <c r="I331" s="91">
        <v>0</v>
      </c>
    </row>
    <row r="332" spans="1:9">
      <c r="A332" s="76" t="str" cm="1">
        <f t="array" ref="A33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Calculators'!$B$2+E332)</f>
        <v/>
      </c>
      <c r="B332" s="76" t="str" cm="1">
        <f t="array" ref="B332">IF(OR(A332=""),"",IF(INDEX('Test schedule'!E:E,ROW()+9)="",IF(A333="",A332+$Q$10,A333),INDEX('Test schedule'!E:E,ROW()+9)+'Date Calculators'!$B$2+E332))</f>
        <v/>
      </c>
      <c r="C332" s="74" t="str" cm="1">
        <f t="array" ref="C332">IF(A332="","",INDEX('Test schedule'!J:J,ROW()+9))</f>
        <v/>
      </c>
      <c r="D332" s="74" t="str">
        <f>IFERROR(IF(A332="","",'Event Info'!$B$2),"")</f>
        <v/>
      </c>
      <c r="E332" cm="1">
        <f t="array" ref="E332">IF(INDEX('Test schedule'!B:B,ROW()+9)="START",E331+1,E331+0)</f>
        <v>5</v>
      </c>
      <c r="F332" s="82" t="str">
        <f>IF(A332&lt;&gt;"",_xlfn.CONCAT(TEXT(A332,"yyyy-mm-dd"),"T",TEXT(A332,"hh:mm:ss"),'Event Info'!$B$5,",",," ",C332),"")</f>
        <v/>
      </c>
      <c r="G332" t="e">
        <f t="shared" si="10"/>
        <v>#VALUE!</v>
      </c>
      <c r="H332" s="92" t="str">
        <f t="shared" si="11"/>
        <v/>
      </c>
      <c r="I332" s="88">
        <v>0</v>
      </c>
    </row>
    <row r="333" spans="1:9">
      <c r="A333" s="76" t="str" cm="1">
        <f t="array" ref="A33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Calculators'!$B$2+E333)</f>
        <v/>
      </c>
      <c r="B333" s="76" t="str" cm="1">
        <f t="array" ref="B333">IF(OR(A333=""),"",IF(INDEX('Test schedule'!E:E,ROW()+9)="",IF(A334="",A333+$Q$10,A334),INDEX('Test schedule'!E:E,ROW()+9)+'Date Calculators'!$B$2+E333))</f>
        <v/>
      </c>
      <c r="C333" s="74" t="str" cm="1">
        <f t="array" ref="C333">IF(A333="","",INDEX('Test schedule'!J:J,ROW()+9))</f>
        <v/>
      </c>
      <c r="D333" s="74" t="str">
        <f>IFERROR(IF(A333="","",'Event Info'!$B$2),"")</f>
        <v/>
      </c>
      <c r="E333" cm="1">
        <f t="array" ref="E333">IF(INDEX('Test schedule'!B:B,ROW()+9)="START",E332+1,E332+0)</f>
        <v>5</v>
      </c>
      <c r="F333" s="82" t="str">
        <f>IF(A333&lt;&gt;"",_xlfn.CONCAT(TEXT(A333,"yyyy-mm-dd"),"T",TEXT(A333,"hh:mm:ss"),'Event Info'!$B$5,",",," ",C333),"")</f>
        <v/>
      </c>
      <c r="G333" t="e">
        <f t="shared" si="10"/>
        <v>#VALUE!</v>
      </c>
      <c r="H333" s="92" t="str">
        <f t="shared" si="11"/>
        <v/>
      </c>
      <c r="I333" s="88">
        <v>0</v>
      </c>
    </row>
    <row r="334" spans="1:9" ht="16.899999999999999">
      <c r="A334" s="76" t="str" cm="1">
        <f t="array" ref="A33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Calculators'!$B$2+E334)</f>
        <v/>
      </c>
      <c r="B334" s="76" t="str" cm="1">
        <f t="array" ref="B334">IF(OR(A334=""),"",IF(INDEX('Test schedule'!E:E,ROW()+9)="",IF(A335="",A334+$Q$10,A335),INDEX('Test schedule'!E:E,ROW()+9)+'Date Calculators'!$B$2+E334))</f>
        <v/>
      </c>
      <c r="C334" s="74" t="str" cm="1">
        <f t="array" ref="C334">IF(A334="","",INDEX('Test schedule'!J:J,ROW()+9))</f>
        <v/>
      </c>
      <c r="D334" s="74" t="str">
        <f>IFERROR(IF(A334="","",'Event Info'!$B$2),"")</f>
        <v/>
      </c>
      <c r="E334" cm="1">
        <f t="array" ref="E334">IF(INDEX('Test schedule'!B:B,ROW()+9)="START",E333+1,E333+0)</f>
        <v>5</v>
      </c>
      <c r="F334" s="82" t="str">
        <f>IF(A334&lt;&gt;"",_xlfn.CONCAT(TEXT(A334,"yyyy-mm-dd"),"T",TEXT(A334,"hh:mm:ss"),'Event Info'!$B$5,",",," ",C334),"")</f>
        <v/>
      </c>
      <c r="G334" t="e">
        <f t="shared" si="10"/>
        <v>#VALUE!</v>
      </c>
      <c r="H334" s="92" t="str">
        <f t="shared" si="11"/>
        <v/>
      </c>
      <c r="I334" s="91">
        <v>0</v>
      </c>
    </row>
    <row r="335" spans="1:9">
      <c r="A335" s="76" t="str" cm="1">
        <f t="array" ref="A33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Calculators'!$B$2+E335)</f>
        <v/>
      </c>
      <c r="B335" s="76" t="str" cm="1">
        <f t="array" ref="B335">IF(OR(A335=""),"",IF(INDEX('Test schedule'!E:E,ROW()+9)="",IF(A336="",A335+$Q$10,A336),INDEX('Test schedule'!E:E,ROW()+9)+'Date Calculators'!$B$2+E335))</f>
        <v/>
      </c>
      <c r="C335" s="74" t="str" cm="1">
        <f t="array" ref="C335">IF(A335="","",INDEX('Test schedule'!J:J,ROW()+9))</f>
        <v/>
      </c>
      <c r="D335" s="74" t="str">
        <f>IFERROR(IF(A335="","",'Event Info'!$B$2),"")</f>
        <v/>
      </c>
      <c r="E335" cm="1">
        <f t="array" ref="E335">IF(INDEX('Test schedule'!B:B,ROW()+9)="START",E334+1,E334+0)</f>
        <v>5</v>
      </c>
      <c r="F335" s="82" t="str">
        <f>IF(A335&lt;&gt;"",_xlfn.CONCAT(TEXT(A335,"yyyy-mm-dd"),"T",TEXT(A335,"hh:mm:ss"),'Event Info'!$B$5,",",," ",C335),"")</f>
        <v/>
      </c>
      <c r="G335" t="e">
        <f t="shared" si="10"/>
        <v>#VALUE!</v>
      </c>
      <c r="H335" s="92" t="str">
        <f t="shared" si="11"/>
        <v/>
      </c>
      <c r="I335" s="88">
        <v>0</v>
      </c>
    </row>
    <row r="336" spans="1:9">
      <c r="A336" s="76" t="str" cm="1">
        <f t="array" ref="A33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Calculators'!$B$2+E336)</f>
        <v/>
      </c>
      <c r="B336" s="76" t="str" cm="1">
        <f t="array" ref="B336">IF(OR(A336=""),"",IF(INDEX('Test schedule'!E:E,ROW()+9)="",IF(A337="",A336+$Q$10,A337),INDEX('Test schedule'!E:E,ROW()+9)+'Date Calculators'!$B$2+E336))</f>
        <v/>
      </c>
      <c r="C336" s="74" t="str" cm="1">
        <f t="array" ref="C336">IF(A336="","",INDEX('Test schedule'!J:J,ROW()+9))</f>
        <v/>
      </c>
      <c r="D336" s="74" t="str">
        <f>IFERROR(IF(A336="","",'Event Info'!$B$2),"")</f>
        <v/>
      </c>
      <c r="E336" cm="1">
        <f t="array" ref="E336">IF(INDEX('Test schedule'!B:B,ROW()+9)="START",E335+1,E335+0)</f>
        <v>5</v>
      </c>
      <c r="F336" s="82" t="str">
        <f>IF(A336&lt;&gt;"",_xlfn.CONCAT(TEXT(A336,"yyyy-mm-dd"),"T",TEXT(A336,"hh:mm:ss"),'Event Info'!$B$5,",",," ",C336),"")</f>
        <v/>
      </c>
      <c r="G336" t="e">
        <f t="shared" si="10"/>
        <v>#VALUE!</v>
      </c>
      <c r="H336" s="92" t="str">
        <f t="shared" si="11"/>
        <v/>
      </c>
      <c r="I336" s="88">
        <v>0</v>
      </c>
    </row>
    <row r="337" spans="1:9" ht="16.899999999999999">
      <c r="A337" s="76" t="str" cm="1">
        <f t="array" ref="A33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Calculators'!$B$2+E337)</f>
        <v/>
      </c>
      <c r="B337" s="76" t="str" cm="1">
        <f t="array" ref="B337">IF(OR(A337=""),"",IF(INDEX('Test schedule'!E:E,ROW()+9)="",IF(A338="",A337+$Q$10,A338),INDEX('Test schedule'!E:E,ROW()+9)+'Date Calculators'!$B$2+E337))</f>
        <v/>
      </c>
      <c r="C337" s="74" t="str" cm="1">
        <f t="array" ref="C337">IF(A337="","",INDEX('Test schedule'!J:J,ROW()+9))</f>
        <v/>
      </c>
      <c r="D337" s="74" t="str">
        <f>IFERROR(IF(A337="","",'Event Info'!$B$2),"")</f>
        <v/>
      </c>
      <c r="E337" cm="1">
        <f t="array" ref="E337">IF(INDEX('Test schedule'!B:B,ROW()+9)="START",E336+1,E336+0)</f>
        <v>5</v>
      </c>
      <c r="F337" s="82" t="str">
        <f>IF(A337&lt;&gt;"",_xlfn.CONCAT(TEXT(A337,"yyyy-mm-dd"),"T",TEXT(A337,"hh:mm:ss"),'Event Info'!$B$5,",",," ",C337),"")</f>
        <v/>
      </c>
      <c r="G337" t="e">
        <f t="shared" si="10"/>
        <v>#VALUE!</v>
      </c>
      <c r="H337" s="92" t="str">
        <f t="shared" si="11"/>
        <v/>
      </c>
      <c r="I337" s="91">
        <v>0</v>
      </c>
    </row>
    <row r="338" spans="1:9">
      <c r="A338" s="76" t="str" cm="1">
        <f t="array" ref="A33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Calculators'!$B$2+E338)</f>
        <v/>
      </c>
      <c r="B338" s="76" t="str" cm="1">
        <f t="array" ref="B338">IF(OR(A338=""),"",IF(INDEX('Test schedule'!E:E,ROW()+9)="",IF(A339="",A338+$Q$10,A339),INDEX('Test schedule'!E:E,ROW()+9)+'Date Calculators'!$B$2+E338))</f>
        <v/>
      </c>
      <c r="C338" s="74" t="str" cm="1">
        <f t="array" ref="C338">IF(A338="","",INDEX('Test schedule'!J:J,ROW()+9))</f>
        <v/>
      </c>
      <c r="D338" s="74" t="str">
        <f>IFERROR(IF(A338="","",'Event Info'!$B$2),"")</f>
        <v/>
      </c>
      <c r="E338" cm="1">
        <f t="array" ref="E338">IF(INDEX('Test schedule'!B:B,ROW()+9)="START",E337+1,E337+0)</f>
        <v>5</v>
      </c>
      <c r="F338" s="82" t="str">
        <f>IF(A338&lt;&gt;"",_xlfn.CONCAT(TEXT(A338,"yyyy-mm-dd"),"T",TEXT(A338,"hh:mm:ss"),'Event Info'!$B$5,",",," ",C338),"")</f>
        <v/>
      </c>
      <c r="G338" t="e">
        <f t="shared" si="10"/>
        <v>#VALUE!</v>
      </c>
      <c r="H338" s="92" t="str">
        <f t="shared" si="11"/>
        <v/>
      </c>
      <c r="I338" s="88">
        <v>0</v>
      </c>
    </row>
    <row r="339" spans="1:9">
      <c r="A339" s="76" t="str" cm="1">
        <f t="array" ref="A33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Calculators'!$B$2+E339)</f>
        <v/>
      </c>
      <c r="B339" s="76" t="str" cm="1">
        <f t="array" ref="B339">IF(OR(A339=""),"",IF(INDEX('Test schedule'!E:E,ROW()+9)="",IF(A340="",A339+$Q$10,A340),INDEX('Test schedule'!E:E,ROW()+9)+'Date Calculators'!$B$2+E339))</f>
        <v/>
      </c>
      <c r="C339" s="74" t="str" cm="1">
        <f t="array" ref="C339">IF(A339="","",INDEX('Test schedule'!J:J,ROW()+9))</f>
        <v/>
      </c>
      <c r="D339" s="74" t="str">
        <f>IFERROR(IF(A339="","",'Event Info'!$B$2),"")</f>
        <v/>
      </c>
      <c r="E339" cm="1">
        <f t="array" ref="E339">IF(INDEX('Test schedule'!B:B,ROW()+9)="START",E338+1,E338+0)</f>
        <v>5</v>
      </c>
      <c r="F339" s="82" t="str">
        <f>IF(A339&lt;&gt;"",_xlfn.CONCAT(TEXT(A339,"yyyy-mm-dd"),"T",TEXT(A339,"hh:mm:ss"),'Event Info'!$B$5,",",," ",C339),"")</f>
        <v/>
      </c>
      <c r="G339" t="e">
        <f t="shared" si="10"/>
        <v>#VALUE!</v>
      </c>
      <c r="H339" s="92" t="str">
        <f t="shared" si="11"/>
        <v/>
      </c>
      <c r="I339" s="88">
        <v>0</v>
      </c>
    </row>
    <row r="340" spans="1:9" ht="16.899999999999999">
      <c r="A340" s="76" t="str" cm="1">
        <f t="array" ref="A34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Calculators'!$B$2+E340)</f>
        <v/>
      </c>
      <c r="B340" s="76" t="str" cm="1">
        <f t="array" ref="B340">IF(OR(A340=""),"",IF(INDEX('Test schedule'!E:E,ROW()+9)="",IF(A341="",A340+$Q$10,A341),INDEX('Test schedule'!E:E,ROW()+9)+'Date Calculators'!$B$2+E340))</f>
        <v/>
      </c>
      <c r="C340" s="74" t="str" cm="1">
        <f t="array" ref="C340">IF(A340="","",INDEX('Test schedule'!J:J,ROW()+9))</f>
        <v/>
      </c>
      <c r="D340" s="74" t="str">
        <f>IFERROR(IF(A340="","",'Event Info'!$B$2),"")</f>
        <v/>
      </c>
      <c r="E340" cm="1">
        <f t="array" ref="E340">IF(INDEX('Test schedule'!B:B,ROW()+9)="START",E339+1,E339+0)</f>
        <v>5</v>
      </c>
      <c r="F340" s="82" t="str">
        <f>IF(A340&lt;&gt;"",_xlfn.CONCAT(TEXT(A340,"yyyy-mm-dd"),"T",TEXT(A340,"hh:mm:ss"),'Event Info'!$B$5,",",," ",C340),"")</f>
        <v/>
      </c>
      <c r="G340" t="e">
        <f t="shared" si="10"/>
        <v>#VALUE!</v>
      </c>
      <c r="H340" s="92" t="str">
        <f t="shared" si="11"/>
        <v/>
      </c>
      <c r="I340" s="91">
        <v>0</v>
      </c>
    </row>
    <row r="341" spans="1:9">
      <c r="A341" s="76" t="str" cm="1">
        <f t="array" ref="A34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Calculators'!$B$2+E341)</f>
        <v/>
      </c>
      <c r="B341" s="76" t="str" cm="1">
        <f t="array" ref="B341">IF(OR(A341=""),"",IF(INDEX('Test schedule'!E:E,ROW()+9)="",IF(A342="",A341+$Q$10,A342),INDEX('Test schedule'!E:E,ROW()+9)+'Date Calculators'!$B$2+E341))</f>
        <v/>
      </c>
      <c r="C341" s="74" t="str" cm="1">
        <f t="array" ref="C341">IF(A341="","",INDEX('Test schedule'!J:J,ROW()+9))</f>
        <v/>
      </c>
      <c r="D341" s="74" t="str">
        <f>IFERROR(IF(A341="","",'Event Info'!$B$2),"")</f>
        <v/>
      </c>
      <c r="E341" cm="1">
        <f t="array" ref="E341">IF(INDEX('Test schedule'!B:B,ROW()+9)="START",E340+1,E340+0)</f>
        <v>5</v>
      </c>
      <c r="F341" s="82" t="str">
        <f>IF(A341&lt;&gt;"",_xlfn.CONCAT(TEXT(A341,"yyyy-mm-dd"),"T",TEXT(A341,"hh:mm:ss"),'Event Info'!$B$5,",",," ",C341),"")</f>
        <v/>
      </c>
      <c r="G341" t="e">
        <f t="shared" si="10"/>
        <v>#VALUE!</v>
      </c>
      <c r="H341" s="92" t="str">
        <f t="shared" si="11"/>
        <v/>
      </c>
      <c r="I341" s="88">
        <v>0</v>
      </c>
    </row>
    <row r="342" spans="1:9">
      <c r="A342" s="76" t="str" cm="1">
        <f t="array" ref="A34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Calculators'!$B$2+E342)</f>
        <v/>
      </c>
      <c r="B342" s="76" t="str" cm="1">
        <f t="array" ref="B342">IF(OR(A342=""),"",IF(INDEX('Test schedule'!E:E,ROW()+9)="",IF(A343="",A342+$Q$10,A343),INDEX('Test schedule'!E:E,ROW()+9)+'Date Calculators'!$B$2+E342))</f>
        <v/>
      </c>
      <c r="C342" s="74" t="str" cm="1">
        <f t="array" ref="C342">IF(A342="","",INDEX('Test schedule'!J:J,ROW()+9))</f>
        <v/>
      </c>
      <c r="D342" s="74" t="str">
        <f>IFERROR(IF(A342="","",'Event Info'!$B$2),"")</f>
        <v/>
      </c>
      <c r="E342" cm="1">
        <f t="array" ref="E342">IF(INDEX('Test schedule'!B:B,ROW()+9)="START",E341+1,E341+0)</f>
        <v>5</v>
      </c>
      <c r="F342" s="82" t="str">
        <f>IF(A342&lt;&gt;"",_xlfn.CONCAT(TEXT(A342,"yyyy-mm-dd"),"T",TEXT(A342,"hh:mm:ss"),'Event Info'!$B$5,",",," ",C342),"")</f>
        <v/>
      </c>
      <c r="G342" t="e">
        <f t="shared" si="10"/>
        <v>#VALUE!</v>
      </c>
      <c r="H342" s="92" t="str">
        <f t="shared" si="11"/>
        <v/>
      </c>
      <c r="I342" s="88">
        <v>0</v>
      </c>
    </row>
    <row r="343" spans="1:9" ht="16.899999999999999">
      <c r="A343" s="76" t="str" cm="1">
        <f t="array" ref="A34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Calculators'!$B$2+E343)</f>
        <v/>
      </c>
      <c r="B343" s="76" t="str" cm="1">
        <f t="array" ref="B343">IF(OR(A343=""),"",IF(INDEX('Test schedule'!E:E,ROW()+9)="",IF(A344="",A343+$Q$10,A344),INDEX('Test schedule'!E:E,ROW()+9)+'Date Calculators'!$B$2+E343))</f>
        <v/>
      </c>
      <c r="C343" s="74" t="str" cm="1">
        <f t="array" ref="C343">IF(A343="","",INDEX('Test schedule'!J:J,ROW()+9))</f>
        <v/>
      </c>
      <c r="D343" s="74" t="str">
        <f>IFERROR(IF(A343="","",'Event Info'!$B$2),"")</f>
        <v/>
      </c>
      <c r="E343" cm="1">
        <f t="array" ref="E343">IF(INDEX('Test schedule'!B:B,ROW()+9)="START",E342+1,E342+0)</f>
        <v>5</v>
      </c>
      <c r="F343" s="82" t="str">
        <f>IF(A343&lt;&gt;"",_xlfn.CONCAT(TEXT(A343,"yyyy-mm-dd"),"T",TEXT(A343,"hh:mm:ss"),'Event Info'!$B$5,",",," ",C343),"")</f>
        <v/>
      </c>
      <c r="G343" t="e">
        <f t="shared" si="10"/>
        <v>#VALUE!</v>
      </c>
      <c r="H343" s="92" t="str">
        <f t="shared" si="11"/>
        <v/>
      </c>
      <c r="I343" s="91">
        <v>0</v>
      </c>
    </row>
    <row r="344" spans="1:9">
      <c r="A344" s="76" t="str" cm="1">
        <f t="array" ref="A34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Calculators'!$B$2+E344)</f>
        <v/>
      </c>
      <c r="B344" s="76" t="str" cm="1">
        <f t="array" ref="B344">IF(OR(A344=""),"",IF(INDEX('Test schedule'!E:E,ROW()+9)="",IF(A345="",A344+$Q$10,A345),INDEX('Test schedule'!E:E,ROW()+9)+'Date Calculators'!$B$2+E344))</f>
        <v/>
      </c>
      <c r="C344" s="74" t="str" cm="1">
        <f t="array" ref="C344">IF(A344="","",INDEX('Test schedule'!J:J,ROW()+9))</f>
        <v/>
      </c>
      <c r="D344" s="74" t="str">
        <f>IFERROR(IF(A344="","",'Event Info'!$B$2),"")</f>
        <v/>
      </c>
      <c r="E344" cm="1">
        <f t="array" ref="E344">IF(INDEX('Test schedule'!B:B,ROW()+9)="START",E343+1,E343+0)</f>
        <v>5</v>
      </c>
      <c r="F344" s="82" t="str">
        <f>IF(A344&lt;&gt;"",_xlfn.CONCAT(TEXT(A344,"yyyy-mm-dd"),"T",TEXT(A344,"hh:mm:ss"),'Event Info'!$B$5,",",," ",C344),"")</f>
        <v/>
      </c>
      <c r="G344" t="e">
        <f t="shared" si="10"/>
        <v>#VALUE!</v>
      </c>
      <c r="H344" s="92" t="str">
        <f t="shared" si="11"/>
        <v/>
      </c>
      <c r="I344" s="88">
        <v>0</v>
      </c>
    </row>
    <row r="345" spans="1:9">
      <c r="A345" s="76" t="str" cm="1">
        <f t="array" ref="A34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Calculators'!$B$2+E345)</f>
        <v/>
      </c>
      <c r="B345" s="76" t="str" cm="1">
        <f t="array" ref="B345">IF(OR(A345=""),"",IF(INDEX('Test schedule'!E:E,ROW()+9)="",IF(A346="",A345+$Q$10,A346),INDEX('Test schedule'!E:E,ROW()+9)+'Date Calculators'!$B$2+E345))</f>
        <v/>
      </c>
      <c r="C345" s="74" t="str" cm="1">
        <f t="array" ref="C345">IF(A345="","",INDEX('Test schedule'!J:J,ROW()+9))</f>
        <v/>
      </c>
      <c r="D345" s="74" t="str">
        <f>IFERROR(IF(A345="","",'Event Info'!$B$2),"")</f>
        <v/>
      </c>
      <c r="E345" cm="1">
        <f t="array" ref="E345">IF(INDEX('Test schedule'!B:B,ROW()+9)="START",E344+1,E344+0)</f>
        <v>5</v>
      </c>
      <c r="F345" s="82" t="str">
        <f>IF(A345&lt;&gt;"",_xlfn.CONCAT(TEXT(A345,"yyyy-mm-dd"),"T",TEXT(A345,"hh:mm:ss"),'Event Info'!$B$5,",",," ",C345),"")</f>
        <v/>
      </c>
      <c r="G345" t="e">
        <f t="shared" si="10"/>
        <v>#VALUE!</v>
      </c>
      <c r="H345" s="92" t="str">
        <f t="shared" si="11"/>
        <v/>
      </c>
      <c r="I345" s="88">
        <v>0</v>
      </c>
    </row>
    <row r="346" spans="1:9" ht="16.899999999999999">
      <c r="A346" s="76" t="str" cm="1">
        <f t="array" ref="A34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Calculators'!$B$2+E346)</f>
        <v/>
      </c>
      <c r="B346" s="76" t="str" cm="1">
        <f t="array" ref="B346">IF(OR(A346=""),"",IF(INDEX('Test schedule'!E:E,ROW()+9)="",IF(A347="",A346+$Q$10,A347),INDEX('Test schedule'!E:E,ROW()+9)+'Date Calculators'!$B$2+E346))</f>
        <v/>
      </c>
      <c r="C346" s="74" t="str" cm="1">
        <f t="array" ref="C346">IF(A346="","",INDEX('Test schedule'!J:J,ROW()+9))</f>
        <v/>
      </c>
      <c r="D346" s="74" t="str">
        <f>IFERROR(IF(A346="","",'Event Info'!$B$2),"")</f>
        <v/>
      </c>
      <c r="E346" cm="1">
        <f t="array" ref="E346">IF(INDEX('Test schedule'!B:B,ROW()+9)="START",E345+1,E345+0)</f>
        <v>5</v>
      </c>
      <c r="F346" s="82" t="str">
        <f>IF(A346&lt;&gt;"",_xlfn.CONCAT(TEXT(A346,"yyyy-mm-dd"),"T",TEXT(A346,"hh:mm:ss"),'Event Info'!$B$5,",",," ",C346),"")</f>
        <v/>
      </c>
      <c r="G346" t="e">
        <f t="shared" si="10"/>
        <v>#VALUE!</v>
      </c>
      <c r="H346" s="92" t="str">
        <f t="shared" si="11"/>
        <v/>
      </c>
      <c r="I346" s="91">
        <v>0</v>
      </c>
    </row>
    <row r="347" spans="1:9">
      <c r="A347" s="76" t="str" cm="1">
        <f t="array" ref="A34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Calculators'!$B$2+E347)</f>
        <v/>
      </c>
      <c r="B347" s="76" t="str" cm="1">
        <f t="array" ref="B347">IF(OR(A347=""),"",IF(INDEX('Test schedule'!E:E,ROW()+9)="",IF(A348="",A347+$Q$10,A348),INDEX('Test schedule'!E:E,ROW()+9)+'Date Calculators'!$B$2+E347))</f>
        <v/>
      </c>
      <c r="C347" s="74" t="str" cm="1">
        <f t="array" ref="C347">IF(A347="","",INDEX('Test schedule'!J:J,ROW()+9))</f>
        <v/>
      </c>
      <c r="D347" s="74" t="str">
        <f>IFERROR(IF(A347="","",'Event Info'!$B$2),"")</f>
        <v/>
      </c>
      <c r="E347" cm="1">
        <f t="array" ref="E347">IF(INDEX('Test schedule'!B:B,ROW()+9)="START",E346+1,E346+0)</f>
        <v>5</v>
      </c>
      <c r="F347" s="82" t="str">
        <f>IF(A347&lt;&gt;"",_xlfn.CONCAT(TEXT(A347,"yyyy-mm-dd"),"T",TEXT(A347,"hh:mm:ss"),'Event Info'!$B$5,",",," ",C347),"")</f>
        <v/>
      </c>
      <c r="G347" t="e">
        <f t="shared" si="10"/>
        <v>#VALUE!</v>
      </c>
      <c r="H347" s="92" t="str">
        <f t="shared" si="11"/>
        <v/>
      </c>
      <c r="I347" s="88">
        <v>0</v>
      </c>
    </row>
    <row r="348" spans="1:9">
      <c r="A348" s="76" t="str" cm="1">
        <f t="array" ref="A34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Calculators'!$B$2+E348)</f>
        <v/>
      </c>
      <c r="B348" s="76" t="str" cm="1">
        <f t="array" ref="B348">IF(OR(A348=""),"",IF(INDEX('Test schedule'!E:E,ROW()+9)="",IF(A349="",A348+$Q$10,A349),INDEX('Test schedule'!E:E,ROW()+9)+'Date Calculators'!$B$2+E348))</f>
        <v/>
      </c>
      <c r="C348" s="74" t="str" cm="1">
        <f t="array" ref="C348">IF(A348="","",INDEX('Test schedule'!J:J,ROW()+9))</f>
        <v/>
      </c>
      <c r="D348" s="74" t="str">
        <f>IFERROR(IF(A348="","",'Event Info'!$B$2),"")</f>
        <v/>
      </c>
      <c r="E348" cm="1">
        <f t="array" ref="E348">IF(INDEX('Test schedule'!B:B,ROW()+9)="START",E347+1,E347+0)</f>
        <v>5</v>
      </c>
      <c r="F348" s="82" t="str">
        <f>IF(A348&lt;&gt;"",_xlfn.CONCAT(TEXT(A348,"yyyy-mm-dd"),"T",TEXT(A348,"hh:mm:ss"),'Event Info'!$B$5,",",," ",C348),"")</f>
        <v/>
      </c>
      <c r="G348" t="e">
        <f t="shared" si="10"/>
        <v>#VALUE!</v>
      </c>
      <c r="H348" s="92" t="str">
        <f t="shared" si="11"/>
        <v/>
      </c>
      <c r="I348" s="88">
        <v>0</v>
      </c>
    </row>
    <row r="349" spans="1:9" ht="16.899999999999999">
      <c r="A349" s="76" t="str" cm="1">
        <f t="array" ref="A34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Calculators'!$B$2+E349)</f>
        <v/>
      </c>
      <c r="B349" s="76" t="str" cm="1">
        <f t="array" ref="B349">IF(OR(A349=""),"",IF(INDEX('Test schedule'!E:E,ROW()+9)="",IF(A350="",A349+$Q$10,A350),INDEX('Test schedule'!E:E,ROW()+9)+'Date Calculators'!$B$2+E349))</f>
        <v/>
      </c>
      <c r="C349" s="74" t="str" cm="1">
        <f t="array" ref="C349">IF(A349="","",INDEX('Test schedule'!J:J,ROW()+9))</f>
        <v/>
      </c>
      <c r="D349" s="74" t="str">
        <f>IFERROR(IF(A349="","",'Event Info'!$B$2),"")</f>
        <v/>
      </c>
      <c r="E349" cm="1">
        <f t="array" ref="E349">IF(INDEX('Test schedule'!B:B,ROW()+9)="START",E348+1,E348+0)</f>
        <v>5</v>
      </c>
      <c r="F349" s="82" t="str">
        <f>IF(A349&lt;&gt;"",_xlfn.CONCAT(TEXT(A349,"yyyy-mm-dd"),"T",TEXT(A349,"hh:mm:ss"),'Event Info'!$B$5,",",," ",C349),"")</f>
        <v/>
      </c>
      <c r="G349" t="e">
        <f t="shared" si="10"/>
        <v>#VALUE!</v>
      </c>
      <c r="H349" s="92" t="str">
        <f t="shared" si="11"/>
        <v/>
      </c>
      <c r="I349" s="91">
        <v>0</v>
      </c>
    </row>
    <row r="350" spans="1:9">
      <c r="A350" s="76" t="str" cm="1">
        <f t="array" ref="A35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Calculators'!$B$2+E350)</f>
        <v/>
      </c>
      <c r="B350" s="76" t="str" cm="1">
        <f t="array" ref="B350">IF(OR(A350=""),"",IF(INDEX('Test schedule'!E:E,ROW()+9)="",IF(A351="",A350+$Q$10,A351),INDEX('Test schedule'!E:E,ROW()+9)+'Date Calculators'!$B$2+E350))</f>
        <v/>
      </c>
      <c r="C350" s="74" t="str" cm="1">
        <f t="array" ref="C350">IF(A350="","",INDEX('Test schedule'!J:J,ROW()+9))</f>
        <v/>
      </c>
      <c r="D350" s="74" t="str">
        <f>IFERROR(IF(A350="","",'Event Info'!$B$2),"")</f>
        <v/>
      </c>
      <c r="E350" cm="1">
        <f t="array" ref="E350">IF(INDEX('Test schedule'!B:B,ROW()+9)="START",E349+1,E349+0)</f>
        <v>5</v>
      </c>
      <c r="F350" s="82" t="str">
        <f>IF(A350&lt;&gt;"",_xlfn.CONCAT(TEXT(A350,"yyyy-mm-dd"),"T",TEXT(A350,"hh:mm:ss"),'Event Info'!$B$5,",",," ",C350),"")</f>
        <v/>
      </c>
      <c r="G350" t="e">
        <f t="shared" si="10"/>
        <v>#VALUE!</v>
      </c>
      <c r="H350" s="92" t="str">
        <f t="shared" si="11"/>
        <v/>
      </c>
      <c r="I350" s="88">
        <v>0</v>
      </c>
    </row>
    <row r="351" spans="1:9">
      <c r="A351" s="76" t="str" cm="1">
        <f t="array" ref="A35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Calculators'!$B$2+E351)</f>
        <v/>
      </c>
      <c r="B351" s="76" t="str" cm="1">
        <f t="array" ref="B351">IF(OR(A351=""),"",IF(INDEX('Test schedule'!E:E,ROW()+9)="",IF(A352="",A351+$Q$10,A352),INDEX('Test schedule'!E:E,ROW()+9)+'Date Calculators'!$B$2+E351))</f>
        <v/>
      </c>
      <c r="C351" s="74" t="str" cm="1">
        <f t="array" ref="C351">IF(A351="","",INDEX('Test schedule'!J:J,ROW()+9))</f>
        <v/>
      </c>
      <c r="D351" s="74" t="str">
        <f>IFERROR(IF(A351="","",'Event Info'!$B$2),"")</f>
        <v/>
      </c>
      <c r="E351" cm="1">
        <f t="array" ref="E351">IF(INDEX('Test schedule'!B:B,ROW()+9)="START",E350+1,E350+0)</f>
        <v>5</v>
      </c>
      <c r="F351" s="82" t="str">
        <f>IF(A351&lt;&gt;"",_xlfn.CONCAT(TEXT(A351,"yyyy-mm-dd"),"T",TEXT(A351,"hh:mm:ss"),'Event Info'!$B$5,",",," ",C351),"")</f>
        <v/>
      </c>
      <c r="G351" t="e">
        <f t="shared" si="10"/>
        <v>#VALUE!</v>
      </c>
      <c r="H351" s="92" t="str">
        <f t="shared" si="11"/>
        <v/>
      </c>
      <c r="I351" s="88">
        <v>0</v>
      </c>
    </row>
    <row r="352" spans="1:9" ht="16.899999999999999">
      <c r="A352" s="76" t="str" cm="1">
        <f t="array" ref="A35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Calculators'!$B$2+E352)</f>
        <v/>
      </c>
      <c r="B352" s="76" t="str" cm="1">
        <f t="array" ref="B352">IF(OR(A352=""),"",IF(INDEX('Test schedule'!E:E,ROW()+9)="",IF(A353="",A352+$Q$10,A353),INDEX('Test schedule'!E:E,ROW()+9)+'Date Calculators'!$B$2+E352))</f>
        <v/>
      </c>
      <c r="C352" s="74" t="str" cm="1">
        <f t="array" ref="C352">IF(A352="","",INDEX('Test schedule'!J:J,ROW()+9))</f>
        <v/>
      </c>
      <c r="D352" s="74" t="str">
        <f>IFERROR(IF(A352="","",'Event Info'!$B$2),"")</f>
        <v/>
      </c>
      <c r="E352" cm="1">
        <f t="array" ref="E352">IF(INDEX('Test schedule'!B:B,ROW()+9)="START",E351+1,E351+0)</f>
        <v>5</v>
      </c>
      <c r="F352" s="82" t="str">
        <f>IF(A352&lt;&gt;"",_xlfn.CONCAT(TEXT(A352,"yyyy-mm-dd"),"T",TEXT(A352,"hh:mm:ss"),'Event Info'!$B$5,",",," ",C352),"")</f>
        <v/>
      </c>
      <c r="G352" t="e">
        <f t="shared" si="10"/>
        <v>#VALUE!</v>
      </c>
      <c r="H352" s="92" t="str">
        <f t="shared" si="11"/>
        <v/>
      </c>
      <c r="I352" s="91">
        <v>0</v>
      </c>
    </row>
    <row r="353" spans="1:9">
      <c r="A353" s="76" t="str" cm="1">
        <f t="array" ref="A35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Calculators'!$B$2+E353)</f>
        <v/>
      </c>
      <c r="B353" s="76" t="str" cm="1">
        <f t="array" ref="B353">IF(OR(A353=""),"",IF(INDEX('Test schedule'!E:E,ROW()+9)="",IF(A354="",A353+$Q$10,A354),INDEX('Test schedule'!E:E,ROW()+9)+'Date Calculators'!$B$2+E353))</f>
        <v/>
      </c>
      <c r="C353" s="74" t="str" cm="1">
        <f t="array" ref="C353">IF(A353="","",INDEX('Test schedule'!J:J,ROW()+9))</f>
        <v/>
      </c>
      <c r="D353" s="74" t="str">
        <f>IFERROR(IF(A353="","",'Event Info'!$B$2),"")</f>
        <v/>
      </c>
      <c r="E353" cm="1">
        <f t="array" ref="E353">IF(INDEX('Test schedule'!B:B,ROW()+9)="START",E352+1,E352+0)</f>
        <v>5</v>
      </c>
      <c r="F353" s="82" t="str">
        <f>IF(A353&lt;&gt;"",_xlfn.CONCAT(TEXT(A353,"yyyy-mm-dd"),"T",TEXT(A353,"hh:mm:ss"),'Event Info'!$B$5,",",," ",C353),"")</f>
        <v/>
      </c>
      <c r="G353" t="e">
        <f t="shared" si="10"/>
        <v>#VALUE!</v>
      </c>
      <c r="H353" s="92" t="str">
        <f t="shared" si="11"/>
        <v/>
      </c>
      <c r="I353" s="88">
        <v>0</v>
      </c>
    </row>
    <row r="354" spans="1:9">
      <c r="A354" s="76" t="str" cm="1">
        <f t="array" ref="A35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Calculators'!$B$2+E354)</f>
        <v/>
      </c>
      <c r="B354" s="76" t="str" cm="1">
        <f t="array" ref="B354">IF(OR(A354=""),"",IF(INDEX('Test schedule'!E:E,ROW()+9)="",IF(A355="",A354+$Q$10,A355),INDEX('Test schedule'!E:E,ROW()+9)+'Date Calculators'!$B$2+E354))</f>
        <v/>
      </c>
      <c r="C354" s="74" t="str" cm="1">
        <f t="array" ref="C354">IF(A354="","",INDEX('Test schedule'!J:J,ROW()+9))</f>
        <v/>
      </c>
      <c r="D354" s="74" t="str">
        <f>IFERROR(IF(A354="","",'Event Info'!$B$2),"")</f>
        <v/>
      </c>
      <c r="E354" cm="1">
        <f t="array" ref="E354">IF(INDEX('Test schedule'!B:B,ROW()+9)="START",E353+1,E353+0)</f>
        <v>5</v>
      </c>
      <c r="F354" s="82" t="str">
        <f>IF(A354&lt;&gt;"",_xlfn.CONCAT(TEXT(A354,"yyyy-mm-dd"),"T",TEXT(A354,"hh:mm:ss"),'Event Info'!$B$5,",",," ",C354),"")</f>
        <v/>
      </c>
      <c r="G354" t="e">
        <f t="shared" si="10"/>
        <v>#VALUE!</v>
      </c>
      <c r="H354" s="92" t="str">
        <f t="shared" si="11"/>
        <v/>
      </c>
      <c r="I354" s="88">
        <v>0</v>
      </c>
    </row>
    <row r="355" spans="1:9" ht="16.899999999999999">
      <c r="A355" s="76" t="str" cm="1">
        <f t="array" ref="A35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Calculators'!$B$2+E355)</f>
        <v/>
      </c>
      <c r="B355" s="76" t="str" cm="1">
        <f t="array" ref="B355">IF(OR(A355=""),"",IF(INDEX('Test schedule'!E:E,ROW()+9)="",IF(A356="",A355+$Q$10,A356),INDEX('Test schedule'!E:E,ROW()+9)+'Date Calculators'!$B$2+E355))</f>
        <v/>
      </c>
      <c r="C355" s="74" t="str" cm="1">
        <f t="array" ref="C355">IF(A355="","",INDEX('Test schedule'!J:J,ROW()+9))</f>
        <v/>
      </c>
      <c r="D355" s="74" t="str">
        <f>IFERROR(IF(A355="","",'Event Info'!$B$2),"")</f>
        <v/>
      </c>
      <c r="E355" cm="1">
        <f t="array" ref="E355">IF(INDEX('Test schedule'!B:B,ROW()+9)="START",E354+1,E354+0)</f>
        <v>5</v>
      </c>
      <c r="F355" s="82" t="str">
        <f>IF(A355&lt;&gt;"",_xlfn.CONCAT(TEXT(A355,"yyyy-mm-dd"),"T",TEXT(A355,"hh:mm:ss"),'Event Info'!$B$5,",",," ",C355),"")</f>
        <v/>
      </c>
      <c r="G355" t="e">
        <f t="shared" si="10"/>
        <v>#VALUE!</v>
      </c>
      <c r="H355" s="92" t="str">
        <f t="shared" si="11"/>
        <v/>
      </c>
      <c r="I355" s="91">
        <v>0</v>
      </c>
    </row>
    <row r="356" spans="1:9">
      <c r="A356" s="76" t="str" cm="1">
        <f t="array" ref="A35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Calculators'!$B$2+E356)</f>
        <v/>
      </c>
      <c r="B356" s="76" t="str" cm="1">
        <f t="array" ref="B356">IF(OR(A356=""),"",IF(INDEX('Test schedule'!E:E,ROW()+9)="",IF(A357="",A356+$Q$10,A357),INDEX('Test schedule'!E:E,ROW()+9)+'Date Calculators'!$B$2+E356))</f>
        <v/>
      </c>
      <c r="C356" s="74" t="str" cm="1">
        <f t="array" ref="C356">IF(A356="","",INDEX('Test schedule'!J:J,ROW()+9))</f>
        <v/>
      </c>
      <c r="D356" s="74" t="str">
        <f>IFERROR(IF(A356="","",'Event Info'!$B$2),"")</f>
        <v/>
      </c>
      <c r="E356" cm="1">
        <f t="array" ref="E356">IF(INDEX('Test schedule'!B:B,ROW()+9)="START",E355+1,E355+0)</f>
        <v>5</v>
      </c>
      <c r="F356" s="82" t="str">
        <f>IF(A356&lt;&gt;"",_xlfn.CONCAT(TEXT(A356,"yyyy-mm-dd"),"T",TEXT(A356,"hh:mm:ss"),'Event Info'!$B$5,",",," ",C356),"")</f>
        <v/>
      </c>
      <c r="G356" t="e">
        <f t="shared" si="10"/>
        <v>#VALUE!</v>
      </c>
      <c r="H356" s="92" t="str">
        <f t="shared" si="11"/>
        <v/>
      </c>
      <c r="I356" s="88">
        <v>0</v>
      </c>
    </row>
    <row r="357" spans="1:9">
      <c r="A357" s="76" t="str" cm="1">
        <f t="array" ref="A35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Calculators'!$B$2+E357)</f>
        <v/>
      </c>
      <c r="B357" s="76" t="str" cm="1">
        <f t="array" ref="B357">IF(OR(A357=""),"",IF(INDEX('Test schedule'!E:E,ROW()+9)="",IF(A358="",A357+$Q$10,A358),INDEX('Test schedule'!E:E,ROW()+9)+'Date Calculators'!$B$2+E357))</f>
        <v/>
      </c>
      <c r="C357" s="74" t="str" cm="1">
        <f t="array" ref="C357">IF(A357="","",INDEX('Test schedule'!J:J,ROW()+9))</f>
        <v/>
      </c>
      <c r="D357" s="74" t="str">
        <f>IFERROR(IF(A357="","",'Event Info'!$B$2),"")</f>
        <v/>
      </c>
      <c r="E357" cm="1">
        <f t="array" ref="E357">IF(INDEX('Test schedule'!B:B,ROW()+9)="START",E356+1,E356+0)</f>
        <v>5</v>
      </c>
      <c r="F357" s="82" t="str">
        <f>IF(A357&lt;&gt;"",_xlfn.CONCAT(TEXT(A357,"yyyy-mm-dd"),"T",TEXT(A357,"hh:mm:ss"),'Event Info'!$B$5,",",," ",C357),"")</f>
        <v/>
      </c>
      <c r="G357" t="e">
        <f t="shared" si="10"/>
        <v>#VALUE!</v>
      </c>
      <c r="H357" s="92" t="str">
        <f t="shared" si="11"/>
        <v/>
      </c>
      <c r="I357" s="88">
        <v>0</v>
      </c>
    </row>
    <row r="358" spans="1:9" ht="16.899999999999999">
      <c r="A358" s="76" t="str" cm="1">
        <f t="array" ref="A35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Calculators'!$B$2+E358)</f>
        <v/>
      </c>
      <c r="B358" s="76" t="str" cm="1">
        <f t="array" ref="B358">IF(OR(A358=""),"",IF(INDEX('Test schedule'!E:E,ROW()+9)="",IF(A359="",A358+$Q$10,A359),INDEX('Test schedule'!E:E,ROW()+9)+'Date Calculators'!$B$2+E358))</f>
        <v/>
      </c>
      <c r="C358" s="74" t="str" cm="1">
        <f t="array" ref="C358">IF(A358="","",INDEX('Test schedule'!J:J,ROW()+9))</f>
        <v/>
      </c>
      <c r="D358" s="74" t="str">
        <f>IFERROR(IF(A358="","",'Event Info'!$B$2),"")</f>
        <v/>
      </c>
      <c r="E358" cm="1">
        <f t="array" ref="E358">IF(INDEX('Test schedule'!B:B,ROW()+9)="START",E357+1,E357+0)</f>
        <v>5</v>
      </c>
      <c r="F358" s="82" t="str">
        <f>IF(A358&lt;&gt;"",_xlfn.CONCAT(TEXT(A358,"yyyy-mm-dd"),"T",TEXT(A358,"hh:mm:ss"),'Event Info'!$B$5,",",," ",C358),"")</f>
        <v/>
      </c>
      <c r="G358" t="e">
        <f t="shared" si="10"/>
        <v>#VALUE!</v>
      </c>
      <c r="H358" s="92" t="str">
        <f t="shared" si="11"/>
        <v/>
      </c>
      <c r="I358" s="91">
        <v>0</v>
      </c>
    </row>
    <row r="359" spans="1:9">
      <c r="A359" s="76" t="str" cm="1">
        <f t="array" ref="A35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Calculators'!$B$2+E359)</f>
        <v/>
      </c>
      <c r="B359" s="76" t="str" cm="1">
        <f t="array" ref="B359">IF(OR(A359=""),"",IF(INDEX('Test schedule'!E:E,ROW()+9)="",IF(A360="",A359+$Q$10,A360),INDEX('Test schedule'!E:E,ROW()+9)+'Date Calculators'!$B$2+E359))</f>
        <v/>
      </c>
      <c r="C359" s="74" t="str" cm="1">
        <f t="array" ref="C359">IF(A359="","",INDEX('Test schedule'!J:J,ROW()+9))</f>
        <v/>
      </c>
      <c r="D359" s="74" t="str">
        <f>IFERROR(IF(A359="","",'Event Info'!$B$2),"")</f>
        <v/>
      </c>
      <c r="E359" cm="1">
        <f t="array" ref="E359">IF(INDEX('Test schedule'!B:B,ROW()+9)="START",E358+1,E358+0)</f>
        <v>5</v>
      </c>
      <c r="F359" s="82" t="str">
        <f>IF(A359&lt;&gt;"",_xlfn.CONCAT(TEXT(A359,"yyyy-mm-dd"),"T",TEXT(A359,"hh:mm:ss"),'Event Info'!$B$5,",",," ",C359),"")</f>
        <v/>
      </c>
      <c r="G359" t="e">
        <f t="shared" si="10"/>
        <v>#VALUE!</v>
      </c>
      <c r="H359" s="92" t="str">
        <f t="shared" si="11"/>
        <v/>
      </c>
      <c r="I359" s="88">
        <v>0</v>
      </c>
    </row>
    <row r="360" spans="1:9">
      <c r="A360" s="76" t="str" cm="1">
        <f t="array" ref="A36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Calculators'!$B$2+E360)</f>
        <v/>
      </c>
      <c r="B360" s="76" t="str" cm="1">
        <f t="array" ref="B360">IF(OR(A360=""),"",IF(INDEX('Test schedule'!E:E,ROW()+9)="",IF(A361="",A360+$Q$10,A361),INDEX('Test schedule'!E:E,ROW()+9)+'Date Calculators'!$B$2+E360))</f>
        <v/>
      </c>
      <c r="C360" s="74" t="str" cm="1">
        <f t="array" ref="C360">IF(A360="","",INDEX('Test schedule'!J:J,ROW()+9))</f>
        <v/>
      </c>
      <c r="D360" s="74" t="str">
        <f>IFERROR(IF(A360="","",'Event Info'!$B$2),"")</f>
        <v/>
      </c>
      <c r="E360" cm="1">
        <f t="array" ref="E360">IF(INDEX('Test schedule'!B:B,ROW()+9)="START",E359+1,E359+0)</f>
        <v>5</v>
      </c>
      <c r="F360" s="82" t="str">
        <f>IF(A360&lt;&gt;"",_xlfn.CONCAT(TEXT(A360,"yyyy-mm-dd"),"T",TEXT(A360,"hh:mm:ss"),'Event Info'!$B$5,",",," ",C360),"")</f>
        <v/>
      </c>
      <c r="G360" t="e">
        <f t="shared" si="10"/>
        <v>#VALUE!</v>
      </c>
      <c r="H360" s="92" t="str">
        <f t="shared" si="11"/>
        <v/>
      </c>
      <c r="I360" s="88">
        <v>0</v>
      </c>
    </row>
    <row r="361" spans="1:9" ht="16.899999999999999">
      <c r="A361" s="76" t="str" cm="1">
        <f t="array" ref="A36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Calculators'!$B$2+E361)</f>
        <v/>
      </c>
      <c r="B361" s="76" t="str" cm="1">
        <f t="array" ref="B361">IF(OR(A361=""),"",IF(INDEX('Test schedule'!E:E,ROW()+9)="",IF(A362="",A361+$Q$10,A362),INDEX('Test schedule'!E:E,ROW()+9)+'Date Calculators'!$B$2+E361))</f>
        <v/>
      </c>
      <c r="C361" s="74" t="str" cm="1">
        <f t="array" ref="C361">IF(A361="","",INDEX('Test schedule'!J:J,ROW()+9))</f>
        <v/>
      </c>
      <c r="D361" s="74" t="str">
        <f>IFERROR(IF(A361="","",'Event Info'!$B$2),"")</f>
        <v/>
      </c>
      <c r="E361" cm="1">
        <f t="array" ref="E361">IF(INDEX('Test schedule'!B:B,ROW()+9)="START",E360+1,E360+0)</f>
        <v>5</v>
      </c>
      <c r="F361" s="82" t="str">
        <f>IF(A361&lt;&gt;"",_xlfn.CONCAT(TEXT(A361,"yyyy-mm-dd"),"T",TEXT(A361,"hh:mm:ss"),'Event Info'!$B$5,",",," ",C361),"")</f>
        <v/>
      </c>
      <c r="G361" t="e">
        <f t="shared" si="10"/>
        <v>#VALUE!</v>
      </c>
      <c r="H361" s="92" t="str">
        <f t="shared" si="11"/>
        <v/>
      </c>
      <c r="I361" s="91">
        <v>0</v>
      </c>
    </row>
    <row r="362" spans="1:9">
      <c r="A362" s="76" t="str" cm="1">
        <f t="array" ref="A36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Calculators'!$B$2+E362)</f>
        <v/>
      </c>
      <c r="B362" s="76" t="str" cm="1">
        <f t="array" ref="B362">IF(OR(A362=""),"",IF(INDEX('Test schedule'!E:E,ROW()+9)="",IF(A363="",A362+$Q$10,A363),INDEX('Test schedule'!E:E,ROW()+9)+'Date Calculators'!$B$2+E362))</f>
        <v/>
      </c>
      <c r="C362" s="74" t="str" cm="1">
        <f t="array" ref="C362">IF(A362="","",INDEX('Test schedule'!J:J,ROW()+9))</f>
        <v/>
      </c>
      <c r="D362" s="74" t="str">
        <f>IFERROR(IF(A362="","",'Event Info'!$B$2),"")</f>
        <v/>
      </c>
      <c r="E362" cm="1">
        <f t="array" ref="E362">IF(INDEX('Test schedule'!B:B,ROW()+9)="START",E361+1,E361+0)</f>
        <v>5</v>
      </c>
      <c r="F362" s="82" t="str">
        <f>IF(A362&lt;&gt;"",_xlfn.CONCAT(TEXT(A362,"yyyy-mm-dd"),"T",TEXT(A362,"hh:mm:ss"),'Event Info'!$B$5,",",," ",C362),"")</f>
        <v/>
      </c>
      <c r="G362" t="e">
        <f t="shared" si="10"/>
        <v>#VALUE!</v>
      </c>
      <c r="H362" s="92" t="str">
        <f t="shared" si="11"/>
        <v/>
      </c>
      <c r="I362" s="88">
        <v>0</v>
      </c>
    </row>
    <row r="363" spans="1:9">
      <c r="A363" s="76" t="str" cm="1">
        <f t="array" ref="A36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Calculators'!$B$2+E363)</f>
        <v/>
      </c>
      <c r="B363" s="76" t="str" cm="1">
        <f t="array" ref="B363">IF(OR(A363=""),"",IF(INDEX('Test schedule'!E:E,ROW()+9)="",IF(A364="",A363+$Q$10,A364),INDEX('Test schedule'!E:E,ROW()+9)+'Date Calculators'!$B$2+E363))</f>
        <v/>
      </c>
      <c r="C363" s="74" t="str" cm="1">
        <f t="array" ref="C363">IF(A363="","",INDEX('Test schedule'!J:J,ROW()+9))</f>
        <v/>
      </c>
      <c r="D363" s="74" t="str">
        <f>IFERROR(IF(A363="","",'Event Info'!$B$2),"")</f>
        <v/>
      </c>
      <c r="E363" cm="1">
        <f t="array" ref="E363">IF(INDEX('Test schedule'!B:B,ROW()+9)="START",E362+1,E362+0)</f>
        <v>5</v>
      </c>
      <c r="F363" s="82" t="str">
        <f>IF(A363&lt;&gt;"",_xlfn.CONCAT(TEXT(A363,"yyyy-mm-dd"),"T",TEXT(A363,"hh:mm:ss"),'Event Info'!$B$5,",",," ",C363),"")</f>
        <v/>
      </c>
      <c r="G363" t="e">
        <f t="shared" si="10"/>
        <v>#VALUE!</v>
      </c>
      <c r="H363" s="92" t="str">
        <f t="shared" si="11"/>
        <v/>
      </c>
      <c r="I363" s="88">
        <v>0</v>
      </c>
    </row>
    <row r="364" spans="1:9" ht="16.899999999999999">
      <c r="A364" s="76" t="str" cm="1">
        <f t="array" ref="A36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Calculators'!$B$2+E364)</f>
        <v/>
      </c>
      <c r="B364" s="76" t="str" cm="1">
        <f t="array" ref="B364">IF(OR(A364=""),"",IF(INDEX('Test schedule'!E:E,ROW()+9)="",IF(A365="",A364+$Q$10,A365),INDEX('Test schedule'!E:E,ROW()+9)+'Date Calculators'!$B$2+E364))</f>
        <v/>
      </c>
      <c r="C364" s="74" t="str" cm="1">
        <f t="array" ref="C364">IF(A364="","",INDEX('Test schedule'!J:J,ROW()+9))</f>
        <v/>
      </c>
      <c r="D364" s="74" t="str">
        <f>IFERROR(IF(A364="","",'Event Info'!$B$2),"")</f>
        <v/>
      </c>
      <c r="E364" cm="1">
        <f t="array" ref="E364">IF(INDEX('Test schedule'!B:B,ROW()+9)="START",E363+1,E363+0)</f>
        <v>5</v>
      </c>
      <c r="F364" s="82" t="str">
        <f>IF(A364&lt;&gt;"",_xlfn.CONCAT(TEXT(A364,"yyyy-mm-dd"),"T",TEXT(A364,"hh:mm:ss"),'Event Info'!$B$5,",",," ",C364),"")</f>
        <v/>
      </c>
      <c r="G364" t="e">
        <f t="shared" si="10"/>
        <v>#VALUE!</v>
      </c>
      <c r="H364" s="92" t="str">
        <f t="shared" si="11"/>
        <v/>
      </c>
      <c r="I364" s="91">
        <v>0</v>
      </c>
    </row>
    <row r="365" spans="1:9">
      <c r="A365" s="76" t="str" cm="1">
        <f t="array" ref="A36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Calculators'!$B$2+E365)</f>
        <v/>
      </c>
      <c r="B365" s="76" t="str" cm="1">
        <f t="array" ref="B365">IF(OR(A365=""),"",IF(INDEX('Test schedule'!E:E,ROW()+9)="",IF(A366="",A365+$Q$10,A366),INDEX('Test schedule'!E:E,ROW()+9)+'Date Calculators'!$B$2+E365))</f>
        <v/>
      </c>
      <c r="C365" s="74" t="str" cm="1">
        <f t="array" ref="C365">IF(A365="","",INDEX('Test schedule'!J:J,ROW()+9))</f>
        <v/>
      </c>
      <c r="D365" s="74" t="str">
        <f>IFERROR(IF(A365="","",'Event Info'!$B$2),"")</f>
        <v/>
      </c>
      <c r="E365" cm="1">
        <f t="array" ref="E365">IF(INDEX('Test schedule'!B:B,ROW()+9)="START",E364+1,E364+0)</f>
        <v>5</v>
      </c>
      <c r="F365" s="82" t="str">
        <f>IF(A365&lt;&gt;"",_xlfn.CONCAT(TEXT(A365,"yyyy-mm-dd"),"T",TEXT(A365,"hh:mm:ss"),'Event Info'!$B$5,",",," ",C365),"")</f>
        <v/>
      </c>
      <c r="G365" t="e">
        <f t="shared" si="10"/>
        <v>#VALUE!</v>
      </c>
      <c r="H365" s="92" t="str">
        <f t="shared" si="11"/>
        <v/>
      </c>
      <c r="I365" s="88">
        <v>0</v>
      </c>
    </row>
    <row r="366" spans="1:9">
      <c r="A366" s="76" t="str" cm="1">
        <f t="array" ref="A36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Calculators'!$B$2+E366)</f>
        <v/>
      </c>
      <c r="B366" s="76" t="str" cm="1">
        <f t="array" ref="B366">IF(OR(A366=""),"",IF(INDEX('Test schedule'!E:E,ROW()+9)="",IF(A367="",A366+$Q$10,A367),INDEX('Test schedule'!E:E,ROW()+9)+'Date Calculators'!$B$2+E366))</f>
        <v/>
      </c>
      <c r="C366" s="74" t="str" cm="1">
        <f t="array" ref="C366">IF(A366="","",INDEX('Test schedule'!J:J,ROW()+9))</f>
        <v/>
      </c>
      <c r="D366" s="74" t="str">
        <f>IFERROR(IF(A366="","",'Event Info'!$B$2),"")</f>
        <v/>
      </c>
      <c r="E366" cm="1">
        <f t="array" ref="E366">IF(INDEX('Test schedule'!B:B,ROW()+9)="START",E365+1,E365+0)</f>
        <v>5</v>
      </c>
      <c r="F366" s="82" t="str">
        <f>IF(A366&lt;&gt;"",_xlfn.CONCAT(TEXT(A366,"yyyy-mm-dd"),"T",TEXT(A366,"hh:mm:ss"),'Event Info'!$B$5,",",," ",C366),"")</f>
        <v/>
      </c>
      <c r="G366" t="e">
        <f t="shared" si="10"/>
        <v>#VALUE!</v>
      </c>
      <c r="H366" s="92" t="str">
        <f t="shared" si="11"/>
        <v/>
      </c>
      <c r="I366" s="88">
        <v>0</v>
      </c>
    </row>
    <row r="367" spans="1:9" ht="16.899999999999999">
      <c r="A367" s="76" t="str" cm="1">
        <f t="array" ref="A36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Calculators'!$B$2+E367)</f>
        <v/>
      </c>
      <c r="B367" s="76" t="str" cm="1">
        <f t="array" ref="B367">IF(OR(A367=""),"",IF(INDEX('Test schedule'!E:E,ROW()+9)="",IF(A368="",A367+$Q$10,A368),INDEX('Test schedule'!E:E,ROW()+9)+'Date Calculators'!$B$2+E367))</f>
        <v/>
      </c>
      <c r="C367" s="74" t="str" cm="1">
        <f t="array" ref="C367">IF(A367="","",INDEX('Test schedule'!J:J,ROW()+9))</f>
        <v/>
      </c>
      <c r="D367" s="74" t="str">
        <f>IFERROR(IF(A367="","",'Event Info'!$B$2),"")</f>
        <v/>
      </c>
      <c r="E367" cm="1">
        <f t="array" ref="E367">IF(INDEX('Test schedule'!B:B,ROW()+9)="START",E366+1,E366+0)</f>
        <v>5</v>
      </c>
      <c r="F367" s="82" t="str">
        <f>IF(A367&lt;&gt;"",_xlfn.CONCAT(TEXT(A367,"yyyy-mm-dd"),"T",TEXT(A367,"hh:mm:ss"),'Event Info'!$B$5,",",," ",C367),"")</f>
        <v/>
      </c>
      <c r="G367" t="e">
        <f t="shared" si="10"/>
        <v>#VALUE!</v>
      </c>
      <c r="H367" s="92" t="str">
        <f t="shared" si="11"/>
        <v/>
      </c>
      <c r="I367" s="91">
        <v>0</v>
      </c>
    </row>
    <row r="368" spans="1:9">
      <c r="A368" s="76" t="str" cm="1">
        <f t="array" ref="A36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Calculators'!$B$2+E368)</f>
        <v/>
      </c>
      <c r="B368" s="76" t="str" cm="1">
        <f t="array" ref="B368">IF(OR(A368=""),"",IF(INDEX('Test schedule'!E:E,ROW()+9)="",IF(A369="",A368+$Q$10,A369),INDEX('Test schedule'!E:E,ROW()+9)+'Date Calculators'!$B$2+E368))</f>
        <v/>
      </c>
      <c r="C368" s="74" t="str" cm="1">
        <f t="array" ref="C368">IF(A368="","",INDEX('Test schedule'!J:J,ROW()+9))</f>
        <v/>
      </c>
      <c r="D368" s="74" t="str">
        <f>IFERROR(IF(A368="","",'Event Info'!$B$2),"")</f>
        <v/>
      </c>
      <c r="E368" cm="1">
        <f t="array" ref="E368">IF(INDEX('Test schedule'!B:B,ROW()+9)="START",E367+1,E367+0)</f>
        <v>5</v>
      </c>
      <c r="F368" s="82" t="str">
        <f>IF(A368&lt;&gt;"",_xlfn.CONCAT(TEXT(A368,"yyyy-mm-dd"),"T",TEXT(A368,"hh:mm:ss"),'Event Info'!$B$5,",",," ",C368),"")</f>
        <v/>
      </c>
      <c r="G368" t="e">
        <f t="shared" si="10"/>
        <v>#VALUE!</v>
      </c>
      <c r="H368" s="92" t="str">
        <f t="shared" si="11"/>
        <v/>
      </c>
      <c r="I368" s="88">
        <v>0</v>
      </c>
    </row>
    <row r="369" spans="1:9">
      <c r="A369" s="76" t="str" cm="1">
        <f t="array" ref="A36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Calculators'!$B$2+E369)</f>
        <v/>
      </c>
      <c r="B369" s="76" t="str" cm="1">
        <f t="array" ref="B369">IF(OR(A369=""),"",IF(INDEX('Test schedule'!E:E,ROW()+9)="",IF(A370="",A369+$Q$10,A370),INDEX('Test schedule'!E:E,ROW()+9)+'Date Calculators'!$B$2+E369))</f>
        <v/>
      </c>
      <c r="C369" s="74" t="str" cm="1">
        <f t="array" ref="C369">IF(A369="","",INDEX('Test schedule'!J:J,ROW()+9))</f>
        <v/>
      </c>
      <c r="D369" s="74" t="str">
        <f>IFERROR(IF(A369="","",'Event Info'!$B$2),"")</f>
        <v/>
      </c>
      <c r="E369" cm="1">
        <f t="array" ref="E369">IF(INDEX('Test schedule'!B:B,ROW()+9)="START",E368+1,E368+0)</f>
        <v>5</v>
      </c>
      <c r="F369" s="82" t="str">
        <f>IF(A369&lt;&gt;"",_xlfn.CONCAT(TEXT(A369,"yyyy-mm-dd"),"T",TEXT(A369,"hh:mm:ss"),'Event Info'!$B$5,",",," ",C369),"")</f>
        <v/>
      </c>
      <c r="G369" t="e">
        <f t="shared" si="10"/>
        <v>#VALUE!</v>
      </c>
      <c r="H369" s="92" t="str">
        <f t="shared" si="11"/>
        <v/>
      </c>
      <c r="I369" s="88">
        <v>0</v>
      </c>
    </row>
    <row r="370" spans="1:9" ht="16.899999999999999">
      <c r="A370" s="76" t="str" cm="1">
        <f t="array" ref="A37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Calculators'!$B$2+E370)</f>
        <v/>
      </c>
      <c r="B370" s="76" t="str" cm="1">
        <f t="array" ref="B370">IF(OR(A370=""),"",IF(INDEX('Test schedule'!E:E,ROW()+9)="",IF(A371="",A370+$Q$10,A371),INDEX('Test schedule'!E:E,ROW()+9)+'Date Calculators'!$B$2+E370))</f>
        <v/>
      </c>
      <c r="C370" s="74" t="str" cm="1">
        <f t="array" ref="C370">IF(A370="","",INDEX('Test schedule'!J:J,ROW()+9))</f>
        <v/>
      </c>
      <c r="D370" s="74" t="str">
        <f>IFERROR(IF(A370="","",'Event Info'!$B$2),"")</f>
        <v/>
      </c>
      <c r="E370" cm="1">
        <f t="array" ref="E370">IF(INDEX('Test schedule'!B:B,ROW()+9)="START",E369+1,E369+0)</f>
        <v>5</v>
      </c>
      <c r="F370" s="82" t="str">
        <f>IF(A370&lt;&gt;"",_xlfn.CONCAT(TEXT(A370,"yyyy-mm-dd"),"T",TEXT(A370,"hh:mm:ss"),'Event Info'!$B$5,",",," ",C370),"")</f>
        <v/>
      </c>
      <c r="G370" t="e">
        <f t="shared" si="10"/>
        <v>#VALUE!</v>
      </c>
      <c r="H370" s="92" t="str">
        <f t="shared" si="11"/>
        <v/>
      </c>
      <c r="I370" s="91">
        <v>0</v>
      </c>
    </row>
    <row r="371" spans="1:9">
      <c r="A371" s="76" t="str" cm="1">
        <f t="array" ref="A37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Calculators'!$B$2+E371)</f>
        <v/>
      </c>
      <c r="B371" s="76" t="str" cm="1">
        <f t="array" ref="B371">IF(OR(A371=""),"",IF(INDEX('Test schedule'!E:E,ROW()+9)="",IF(A372="",A371+$Q$10,A372),INDEX('Test schedule'!E:E,ROW()+9)+'Date Calculators'!$B$2+E371))</f>
        <v/>
      </c>
      <c r="C371" s="74" t="str" cm="1">
        <f t="array" ref="C371">IF(A371="","",INDEX('Test schedule'!J:J,ROW()+9))</f>
        <v/>
      </c>
      <c r="D371" s="74" t="str">
        <f>IFERROR(IF(A371="","",'Event Info'!$B$2),"")</f>
        <v/>
      </c>
      <c r="E371" cm="1">
        <f t="array" ref="E371">IF(INDEX('Test schedule'!B:B,ROW()+9)="START",E370+1,E370+0)</f>
        <v>5</v>
      </c>
      <c r="F371" s="82" t="str">
        <f>IF(A371&lt;&gt;"",_xlfn.CONCAT(TEXT(A371,"yyyy-mm-dd"),"T",TEXT(A371,"hh:mm:ss"),'Event Info'!$B$5,",",," ",C371),"")</f>
        <v/>
      </c>
      <c r="G371" t="e">
        <f t="shared" si="10"/>
        <v>#VALUE!</v>
      </c>
      <c r="H371" s="92" t="str">
        <f t="shared" si="11"/>
        <v/>
      </c>
      <c r="I371" s="88">
        <v>0</v>
      </c>
    </row>
    <row r="372" spans="1:9">
      <c r="A372" s="76" t="str" cm="1">
        <f t="array" ref="A37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Calculators'!$B$2+E372)</f>
        <v/>
      </c>
      <c r="B372" s="76" t="str" cm="1">
        <f t="array" ref="B372">IF(OR(A372=""),"",IF(INDEX('Test schedule'!E:E,ROW()+9)="",IF(A373="",A372+$Q$10,A373),INDEX('Test schedule'!E:E,ROW()+9)+'Date Calculators'!$B$2+E372))</f>
        <v/>
      </c>
      <c r="C372" s="74" t="str" cm="1">
        <f t="array" ref="C372">IF(A372="","",INDEX('Test schedule'!J:J,ROW()+9))</f>
        <v/>
      </c>
      <c r="D372" s="74" t="str">
        <f>IFERROR(IF(A372="","",'Event Info'!$B$2),"")</f>
        <v/>
      </c>
      <c r="E372" cm="1">
        <f t="array" ref="E372">IF(INDEX('Test schedule'!B:B,ROW()+9)="START",E371+1,E371+0)</f>
        <v>5</v>
      </c>
      <c r="F372" s="82" t="str">
        <f>IF(A372&lt;&gt;"",_xlfn.CONCAT(TEXT(A372,"yyyy-mm-dd"),"T",TEXT(A372,"hh:mm:ss"),'Event Info'!$B$5,",",," ",C372),"")</f>
        <v/>
      </c>
      <c r="G372" t="e">
        <f t="shared" si="10"/>
        <v>#VALUE!</v>
      </c>
      <c r="H372" s="92" t="str">
        <f t="shared" si="11"/>
        <v/>
      </c>
      <c r="I372" s="88">
        <v>0</v>
      </c>
    </row>
    <row r="373" spans="1:9" ht="16.899999999999999">
      <c r="A373" s="76" t="str" cm="1">
        <f t="array" ref="A37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Calculators'!$B$2+E373)</f>
        <v/>
      </c>
      <c r="B373" s="76" t="str" cm="1">
        <f t="array" ref="B373">IF(OR(A373=""),"",IF(INDEX('Test schedule'!E:E,ROW()+9)="",IF(A374="",A373+$Q$10,A374),INDEX('Test schedule'!E:E,ROW()+9)+'Date Calculators'!$B$2+E373))</f>
        <v/>
      </c>
      <c r="C373" s="74" t="str" cm="1">
        <f t="array" ref="C373">IF(A373="","",INDEX('Test schedule'!J:J,ROW()+9))</f>
        <v/>
      </c>
      <c r="D373" s="74" t="str">
        <f>IFERROR(IF(A373="","",'Event Info'!$B$2),"")</f>
        <v/>
      </c>
      <c r="E373" cm="1">
        <f t="array" ref="E373">IF(INDEX('Test schedule'!B:B,ROW()+9)="START",E372+1,E372+0)</f>
        <v>5</v>
      </c>
      <c r="F373" s="82" t="str">
        <f>IF(A373&lt;&gt;"",_xlfn.CONCAT(TEXT(A373,"yyyy-mm-dd"),"T",TEXT(A373,"hh:mm:ss"),'Event Info'!$B$5,",",," ",C373),"")</f>
        <v/>
      </c>
      <c r="G373" t="e">
        <f t="shared" si="10"/>
        <v>#VALUE!</v>
      </c>
      <c r="H373" s="92" t="str">
        <f t="shared" si="11"/>
        <v/>
      </c>
      <c r="I373" s="91">
        <v>0</v>
      </c>
    </row>
    <row r="374" spans="1:9">
      <c r="A374" s="76" t="str" cm="1">
        <f t="array" ref="A37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Calculators'!$B$2+E374)</f>
        <v/>
      </c>
      <c r="B374" s="76" t="str" cm="1">
        <f t="array" ref="B374">IF(OR(A374=""),"",IF(INDEX('Test schedule'!E:E,ROW()+9)="",IF(A375="",A374+$Q$10,A375),INDEX('Test schedule'!E:E,ROW()+9)+'Date Calculators'!$B$2+E374))</f>
        <v/>
      </c>
      <c r="C374" s="74" t="str" cm="1">
        <f t="array" ref="C374">IF(A374="","",INDEX('Test schedule'!J:J,ROW()+9))</f>
        <v/>
      </c>
      <c r="D374" s="74" t="str">
        <f>IFERROR(IF(A374="","",'Event Info'!$B$2),"")</f>
        <v/>
      </c>
      <c r="E374" cm="1">
        <f t="array" ref="E374">IF(INDEX('Test schedule'!B:B,ROW()+9)="START",E373+1,E373+0)</f>
        <v>5</v>
      </c>
      <c r="F374" s="82" t="str">
        <f>IF(A374&lt;&gt;"",_xlfn.CONCAT(TEXT(A374,"yyyy-mm-dd"),"T",TEXT(A374,"hh:mm:ss"),'Event Info'!$B$5,",",," ",C374),"")</f>
        <v/>
      </c>
      <c r="G374" t="e">
        <f t="shared" si="10"/>
        <v>#VALUE!</v>
      </c>
      <c r="H374" s="92" t="str">
        <f t="shared" si="11"/>
        <v/>
      </c>
      <c r="I374" s="88">
        <v>0</v>
      </c>
    </row>
    <row r="375" spans="1:9">
      <c r="A375" s="76" t="str" cm="1">
        <f t="array" ref="A37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Calculators'!$B$2+E375)</f>
        <v/>
      </c>
      <c r="B375" s="76" t="str" cm="1">
        <f t="array" ref="B375">IF(OR(A375=""),"",IF(INDEX('Test schedule'!E:E,ROW()+9)="",IF(A376="",A375+$Q$10,A376),INDEX('Test schedule'!E:E,ROW()+9)+'Date Calculators'!$B$2+E375))</f>
        <v/>
      </c>
      <c r="C375" s="74" t="str" cm="1">
        <f t="array" ref="C375">IF(A375="","",INDEX('Test schedule'!J:J,ROW()+9))</f>
        <v/>
      </c>
      <c r="D375" s="74" t="str">
        <f>IFERROR(IF(A375="","",'Event Info'!$B$2),"")</f>
        <v/>
      </c>
      <c r="E375" cm="1">
        <f t="array" ref="E375">IF(INDEX('Test schedule'!B:B,ROW()+9)="START",E374+1,E374+0)</f>
        <v>5</v>
      </c>
      <c r="F375" s="82" t="str">
        <f>IF(A375&lt;&gt;"",_xlfn.CONCAT(TEXT(A375,"yyyy-mm-dd"),"T",TEXT(A375,"hh:mm:ss"),'Event Info'!$B$5,",",," ",C375),"")</f>
        <v/>
      </c>
      <c r="G375" t="e">
        <f t="shared" si="10"/>
        <v>#VALUE!</v>
      </c>
      <c r="H375" s="92" t="str">
        <f t="shared" si="11"/>
        <v/>
      </c>
      <c r="I375" s="88">
        <v>0</v>
      </c>
    </row>
    <row r="376" spans="1:9" ht="16.899999999999999">
      <c r="A376" s="76" t="str" cm="1">
        <f t="array" ref="A37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Calculators'!$B$2+E376)</f>
        <v/>
      </c>
      <c r="B376" s="76" t="str" cm="1">
        <f t="array" ref="B376">IF(OR(A376=""),"",IF(INDEX('Test schedule'!E:E,ROW()+9)="",IF(A377="",A376+$Q$10,A377),INDEX('Test schedule'!E:E,ROW()+9)+'Date Calculators'!$B$2+E376))</f>
        <v/>
      </c>
      <c r="C376" s="74" t="str" cm="1">
        <f t="array" ref="C376">IF(A376="","",INDEX('Test schedule'!J:J,ROW()+9))</f>
        <v/>
      </c>
      <c r="D376" s="74" t="str">
        <f>IFERROR(IF(A376="","",'Event Info'!$B$2),"")</f>
        <v/>
      </c>
      <c r="E376" cm="1">
        <f t="array" ref="E376">IF(INDEX('Test schedule'!B:B,ROW()+9)="START",E375+1,E375+0)</f>
        <v>5</v>
      </c>
      <c r="F376" s="82" t="str">
        <f>IF(A376&lt;&gt;"",_xlfn.CONCAT(TEXT(A376,"yyyy-mm-dd"),"T",TEXT(A376,"hh:mm:ss"),'Event Info'!$B$5,",",," ",C376),"")</f>
        <v/>
      </c>
      <c r="G376" t="e">
        <f t="shared" si="10"/>
        <v>#VALUE!</v>
      </c>
      <c r="H376" s="92" t="str">
        <f t="shared" si="11"/>
        <v/>
      </c>
      <c r="I376" s="91">
        <v>0</v>
      </c>
    </row>
    <row r="377" spans="1:9">
      <c r="A377" s="76" t="str" cm="1">
        <f t="array" ref="A37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Calculators'!$B$2+E377)</f>
        <v/>
      </c>
      <c r="B377" s="76" t="str" cm="1">
        <f t="array" ref="B377">IF(OR(A377=""),"",IF(INDEX('Test schedule'!E:E,ROW()+9)="",IF(A378="",A377+$Q$10,A378),INDEX('Test schedule'!E:E,ROW()+9)+'Date Calculators'!$B$2+E377))</f>
        <v/>
      </c>
      <c r="C377" s="74" t="str" cm="1">
        <f t="array" ref="C377">IF(A377="","",INDEX('Test schedule'!J:J,ROW()+9))</f>
        <v/>
      </c>
      <c r="D377" s="74" t="str">
        <f>IFERROR(IF(A377="","",'Event Info'!$B$2),"")</f>
        <v/>
      </c>
      <c r="E377" cm="1">
        <f t="array" ref="E377">IF(INDEX('Test schedule'!B:B,ROW()+9)="START",E376+1,E376+0)</f>
        <v>5</v>
      </c>
      <c r="F377" s="82" t="str">
        <f>IF(A377&lt;&gt;"",_xlfn.CONCAT(TEXT(A377,"yyyy-mm-dd"),"T",TEXT(A377,"hh:mm:ss"),'Event Info'!$B$5,",",," ",C377),"")</f>
        <v/>
      </c>
      <c r="G377" t="e">
        <f t="shared" si="10"/>
        <v>#VALUE!</v>
      </c>
      <c r="H377" s="92" t="str">
        <f t="shared" si="11"/>
        <v/>
      </c>
      <c r="I377" s="88">
        <v>0</v>
      </c>
    </row>
    <row r="378" spans="1:9">
      <c r="A378" s="76" t="str" cm="1">
        <f t="array" ref="A37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Calculators'!$B$2+E378)</f>
        <v/>
      </c>
      <c r="B378" s="76" t="str" cm="1">
        <f t="array" ref="B378">IF(OR(A378=""),"",IF(INDEX('Test schedule'!E:E,ROW()+9)="",IF(A379="",A378+$Q$10,A379),INDEX('Test schedule'!E:E,ROW()+9)+'Date Calculators'!$B$2+E378))</f>
        <v/>
      </c>
      <c r="C378" s="74" t="str" cm="1">
        <f t="array" ref="C378">IF(A378="","",INDEX('Test schedule'!J:J,ROW()+9))</f>
        <v/>
      </c>
      <c r="D378" s="74" t="str">
        <f>IFERROR(IF(A378="","",'Event Info'!$B$2),"")</f>
        <v/>
      </c>
      <c r="E378" cm="1">
        <f t="array" ref="E378">IF(INDEX('Test schedule'!B:B,ROW()+9)="START",E377+1,E377+0)</f>
        <v>5</v>
      </c>
      <c r="F378" s="82" t="str">
        <f>IF(A378&lt;&gt;"",_xlfn.CONCAT(TEXT(A378,"yyyy-mm-dd"),"T",TEXT(A378,"hh:mm:ss"),'Event Info'!$B$5,",",," ",C378),"")</f>
        <v/>
      </c>
      <c r="G378" t="e">
        <f t="shared" si="10"/>
        <v>#VALUE!</v>
      </c>
      <c r="H378" s="92" t="str">
        <f t="shared" si="11"/>
        <v/>
      </c>
      <c r="I378" s="88">
        <v>0</v>
      </c>
    </row>
    <row r="379" spans="1:9" ht="16.899999999999999">
      <c r="A379" s="76" t="str" cm="1">
        <f t="array" ref="A37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Calculators'!$B$2+E379)</f>
        <v/>
      </c>
      <c r="B379" s="76" t="str" cm="1">
        <f t="array" ref="B379">IF(OR(A379=""),"",IF(INDEX('Test schedule'!E:E,ROW()+9)="",IF(A380="",A379+$Q$10,A380),INDEX('Test schedule'!E:E,ROW()+9)+'Date Calculators'!$B$2+E379))</f>
        <v/>
      </c>
      <c r="C379" s="74" t="str" cm="1">
        <f t="array" ref="C379">IF(A379="","",INDEX('Test schedule'!J:J,ROW()+9))</f>
        <v/>
      </c>
      <c r="D379" s="74" t="str">
        <f>IFERROR(IF(A379="","",'Event Info'!$B$2),"")</f>
        <v/>
      </c>
      <c r="E379" cm="1">
        <f t="array" ref="E379">IF(INDEX('Test schedule'!B:B,ROW()+9)="START",E378+1,E378+0)</f>
        <v>5</v>
      </c>
      <c r="F379" s="82" t="str">
        <f>IF(A379&lt;&gt;"",_xlfn.CONCAT(TEXT(A379,"yyyy-mm-dd"),"T",TEXT(A379,"hh:mm:ss"),'Event Info'!$B$5,",",," ",C379),"")</f>
        <v/>
      </c>
      <c r="G379" t="e">
        <f t="shared" si="10"/>
        <v>#VALUE!</v>
      </c>
      <c r="H379" s="92" t="str">
        <f t="shared" si="11"/>
        <v/>
      </c>
      <c r="I379" s="91">
        <v>0</v>
      </c>
    </row>
    <row r="380" spans="1:9">
      <c r="A380" s="76" t="str" cm="1">
        <f t="array" ref="A38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Calculators'!$B$2+E380)</f>
        <v/>
      </c>
      <c r="B380" s="76" t="str" cm="1">
        <f t="array" ref="B380">IF(OR(A380=""),"",IF(INDEX('Test schedule'!E:E,ROW()+9)="",IF(A381="",A380+$Q$10,A381),INDEX('Test schedule'!E:E,ROW()+9)+'Date Calculators'!$B$2+E380))</f>
        <v/>
      </c>
      <c r="C380" s="74" t="str" cm="1">
        <f t="array" ref="C380">IF(A380="","",INDEX('Test schedule'!J:J,ROW()+9))</f>
        <v/>
      </c>
      <c r="D380" s="74" t="str">
        <f>IFERROR(IF(A380="","",'Event Info'!$B$2),"")</f>
        <v/>
      </c>
      <c r="E380" cm="1">
        <f t="array" ref="E380">IF(INDEX('Test schedule'!B:B,ROW()+9)="START",E379+1,E379+0)</f>
        <v>5</v>
      </c>
      <c r="F380" s="82" t="str">
        <f>IF(A380&lt;&gt;"",_xlfn.CONCAT(TEXT(A380,"yyyy-mm-dd"),"T",TEXT(A380,"hh:mm:ss"),'Event Info'!$B$5,",",," ",C380),"")</f>
        <v/>
      </c>
      <c r="G380" t="e">
        <f t="shared" si="10"/>
        <v>#VALUE!</v>
      </c>
      <c r="H380" s="92" t="str">
        <f t="shared" si="11"/>
        <v/>
      </c>
      <c r="I380" s="88">
        <v>0</v>
      </c>
    </row>
    <row r="381" spans="1:9">
      <c r="A381" s="76" t="str" cm="1">
        <f t="array" ref="A38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Calculators'!$B$2+E381)</f>
        <v/>
      </c>
      <c r="B381" s="76" t="str" cm="1">
        <f t="array" ref="B381">IF(OR(A381=""),"",IF(INDEX('Test schedule'!E:E,ROW()+9)="",IF(A382="",A381+$Q$10,A382),INDEX('Test schedule'!E:E,ROW()+9)+'Date Calculators'!$B$2+E381))</f>
        <v/>
      </c>
      <c r="C381" s="74" t="str" cm="1">
        <f t="array" ref="C381">IF(A381="","",INDEX('Test schedule'!J:J,ROW()+9))</f>
        <v/>
      </c>
      <c r="D381" s="74" t="str">
        <f>IFERROR(IF(A381="","",'Event Info'!$B$2),"")</f>
        <v/>
      </c>
      <c r="E381" cm="1">
        <f t="array" ref="E381">IF(INDEX('Test schedule'!B:B,ROW()+9)="START",E380+1,E380+0)</f>
        <v>5</v>
      </c>
      <c r="F381" s="82" t="str">
        <f>IF(A381&lt;&gt;"",_xlfn.CONCAT(TEXT(A381,"yyyy-mm-dd"),"T",TEXT(A381,"hh:mm:ss"),'Event Info'!$B$5,",",," ",C381),"")</f>
        <v/>
      </c>
      <c r="G381" t="e">
        <f t="shared" si="10"/>
        <v>#VALUE!</v>
      </c>
      <c r="H381" s="92" t="str">
        <f t="shared" si="11"/>
        <v/>
      </c>
      <c r="I381" s="88">
        <v>0</v>
      </c>
    </row>
    <row r="382" spans="1:9" ht="16.899999999999999">
      <c r="A382" s="76" t="str" cm="1">
        <f t="array" ref="A38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Calculators'!$B$2+E382)</f>
        <v/>
      </c>
      <c r="B382" s="76" t="str" cm="1">
        <f t="array" ref="B382">IF(OR(A382=""),"",IF(INDEX('Test schedule'!E:E,ROW()+9)="",IF(A383="",A382+$Q$10,A383),INDEX('Test schedule'!E:E,ROW()+9)+'Date Calculators'!$B$2+E382))</f>
        <v/>
      </c>
      <c r="C382" s="74" t="str" cm="1">
        <f t="array" ref="C382">IF(A382="","",INDEX('Test schedule'!J:J,ROW()+9))</f>
        <v/>
      </c>
      <c r="D382" s="74" t="str">
        <f>IFERROR(IF(A382="","",'Event Info'!$B$2),"")</f>
        <v/>
      </c>
      <c r="E382" cm="1">
        <f t="array" ref="E382">IF(INDEX('Test schedule'!B:B,ROW()+9)="START",E381+1,E381+0)</f>
        <v>5</v>
      </c>
      <c r="F382" s="82" t="str">
        <f>IF(A382&lt;&gt;"",_xlfn.CONCAT(TEXT(A382,"yyyy-mm-dd"),"T",TEXT(A382,"hh:mm:ss"),'Event Info'!$B$5,",",," ",C382),"")</f>
        <v/>
      </c>
      <c r="G382" t="e">
        <f t="shared" si="10"/>
        <v>#VALUE!</v>
      </c>
      <c r="H382" s="92" t="str">
        <f t="shared" si="11"/>
        <v/>
      </c>
      <c r="I382" s="91">
        <v>0</v>
      </c>
    </row>
    <row r="383" spans="1:9">
      <c r="A383" s="76" t="str" cm="1">
        <f t="array" ref="A38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Calculators'!$B$2+E383)</f>
        <v/>
      </c>
      <c r="B383" s="76" t="str" cm="1">
        <f t="array" ref="B383">IF(OR(A383=""),"",IF(INDEX('Test schedule'!E:E,ROW()+9)="",IF(A384="",A383+$Q$10,A384),INDEX('Test schedule'!E:E,ROW()+9)+'Date Calculators'!$B$2+E383))</f>
        <v/>
      </c>
      <c r="C383" s="74" t="str" cm="1">
        <f t="array" ref="C383">IF(A383="","",INDEX('Test schedule'!J:J,ROW()+9))</f>
        <v/>
      </c>
      <c r="D383" s="74" t="str">
        <f>IFERROR(IF(A383="","",'Event Info'!$B$2),"")</f>
        <v/>
      </c>
      <c r="E383" cm="1">
        <f t="array" ref="E383">IF(INDEX('Test schedule'!B:B,ROW()+9)="START",E382+1,E382+0)</f>
        <v>5</v>
      </c>
      <c r="F383" s="82" t="str">
        <f>IF(A383&lt;&gt;"",_xlfn.CONCAT(TEXT(A383,"yyyy-mm-dd"),"T",TEXT(A383,"hh:mm:ss"),'Event Info'!$B$5,",",," ",C383),"")</f>
        <v/>
      </c>
      <c r="G383" t="e">
        <f t="shared" si="10"/>
        <v>#VALUE!</v>
      </c>
      <c r="H383" s="92" t="str">
        <f t="shared" si="11"/>
        <v/>
      </c>
      <c r="I383" s="88">
        <v>0</v>
      </c>
    </row>
    <row r="384" spans="1:9">
      <c r="A384" s="76" t="str" cm="1">
        <f t="array" ref="A38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Calculators'!$B$2+E384)</f>
        <v/>
      </c>
      <c r="B384" s="76" t="str" cm="1">
        <f t="array" ref="B384">IF(OR(A384=""),"",IF(INDEX('Test schedule'!E:E,ROW()+9)="",IF(A385="",A384+$Q$10,A385),INDEX('Test schedule'!E:E,ROW()+9)+'Date Calculators'!$B$2+E384))</f>
        <v/>
      </c>
      <c r="C384" s="74" t="str" cm="1">
        <f t="array" ref="C384">IF(A384="","",INDEX('Test schedule'!J:J,ROW()+9))</f>
        <v/>
      </c>
      <c r="D384" s="74" t="str">
        <f>IFERROR(IF(A384="","",'Event Info'!$B$2),"")</f>
        <v/>
      </c>
      <c r="E384" cm="1">
        <f t="array" ref="E384">IF(INDEX('Test schedule'!B:B,ROW()+9)="START",E383+1,E383+0)</f>
        <v>5</v>
      </c>
      <c r="F384" s="82" t="str">
        <f>IF(A384&lt;&gt;"",_xlfn.CONCAT(TEXT(A384,"yyyy-mm-dd"),"T",TEXT(A384,"hh:mm:ss"),'Event Info'!$B$5,",",," ",C384),"")</f>
        <v/>
      </c>
      <c r="G384" t="e">
        <f t="shared" si="10"/>
        <v>#VALUE!</v>
      </c>
      <c r="H384" s="92" t="str">
        <f t="shared" si="11"/>
        <v/>
      </c>
      <c r="I384" s="88">
        <v>0</v>
      </c>
    </row>
    <row r="385" spans="1:9" ht="16.899999999999999">
      <c r="A385" s="76" t="str" cm="1">
        <f t="array" ref="A38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Calculators'!$B$2+E385)</f>
        <v/>
      </c>
      <c r="B385" s="76" t="str" cm="1">
        <f t="array" ref="B385">IF(OR(A385=""),"",IF(INDEX('Test schedule'!E:E,ROW()+9)="",IF(A386="",A385+$Q$10,A386),INDEX('Test schedule'!E:E,ROW()+9)+'Date Calculators'!$B$2+E385))</f>
        <v/>
      </c>
      <c r="C385" s="74" t="str" cm="1">
        <f t="array" ref="C385">IF(A385="","",INDEX('Test schedule'!J:J,ROW()+9))</f>
        <v/>
      </c>
      <c r="D385" s="74" t="str">
        <f>IFERROR(IF(A385="","",'Event Info'!$B$2),"")</f>
        <v/>
      </c>
      <c r="E385" cm="1">
        <f t="array" ref="E385">IF(INDEX('Test schedule'!B:B,ROW()+9)="START",E384+1,E384+0)</f>
        <v>5</v>
      </c>
      <c r="F385" s="82" t="str">
        <f>IF(A385&lt;&gt;"",_xlfn.CONCAT(TEXT(A385,"yyyy-mm-dd"),"T",TEXT(A385,"hh:mm:ss"),'Event Info'!$B$5,",",," ",C385),"")</f>
        <v/>
      </c>
      <c r="G385" t="e">
        <f t="shared" si="10"/>
        <v>#VALUE!</v>
      </c>
      <c r="H385" s="92" t="str">
        <f t="shared" si="11"/>
        <v/>
      </c>
      <c r="I385" s="91">
        <v>0</v>
      </c>
    </row>
    <row r="386" spans="1:9">
      <c r="A386" s="76" t="str" cm="1">
        <f t="array" ref="A38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Calculators'!$B$2+E386)</f>
        <v/>
      </c>
      <c r="B386" s="76" t="str" cm="1">
        <f t="array" ref="B386">IF(OR(A386=""),"",IF(INDEX('Test schedule'!E:E,ROW()+9)="",IF(A387="",A386+$Q$10,A387),INDEX('Test schedule'!E:E,ROW()+9)+'Date Calculators'!$B$2+E386))</f>
        <v/>
      </c>
      <c r="C386" s="74" t="str" cm="1">
        <f t="array" ref="C386">IF(A386="","",INDEX('Test schedule'!J:J,ROW()+9))</f>
        <v/>
      </c>
      <c r="D386" s="74" t="str">
        <f>IFERROR(IF(A386="","",'Event Info'!$B$2),"")</f>
        <v/>
      </c>
      <c r="E386" cm="1">
        <f t="array" ref="E386">IF(INDEX('Test schedule'!B:B,ROW()+9)="START",E385+1,E385+0)</f>
        <v>5</v>
      </c>
      <c r="F386" s="82" t="str">
        <f>IF(A386&lt;&gt;"",_xlfn.CONCAT(TEXT(A386,"yyyy-mm-dd"),"T",TEXT(A386,"hh:mm:ss"),'Event Info'!$B$5,",",," ",C386),"")</f>
        <v/>
      </c>
      <c r="G386" t="e">
        <f t="shared" si="10"/>
        <v>#VALUE!</v>
      </c>
      <c r="H386" s="92" t="str">
        <f t="shared" si="11"/>
        <v/>
      </c>
      <c r="I386" s="88">
        <v>0</v>
      </c>
    </row>
    <row r="387" spans="1:9">
      <c r="A387" s="76" t="str" cm="1">
        <f t="array" ref="A38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Calculators'!$B$2+E387)</f>
        <v/>
      </c>
      <c r="B387" s="76" t="str" cm="1">
        <f t="array" ref="B387">IF(OR(A387=""),"",IF(INDEX('Test schedule'!E:E,ROW()+9)="",IF(A388="",A387+$Q$10,A388),INDEX('Test schedule'!E:E,ROW()+9)+'Date Calculators'!$B$2+E387))</f>
        <v/>
      </c>
      <c r="C387" s="74" t="str" cm="1">
        <f t="array" ref="C387">IF(A387="","",INDEX('Test schedule'!J:J,ROW()+9))</f>
        <v/>
      </c>
      <c r="D387" s="74" t="str">
        <f>IFERROR(IF(A387="","",'Event Info'!$B$2),"")</f>
        <v/>
      </c>
      <c r="E387" cm="1">
        <f t="array" ref="E387">IF(INDEX('Test schedule'!B:B,ROW()+9)="START",E386+1,E386+0)</f>
        <v>5</v>
      </c>
      <c r="F387" s="82" t="str">
        <f>IF(A387&lt;&gt;"",_xlfn.CONCAT(TEXT(A387,"yyyy-mm-dd"),"T",TEXT(A387,"hh:mm:ss"),'Event Info'!$B$5,",",," ",C387),"")</f>
        <v/>
      </c>
      <c r="G387" t="e">
        <f t="shared" ref="G387:G450" si="12">G386+IF(A387&lt;&gt;"",1,0)</f>
        <v>#VALUE!</v>
      </c>
      <c r="H387" s="92" t="str">
        <f t="shared" si="11"/>
        <v/>
      </c>
      <c r="I387" s="88">
        <v>0</v>
      </c>
    </row>
    <row r="388" spans="1:9" ht="16.899999999999999">
      <c r="A388" s="76" t="str" cm="1">
        <f t="array" ref="A38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Calculators'!$B$2+E388)</f>
        <v/>
      </c>
      <c r="B388" s="76" t="str" cm="1">
        <f t="array" ref="B388">IF(OR(A388=""),"",IF(INDEX('Test schedule'!E:E,ROW()+9)="",IF(A389="",A388+$Q$10,A389),INDEX('Test schedule'!E:E,ROW()+9)+'Date Calculators'!$B$2+E388))</f>
        <v/>
      </c>
      <c r="C388" s="74" t="str" cm="1">
        <f t="array" ref="C388">IF(A388="","",INDEX('Test schedule'!J:J,ROW()+9))</f>
        <v/>
      </c>
      <c r="D388" s="74" t="str">
        <f>IFERROR(IF(A388="","",'Event Info'!$B$2),"")</f>
        <v/>
      </c>
      <c r="E388" cm="1">
        <f t="array" ref="E388">IF(INDEX('Test schedule'!B:B,ROW()+9)="START",E387+1,E387+0)</f>
        <v>5</v>
      </c>
      <c r="F388" s="82" t="str">
        <f>IF(A388&lt;&gt;"",_xlfn.CONCAT(TEXT(A388,"yyyy-mm-dd"),"T",TEXT(A388,"hh:mm:ss"),'Event Info'!$B$5,",",," ",C388),"")</f>
        <v/>
      </c>
      <c r="G388" t="e">
        <f t="shared" si="12"/>
        <v>#VALUE!</v>
      </c>
      <c r="H388" s="92" t="str">
        <f t="shared" ref="H388:H451" si="13">IFERROR(INDEX($F$2:$F$500,MATCH(ROW()-1,$G$2:$G$500,0)),"")</f>
        <v/>
      </c>
      <c r="I388" s="91">
        <v>0</v>
      </c>
    </row>
    <row r="389" spans="1:9">
      <c r="A389" s="76" t="str" cm="1">
        <f t="array" ref="A38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Calculators'!$B$2+E389)</f>
        <v/>
      </c>
      <c r="B389" s="76" t="str" cm="1">
        <f t="array" ref="B389">IF(OR(A389=""),"",IF(INDEX('Test schedule'!E:E,ROW()+9)="",IF(A390="",A389+$Q$10,A390),INDEX('Test schedule'!E:E,ROW()+9)+'Date Calculators'!$B$2+E389))</f>
        <v/>
      </c>
      <c r="C389" s="74" t="str" cm="1">
        <f t="array" ref="C389">IF(A389="","",INDEX('Test schedule'!J:J,ROW()+9))</f>
        <v/>
      </c>
      <c r="D389" s="74" t="str">
        <f>IFERROR(IF(A389="","",'Event Info'!$B$2),"")</f>
        <v/>
      </c>
      <c r="E389" cm="1">
        <f t="array" ref="E389">IF(INDEX('Test schedule'!B:B,ROW()+9)="START",E388+1,E388+0)</f>
        <v>5</v>
      </c>
      <c r="F389" s="82" t="str">
        <f>IF(A389&lt;&gt;"",_xlfn.CONCAT(TEXT(A389,"yyyy-mm-dd"),"T",TEXT(A389,"hh:mm:ss"),'Event Info'!$B$5,",",," ",C389),"")</f>
        <v/>
      </c>
      <c r="G389" t="e">
        <f t="shared" si="12"/>
        <v>#VALUE!</v>
      </c>
      <c r="H389" s="92" t="str">
        <f t="shared" si="13"/>
        <v/>
      </c>
      <c r="I389" s="88">
        <v>0</v>
      </c>
    </row>
    <row r="390" spans="1:9">
      <c r="A390" s="76" t="str" cm="1">
        <f t="array" ref="A39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Calculators'!$B$2+E390)</f>
        <v/>
      </c>
      <c r="B390" s="76" t="str" cm="1">
        <f t="array" ref="B390">IF(OR(A390=""),"",IF(INDEX('Test schedule'!E:E,ROW()+9)="",IF(A391="",A390+$Q$10,A391),INDEX('Test schedule'!E:E,ROW()+9)+'Date Calculators'!$B$2+E390))</f>
        <v/>
      </c>
      <c r="C390" s="74" t="str" cm="1">
        <f t="array" ref="C390">IF(A390="","",INDEX('Test schedule'!J:J,ROW()+9))</f>
        <v/>
      </c>
      <c r="D390" s="74" t="str">
        <f>IFERROR(IF(A390="","",'Event Info'!$B$2),"")</f>
        <v/>
      </c>
      <c r="E390" cm="1">
        <f t="array" ref="E390">IF(INDEX('Test schedule'!B:B,ROW()+9)="START",E389+1,E389+0)</f>
        <v>5</v>
      </c>
      <c r="F390" s="82" t="str">
        <f>IF(A390&lt;&gt;"",_xlfn.CONCAT(TEXT(A390,"yyyy-mm-dd"),"T",TEXT(A390,"hh:mm:ss"),'Event Info'!$B$5,",",," ",C390),"")</f>
        <v/>
      </c>
      <c r="G390" t="e">
        <f t="shared" si="12"/>
        <v>#VALUE!</v>
      </c>
      <c r="H390" s="92" t="str">
        <f t="shared" si="13"/>
        <v/>
      </c>
      <c r="I390" s="88">
        <v>0</v>
      </c>
    </row>
    <row r="391" spans="1:9" ht="16.899999999999999">
      <c r="A391" s="76" t="str" cm="1">
        <f t="array" ref="A39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Calculators'!$B$2+E391)</f>
        <v/>
      </c>
      <c r="B391" s="76" t="str" cm="1">
        <f t="array" ref="B391">IF(OR(A391=""),"",IF(INDEX('Test schedule'!E:E,ROW()+9)="",IF(A392="",A391+$Q$10,A392),INDEX('Test schedule'!E:E,ROW()+9)+'Date Calculators'!$B$2+E391))</f>
        <v/>
      </c>
      <c r="C391" s="74" t="str" cm="1">
        <f t="array" ref="C391">IF(A391="","",INDEX('Test schedule'!J:J,ROW()+9))</f>
        <v/>
      </c>
      <c r="D391" s="74" t="str">
        <f>IFERROR(IF(A391="","",'Event Info'!$B$2),"")</f>
        <v/>
      </c>
      <c r="E391" cm="1">
        <f t="array" ref="E391">IF(INDEX('Test schedule'!B:B,ROW()+9)="START",E390+1,E390+0)</f>
        <v>5</v>
      </c>
      <c r="F391" s="82" t="str">
        <f>IF(A391&lt;&gt;"",_xlfn.CONCAT(TEXT(A391,"yyyy-mm-dd"),"T",TEXT(A391,"hh:mm:ss"),'Event Info'!$B$5,",",," ",C391),"")</f>
        <v/>
      </c>
      <c r="G391" t="e">
        <f t="shared" si="12"/>
        <v>#VALUE!</v>
      </c>
      <c r="H391" s="92" t="str">
        <f t="shared" si="13"/>
        <v/>
      </c>
      <c r="I391" s="91">
        <v>0</v>
      </c>
    </row>
    <row r="392" spans="1:9">
      <c r="A392" s="76" t="str" cm="1">
        <f t="array" ref="A39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Calculators'!$B$2+E392)</f>
        <v/>
      </c>
      <c r="B392" s="76" t="str" cm="1">
        <f t="array" ref="B392">IF(OR(A392=""),"",IF(INDEX('Test schedule'!E:E,ROW()+9)="",IF(A393="",A392+$Q$10,A393),INDEX('Test schedule'!E:E,ROW()+9)+'Date Calculators'!$B$2+E392))</f>
        <v/>
      </c>
      <c r="C392" s="74" t="str" cm="1">
        <f t="array" ref="C392">IF(A392="","",INDEX('Test schedule'!J:J,ROW()+9))</f>
        <v/>
      </c>
      <c r="D392" s="74" t="str">
        <f>IFERROR(IF(A392="","",'Event Info'!$B$2),"")</f>
        <v/>
      </c>
      <c r="E392" cm="1">
        <f t="array" ref="E392">IF(INDEX('Test schedule'!B:B,ROW()+9)="START",E391+1,E391+0)</f>
        <v>5</v>
      </c>
      <c r="F392" s="82" t="str">
        <f>IF(A392&lt;&gt;"",_xlfn.CONCAT(TEXT(A392,"yyyy-mm-dd"),"T",TEXT(A392,"hh:mm:ss"),'Event Info'!$B$5,",",," ",C392),"")</f>
        <v/>
      </c>
      <c r="G392" t="e">
        <f t="shared" si="12"/>
        <v>#VALUE!</v>
      </c>
      <c r="H392" s="92" t="str">
        <f t="shared" si="13"/>
        <v/>
      </c>
      <c r="I392" s="88">
        <v>0</v>
      </c>
    </row>
    <row r="393" spans="1:9">
      <c r="A393" s="76" t="str" cm="1">
        <f t="array" ref="A39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Calculators'!$B$2+E393)</f>
        <v/>
      </c>
      <c r="B393" s="76" t="str" cm="1">
        <f t="array" ref="B393">IF(OR(A393=""),"",IF(INDEX('Test schedule'!E:E,ROW()+9)="",IF(A394="",A393+$Q$10,A394),INDEX('Test schedule'!E:E,ROW()+9)+'Date Calculators'!$B$2+E393))</f>
        <v/>
      </c>
      <c r="C393" s="74" t="str" cm="1">
        <f t="array" ref="C393">IF(A393="","",INDEX('Test schedule'!J:J,ROW()+9))</f>
        <v/>
      </c>
      <c r="D393" s="74" t="str">
        <f>IFERROR(IF(A393="","",'Event Info'!$B$2),"")</f>
        <v/>
      </c>
      <c r="E393" cm="1">
        <f t="array" ref="E393">IF(INDEX('Test schedule'!B:B,ROW()+9)="START",E392+1,E392+0)</f>
        <v>5</v>
      </c>
      <c r="F393" s="82" t="str">
        <f>IF(A393&lt;&gt;"",_xlfn.CONCAT(TEXT(A393,"yyyy-mm-dd"),"T",TEXT(A393,"hh:mm:ss"),'Event Info'!$B$5,",",," ",C393),"")</f>
        <v/>
      </c>
      <c r="G393" t="e">
        <f t="shared" si="12"/>
        <v>#VALUE!</v>
      </c>
      <c r="H393" s="92" t="str">
        <f t="shared" si="13"/>
        <v/>
      </c>
      <c r="I393" s="88">
        <v>0</v>
      </c>
    </row>
    <row r="394" spans="1:9" ht="16.899999999999999">
      <c r="A394" s="76" t="str" cm="1">
        <f t="array" ref="A39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Calculators'!$B$2+E394)</f>
        <v/>
      </c>
      <c r="B394" s="76" t="str" cm="1">
        <f t="array" ref="B394">IF(OR(A394=""),"",IF(INDEX('Test schedule'!E:E,ROW()+9)="",IF(A395="",A394+$Q$10,A395),INDEX('Test schedule'!E:E,ROW()+9)+'Date Calculators'!$B$2+E394))</f>
        <v/>
      </c>
      <c r="C394" s="74" t="str" cm="1">
        <f t="array" ref="C394">IF(A394="","",INDEX('Test schedule'!J:J,ROW()+9))</f>
        <v/>
      </c>
      <c r="D394" s="74" t="str">
        <f>IFERROR(IF(A394="","",'Event Info'!$B$2),"")</f>
        <v/>
      </c>
      <c r="E394" cm="1">
        <f t="array" ref="E394">IF(INDEX('Test schedule'!B:B,ROW()+9)="START",E393+1,E393+0)</f>
        <v>5</v>
      </c>
      <c r="F394" s="82" t="str">
        <f>IF(A394&lt;&gt;"",_xlfn.CONCAT(TEXT(A394,"yyyy-mm-dd"),"T",TEXT(A394,"hh:mm:ss"),'Event Info'!$B$5,",",," ",C394),"")</f>
        <v/>
      </c>
      <c r="G394" t="e">
        <f t="shared" si="12"/>
        <v>#VALUE!</v>
      </c>
      <c r="H394" s="92" t="str">
        <f t="shared" si="13"/>
        <v/>
      </c>
      <c r="I394" s="91">
        <v>0</v>
      </c>
    </row>
    <row r="395" spans="1:9">
      <c r="A395" s="76" t="str" cm="1">
        <f t="array" ref="A39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Calculators'!$B$2+E395)</f>
        <v/>
      </c>
      <c r="B395" s="76" t="str" cm="1">
        <f t="array" ref="B395">IF(OR(A395=""),"",IF(INDEX('Test schedule'!E:E,ROW()+9)="",IF(A396="",A395+$Q$10,A396),INDEX('Test schedule'!E:E,ROW()+9)+'Date Calculators'!$B$2+E395))</f>
        <v/>
      </c>
      <c r="C395" s="74" t="str" cm="1">
        <f t="array" ref="C395">IF(A395="","",INDEX('Test schedule'!J:J,ROW()+9))</f>
        <v/>
      </c>
      <c r="D395" s="74" t="str">
        <f>IFERROR(IF(A395="","",'Event Info'!$B$2),"")</f>
        <v/>
      </c>
      <c r="E395" cm="1">
        <f t="array" ref="E395">IF(INDEX('Test schedule'!B:B,ROW()+9)="START",E394+1,E394+0)</f>
        <v>5</v>
      </c>
      <c r="F395" s="82" t="str">
        <f>IF(A395&lt;&gt;"",_xlfn.CONCAT(TEXT(A395,"yyyy-mm-dd"),"T",TEXT(A395,"hh:mm:ss"),'Event Info'!$B$5,",",," ",C395),"")</f>
        <v/>
      </c>
      <c r="G395" t="e">
        <f t="shared" si="12"/>
        <v>#VALUE!</v>
      </c>
      <c r="H395" s="92" t="str">
        <f t="shared" si="13"/>
        <v/>
      </c>
      <c r="I395" s="88">
        <v>0</v>
      </c>
    </row>
    <row r="396" spans="1:9">
      <c r="A396" s="76" t="str" cm="1">
        <f t="array" ref="A39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Calculators'!$B$2+E396)</f>
        <v/>
      </c>
      <c r="B396" s="76" t="str" cm="1">
        <f t="array" ref="B396">IF(OR(A396=""),"",IF(INDEX('Test schedule'!E:E,ROW()+9)="",IF(A397="",A396+$Q$10,A397),INDEX('Test schedule'!E:E,ROW()+9)+'Date Calculators'!$B$2+E396))</f>
        <v/>
      </c>
      <c r="C396" s="74" t="str" cm="1">
        <f t="array" ref="C396">IF(A396="","",INDEX('Test schedule'!J:J,ROW()+9))</f>
        <v/>
      </c>
      <c r="D396" s="74" t="str">
        <f>IFERROR(IF(A396="","",'Event Info'!$B$2),"")</f>
        <v/>
      </c>
      <c r="E396" cm="1">
        <f t="array" ref="E396">IF(INDEX('Test schedule'!B:B,ROW()+9)="START",E395+1,E395+0)</f>
        <v>5</v>
      </c>
      <c r="F396" s="82" t="str">
        <f>IF(A396&lt;&gt;"",_xlfn.CONCAT(TEXT(A396,"yyyy-mm-dd"),"T",TEXT(A396,"hh:mm:ss"),'Event Info'!$B$5,",",," ",C396),"")</f>
        <v/>
      </c>
      <c r="G396" t="e">
        <f t="shared" si="12"/>
        <v>#VALUE!</v>
      </c>
      <c r="H396" s="92" t="str">
        <f t="shared" si="13"/>
        <v/>
      </c>
      <c r="I396" s="88">
        <v>0</v>
      </c>
    </row>
    <row r="397" spans="1:9" ht="16.899999999999999">
      <c r="A397" s="76" t="str" cm="1">
        <f t="array" ref="A39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Calculators'!$B$2+E397)</f>
        <v/>
      </c>
      <c r="B397" s="76" t="str" cm="1">
        <f t="array" ref="B397">IF(OR(A397=""),"",IF(INDEX('Test schedule'!E:E,ROW()+9)="",IF(A398="",A397+$Q$10,A398),INDEX('Test schedule'!E:E,ROW()+9)+'Date Calculators'!$B$2+E397))</f>
        <v/>
      </c>
      <c r="C397" s="74" t="str" cm="1">
        <f t="array" ref="C397">IF(A397="","",INDEX('Test schedule'!J:J,ROW()+9))</f>
        <v/>
      </c>
      <c r="D397" s="74" t="str">
        <f>IFERROR(IF(A397="","",'Event Info'!$B$2),"")</f>
        <v/>
      </c>
      <c r="E397" cm="1">
        <f t="array" ref="E397">IF(INDEX('Test schedule'!B:B,ROW()+9)="START",E396+1,E396+0)</f>
        <v>5</v>
      </c>
      <c r="F397" s="82" t="str">
        <f>IF(A397&lt;&gt;"",_xlfn.CONCAT(TEXT(A397,"yyyy-mm-dd"),"T",TEXT(A397,"hh:mm:ss"),'Event Info'!$B$5,",",," ",C397),"")</f>
        <v/>
      </c>
      <c r="G397" t="e">
        <f t="shared" si="12"/>
        <v>#VALUE!</v>
      </c>
      <c r="H397" s="92" t="str">
        <f t="shared" si="13"/>
        <v/>
      </c>
      <c r="I397" s="91">
        <v>0</v>
      </c>
    </row>
    <row r="398" spans="1:9">
      <c r="A398" s="76" t="str" cm="1">
        <f t="array" ref="A39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Calculators'!$B$2+E398)</f>
        <v/>
      </c>
      <c r="B398" s="76" t="str" cm="1">
        <f t="array" ref="B398">IF(OR(A398=""),"",IF(INDEX('Test schedule'!E:E,ROW()+9)="",IF(A399="",A398+$Q$10,A399),INDEX('Test schedule'!E:E,ROW()+9)+'Date Calculators'!$B$2+E398))</f>
        <v/>
      </c>
      <c r="C398" s="74" t="str" cm="1">
        <f t="array" ref="C398">IF(A398="","",INDEX('Test schedule'!J:J,ROW()+9))</f>
        <v/>
      </c>
      <c r="D398" s="74" t="str">
        <f>IFERROR(IF(A398="","",'Event Info'!$B$2),"")</f>
        <v/>
      </c>
      <c r="E398" cm="1">
        <f t="array" ref="E398">IF(INDEX('Test schedule'!B:B,ROW()+9)="START",E397+1,E397+0)</f>
        <v>5</v>
      </c>
      <c r="F398" s="82" t="str">
        <f>IF(A398&lt;&gt;"",_xlfn.CONCAT(TEXT(A398,"yyyy-mm-dd"),"T",TEXT(A398,"hh:mm:ss"),'Event Info'!$B$5,",",," ",C398),"")</f>
        <v/>
      </c>
      <c r="G398" t="e">
        <f t="shared" si="12"/>
        <v>#VALUE!</v>
      </c>
      <c r="H398" s="92" t="str">
        <f t="shared" si="13"/>
        <v/>
      </c>
      <c r="I398" s="88">
        <v>0</v>
      </c>
    </row>
    <row r="399" spans="1:9">
      <c r="A399" s="76" t="str" cm="1">
        <f t="array" ref="A39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Calculators'!$B$2+E399)</f>
        <v/>
      </c>
      <c r="B399" s="76" t="str" cm="1">
        <f t="array" ref="B399">IF(OR(A399=""),"",IF(INDEX('Test schedule'!E:E,ROW()+9)="",IF(A400="",A399+$Q$10,A400),INDEX('Test schedule'!E:E,ROW()+9)+'Date Calculators'!$B$2+E399))</f>
        <v/>
      </c>
      <c r="C399" s="74" t="str" cm="1">
        <f t="array" ref="C399">IF(A399="","",INDEX('Test schedule'!J:J,ROW()+9))</f>
        <v/>
      </c>
      <c r="D399" s="74" t="str">
        <f>IFERROR(IF(A399="","",'Event Info'!$B$2),"")</f>
        <v/>
      </c>
      <c r="E399" cm="1">
        <f t="array" ref="E399">IF(INDEX('Test schedule'!B:B,ROW()+9)="START",E398+1,E398+0)</f>
        <v>5</v>
      </c>
      <c r="F399" s="82" t="str">
        <f>IF(A399&lt;&gt;"",_xlfn.CONCAT(TEXT(A399,"yyyy-mm-dd"),"T",TEXT(A399,"hh:mm:ss"),'Event Info'!$B$5,",",," ",C399),"")</f>
        <v/>
      </c>
      <c r="G399" t="e">
        <f t="shared" si="12"/>
        <v>#VALUE!</v>
      </c>
      <c r="H399" s="92" t="str">
        <f t="shared" si="13"/>
        <v/>
      </c>
      <c r="I399" s="88">
        <v>0</v>
      </c>
    </row>
    <row r="400" spans="1:9" ht="16.899999999999999">
      <c r="A400" s="76" t="str" cm="1">
        <f t="array" ref="A40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Calculators'!$B$2+E400)</f>
        <v/>
      </c>
      <c r="B400" s="76" t="str" cm="1">
        <f t="array" ref="B400">IF(OR(A400=""),"",IF(INDEX('Test schedule'!E:E,ROW()+9)="",IF(A401="",A400+$Q$10,A401),INDEX('Test schedule'!E:E,ROW()+9)+'Date Calculators'!$B$2+E400))</f>
        <v/>
      </c>
      <c r="C400" s="74" t="str" cm="1">
        <f t="array" ref="C400">IF(A400="","",INDEX('Test schedule'!J:J,ROW()+9))</f>
        <v/>
      </c>
      <c r="D400" s="74" t="str">
        <f>IFERROR(IF(A400="","",'Event Info'!$B$2),"")</f>
        <v/>
      </c>
      <c r="E400" cm="1">
        <f t="array" ref="E400">IF(INDEX('Test schedule'!B:B,ROW()+9)="START",E399+1,E399+0)</f>
        <v>5</v>
      </c>
      <c r="F400" s="82" t="str">
        <f>IF(A400&lt;&gt;"",_xlfn.CONCAT(TEXT(A400,"yyyy-mm-dd"),"T",TEXT(A400,"hh:mm:ss"),'Event Info'!$B$5,",",," ",C400),"")</f>
        <v/>
      </c>
      <c r="G400" t="e">
        <f t="shared" si="12"/>
        <v>#VALUE!</v>
      </c>
      <c r="H400" s="92" t="str">
        <f t="shared" si="13"/>
        <v/>
      </c>
      <c r="I400" s="91">
        <v>0</v>
      </c>
    </row>
    <row r="401" spans="1:9">
      <c r="A401" s="76" t="str" cm="1">
        <f t="array" ref="A40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Calculators'!$B$2+E401)</f>
        <v/>
      </c>
      <c r="B401" s="76" t="str" cm="1">
        <f t="array" ref="B401">IF(OR(A401=""),"",IF(INDEX('Test schedule'!E:E,ROW()+9)="",IF(A402="",A401+$Q$10,A402),INDEX('Test schedule'!E:E,ROW()+9)+'Date Calculators'!$B$2+E401))</f>
        <v/>
      </c>
      <c r="C401" s="74" t="str" cm="1">
        <f t="array" ref="C401">IF(A401="","",INDEX('Test schedule'!J:J,ROW()+9))</f>
        <v/>
      </c>
      <c r="D401" s="74" t="str">
        <f>IFERROR(IF(A401="","",'Event Info'!$B$2),"")</f>
        <v/>
      </c>
      <c r="E401" cm="1">
        <f t="array" ref="E401">IF(INDEX('Test schedule'!B:B,ROW()+9)="START",E400+1,E400+0)</f>
        <v>5</v>
      </c>
      <c r="F401" s="82" t="str">
        <f>IF(A401&lt;&gt;"",_xlfn.CONCAT(TEXT(A401,"yyyy-mm-dd"),"T",TEXT(A401,"hh:mm:ss"),'Event Info'!$B$5,",",," ",C401),"")</f>
        <v/>
      </c>
      <c r="G401" t="e">
        <f t="shared" si="12"/>
        <v>#VALUE!</v>
      </c>
      <c r="H401" s="92" t="str">
        <f t="shared" si="13"/>
        <v/>
      </c>
      <c r="I401" s="88">
        <v>0</v>
      </c>
    </row>
    <row r="402" spans="1:9">
      <c r="A402" s="76" t="str" cm="1">
        <f t="array" ref="A40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Calculators'!$B$2+E402)</f>
        <v/>
      </c>
      <c r="B402" s="76" t="str" cm="1">
        <f t="array" ref="B402">IF(OR(A402=""),"",IF(INDEX('Test schedule'!E:E,ROW()+9)="",IF(A403="",A402+$Q$10,A403),INDEX('Test schedule'!E:E,ROW()+9)+'Date Calculators'!$B$2+E402))</f>
        <v/>
      </c>
      <c r="C402" s="74" t="str" cm="1">
        <f t="array" ref="C402">IF(A402="","",INDEX('Test schedule'!J:J,ROW()+9))</f>
        <v/>
      </c>
      <c r="D402" s="74" t="str">
        <f>IFERROR(IF(A402="","",'Event Info'!$B$2),"")</f>
        <v/>
      </c>
      <c r="E402" cm="1">
        <f t="array" ref="E402">IF(INDEX('Test schedule'!B:B,ROW()+9)="START",E401+1,E401+0)</f>
        <v>5</v>
      </c>
      <c r="F402" s="82" t="str">
        <f>IF(A402&lt;&gt;"",_xlfn.CONCAT(TEXT(A402,"yyyy-mm-dd"),"T",TEXT(A402,"hh:mm:ss"),'Event Info'!$B$5,",",," ",C402),"")</f>
        <v/>
      </c>
      <c r="G402" t="e">
        <f t="shared" si="12"/>
        <v>#VALUE!</v>
      </c>
      <c r="H402" s="92" t="str">
        <f t="shared" si="13"/>
        <v/>
      </c>
      <c r="I402" s="88">
        <v>0</v>
      </c>
    </row>
    <row r="403" spans="1:9" ht="16.899999999999999">
      <c r="A403" s="76" t="str" cm="1">
        <f t="array" ref="A40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Calculators'!$B$2+E403)</f>
        <v/>
      </c>
      <c r="B403" s="76" t="str" cm="1">
        <f t="array" ref="B403">IF(OR(A403=""),"",IF(INDEX('Test schedule'!E:E,ROW()+9)="",IF(A404="",A403+$Q$10,A404),INDEX('Test schedule'!E:E,ROW()+9)+'Date Calculators'!$B$2+E403))</f>
        <v/>
      </c>
      <c r="C403" s="74" t="str" cm="1">
        <f t="array" ref="C403">IF(A403="","",INDEX('Test schedule'!J:J,ROW()+9))</f>
        <v/>
      </c>
      <c r="D403" s="74" t="str">
        <f>IFERROR(IF(A403="","",'Event Info'!$B$2),"")</f>
        <v/>
      </c>
      <c r="E403" cm="1">
        <f t="array" ref="E403">IF(INDEX('Test schedule'!B:B,ROW()+9)="START",E402+1,E402+0)</f>
        <v>5</v>
      </c>
      <c r="F403" s="82" t="str">
        <f>IF(A403&lt;&gt;"",_xlfn.CONCAT(TEXT(A403,"yyyy-mm-dd"),"T",TEXT(A403,"hh:mm:ss"),'Event Info'!$B$5,",",," ",C403),"")</f>
        <v/>
      </c>
      <c r="G403" t="e">
        <f t="shared" si="12"/>
        <v>#VALUE!</v>
      </c>
      <c r="H403" s="92" t="str">
        <f t="shared" si="13"/>
        <v/>
      </c>
      <c r="I403" s="91">
        <v>0</v>
      </c>
    </row>
    <row r="404" spans="1:9">
      <c r="A404" s="76" t="str" cm="1">
        <f t="array" ref="A40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Calculators'!$B$2+E404)</f>
        <v/>
      </c>
      <c r="B404" s="76" t="str" cm="1">
        <f t="array" ref="B404">IF(OR(A404=""),"",IF(INDEX('Test schedule'!E:E,ROW()+9)="",IF(A405="",A404+$Q$10,A405),INDEX('Test schedule'!E:E,ROW()+9)+'Date Calculators'!$B$2+E404))</f>
        <v/>
      </c>
      <c r="C404" s="74" t="str" cm="1">
        <f t="array" ref="C404">IF(A404="","",INDEX('Test schedule'!J:J,ROW()+9))</f>
        <v/>
      </c>
      <c r="D404" s="74" t="str">
        <f>IFERROR(IF(A404="","",'Event Info'!$B$2),"")</f>
        <v/>
      </c>
      <c r="E404" cm="1">
        <f t="array" ref="E404">IF(INDEX('Test schedule'!B:B,ROW()+9)="START",E403+1,E403+0)</f>
        <v>5</v>
      </c>
      <c r="F404" s="82" t="str">
        <f>IF(A404&lt;&gt;"",_xlfn.CONCAT(TEXT(A404,"yyyy-mm-dd"),"T",TEXT(A404,"hh:mm:ss"),'Event Info'!$B$5,",",," ",C404),"")</f>
        <v/>
      </c>
      <c r="G404" t="e">
        <f t="shared" si="12"/>
        <v>#VALUE!</v>
      </c>
      <c r="H404" s="92" t="str">
        <f t="shared" si="13"/>
        <v/>
      </c>
      <c r="I404" s="88">
        <v>0</v>
      </c>
    </row>
    <row r="405" spans="1:9">
      <c r="A405" s="76" t="str" cm="1">
        <f t="array" ref="A40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Calculators'!$B$2+E405)</f>
        <v/>
      </c>
      <c r="B405" s="76" t="str" cm="1">
        <f t="array" ref="B405">IF(OR(A405=""),"",IF(INDEX('Test schedule'!E:E,ROW()+9)="",IF(A406="",A405+$Q$10,A406),INDEX('Test schedule'!E:E,ROW()+9)+'Date Calculators'!$B$2+E405))</f>
        <v/>
      </c>
      <c r="C405" s="74" t="str" cm="1">
        <f t="array" ref="C405">IF(A405="","",INDEX('Test schedule'!J:J,ROW()+9))</f>
        <v/>
      </c>
      <c r="D405" s="74" t="str">
        <f>IFERROR(IF(A405="","",'Event Info'!$B$2),"")</f>
        <v/>
      </c>
      <c r="E405" cm="1">
        <f t="array" ref="E405">IF(INDEX('Test schedule'!B:B,ROW()+9)="START",E404+1,E404+0)</f>
        <v>5</v>
      </c>
      <c r="F405" s="82" t="str">
        <f>IF(A405&lt;&gt;"",_xlfn.CONCAT(TEXT(A405,"yyyy-mm-dd"),"T",TEXT(A405,"hh:mm:ss"),'Event Info'!$B$5,",",," ",C405),"")</f>
        <v/>
      </c>
      <c r="G405" t="e">
        <f t="shared" si="12"/>
        <v>#VALUE!</v>
      </c>
      <c r="H405" s="92" t="str">
        <f t="shared" si="13"/>
        <v/>
      </c>
      <c r="I405" s="88">
        <v>0</v>
      </c>
    </row>
    <row r="406" spans="1:9" ht="16.899999999999999">
      <c r="A406" s="76" t="str" cm="1">
        <f t="array" ref="A40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Calculators'!$B$2+E406)</f>
        <v/>
      </c>
      <c r="B406" s="76" t="str" cm="1">
        <f t="array" ref="B406">IF(OR(A406=""),"",IF(INDEX('Test schedule'!E:E,ROW()+9)="",IF(A407="",A406+$Q$10,A407),INDEX('Test schedule'!E:E,ROW()+9)+'Date Calculators'!$B$2+E406))</f>
        <v/>
      </c>
      <c r="C406" s="74" t="str" cm="1">
        <f t="array" ref="C406">IF(A406="","",INDEX('Test schedule'!J:J,ROW()+9))</f>
        <v/>
      </c>
      <c r="D406" s="74" t="str">
        <f>IFERROR(IF(A406="","",'Event Info'!$B$2),"")</f>
        <v/>
      </c>
      <c r="E406" cm="1">
        <f t="array" ref="E406">IF(INDEX('Test schedule'!B:B,ROW()+9)="START",E405+1,E405+0)</f>
        <v>5</v>
      </c>
      <c r="F406" s="82" t="str">
        <f>IF(A406&lt;&gt;"",_xlfn.CONCAT(TEXT(A406,"yyyy-mm-dd"),"T",TEXT(A406,"hh:mm:ss"),'Event Info'!$B$5,",",," ",C406),"")</f>
        <v/>
      </c>
      <c r="G406" t="e">
        <f t="shared" si="12"/>
        <v>#VALUE!</v>
      </c>
      <c r="H406" s="92" t="str">
        <f t="shared" si="13"/>
        <v/>
      </c>
      <c r="I406" s="91">
        <v>0</v>
      </c>
    </row>
    <row r="407" spans="1:9">
      <c r="A407" s="76" t="str" cm="1">
        <f t="array" ref="A40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Calculators'!$B$2+E407)</f>
        <v/>
      </c>
      <c r="B407" s="76" t="str" cm="1">
        <f t="array" ref="B407">IF(OR(A407=""),"",IF(INDEX('Test schedule'!E:E,ROW()+9)="",IF(A408="",A407+$Q$10,A408),INDEX('Test schedule'!E:E,ROW()+9)+'Date Calculators'!$B$2+E407))</f>
        <v/>
      </c>
      <c r="C407" s="74" t="str" cm="1">
        <f t="array" ref="C407">IF(A407="","",INDEX('Test schedule'!J:J,ROW()+9))</f>
        <v/>
      </c>
      <c r="D407" s="74" t="str">
        <f>IFERROR(IF(A407="","",'Event Info'!$B$2),"")</f>
        <v/>
      </c>
      <c r="E407" cm="1">
        <f t="array" ref="E407">IF(INDEX('Test schedule'!B:B,ROW()+9)="START",E406+1,E406+0)</f>
        <v>5</v>
      </c>
      <c r="F407" s="82" t="str">
        <f>IF(A407&lt;&gt;"",_xlfn.CONCAT(TEXT(A407,"yyyy-mm-dd"),"T",TEXT(A407,"hh:mm:ss"),'Event Info'!$B$5,",",," ",C407),"")</f>
        <v/>
      </c>
      <c r="G407" t="e">
        <f t="shared" si="12"/>
        <v>#VALUE!</v>
      </c>
      <c r="H407" s="92" t="str">
        <f t="shared" si="13"/>
        <v/>
      </c>
      <c r="I407" s="88">
        <v>0</v>
      </c>
    </row>
    <row r="408" spans="1:9">
      <c r="A408" s="76" t="str" cm="1">
        <f t="array" ref="A40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Calculators'!$B$2+E408)</f>
        <v/>
      </c>
      <c r="B408" s="76" t="str" cm="1">
        <f t="array" ref="B408">IF(OR(A408=""),"",IF(INDEX('Test schedule'!E:E,ROW()+9)="",IF(A409="",A408+$Q$10,A409),INDEX('Test schedule'!E:E,ROW()+9)+'Date Calculators'!$B$2+E408))</f>
        <v/>
      </c>
      <c r="C408" s="74" t="str" cm="1">
        <f t="array" ref="C408">IF(A408="","",INDEX('Test schedule'!J:J,ROW()+9))</f>
        <v/>
      </c>
      <c r="D408" s="74" t="str">
        <f>IFERROR(IF(A408="","",'Event Info'!$B$2),"")</f>
        <v/>
      </c>
      <c r="E408" cm="1">
        <f t="array" ref="E408">IF(INDEX('Test schedule'!B:B,ROW()+9)="START",E407+1,E407+0)</f>
        <v>5</v>
      </c>
      <c r="F408" s="82" t="str">
        <f>IF(A408&lt;&gt;"",_xlfn.CONCAT(TEXT(A408,"yyyy-mm-dd"),"T",TEXT(A408,"hh:mm:ss"),'Event Info'!$B$5,",",," ",C408),"")</f>
        <v/>
      </c>
      <c r="G408" t="e">
        <f t="shared" si="12"/>
        <v>#VALUE!</v>
      </c>
      <c r="H408" s="92" t="str">
        <f t="shared" si="13"/>
        <v/>
      </c>
      <c r="I408" s="88">
        <v>0</v>
      </c>
    </row>
    <row r="409" spans="1:9" ht="16.899999999999999">
      <c r="A409" s="76" t="str" cm="1">
        <f t="array" ref="A40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Calculators'!$B$2+E409)</f>
        <v/>
      </c>
      <c r="B409" s="76" t="str" cm="1">
        <f t="array" ref="B409">IF(OR(A409=""),"",IF(INDEX('Test schedule'!E:E,ROW()+9)="",IF(A410="",A409+$Q$10,A410),INDEX('Test schedule'!E:E,ROW()+9)+'Date Calculators'!$B$2+E409))</f>
        <v/>
      </c>
      <c r="C409" s="74" t="str" cm="1">
        <f t="array" ref="C409">IF(A409="","",INDEX('Test schedule'!J:J,ROW()+9))</f>
        <v/>
      </c>
      <c r="D409" s="74" t="str">
        <f>IFERROR(IF(A409="","",'Event Info'!$B$2),"")</f>
        <v/>
      </c>
      <c r="E409" cm="1">
        <f t="array" ref="E409">IF(INDEX('Test schedule'!B:B,ROW()+9)="START",E408+1,E408+0)</f>
        <v>5</v>
      </c>
      <c r="F409" s="82" t="str">
        <f>IF(A409&lt;&gt;"",_xlfn.CONCAT(TEXT(A409,"yyyy-mm-dd"),"T",TEXT(A409,"hh:mm:ss"),'Event Info'!$B$5,",",," ",C409),"")</f>
        <v/>
      </c>
      <c r="G409" t="e">
        <f t="shared" si="12"/>
        <v>#VALUE!</v>
      </c>
      <c r="H409" s="92" t="str">
        <f t="shared" si="13"/>
        <v/>
      </c>
      <c r="I409" s="91">
        <v>0</v>
      </c>
    </row>
    <row r="410" spans="1:9">
      <c r="A410" s="76" t="str" cm="1">
        <f t="array" ref="A41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Calculators'!$B$2+E410)</f>
        <v/>
      </c>
      <c r="B410" s="76" t="str" cm="1">
        <f t="array" ref="B410">IF(OR(A410=""),"",IF(INDEX('Test schedule'!E:E,ROW()+9)="",IF(A411="",A410+$Q$10,A411),INDEX('Test schedule'!E:E,ROW()+9)+'Date Calculators'!$B$2+E410))</f>
        <v/>
      </c>
      <c r="C410" s="74" t="str" cm="1">
        <f t="array" ref="C410">IF(A410="","",INDEX('Test schedule'!J:J,ROW()+9))</f>
        <v/>
      </c>
      <c r="D410" s="74" t="str">
        <f>IFERROR(IF(A410="","",'Event Info'!$B$2),"")</f>
        <v/>
      </c>
      <c r="E410" cm="1">
        <f t="array" ref="E410">IF(INDEX('Test schedule'!B:B,ROW()+9)="START",E409+1,E409+0)</f>
        <v>5</v>
      </c>
      <c r="F410" s="82" t="str">
        <f>IF(A410&lt;&gt;"",_xlfn.CONCAT(TEXT(A410,"yyyy-mm-dd"),"T",TEXT(A410,"hh:mm:ss"),'Event Info'!$B$5,",",," ",C410),"")</f>
        <v/>
      </c>
      <c r="G410" t="e">
        <f t="shared" si="12"/>
        <v>#VALUE!</v>
      </c>
      <c r="H410" s="92" t="str">
        <f t="shared" si="13"/>
        <v/>
      </c>
      <c r="I410" s="88">
        <v>0</v>
      </c>
    </row>
    <row r="411" spans="1:9">
      <c r="A411" s="76" t="str" cm="1">
        <f t="array" ref="A41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Calculators'!$B$2+E411)</f>
        <v/>
      </c>
      <c r="B411" s="76" t="str" cm="1">
        <f t="array" ref="B411">IF(OR(A411=""),"",IF(INDEX('Test schedule'!E:E,ROW()+9)="",IF(A412="",A411+$Q$10,A412),INDEX('Test schedule'!E:E,ROW()+9)+'Date Calculators'!$B$2+E411))</f>
        <v/>
      </c>
      <c r="C411" s="74" t="str" cm="1">
        <f t="array" ref="C411">IF(A411="","",INDEX('Test schedule'!J:J,ROW()+9))</f>
        <v/>
      </c>
      <c r="D411" s="74" t="str">
        <f>IFERROR(IF(A411="","",'Event Info'!$B$2),"")</f>
        <v/>
      </c>
      <c r="E411" cm="1">
        <f t="array" ref="E411">IF(INDEX('Test schedule'!B:B,ROW()+9)="START",E410+1,E410+0)</f>
        <v>5</v>
      </c>
      <c r="F411" s="82" t="str">
        <f>IF(A411&lt;&gt;"",_xlfn.CONCAT(TEXT(A411,"yyyy-mm-dd"),"T",TEXT(A411,"hh:mm:ss"),'Event Info'!$B$5,",",," ",C411),"")</f>
        <v/>
      </c>
      <c r="G411" t="e">
        <f t="shared" si="12"/>
        <v>#VALUE!</v>
      </c>
      <c r="H411" s="92" t="str">
        <f t="shared" si="13"/>
        <v/>
      </c>
      <c r="I411" s="88">
        <v>0</v>
      </c>
    </row>
    <row r="412" spans="1:9" ht="16.899999999999999">
      <c r="A412" s="76" t="str" cm="1">
        <f t="array" ref="A41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Calculators'!$B$2+E412)</f>
        <v/>
      </c>
      <c r="B412" s="76" t="str" cm="1">
        <f t="array" ref="B412">IF(OR(A412=""),"",IF(INDEX('Test schedule'!E:E,ROW()+9)="",IF(A413="",A412+$Q$10,A413),INDEX('Test schedule'!E:E,ROW()+9)+'Date Calculators'!$B$2+E412))</f>
        <v/>
      </c>
      <c r="C412" s="74" t="str" cm="1">
        <f t="array" ref="C412">IF(A412="","",INDEX('Test schedule'!J:J,ROW()+9))</f>
        <v/>
      </c>
      <c r="D412" s="74" t="str">
        <f>IFERROR(IF(A412="","",'Event Info'!$B$2),"")</f>
        <v/>
      </c>
      <c r="E412" cm="1">
        <f t="array" ref="E412">IF(INDEX('Test schedule'!B:B,ROW()+9)="START",E411+1,E411+0)</f>
        <v>5</v>
      </c>
      <c r="F412" s="82" t="str">
        <f>IF(A412&lt;&gt;"",_xlfn.CONCAT(TEXT(A412,"yyyy-mm-dd"),"T",TEXT(A412,"hh:mm:ss"),'Event Info'!$B$5,",",," ",C412),"")</f>
        <v/>
      </c>
      <c r="G412" t="e">
        <f t="shared" si="12"/>
        <v>#VALUE!</v>
      </c>
      <c r="H412" s="92" t="str">
        <f t="shared" si="13"/>
        <v/>
      </c>
      <c r="I412" s="91">
        <v>0</v>
      </c>
    </row>
    <row r="413" spans="1:9">
      <c r="A413" s="76" t="str" cm="1">
        <f t="array" ref="A41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Calculators'!$B$2+E413)</f>
        <v/>
      </c>
      <c r="B413" s="76" t="str" cm="1">
        <f t="array" ref="B413">IF(OR(A413=""),"",IF(INDEX('Test schedule'!E:E,ROW()+9)="",IF(A414="",A413+$Q$10,A414),INDEX('Test schedule'!E:E,ROW()+9)+'Date Calculators'!$B$2+E413))</f>
        <v/>
      </c>
      <c r="C413" s="74" t="str" cm="1">
        <f t="array" ref="C413">IF(A413="","",INDEX('Test schedule'!J:J,ROW()+9))</f>
        <v/>
      </c>
      <c r="D413" s="74" t="str">
        <f>IFERROR(IF(A413="","",'Event Info'!$B$2),"")</f>
        <v/>
      </c>
      <c r="E413" cm="1">
        <f t="array" ref="E413">IF(INDEX('Test schedule'!B:B,ROW()+9)="START",E412+1,E412+0)</f>
        <v>5</v>
      </c>
      <c r="F413" s="82" t="str">
        <f>IF(A413&lt;&gt;"",_xlfn.CONCAT(TEXT(A413,"yyyy-mm-dd"),"T",TEXT(A413,"hh:mm:ss"),'Event Info'!$B$5,",",," ",C413),"")</f>
        <v/>
      </c>
      <c r="G413" t="e">
        <f t="shared" si="12"/>
        <v>#VALUE!</v>
      </c>
      <c r="H413" s="92" t="str">
        <f t="shared" si="13"/>
        <v/>
      </c>
      <c r="I413" s="88">
        <v>0</v>
      </c>
    </row>
    <row r="414" spans="1:9">
      <c r="A414" s="76" t="str" cm="1">
        <f t="array" ref="A41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Calculators'!$B$2+E414)</f>
        <v/>
      </c>
      <c r="B414" s="76" t="str" cm="1">
        <f t="array" ref="B414">IF(OR(A414=""),"",IF(INDEX('Test schedule'!E:E,ROW()+9)="",IF(A415="",A414+$Q$10,A415),INDEX('Test schedule'!E:E,ROW()+9)+'Date Calculators'!$B$2+E414))</f>
        <v/>
      </c>
      <c r="C414" s="74" t="str" cm="1">
        <f t="array" ref="C414">IF(A414="","",INDEX('Test schedule'!J:J,ROW()+9))</f>
        <v/>
      </c>
      <c r="D414" s="74" t="str">
        <f>IFERROR(IF(A414="","",'Event Info'!$B$2),"")</f>
        <v/>
      </c>
      <c r="E414" cm="1">
        <f t="array" ref="E414">IF(INDEX('Test schedule'!B:B,ROW()+9)="START",E413+1,E413+0)</f>
        <v>5</v>
      </c>
      <c r="F414" s="82" t="str">
        <f>IF(A414&lt;&gt;"",_xlfn.CONCAT(TEXT(A414,"yyyy-mm-dd"),"T",TEXT(A414,"hh:mm:ss"),'Event Info'!$B$5,",",," ",C414),"")</f>
        <v/>
      </c>
      <c r="G414" t="e">
        <f t="shared" si="12"/>
        <v>#VALUE!</v>
      </c>
      <c r="H414" s="92" t="str">
        <f t="shared" si="13"/>
        <v/>
      </c>
      <c r="I414" s="88">
        <v>0</v>
      </c>
    </row>
    <row r="415" spans="1:9" ht="16.899999999999999">
      <c r="A415" s="76" t="str" cm="1">
        <f t="array" ref="A41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Calculators'!$B$2+E415)</f>
        <v/>
      </c>
      <c r="B415" s="76" t="str" cm="1">
        <f t="array" ref="B415">IF(OR(A415=""),"",IF(INDEX('Test schedule'!E:E,ROW()+9)="",IF(A416="",A415+$Q$10,A416),INDEX('Test schedule'!E:E,ROW()+9)+'Date Calculators'!$B$2+E415))</f>
        <v/>
      </c>
      <c r="C415" s="74" t="str" cm="1">
        <f t="array" ref="C415">IF(A415="","",INDEX('Test schedule'!J:J,ROW()+9))</f>
        <v/>
      </c>
      <c r="D415" s="74" t="str">
        <f>IFERROR(IF(A415="","",'Event Info'!$B$2),"")</f>
        <v/>
      </c>
      <c r="E415" cm="1">
        <f t="array" ref="E415">IF(INDEX('Test schedule'!B:B,ROW()+9)="START",E414+1,E414+0)</f>
        <v>5</v>
      </c>
      <c r="F415" s="82" t="str">
        <f>IF(A415&lt;&gt;"",_xlfn.CONCAT(TEXT(A415,"yyyy-mm-dd"),"T",TEXT(A415,"hh:mm:ss"),'Event Info'!$B$5,",",," ",C415),"")</f>
        <v/>
      </c>
      <c r="G415" t="e">
        <f t="shared" si="12"/>
        <v>#VALUE!</v>
      </c>
      <c r="H415" s="92" t="str">
        <f t="shared" si="13"/>
        <v/>
      </c>
      <c r="I415" s="91">
        <v>0</v>
      </c>
    </row>
    <row r="416" spans="1:9">
      <c r="A416" s="76" t="str" cm="1">
        <f t="array" ref="A41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Calculators'!$B$2+E416)</f>
        <v/>
      </c>
      <c r="B416" s="76" t="str" cm="1">
        <f t="array" ref="B416">IF(OR(A416=""),"",IF(INDEX('Test schedule'!E:E,ROW()+9)="",IF(A417="",A416+$Q$10,A417),INDEX('Test schedule'!E:E,ROW()+9)+'Date Calculators'!$B$2+E416))</f>
        <v/>
      </c>
      <c r="C416" s="74" t="str" cm="1">
        <f t="array" ref="C416">IF(A416="","",INDEX('Test schedule'!J:J,ROW()+9))</f>
        <v/>
      </c>
      <c r="D416" s="74" t="str">
        <f>IFERROR(IF(A416="","",'Event Info'!$B$2),"")</f>
        <v/>
      </c>
      <c r="E416" cm="1">
        <f t="array" ref="E416">IF(INDEX('Test schedule'!B:B,ROW()+9)="START",E415+1,E415+0)</f>
        <v>5</v>
      </c>
      <c r="F416" s="82" t="str">
        <f>IF(A416&lt;&gt;"",_xlfn.CONCAT(TEXT(A416,"yyyy-mm-dd"),"T",TEXT(A416,"hh:mm:ss"),'Event Info'!$B$5,",",," ",C416),"")</f>
        <v/>
      </c>
      <c r="G416" t="e">
        <f t="shared" si="12"/>
        <v>#VALUE!</v>
      </c>
      <c r="H416" s="92" t="str">
        <f t="shared" si="13"/>
        <v/>
      </c>
      <c r="I416" s="88">
        <v>0</v>
      </c>
    </row>
    <row r="417" spans="1:9">
      <c r="A417" s="76" t="str" cm="1">
        <f t="array" ref="A41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Calculators'!$B$2+E417)</f>
        <v/>
      </c>
      <c r="B417" s="76" t="str" cm="1">
        <f t="array" ref="B417">IF(OR(A417=""),"",IF(INDEX('Test schedule'!E:E,ROW()+9)="",IF(A418="",A417+$Q$10,A418),INDEX('Test schedule'!E:E,ROW()+9)+'Date Calculators'!$B$2+E417))</f>
        <v/>
      </c>
      <c r="C417" s="74" t="str" cm="1">
        <f t="array" ref="C417">IF(A417="","",INDEX('Test schedule'!J:J,ROW()+9))</f>
        <v/>
      </c>
      <c r="D417" s="74" t="str">
        <f>IFERROR(IF(A417="","",'Event Info'!$B$2),"")</f>
        <v/>
      </c>
      <c r="E417" cm="1">
        <f t="array" ref="E417">IF(INDEX('Test schedule'!B:B,ROW()+9)="START",E416+1,E416+0)</f>
        <v>5</v>
      </c>
      <c r="F417" s="82" t="str">
        <f>IF(A417&lt;&gt;"",_xlfn.CONCAT(TEXT(A417,"yyyy-mm-dd"),"T",TEXT(A417,"hh:mm:ss"),'Event Info'!$B$5,",",," ",C417),"")</f>
        <v/>
      </c>
      <c r="G417" t="e">
        <f t="shared" si="12"/>
        <v>#VALUE!</v>
      </c>
      <c r="H417" s="92" t="str">
        <f t="shared" si="13"/>
        <v/>
      </c>
      <c r="I417" s="88">
        <v>0</v>
      </c>
    </row>
    <row r="418" spans="1:9" ht="16.899999999999999">
      <c r="A418" s="76" t="str" cm="1">
        <f t="array" ref="A41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Calculators'!$B$2+E418)</f>
        <v/>
      </c>
      <c r="B418" s="76" t="str" cm="1">
        <f t="array" ref="B418">IF(OR(A418=""),"",IF(INDEX('Test schedule'!E:E,ROW()+9)="",IF(A419="",A418+$Q$10,A419),INDEX('Test schedule'!E:E,ROW()+9)+'Date Calculators'!$B$2+E418))</f>
        <v/>
      </c>
      <c r="C418" s="74" t="str" cm="1">
        <f t="array" ref="C418">IF(A418="","",INDEX('Test schedule'!J:J,ROW()+9))</f>
        <v/>
      </c>
      <c r="D418" s="74" t="str">
        <f>IFERROR(IF(A418="","",'Event Info'!$B$2),"")</f>
        <v/>
      </c>
      <c r="E418" cm="1">
        <f t="array" ref="E418">IF(INDEX('Test schedule'!B:B,ROW()+9)="START",E417+1,E417+0)</f>
        <v>5</v>
      </c>
      <c r="F418" s="82" t="str">
        <f>IF(A418&lt;&gt;"",_xlfn.CONCAT(TEXT(A418,"yyyy-mm-dd"),"T",TEXT(A418,"hh:mm:ss"),'Event Info'!$B$5,",",," ",C418),"")</f>
        <v/>
      </c>
      <c r="G418" t="e">
        <f t="shared" si="12"/>
        <v>#VALUE!</v>
      </c>
      <c r="H418" s="92" t="str">
        <f t="shared" si="13"/>
        <v/>
      </c>
      <c r="I418" s="91">
        <v>0</v>
      </c>
    </row>
    <row r="419" spans="1:9">
      <c r="A419" s="76" t="str" cm="1">
        <f t="array" ref="A41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Calculators'!$B$2+E419)</f>
        <v/>
      </c>
      <c r="B419" s="76" t="str" cm="1">
        <f t="array" ref="B419">IF(OR(A419=""),"",IF(INDEX('Test schedule'!E:E,ROW()+9)="",IF(A420="",A419+$Q$10,A420),INDEX('Test schedule'!E:E,ROW()+9)+'Date Calculators'!$B$2+E419))</f>
        <v/>
      </c>
      <c r="C419" s="74" t="str" cm="1">
        <f t="array" ref="C419">IF(A419="","",INDEX('Test schedule'!J:J,ROW()+9))</f>
        <v/>
      </c>
      <c r="D419" s="74" t="str">
        <f>IFERROR(IF(A419="","",'Event Info'!$B$2),"")</f>
        <v/>
      </c>
      <c r="E419" cm="1">
        <f t="array" ref="E419">IF(INDEX('Test schedule'!B:B,ROW()+9)="START",E418+1,E418+0)</f>
        <v>5</v>
      </c>
      <c r="F419" s="82" t="str">
        <f>IF(A419&lt;&gt;"",_xlfn.CONCAT(TEXT(A419,"yyyy-mm-dd"),"T",TEXT(A419,"hh:mm:ss"),'Event Info'!$B$5,",",," ",C419),"")</f>
        <v/>
      </c>
      <c r="G419" t="e">
        <f t="shared" si="12"/>
        <v>#VALUE!</v>
      </c>
      <c r="H419" s="92" t="str">
        <f t="shared" si="13"/>
        <v/>
      </c>
      <c r="I419" s="88">
        <v>0</v>
      </c>
    </row>
    <row r="420" spans="1:9">
      <c r="A420" s="76" t="str" cm="1">
        <f t="array" ref="A42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Calculators'!$B$2+E420)</f>
        <v/>
      </c>
      <c r="B420" s="76" t="str" cm="1">
        <f t="array" ref="B420">IF(OR(A420=""),"",IF(INDEX('Test schedule'!E:E,ROW()+9)="",IF(A421="",A420+$Q$10,A421),INDEX('Test schedule'!E:E,ROW()+9)+'Date Calculators'!$B$2+E420))</f>
        <v/>
      </c>
      <c r="C420" s="74" t="str" cm="1">
        <f t="array" ref="C420">IF(A420="","",INDEX('Test schedule'!J:J,ROW()+9))</f>
        <v/>
      </c>
      <c r="D420" s="74" t="str">
        <f>IFERROR(IF(A420="","",'Event Info'!$B$2),"")</f>
        <v/>
      </c>
      <c r="E420" cm="1">
        <f t="array" ref="E420">IF(INDEX('Test schedule'!B:B,ROW()+9)="START",E419+1,E419+0)</f>
        <v>5</v>
      </c>
      <c r="F420" s="82" t="str">
        <f>IF(A420&lt;&gt;"",_xlfn.CONCAT(TEXT(A420,"yyyy-mm-dd"),"T",TEXT(A420,"hh:mm:ss"),'Event Info'!$B$5,",",," ",C420),"")</f>
        <v/>
      </c>
      <c r="G420" t="e">
        <f t="shared" si="12"/>
        <v>#VALUE!</v>
      </c>
      <c r="H420" s="92" t="str">
        <f t="shared" si="13"/>
        <v/>
      </c>
      <c r="I420" s="88">
        <v>0</v>
      </c>
    </row>
    <row r="421" spans="1:9" ht="16.899999999999999">
      <c r="A421" s="76" t="str" cm="1">
        <f t="array" ref="A42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Calculators'!$B$2+E421)</f>
        <v/>
      </c>
      <c r="B421" s="76" t="str" cm="1">
        <f t="array" ref="B421">IF(OR(A421=""),"",IF(INDEX('Test schedule'!E:E,ROW()+9)="",IF(A422="",A421+$Q$10,A422),INDEX('Test schedule'!E:E,ROW()+9)+'Date Calculators'!$B$2+E421))</f>
        <v/>
      </c>
      <c r="C421" s="74" t="str" cm="1">
        <f t="array" ref="C421">IF(A421="","",INDEX('Test schedule'!J:J,ROW()+9))</f>
        <v/>
      </c>
      <c r="D421" s="74" t="str">
        <f>IFERROR(IF(A421="","",'Event Info'!$B$2),"")</f>
        <v/>
      </c>
      <c r="E421" cm="1">
        <f t="array" ref="E421">IF(INDEX('Test schedule'!B:B,ROW()+9)="START",E420+1,E420+0)</f>
        <v>5</v>
      </c>
      <c r="F421" s="82" t="str">
        <f>IF(A421&lt;&gt;"",_xlfn.CONCAT(TEXT(A421,"yyyy-mm-dd"),"T",TEXT(A421,"hh:mm:ss"),'Event Info'!$B$5,",",," ",C421),"")</f>
        <v/>
      </c>
      <c r="G421" t="e">
        <f t="shared" si="12"/>
        <v>#VALUE!</v>
      </c>
      <c r="H421" s="92" t="str">
        <f t="shared" si="13"/>
        <v/>
      </c>
      <c r="I421" s="91">
        <v>0</v>
      </c>
    </row>
    <row r="422" spans="1:9">
      <c r="A422" s="76" t="str" cm="1">
        <f t="array" ref="A42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Calculators'!$B$2+E422)</f>
        <v/>
      </c>
      <c r="B422" s="76" t="str" cm="1">
        <f t="array" ref="B422">IF(OR(A422=""),"",IF(INDEX('Test schedule'!E:E,ROW()+9)="",IF(A423="",A422+$Q$10,A423),INDEX('Test schedule'!E:E,ROW()+9)+'Date Calculators'!$B$2+E422))</f>
        <v/>
      </c>
      <c r="C422" s="74" t="str" cm="1">
        <f t="array" ref="C422">IF(A422="","",INDEX('Test schedule'!J:J,ROW()+9))</f>
        <v/>
      </c>
      <c r="D422" s="74" t="str">
        <f>IFERROR(IF(A422="","",'Event Info'!$B$2),"")</f>
        <v/>
      </c>
      <c r="E422" cm="1">
        <f t="array" ref="E422">IF(INDEX('Test schedule'!B:B,ROW()+9)="START",E421+1,E421+0)</f>
        <v>5</v>
      </c>
      <c r="F422" s="82" t="str">
        <f>IF(A422&lt;&gt;"",_xlfn.CONCAT(TEXT(A422,"yyyy-mm-dd"),"T",TEXT(A422,"hh:mm:ss"),'Event Info'!$B$5,",",," ",C422),"")</f>
        <v/>
      </c>
      <c r="G422" t="e">
        <f t="shared" si="12"/>
        <v>#VALUE!</v>
      </c>
      <c r="H422" s="92" t="str">
        <f t="shared" si="13"/>
        <v/>
      </c>
      <c r="I422" s="88">
        <v>0</v>
      </c>
    </row>
    <row r="423" spans="1:9">
      <c r="A423" s="76" t="str" cm="1">
        <f t="array" ref="A42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Calculators'!$B$2+E423)</f>
        <v/>
      </c>
      <c r="B423" s="76" t="str" cm="1">
        <f t="array" ref="B423">IF(OR(A423=""),"",IF(INDEX('Test schedule'!E:E,ROW()+9)="",IF(A424="",A423+$Q$10,A424),INDEX('Test schedule'!E:E,ROW()+9)+'Date Calculators'!$B$2+E423))</f>
        <v/>
      </c>
      <c r="C423" s="74" t="str" cm="1">
        <f t="array" ref="C423">IF(A423="","",INDEX('Test schedule'!J:J,ROW()+9))</f>
        <v/>
      </c>
      <c r="D423" s="74" t="str">
        <f>IFERROR(IF(A423="","",'Event Info'!$B$2),"")</f>
        <v/>
      </c>
      <c r="E423" cm="1">
        <f t="array" ref="E423">IF(INDEX('Test schedule'!B:B,ROW()+9)="START",E422+1,E422+0)</f>
        <v>5</v>
      </c>
      <c r="F423" s="82" t="str">
        <f>IF(A423&lt;&gt;"",_xlfn.CONCAT(TEXT(A423,"yyyy-mm-dd"),"T",TEXT(A423,"hh:mm:ss"),'Event Info'!$B$5,",",," ",C423),"")</f>
        <v/>
      </c>
      <c r="G423" t="e">
        <f t="shared" si="12"/>
        <v>#VALUE!</v>
      </c>
      <c r="H423" s="92" t="str">
        <f t="shared" si="13"/>
        <v/>
      </c>
      <c r="I423" s="88">
        <v>0</v>
      </c>
    </row>
    <row r="424" spans="1:9" ht="16.899999999999999">
      <c r="A424" s="76" t="str" cm="1">
        <f t="array" ref="A42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Calculators'!$B$2+E424)</f>
        <v/>
      </c>
      <c r="B424" s="76" t="str" cm="1">
        <f t="array" ref="B424">IF(OR(A424=""),"",IF(INDEX('Test schedule'!E:E,ROW()+9)="",IF(A425="",A424+$Q$10,A425),INDEX('Test schedule'!E:E,ROW()+9)+'Date Calculators'!$B$2+E424))</f>
        <v/>
      </c>
      <c r="C424" s="74" t="str" cm="1">
        <f t="array" ref="C424">IF(A424="","",INDEX('Test schedule'!J:J,ROW()+9))</f>
        <v/>
      </c>
      <c r="D424" s="74" t="str">
        <f>IFERROR(IF(A424="","",'Event Info'!$B$2),"")</f>
        <v/>
      </c>
      <c r="E424" cm="1">
        <f t="array" ref="E424">IF(INDEX('Test schedule'!B:B,ROW()+9)="START",E423+1,E423+0)</f>
        <v>5</v>
      </c>
      <c r="F424" s="82" t="str">
        <f>IF(A424&lt;&gt;"",_xlfn.CONCAT(TEXT(A424,"yyyy-mm-dd"),"T",TEXT(A424,"hh:mm:ss"),'Event Info'!$B$5,",",," ",C424),"")</f>
        <v/>
      </c>
      <c r="G424" t="e">
        <f t="shared" si="12"/>
        <v>#VALUE!</v>
      </c>
      <c r="H424" s="92" t="str">
        <f t="shared" si="13"/>
        <v/>
      </c>
      <c r="I424" s="91">
        <v>0</v>
      </c>
    </row>
    <row r="425" spans="1:9">
      <c r="A425" s="76" t="str" cm="1">
        <f t="array" ref="A42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Calculators'!$B$2+E425)</f>
        <v/>
      </c>
      <c r="B425" s="76" t="str" cm="1">
        <f t="array" ref="B425">IF(OR(A425=""),"",IF(INDEX('Test schedule'!E:E,ROW()+9)="",IF(A426="",A425+$Q$10,A426),INDEX('Test schedule'!E:E,ROW()+9)+'Date Calculators'!$B$2+E425))</f>
        <v/>
      </c>
      <c r="C425" s="74" t="str" cm="1">
        <f t="array" ref="C425">IF(A425="","",INDEX('Test schedule'!J:J,ROW()+9))</f>
        <v/>
      </c>
      <c r="D425" s="74" t="str">
        <f>IFERROR(IF(A425="","",'Event Info'!$B$2),"")</f>
        <v/>
      </c>
      <c r="E425" cm="1">
        <f t="array" ref="E425">IF(INDEX('Test schedule'!B:B,ROW()+9)="START",E424+1,E424+0)</f>
        <v>5</v>
      </c>
      <c r="F425" s="82" t="str">
        <f>IF(A425&lt;&gt;"",_xlfn.CONCAT(TEXT(A425,"yyyy-mm-dd"),"T",TEXT(A425,"hh:mm:ss"),'Event Info'!$B$5,",",," ",C425),"")</f>
        <v/>
      </c>
      <c r="G425" t="e">
        <f t="shared" si="12"/>
        <v>#VALUE!</v>
      </c>
      <c r="H425" s="92" t="str">
        <f t="shared" si="13"/>
        <v/>
      </c>
      <c r="I425" s="88">
        <v>0</v>
      </c>
    </row>
    <row r="426" spans="1:9">
      <c r="A426" s="76" t="str" cm="1">
        <f t="array" ref="A42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Calculators'!$B$2+E426)</f>
        <v/>
      </c>
      <c r="B426" s="76" t="str" cm="1">
        <f t="array" ref="B426">IF(OR(A426=""),"",IF(INDEX('Test schedule'!E:E,ROW()+9)="",IF(A427="",A426+$Q$10,A427),INDEX('Test schedule'!E:E,ROW()+9)+'Date Calculators'!$B$2+E426))</f>
        <v/>
      </c>
      <c r="C426" s="74" t="str" cm="1">
        <f t="array" ref="C426">IF(A426="","",INDEX('Test schedule'!J:J,ROW()+9))</f>
        <v/>
      </c>
      <c r="D426" s="74" t="str">
        <f>IFERROR(IF(A426="","",'Event Info'!$B$2),"")</f>
        <v/>
      </c>
      <c r="E426" cm="1">
        <f t="array" ref="E426">IF(INDEX('Test schedule'!B:B,ROW()+9)="START",E425+1,E425+0)</f>
        <v>5</v>
      </c>
      <c r="F426" s="82" t="str">
        <f>IF(A426&lt;&gt;"",_xlfn.CONCAT(TEXT(A426,"yyyy-mm-dd"),"T",TEXT(A426,"hh:mm:ss"),'Event Info'!$B$5,",",," ",C426),"")</f>
        <v/>
      </c>
      <c r="G426" t="e">
        <f t="shared" si="12"/>
        <v>#VALUE!</v>
      </c>
      <c r="H426" s="92" t="str">
        <f t="shared" si="13"/>
        <v/>
      </c>
      <c r="I426" s="88">
        <v>0</v>
      </c>
    </row>
    <row r="427" spans="1:9" ht="16.899999999999999">
      <c r="A427" s="76" t="str" cm="1">
        <f t="array" ref="A42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Calculators'!$B$2+E427)</f>
        <v/>
      </c>
      <c r="B427" s="76" t="str" cm="1">
        <f t="array" ref="B427">IF(OR(A427=""),"",IF(INDEX('Test schedule'!E:E,ROW()+9)="",IF(A428="",A427+$Q$10,A428),INDEX('Test schedule'!E:E,ROW()+9)+'Date Calculators'!$B$2+E427))</f>
        <v/>
      </c>
      <c r="C427" s="74" t="str" cm="1">
        <f t="array" ref="C427">IF(A427="","",INDEX('Test schedule'!J:J,ROW()+9))</f>
        <v/>
      </c>
      <c r="D427" s="74" t="str">
        <f>IFERROR(IF(A427="","",'Event Info'!$B$2),"")</f>
        <v/>
      </c>
      <c r="E427" cm="1">
        <f t="array" ref="E427">IF(INDEX('Test schedule'!B:B,ROW()+9)="START",E426+1,E426+0)</f>
        <v>5</v>
      </c>
      <c r="F427" s="82" t="str">
        <f>IF(A427&lt;&gt;"",_xlfn.CONCAT(TEXT(A427,"yyyy-mm-dd"),"T",TEXT(A427,"hh:mm:ss"),'Event Info'!$B$5,",",," ",C427),"")</f>
        <v/>
      </c>
      <c r="G427" t="e">
        <f t="shared" si="12"/>
        <v>#VALUE!</v>
      </c>
      <c r="H427" s="92" t="str">
        <f t="shared" si="13"/>
        <v/>
      </c>
      <c r="I427" s="91">
        <v>0</v>
      </c>
    </row>
    <row r="428" spans="1:9">
      <c r="A428" s="76" t="str" cm="1">
        <f t="array" ref="A42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Calculators'!$B$2+E428)</f>
        <v/>
      </c>
      <c r="B428" s="76" t="str" cm="1">
        <f t="array" ref="B428">IF(OR(A428=""),"",IF(INDEX('Test schedule'!E:E,ROW()+9)="",IF(A429="",A428+$Q$10,A429),INDEX('Test schedule'!E:E,ROW()+9)+'Date Calculators'!$B$2+E428))</f>
        <v/>
      </c>
      <c r="C428" s="74" t="str" cm="1">
        <f t="array" ref="C428">IF(A428="","",INDEX('Test schedule'!J:J,ROW()+9))</f>
        <v/>
      </c>
      <c r="D428" s="74" t="str">
        <f>IFERROR(IF(A428="","",'Event Info'!$B$2),"")</f>
        <v/>
      </c>
      <c r="E428" cm="1">
        <f t="array" ref="E428">IF(INDEX('Test schedule'!B:B,ROW()+9)="START",E427+1,E427+0)</f>
        <v>5</v>
      </c>
      <c r="F428" s="82" t="str">
        <f>IF(A428&lt;&gt;"",_xlfn.CONCAT(TEXT(A428,"yyyy-mm-dd"),"T",TEXT(A428,"hh:mm:ss"),'Event Info'!$B$5,",",," ",C428),"")</f>
        <v/>
      </c>
      <c r="G428" t="e">
        <f t="shared" si="12"/>
        <v>#VALUE!</v>
      </c>
      <c r="H428" s="92" t="str">
        <f t="shared" si="13"/>
        <v/>
      </c>
      <c r="I428" s="88">
        <v>0</v>
      </c>
    </row>
    <row r="429" spans="1:9">
      <c r="A429" s="76" t="str" cm="1">
        <f t="array" ref="A42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Calculators'!$B$2+E429)</f>
        <v/>
      </c>
      <c r="B429" s="76" t="str" cm="1">
        <f t="array" ref="B429">IF(OR(A429=""),"",IF(INDEX('Test schedule'!E:E,ROW()+9)="",IF(A430="",A429+$Q$10,A430),INDEX('Test schedule'!E:E,ROW()+9)+'Date Calculators'!$B$2+E429))</f>
        <v/>
      </c>
      <c r="C429" s="74" t="str" cm="1">
        <f t="array" ref="C429">IF(A429="","",INDEX('Test schedule'!J:J,ROW()+9))</f>
        <v/>
      </c>
      <c r="D429" s="74" t="str">
        <f>IFERROR(IF(A429="","",'Event Info'!$B$2),"")</f>
        <v/>
      </c>
      <c r="E429" cm="1">
        <f t="array" ref="E429">IF(INDEX('Test schedule'!B:B,ROW()+9)="START",E428+1,E428+0)</f>
        <v>5</v>
      </c>
      <c r="F429" s="82" t="str">
        <f>IF(A429&lt;&gt;"",_xlfn.CONCAT(TEXT(A429,"yyyy-mm-dd"),"T",TEXT(A429,"hh:mm:ss"),'Event Info'!$B$5,",",," ",C429),"")</f>
        <v/>
      </c>
      <c r="G429" t="e">
        <f t="shared" si="12"/>
        <v>#VALUE!</v>
      </c>
      <c r="H429" s="92" t="str">
        <f t="shared" si="13"/>
        <v/>
      </c>
      <c r="I429" s="88">
        <v>0</v>
      </c>
    </row>
    <row r="430" spans="1:9" ht="16.899999999999999">
      <c r="A430" s="76" t="str" cm="1">
        <f t="array" ref="A43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Calculators'!$B$2+E430)</f>
        <v/>
      </c>
      <c r="B430" s="76" t="str" cm="1">
        <f t="array" ref="B430">IF(OR(A430=""),"",IF(INDEX('Test schedule'!E:E,ROW()+9)="",IF(A431="",A430+$Q$10,A431),INDEX('Test schedule'!E:E,ROW()+9)+'Date Calculators'!$B$2+E430))</f>
        <v/>
      </c>
      <c r="C430" s="74" t="str" cm="1">
        <f t="array" ref="C430">IF(A430="","",INDEX('Test schedule'!J:J,ROW()+9))</f>
        <v/>
      </c>
      <c r="D430" s="74" t="str">
        <f>IFERROR(IF(A430="","",'Event Info'!$B$2),"")</f>
        <v/>
      </c>
      <c r="E430" cm="1">
        <f t="array" ref="E430">IF(INDEX('Test schedule'!B:B,ROW()+9)="START",E429+1,E429+0)</f>
        <v>5</v>
      </c>
      <c r="F430" s="82" t="str">
        <f>IF(A430&lt;&gt;"",_xlfn.CONCAT(TEXT(A430,"yyyy-mm-dd"),"T",TEXT(A430,"hh:mm:ss"),'Event Info'!$B$5,",",," ",C430),"")</f>
        <v/>
      </c>
      <c r="G430" t="e">
        <f t="shared" si="12"/>
        <v>#VALUE!</v>
      </c>
      <c r="H430" s="92" t="str">
        <f t="shared" si="13"/>
        <v/>
      </c>
      <c r="I430" s="91">
        <v>0</v>
      </c>
    </row>
    <row r="431" spans="1:9">
      <c r="A431" s="76" t="str" cm="1">
        <f t="array" ref="A43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Calculators'!$B$2+E431)</f>
        <v/>
      </c>
      <c r="B431" s="76" t="str" cm="1">
        <f t="array" ref="B431">IF(OR(A431=""),"",IF(INDEX('Test schedule'!E:E,ROW()+9)="",IF(A432="",A431+$Q$10,A432),INDEX('Test schedule'!E:E,ROW()+9)+'Date Calculators'!$B$2+E431))</f>
        <v/>
      </c>
      <c r="C431" s="74" t="str" cm="1">
        <f t="array" ref="C431">IF(A431="","",INDEX('Test schedule'!J:J,ROW()+9))</f>
        <v/>
      </c>
      <c r="D431" s="74" t="str">
        <f>IFERROR(IF(A431="","",'Event Info'!$B$2),"")</f>
        <v/>
      </c>
      <c r="E431" cm="1">
        <f t="array" ref="E431">IF(INDEX('Test schedule'!B:B,ROW()+9)="START",E430+1,E430+0)</f>
        <v>5</v>
      </c>
      <c r="F431" s="82" t="str">
        <f>IF(A431&lt;&gt;"",_xlfn.CONCAT(TEXT(A431,"yyyy-mm-dd"),"T",TEXT(A431,"hh:mm:ss"),'Event Info'!$B$5,",",," ",C431),"")</f>
        <v/>
      </c>
      <c r="G431" t="e">
        <f t="shared" si="12"/>
        <v>#VALUE!</v>
      </c>
      <c r="H431" s="92" t="str">
        <f t="shared" si="13"/>
        <v/>
      </c>
      <c r="I431" s="88">
        <v>0</v>
      </c>
    </row>
    <row r="432" spans="1:9">
      <c r="A432" s="76" t="str" cm="1">
        <f t="array" ref="A43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Calculators'!$B$2+E432)</f>
        <v/>
      </c>
      <c r="B432" s="76" t="str" cm="1">
        <f t="array" ref="B432">IF(OR(A432=""),"",IF(INDEX('Test schedule'!E:E,ROW()+9)="",IF(A433="",A432+$Q$10,A433),INDEX('Test schedule'!E:E,ROW()+9)+'Date Calculators'!$B$2+E432))</f>
        <v/>
      </c>
      <c r="C432" s="74" t="str" cm="1">
        <f t="array" ref="C432">IF(A432="","",INDEX('Test schedule'!J:J,ROW()+9))</f>
        <v/>
      </c>
      <c r="D432" s="74" t="str">
        <f>IFERROR(IF(A432="","",'Event Info'!$B$2),"")</f>
        <v/>
      </c>
      <c r="E432" cm="1">
        <f t="array" ref="E432">IF(INDEX('Test schedule'!B:B,ROW()+9)="START",E431+1,E431+0)</f>
        <v>5</v>
      </c>
      <c r="F432" s="82" t="str">
        <f>IF(A432&lt;&gt;"",_xlfn.CONCAT(TEXT(A432,"yyyy-mm-dd"),"T",TEXT(A432,"hh:mm:ss"),'Event Info'!$B$5,",",," ",C432),"")</f>
        <v/>
      </c>
      <c r="G432" t="e">
        <f t="shared" si="12"/>
        <v>#VALUE!</v>
      </c>
      <c r="H432" s="92" t="str">
        <f t="shared" si="13"/>
        <v/>
      </c>
      <c r="I432" s="88">
        <v>0</v>
      </c>
    </row>
    <row r="433" spans="1:9" ht="16.899999999999999">
      <c r="A433" s="76" t="str" cm="1">
        <f t="array" ref="A43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Calculators'!$B$2+E433)</f>
        <v/>
      </c>
      <c r="B433" s="76" t="str" cm="1">
        <f t="array" ref="B433">IF(OR(A433=""),"",IF(INDEX('Test schedule'!E:E,ROW()+9)="",IF(A434="",A433+$Q$10,A434),INDEX('Test schedule'!E:E,ROW()+9)+'Date Calculators'!$B$2+E433))</f>
        <v/>
      </c>
      <c r="C433" s="74" t="str" cm="1">
        <f t="array" ref="C433">IF(A433="","",INDEX('Test schedule'!J:J,ROW()+9))</f>
        <v/>
      </c>
      <c r="D433" s="74" t="str">
        <f>IFERROR(IF(A433="","",'Event Info'!$B$2),"")</f>
        <v/>
      </c>
      <c r="E433" cm="1">
        <f t="array" ref="E433">IF(INDEX('Test schedule'!B:B,ROW()+9)="START",E432+1,E432+0)</f>
        <v>5</v>
      </c>
      <c r="F433" s="82" t="str">
        <f>IF(A433&lt;&gt;"",_xlfn.CONCAT(TEXT(A433,"yyyy-mm-dd"),"T",TEXT(A433,"hh:mm:ss"),'Event Info'!$B$5,",",," ",C433),"")</f>
        <v/>
      </c>
      <c r="G433" t="e">
        <f t="shared" si="12"/>
        <v>#VALUE!</v>
      </c>
      <c r="H433" s="92" t="str">
        <f t="shared" si="13"/>
        <v/>
      </c>
      <c r="I433" s="91">
        <v>0</v>
      </c>
    </row>
    <row r="434" spans="1:9">
      <c r="A434" s="76" t="str" cm="1">
        <f t="array" ref="A43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Calculators'!$B$2+E434)</f>
        <v/>
      </c>
      <c r="B434" s="76" t="str" cm="1">
        <f t="array" ref="B434">IF(OR(A434=""),"",IF(INDEX('Test schedule'!E:E,ROW()+9)="",IF(A435="",A434+$Q$10,A435),INDEX('Test schedule'!E:E,ROW()+9)+'Date Calculators'!$B$2+E434))</f>
        <v/>
      </c>
      <c r="C434" s="74" t="str" cm="1">
        <f t="array" ref="C434">IF(A434="","",INDEX('Test schedule'!J:J,ROW()+9))</f>
        <v/>
      </c>
      <c r="D434" s="74" t="str">
        <f>IFERROR(IF(A434="","",'Event Info'!$B$2),"")</f>
        <v/>
      </c>
      <c r="E434" cm="1">
        <f t="array" ref="E434">IF(INDEX('Test schedule'!B:B,ROW()+9)="START",E433+1,E433+0)</f>
        <v>5</v>
      </c>
      <c r="F434" s="82" t="str">
        <f>IF(A434&lt;&gt;"",_xlfn.CONCAT(TEXT(A434,"yyyy-mm-dd"),"T",TEXT(A434,"hh:mm:ss"),'Event Info'!$B$5,",",," ",C434),"")</f>
        <v/>
      </c>
      <c r="G434" t="e">
        <f t="shared" si="12"/>
        <v>#VALUE!</v>
      </c>
      <c r="H434" s="92" t="str">
        <f t="shared" si="13"/>
        <v/>
      </c>
      <c r="I434" s="88">
        <v>0</v>
      </c>
    </row>
    <row r="435" spans="1:9">
      <c r="A435" s="76" t="str" cm="1">
        <f t="array" ref="A43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Calculators'!$B$2+E435)</f>
        <v/>
      </c>
      <c r="B435" s="76" t="str" cm="1">
        <f t="array" ref="B435">IF(OR(A435=""),"",IF(INDEX('Test schedule'!E:E,ROW()+9)="",IF(A436="",A435+$Q$10,A436),INDEX('Test schedule'!E:E,ROW()+9)+'Date Calculators'!$B$2+E435))</f>
        <v/>
      </c>
      <c r="C435" s="74" t="str" cm="1">
        <f t="array" ref="C435">IF(A435="","",INDEX('Test schedule'!J:J,ROW()+9))</f>
        <v/>
      </c>
      <c r="D435" s="74" t="str">
        <f>IFERROR(IF(A435="","",'Event Info'!$B$2),"")</f>
        <v/>
      </c>
      <c r="E435" cm="1">
        <f t="array" ref="E435">IF(INDEX('Test schedule'!B:B,ROW()+9)="START",E434+1,E434+0)</f>
        <v>5</v>
      </c>
      <c r="F435" s="82" t="str">
        <f>IF(A435&lt;&gt;"",_xlfn.CONCAT(TEXT(A435,"yyyy-mm-dd"),"T",TEXT(A435,"hh:mm:ss"),'Event Info'!$B$5,",",," ",C435),"")</f>
        <v/>
      </c>
      <c r="G435" t="e">
        <f t="shared" si="12"/>
        <v>#VALUE!</v>
      </c>
      <c r="H435" s="92" t="str">
        <f t="shared" si="13"/>
        <v/>
      </c>
      <c r="I435" s="88">
        <v>0</v>
      </c>
    </row>
    <row r="436" spans="1:9" ht="16.899999999999999">
      <c r="A436" s="76" t="str" cm="1">
        <f t="array" ref="A43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Calculators'!$B$2+E436)</f>
        <v/>
      </c>
      <c r="B436" s="76" t="str" cm="1">
        <f t="array" ref="B436">IF(OR(A436=""),"",IF(INDEX('Test schedule'!E:E,ROW()+9)="",IF(A437="",A436+$Q$10,A437),INDEX('Test schedule'!E:E,ROW()+9)+'Date Calculators'!$B$2+E436))</f>
        <v/>
      </c>
      <c r="C436" s="74" t="str" cm="1">
        <f t="array" ref="C436">IF(A436="","",INDEX('Test schedule'!J:J,ROW()+9))</f>
        <v/>
      </c>
      <c r="D436" s="74" t="str">
        <f>IFERROR(IF(A436="","",'Event Info'!$B$2),"")</f>
        <v/>
      </c>
      <c r="E436" cm="1">
        <f t="array" ref="E436">IF(INDEX('Test schedule'!B:B,ROW()+9)="START",E435+1,E435+0)</f>
        <v>5</v>
      </c>
      <c r="F436" s="82" t="str">
        <f>IF(A436&lt;&gt;"",_xlfn.CONCAT(TEXT(A436,"yyyy-mm-dd"),"T",TEXT(A436,"hh:mm:ss"),'Event Info'!$B$5,",",," ",C436),"")</f>
        <v/>
      </c>
      <c r="G436" t="e">
        <f t="shared" si="12"/>
        <v>#VALUE!</v>
      </c>
      <c r="H436" s="92" t="str">
        <f t="shared" si="13"/>
        <v/>
      </c>
      <c r="I436" s="91">
        <v>0</v>
      </c>
    </row>
    <row r="437" spans="1:9">
      <c r="A437" s="76" t="str" cm="1">
        <f t="array" ref="A43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Calculators'!$B$2+E437)</f>
        <v/>
      </c>
      <c r="B437" s="76" t="str" cm="1">
        <f t="array" ref="B437">IF(OR(A437=""),"",IF(INDEX('Test schedule'!E:E,ROW()+9)="",IF(A438="",A437+$Q$10,A438),INDEX('Test schedule'!E:E,ROW()+9)+'Date Calculators'!$B$2+E437))</f>
        <v/>
      </c>
      <c r="C437" s="74" t="str" cm="1">
        <f t="array" ref="C437">IF(A437="","",INDEX('Test schedule'!J:J,ROW()+9))</f>
        <v/>
      </c>
      <c r="D437" s="74" t="str">
        <f>IFERROR(IF(A437="","",'Event Info'!$B$2),"")</f>
        <v/>
      </c>
      <c r="E437" cm="1">
        <f t="array" ref="E437">IF(INDEX('Test schedule'!B:B,ROW()+9)="START",E436+1,E436+0)</f>
        <v>5</v>
      </c>
      <c r="F437" s="82" t="str">
        <f>IF(A437&lt;&gt;"",_xlfn.CONCAT(TEXT(A437,"yyyy-mm-dd"),"T",TEXT(A437,"hh:mm:ss"),'Event Info'!$B$5,",",," ",C437),"")</f>
        <v/>
      </c>
      <c r="G437" t="e">
        <f t="shared" si="12"/>
        <v>#VALUE!</v>
      </c>
      <c r="H437" s="92" t="str">
        <f t="shared" si="13"/>
        <v/>
      </c>
      <c r="I437" s="88">
        <v>0</v>
      </c>
    </row>
    <row r="438" spans="1:9">
      <c r="A438" s="76" t="str" cm="1">
        <f t="array" ref="A43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Calculators'!$B$2+E438)</f>
        <v/>
      </c>
      <c r="B438" s="76" t="str" cm="1">
        <f t="array" ref="B438">IF(OR(A438=""),"",IF(INDEX('Test schedule'!E:E,ROW()+9)="",IF(A439="",A438+$Q$10,A439),INDEX('Test schedule'!E:E,ROW()+9)+'Date Calculators'!$B$2+E438))</f>
        <v/>
      </c>
      <c r="C438" s="74" t="str" cm="1">
        <f t="array" ref="C438">IF(A438="","",INDEX('Test schedule'!J:J,ROW()+9))</f>
        <v/>
      </c>
      <c r="D438" s="74" t="str">
        <f>IFERROR(IF(A438="","",'Event Info'!$B$2),"")</f>
        <v/>
      </c>
      <c r="E438" cm="1">
        <f t="array" ref="E438">IF(INDEX('Test schedule'!B:B,ROW()+9)="START",E437+1,E437+0)</f>
        <v>5</v>
      </c>
      <c r="F438" s="82" t="str">
        <f>IF(A438&lt;&gt;"",_xlfn.CONCAT(TEXT(A438,"yyyy-mm-dd"),"T",TEXT(A438,"hh:mm:ss"),'Event Info'!$B$5,",",," ",C438),"")</f>
        <v/>
      </c>
      <c r="G438" t="e">
        <f t="shared" si="12"/>
        <v>#VALUE!</v>
      </c>
      <c r="H438" s="92" t="str">
        <f t="shared" si="13"/>
        <v/>
      </c>
      <c r="I438" s="88">
        <v>0</v>
      </c>
    </row>
    <row r="439" spans="1:9" ht="16.899999999999999">
      <c r="A439" s="76" t="str" cm="1">
        <f t="array" ref="A43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Calculators'!$B$2+E439)</f>
        <v/>
      </c>
      <c r="B439" s="76" t="str" cm="1">
        <f t="array" ref="B439">IF(OR(A439=""),"",IF(INDEX('Test schedule'!E:E,ROW()+9)="",IF(A440="",A439+$Q$10,A440),INDEX('Test schedule'!E:E,ROW()+9)+'Date Calculators'!$B$2+E439))</f>
        <v/>
      </c>
      <c r="C439" s="74" t="str" cm="1">
        <f t="array" ref="C439">IF(A439="","",INDEX('Test schedule'!J:J,ROW()+9))</f>
        <v/>
      </c>
      <c r="D439" s="74" t="str">
        <f>IFERROR(IF(A439="","",'Event Info'!$B$2),"")</f>
        <v/>
      </c>
      <c r="E439" cm="1">
        <f t="array" ref="E439">IF(INDEX('Test schedule'!B:B,ROW()+9)="START",E438+1,E438+0)</f>
        <v>5</v>
      </c>
      <c r="F439" s="82" t="str">
        <f>IF(A439&lt;&gt;"",_xlfn.CONCAT(TEXT(A439,"yyyy-mm-dd"),"T",TEXT(A439,"hh:mm:ss"),'Event Info'!$B$5,",",," ",C439),"")</f>
        <v/>
      </c>
      <c r="G439" t="e">
        <f t="shared" si="12"/>
        <v>#VALUE!</v>
      </c>
      <c r="H439" s="92" t="str">
        <f t="shared" si="13"/>
        <v/>
      </c>
      <c r="I439" s="91">
        <v>0</v>
      </c>
    </row>
    <row r="440" spans="1:9">
      <c r="A440" s="76" t="str" cm="1">
        <f t="array" ref="A44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Calculators'!$B$2+E440)</f>
        <v/>
      </c>
      <c r="B440" s="76" t="str" cm="1">
        <f t="array" ref="B440">IF(OR(A440=""),"",IF(INDEX('Test schedule'!E:E,ROW()+9)="",IF(A441="",A440+$Q$10,A441),INDEX('Test schedule'!E:E,ROW()+9)+'Date Calculators'!$B$2+E440))</f>
        <v/>
      </c>
      <c r="C440" s="74" t="str" cm="1">
        <f t="array" ref="C440">IF(A440="","",INDEX('Test schedule'!J:J,ROW()+9))</f>
        <v/>
      </c>
      <c r="D440" s="74" t="str">
        <f>IFERROR(IF(A440="","",'Event Info'!$B$2),"")</f>
        <v/>
      </c>
      <c r="E440" cm="1">
        <f t="array" ref="E440">IF(INDEX('Test schedule'!B:B,ROW()+9)="START",E439+1,E439+0)</f>
        <v>5</v>
      </c>
      <c r="F440" s="82" t="str">
        <f>IF(A440&lt;&gt;"",_xlfn.CONCAT(TEXT(A440,"yyyy-mm-dd"),"T",TEXT(A440,"hh:mm:ss"),'Event Info'!$B$5,",",," ",C440),"")</f>
        <v/>
      </c>
      <c r="G440" t="e">
        <f t="shared" si="12"/>
        <v>#VALUE!</v>
      </c>
      <c r="H440" s="92" t="str">
        <f t="shared" si="13"/>
        <v/>
      </c>
      <c r="I440" s="88">
        <v>0</v>
      </c>
    </row>
    <row r="441" spans="1:9">
      <c r="A441" s="76" t="str" cm="1">
        <f t="array" ref="A44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Calculators'!$B$2+E441)</f>
        <v/>
      </c>
      <c r="B441" s="76" t="str" cm="1">
        <f t="array" ref="B441">IF(OR(A441=""),"",IF(INDEX('Test schedule'!E:E,ROW()+9)="",IF(A442="",A441+$Q$10,A442),INDEX('Test schedule'!E:E,ROW()+9)+'Date Calculators'!$B$2+E441))</f>
        <v/>
      </c>
      <c r="C441" s="74" t="str" cm="1">
        <f t="array" ref="C441">IF(A441="","",INDEX('Test schedule'!J:J,ROW()+9))</f>
        <v/>
      </c>
      <c r="D441" s="74" t="str">
        <f>IFERROR(IF(A441="","",'Event Info'!$B$2),"")</f>
        <v/>
      </c>
      <c r="E441" cm="1">
        <f t="array" ref="E441">IF(INDEX('Test schedule'!B:B,ROW()+9)="START",E440+1,E440+0)</f>
        <v>5</v>
      </c>
      <c r="F441" s="82" t="str">
        <f>IF(A441&lt;&gt;"",_xlfn.CONCAT(TEXT(A441,"yyyy-mm-dd"),"T",TEXT(A441,"hh:mm:ss"),'Event Info'!$B$5,",",," ",C441),"")</f>
        <v/>
      </c>
      <c r="G441" t="e">
        <f t="shared" si="12"/>
        <v>#VALUE!</v>
      </c>
      <c r="H441" s="92" t="str">
        <f t="shared" si="13"/>
        <v/>
      </c>
      <c r="I441" s="88">
        <v>0</v>
      </c>
    </row>
    <row r="442" spans="1:9" ht="16.899999999999999">
      <c r="A442" s="76" t="str" cm="1">
        <f t="array" ref="A44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Calculators'!$B$2+E442)</f>
        <v/>
      </c>
      <c r="B442" s="76" t="str" cm="1">
        <f t="array" ref="B442">IF(OR(A442=""),"",IF(INDEX('Test schedule'!E:E,ROW()+9)="",IF(A443="",A442+$Q$10,A443),INDEX('Test schedule'!E:E,ROW()+9)+'Date Calculators'!$B$2+E442))</f>
        <v/>
      </c>
      <c r="C442" s="74" t="str" cm="1">
        <f t="array" ref="C442">IF(A442="","",INDEX('Test schedule'!J:J,ROW()+9))</f>
        <v/>
      </c>
      <c r="D442" s="74" t="str">
        <f>IFERROR(IF(A442="","",'Event Info'!$B$2),"")</f>
        <v/>
      </c>
      <c r="E442" cm="1">
        <f t="array" ref="E442">IF(INDEX('Test schedule'!B:B,ROW()+9)="START",E441+1,E441+0)</f>
        <v>5</v>
      </c>
      <c r="F442" s="82" t="str">
        <f>IF(A442&lt;&gt;"",_xlfn.CONCAT(TEXT(A442,"yyyy-mm-dd"),"T",TEXT(A442,"hh:mm:ss"),'Event Info'!$B$5,",",," ",C442),"")</f>
        <v/>
      </c>
      <c r="G442" t="e">
        <f t="shared" si="12"/>
        <v>#VALUE!</v>
      </c>
      <c r="H442" s="92" t="str">
        <f t="shared" si="13"/>
        <v/>
      </c>
      <c r="I442" s="91">
        <v>0</v>
      </c>
    </row>
    <row r="443" spans="1:9">
      <c r="A443" s="76" t="str" cm="1">
        <f t="array" ref="A44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Calculators'!$B$2+E443)</f>
        <v/>
      </c>
      <c r="B443" s="76" t="str" cm="1">
        <f t="array" ref="B443">IF(OR(A443=""),"",IF(INDEX('Test schedule'!E:E,ROW()+9)="",IF(A444="",A443+$Q$10,A444),INDEX('Test schedule'!E:E,ROW()+9)+'Date Calculators'!$B$2+E443))</f>
        <v/>
      </c>
      <c r="C443" s="74" t="str" cm="1">
        <f t="array" ref="C443">IF(A443="","",INDEX('Test schedule'!J:J,ROW()+9))</f>
        <v/>
      </c>
      <c r="D443" s="74" t="str">
        <f>IFERROR(IF(A443="","",'Event Info'!$B$2),"")</f>
        <v/>
      </c>
      <c r="E443" cm="1">
        <f t="array" ref="E443">IF(INDEX('Test schedule'!B:B,ROW()+9)="START",E442+1,E442+0)</f>
        <v>5</v>
      </c>
      <c r="F443" s="82" t="str">
        <f>IF(A443&lt;&gt;"",_xlfn.CONCAT(TEXT(A443,"yyyy-mm-dd"),"T",TEXT(A443,"hh:mm:ss"),'Event Info'!$B$5,",",," ",C443),"")</f>
        <v/>
      </c>
      <c r="G443" t="e">
        <f t="shared" si="12"/>
        <v>#VALUE!</v>
      </c>
      <c r="H443" s="92" t="str">
        <f t="shared" si="13"/>
        <v/>
      </c>
      <c r="I443" s="88">
        <v>0</v>
      </c>
    </row>
    <row r="444" spans="1:9">
      <c r="A444" s="76" t="str" cm="1">
        <f t="array" ref="A44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Calculators'!$B$2+E444)</f>
        <v/>
      </c>
      <c r="B444" s="76" t="str" cm="1">
        <f t="array" ref="B444">IF(OR(A444=""),"",IF(INDEX('Test schedule'!E:E,ROW()+9)="",IF(A445="",A444+$Q$10,A445),INDEX('Test schedule'!E:E,ROW()+9)+'Date Calculators'!$B$2+E444))</f>
        <v/>
      </c>
      <c r="C444" s="74" t="str" cm="1">
        <f t="array" ref="C444">IF(A444="","",INDEX('Test schedule'!J:J,ROW()+9))</f>
        <v/>
      </c>
      <c r="D444" s="74" t="str">
        <f>IFERROR(IF(A444="","",'Event Info'!$B$2),"")</f>
        <v/>
      </c>
      <c r="E444" cm="1">
        <f t="array" ref="E444">IF(INDEX('Test schedule'!B:B,ROW()+9)="START",E443+1,E443+0)</f>
        <v>5</v>
      </c>
      <c r="F444" s="82" t="str">
        <f>IF(A444&lt;&gt;"",_xlfn.CONCAT(TEXT(A444,"yyyy-mm-dd"),"T",TEXT(A444,"hh:mm:ss"),'Event Info'!$B$5,",",," ",C444),"")</f>
        <v/>
      </c>
      <c r="G444" t="e">
        <f t="shared" si="12"/>
        <v>#VALUE!</v>
      </c>
      <c r="H444" s="92" t="str">
        <f t="shared" si="13"/>
        <v/>
      </c>
      <c r="I444" s="88">
        <v>0</v>
      </c>
    </row>
    <row r="445" spans="1:9" ht="16.899999999999999">
      <c r="A445" s="76" t="str" cm="1">
        <f t="array" ref="A44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Calculators'!$B$2+E445)</f>
        <v/>
      </c>
      <c r="B445" s="76" t="str" cm="1">
        <f t="array" ref="B445">IF(OR(A445=""),"",IF(INDEX('Test schedule'!E:E,ROW()+9)="",IF(A446="",A445+$Q$10,A446),INDEX('Test schedule'!E:E,ROW()+9)+'Date Calculators'!$B$2+E445))</f>
        <v/>
      </c>
      <c r="C445" s="74" t="str" cm="1">
        <f t="array" ref="C445">IF(A445="","",INDEX('Test schedule'!J:J,ROW()+9))</f>
        <v/>
      </c>
      <c r="D445" s="74" t="str">
        <f>IFERROR(IF(A445="","",'Event Info'!$B$2),"")</f>
        <v/>
      </c>
      <c r="E445" cm="1">
        <f t="array" ref="E445">IF(INDEX('Test schedule'!B:B,ROW()+9)="START",E444+1,E444+0)</f>
        <v>5</v>
      </c>
      <c r="F445" s="82" t="str">
        <f>IF(A445&lt;&gt;"",_xlfn.CONCAT(TEXT(A445,"yyyy-mm-dd"),"T",TEXT(A445,"hh:mm:ss"),'Event Info'!$B$5,",",," ",C445),"")</f>
        <v/>
      </c>
      <c r="G445" t="e">
        <f t="shared" si="12"/>
        <v>#VALUE!</v>
      </c>
      <c r="H445" s="92" t="str">
        <f t="shared" si="13"/>
        <v/>
      </c>
      <c r="I445" s="91">
        <v>0</v>
      </c>
    </row>
    <row r="446" spans="1:9">
      <c r="A446" s="76" t="str" cm="1">
        <f t="array" ref="A44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Calculators'!$B$2+E446)</f>
        <v/>
      </c>
      <c r="B446" s="76" t="str" cm="1">
        <f t="array" ref="B446">IF(OR(A446=""),"",IF(INDEX('Test schedule'!E:E,ROW()+9)="",IF(A447="",A446+$Q$10,A447),INDEX('Test schedule'!E:E,ROW()+9)+'Date Calculators'!$B$2+E446))</f>
        <v/>
      </c>
      <c r="C446" s="74" t="str" cm="1">
        <f t="array" ref="C446">IF(A446="","",INDEX('Test schedule'!J:J,ROW()+9))</f>
        <v/>
      </c>
      <c r="D446" s="74" t="str">
        <f>IFERROR(IF(A446="","",'Event Info'!$B$2),"")</f>
        <v/>
      </c>
      <c r="E446" cm="1">
        <f t="array" ref="E446">IF(INDEX('Test schedule'!B:B,ROW()+9)="START",E445+1,E445+0)</f>
        <v>5</v>
      </c>
      <c r="F446" s="82" t="str">
        <f>IF(A446&lt;&gt;"",_xlfn.CONCAT(TEXT(A446,"yyyy-mm-dd"),"T",TEXT(A446,"hh:mm:ss"),'Event Info'!$B$5,",",," ",C446),"")</f>
        <v/>
      </c>
      <c r="G446" t="e">
        <f t="shared" si="12"/>
        <v>#VALUE!</v>
      </c>
      <c r="H446" s="92" t="str">
        <f t="shared" si="13"/>
        <v/>
      </c>
      <c r="I446" s="88">
        <v>0</v>
      </c>
    </row>
    <row r="447" spans="1:9">
      <c r="A447" s="76" t="str" cm="1">
        <f t="array" ref="A44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Calculators'!$B$2+E447)</f>
        <v/>
      </c>
      <c r="B447" s="76" t="str" cm="1">
        <f t="array" ref="B447">IF(OR(A447=""),"",IF(INDEX('Test schedule'!E:E,ROW()+9)="",IF(A448="",A447+$Q$10,A448),INDEX('Test schedule'!E:E,ROW()+9)+'Date Calculators'!$B$2+E447))</f>
        <v/>
      </c>
      <c r="C447" s="74" t="str" cm="1">
        <f t="array" ref="C447">IF(A447="","",INDEX('Test schedule'!J:J,ROW()+9))</f>
        <v/>
      </c>
      <c r="D447" s="74" t="str">
        <f>IFERROR(IF(A447="","",'Event Info'!$B$2),"")</f>
        <v/>
      </c>
      <c r="E447" cm="1">
        <f t="array" ref="E447">IF(INDEX('Test schedule'!B:B,ROW()+9)="START",E446+1,E446+0)</f>
        <v>5</v>
      </c>
      <c r="F447" s="82" t="str">
        <f>IF(A447&lt;&gt;"",_xlfn.CONCAT(TEXT(A447,"yyyy-mm-dd"),"T",TEXT(A447,"hh:mm:ss"),'Event Info'!$B$5,",",," ",C447),"")</f>
        <v/>
      </c>
      <c r="G447" t="e">
        <f t="shared" si="12"/>
        <v>#VALUE!</v>
      </c>
      <c r="H447" s="92" t="str">
        <f t="shared" si="13"/>
        <v/>
      </c>
      <c r="I447" s="88">
        <v>0</v>
      </c>
    </row>
    <row r="448" spans="1:9" ht="16.899999999999999">
      <c r="A448" s="76" t="str" cm="1">
        <f t="array" ref="A44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Calculators'!$B$2+E448)</f>
        <v/>
      </c>
      <c r="B448" s="76" t="str" cm="1">
        <f t="array" ref="B448">IF(OR(A448=""),"",IF(INDEX('Test schedule'!E:E,ROW()+9)="",IF(A449="",A448+$Q$10,A449),INDEX('Test schedule'!E:E,ROW()+9)+'Date Calculators'!$B$2+E448))</f>
        <v/>
      </c>
      <c r="C448" s="74" t="str" cm="1">
        <f t="array" ref="C448">IF(A448="","",INDEX('Test schedule'!J:J,ROW()+9))</f>
        <v/>
      </c>
      <c r="D448" s="74" t="str">
        <f>IFERROR(IF(A448="","",'Event Info'!$B$2),"")</f>
        <v/>
      </c>
      <c r="E448" cm="1">
        <f t="array" ref="E448">IF(INDEX('Test schedule'!B:B,ROW()+9)="START",E447+1,E447+0)</f>
        <v>5</v>
      </c>
      <c r="F448" s="82" t="str">
        <f>IF(A448&lt;&gt;"",_xlfn.CONCAT(TEXT(A448,"yyyy-mm-dd"),"T",TEXT(A448,"hh:mm:ss"),'Event Info'!$B$5,",",," ",C448),"")</f>
        <v/>
      </c>
      <c r="G448" t="e">
        <f t="shared" si="12"/>
        <v>#VALUE!</v>
      </c>
      <c r="H448" s="92" t="str">
        <f t="shared" si="13"/>
        <v/>
      </c>
      <c r="I448" s="91">
        <v>0</v>
      </c>
    </row>
    <row r="449" spans="1:9">
      <c r="A449" s="76" t="str" cm="1">
        <f t="array" ref="A44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Calculators'!$B$2+E449)</f>
        <v/>
      </c>
      <c r="B449" s="76" t="str" cm="1">
        <f t="array" ref="B449">IF(OR(A449=""),"",IF(INDEX('Test schedule'!E:E,ROW()+9)="",IF(A450="",A449+$Q$10,A450),INDEX('Test schedule'!E:E,ROW()+9)+'Date Calculators'!$B$2+E449))</f>
        <v/>
      </c>
      <c r="C449" s="74" t="str" cm="1">
        <f t="array" ref="C449">IF(A449="","",INDEX('Test schedule'!J:J,ROW()+9))</f>
        <v/>
      </c>
      <c r="D449" s="74" t="str">
        <f>IFERROR(IF(A449="","",'Event Info'!$B$2),"")</f>
        <v/>
      </c>
      <c r="E449" cm="1">
        <f t="array" ref="E449">IF(INDEX('Test schedule'!B:B,ROW()+9)="START",E448+1,E448+0)</f>
        <v>5</v>
      </c>
      <c r="F449" s="82" t="str">
        <f>IF(A449&lt;&gt;"",_xlfn.CONCAT(TEXT(A449,"yyyy-mm-dd"),"T",TEXT(A449,"hh:mm:ss"),'Event Info'!$B$5,",",," ",C449),"")</f>
        <v/>
      </c>
      <c r="G449" t="e">
        <f t="shared" si="12"/>
        <v>#VALUE!</v>
      </c>
      <c r="H449" s="92" t="str">
        <f t="shared" si="13"/>
        <v/>
      </c>
      <c r="I449" s="88">
        <v>0</v>
      </c>
    </row>
    <row r="450" spans="1:9">
      <c r="A450" s="76" t="str" cm="1">
        <f t="array" ref="A45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Calculators'!$B$2+E450)</f>
        <v/>
      </c>
      <c r="B450" s="76" t="str" cm="1">
        <f t="array" ref="B450">IF(OR(A450=""),"",IF(INDEX('Test schedule'!E:E,ROW()+9)="",IF(A451="",A450+$Q$10,A451),INDEX('Test schedule'!E:E,ROW()+9)+'Date Calculators'!$B$2+E450))</f>
        <v/>
      </c>
      <c r="C450" s="74" t="str" cm="1">
        <f t="array" ref="C450">IF(A450="","",INDEX('Test schedule'!J:J,ROW()+9))</f>
        <v/>
      </c>
      <c r="D450" s="74" t="str">
        <f>IFERROR(IF(A450="","",'Event Info'!$B$2),"")</f>
        <v/>
      </c>
      <c r="E450" cm="1">
        <f t="array" ref="E450">IF(INDEX('Test schedule'!B:B,ROW()+9)="START",E449+1,E449+0)</f>
        <v>5</v>
      </c>
      <c r="F450" s="82" t="str">
        <f>IF(A450&lt;&gt;"",_xlfn.CONCAT(TEXT(A450,"yyyy-mm-dd"),"T",TEXT(A450,"hh:mm:ss"),'Event Info'!$B$5,",",," ",C450),"")</f>
        <v/>
      </c>
      <c r="G450" t="e">
        <f t="shared" si="12"/>
        <v>#VALUE!</v>
      </c>
      <c r="H450" s="92" t="str">
        <f t="shared" si="13"/>
        <v/>
      </c>
      <c r="I450" s="88">
        <v>0</v>
      </c>
    </row>
    <row r="451" spans="1:9" ht="16.899999999999999">
      <c r="A451" s="76" t="str" cm="1">
        <f t="array" ref="A45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Calculators'!$B$2+E451)</f>
        <v/>
      </c>
      <c r="B451" s="76" t="str" cm="1">
        <f t="array" ref="B451">IF(OR(A451=""),"",IF(INDEX('Test schedule'!E:E,ROW()+9)="",IF(A452="",A451+$Q$10,A452),INDEX('Test schedule'!E:E,ROW()+9)+'Date Calculators'!$B$2+E451))</f>
        <v/>
      </c>
      <c r="C451" s="74" t="str" cm="1">
        <f t="array" ref="C451">IF(A451="","",INDEX('Test schedule'!J:J,ROW()+9))</f>
        <v/>
      </c>
      <c r="D451" s="74" t="str">
        <f>IFERROR(IF(A451="","",'Event Info'!$B$2),"")</f>
        <v/>
      </c>
      <c r="E451" cm="1">
        <f t="array" ref="E451">IF(INDEX('Test schedule'!B:B,ROW()+9)="START",E450+1,E450+0)</f>
        <v>5</v>
      </c>
      <c r="F451" s="82" t="str">
        <f>IF(A451&lt;&gt;"",_xlfn.CONCAT(TEXT(A451,"yyyy-mm-dd"),"T",TEXT(A451,"hh:mm:ss"),'Event Info'!$B$5,",",," ",C451),"")</f>
        <v/>
      </c>
      <c r="G451" t="e">
        <f t="shared" ref="G451:G500" si="14">G450+IF(A451&lt;&gt;"",1,0)</f>
        <v>#VALUE!</v>
      </c>
      <c r="H451" s="92" t="str">
        <f t="shared" si="13"/>
        <v/>
      </c>
      <c r="I451" s="91">
        <v>0</v>
      </c>
    </row>
    <row r="452" spans="1:9">
      <c r="A452" s="76" t="str" cm="1">
        <f t="array" ref="A45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Calculators'!$B$2+E452)</f>
        <v/>
      </c>
      <c r="B452" s="76" t="str" cm="1">
        <f t="array" ref="B452">IF(OR(A452=""),"",IF(INDEX('Test schedule'!E:E,ROW()+9)="",IF(A453="",A452+$Q$10,A453),INDEX('Test schedule'!E:E,ROW()+9)+'Date Calculators'!$B$2+E452))</f>
        <v/>
      </c>
      <c r="C452" s="74" t="str" cm="1">
        <f t="array" ref="C452">IF(A452="","",INDEX('Test schedule'!J:J,ROW()+9))</f>
        <v/>
      </c>
      <c r="D452" s="74" t="str">
        <f>IFERROR(IF(A452="","",'Event Info'!$B$2),"")</f>
        <v/>
      </c>
      <c r="E452" cm="1">
        <f t="array" ref="E452">IF(INDEX('Test schedule'!B:B,ROW()+9)="START",E451+1,E451+0)</f>
        <v>5</v>
      </c>
      <c r="F452" s="82" t="str">
        <f>IF(A452&lt;&gt;"",_xlfn.CONCAT(TEXT(A452,"yyyy-mm-dd"),"T",TEXT(A452,"hh:mm:ss"),'Event Info'!$B$5,",",," ",C452),"")</f>
        <v/>
      </c>
      <c r="G452" t="e">
        <f t="shared" si="14"/>
        <v>#VALUE!</v>
      </c>
      <c r="H452" s="92" t="str">
        <f t="shared" ref="H452:H500" si="15">IFERROR(INDEX($F$2:$F$500,MATCH(ROW()-1,$G$2:$G$500,0)),"")</f>
        <v/>
      </c>
      <c r="I452" s="88">
        <v>0</v>
      </c>
    </row>
    <row r="453" spans="1:9">
      <c r="A453" s="76" t="str" cm="1">
        <f t="array" ref="A45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Calculators'!$B$2+E453)</f>
        <v/>
      </c>
      <c r="B453" s="76" t="str" cm="1">
        <f t="array" ref="B453">IF(OR(A453=""),"",IF(INDEX('Test schedule'!E:E,ROW()+9)="",IF(A454="",A453+$Q$10,A454),INDEX('Test schedule'!E:E,ROW()+9)+'Date Calculators'!$B$2+E453))</f>
        <v/>
      </c>
      <c r="C453" s="74" t="str" cm="1">
        <f t="array" ref="C453">IF(A453="","",INDEX('Test schedule'!J:J,ROW()+9))</f>
        <v/>
      </c>
      <c r="D453" s="74" t="str">
        <f>IFERROR(IF(A453="","",'Event Info'!$B$2),"")</f>
        <v/>
      </c>
      <c r="E453" cm="1">
        <f t="array" ref="E453">IF(INDEX('Test schedule'!B:B,ROW()+9)="START",E452+1,E452+0)</f>
        <v>5</v>
      </c>
      <c r="F453" s="82" t="str">
        <f>IF(A453&lt;&gt;"",_xlfn.CONCAT(TEXT(A453,"yyyy-mm-dd"),"T",TEXT(A453,"hh:mm:ss"),'Event Info'!$B$5,",",," ",C453),"")</f>
        <v/>
      </c>
      <c r="G453" t="e">
        <f t="shared" si="14"/>
        <v>#VALUE!</v>
      </c>
      <c r="H453" s="92" t="str">
        <f t="shared" si="15"/>
        <v/>
      </c>
      <c r="I453" s="88">
        <v>0</v>
      </c>
    </row>
    <row r="454" spans="1:9" ht="16.899999999999999">
      <c r="A454" s="76" t="str" cm="1">
        <f t="array" ref="A45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Calculators'!$B$2+E454)</f>
        <v/>
      </c>
      <c r="B454" s="76" t="str" cm="1">
        <f t="array" ref="B454">IF(OR(A454=""),"",IF(INDEX('Test schedule'!E:E,ROW()+9)="",IF(A455="",A454+$Q$10,A455),INDEX('Test schedule'!E:E,ROW()+9)+'Date Calculators'!$B$2+E454))</f>
        <v/>
      </c>
      <c r="C454" s="74" t="str" cm="1">
        <f t="array" ref="C454">IF(A454="","",INDEX('Test schedule'!J:J,ROW()+9))</f>
        <v/>
      </c>
      <c r="D454" s="74" t="str">
        <f>IFERROR(IF(A454="","",'Event Info'!$B$2),"")</f>
        <v/>
      </c>
      <c r="E454" cm="1">
        <f t="array" ref="E454">IF(INDEX('Test schedule'!B:B,ROW()+9)="START",E453+1,E453+0)</f>
        <v>5</v>
      </c>
      <c r="F454" s="82" t="str">
        <f>IF(A454&lt;&gt;"",_xlfn.CONCAT(TEXT(A454,"yyyy-mm-dd"),"T",TEXT(A454,"hh:mm:ss"),'Event Info'!$B$5,",",," ",C454),"")</f>
        <v/>
      </c>
      <c r="G454" t="e">
        <f t="shared" si="14"/>
        <v>#VALUE!</v>
      </c>
      <c r="H454" s="92" t="str">
        <f t="shared" si="15"/>
        <v/>
      </c>
      <c r="I454" s="91">
        <v>0</v>
      </c>
    </row>
    <row r="455" spans="1:9">
      <c r="A455" s="76" t="str" cm="1">
        <f t="array" ref="A45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Calculators'!$B$2+E455)</f>
        <v/>
      </c>
      <c r="B455" s="76" t="str" cm="1">
        <f t="array" ref="B455">IF(OR(A455=""),"",IF(INDEX('Test schedule'!E:E,ROW()+9)="",IF(A456="",A455+$Q$10,A456),INDEX('Test schedule'!E:E,ROW()+9)+'Date Calculators'!$B$2+E455))</f>
        <v/>
      </c>
      <c r="C455" s="74" t="str" cm="1">
        <f t="array" ref="C455">IF(A455="","",INDEX('Test schedule'!J:J,ROW()+9))</f>
        <v/>
      </c>
      <c r="D455" s="74" t="str">
        <f>IFERROR(IF(A455="","",'Event Info'!$B$2),"")</f>
        <v/>
      </c>
      <c r="E455" cm="1">
        <f t="array" ref="E455">IF(INDEX('Test schedule'!B:B,ROW()+9)="START",E454+1,E454+0)</f>
        <v>5</v>
      </c>
      <c r="F455" s="82" t="str">
        <f>IF(A455&lt;&gt;"",_xlfn.CONCAT(TEXT(A455,"yyyy-mm-dd"),"T",TEXT(A455,"hh:mm:ss"),'Event Info'!$B$5,",",," ",C455),"")</f>
        <v/>
      </c>
      <c r="G455" t="e">
        <f t="shared" si="14"/>
        <v>#VALUE!</v>
      </c>
      <c r="H455" s="92" t="str">
        <f t="shared" si="15"/>
        <v/>
      </c>
      <c r="I455" s="88">
        <v>0</v>
      </c>
    </row>
    <row r="456" spans="1:9">
      <c r="A456" s="76" t="str" cm="1">
        <f t="array" ref="A45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Calculators'!$B$2+E456)</f>
        <v/>
      </c>
      <c r="B456" s="76" t="str" cm="1">
        <f t="array" ref="B456">IF(OR(A456=""),"",IF(INDEX('Test schedule'!E:E,ROW()+9)="",IF(A457="",A456+$Q$10,A457),INDEX('Test schedule'!E:E,ROW()+9)+'Date Calculators'!$B$2+E456))</f>
        <v/>
      </c>
      <c r="C456" s="74" t="str" cm="1">
        <f t="array" ref="C456">IF(A456="","",INDEX('Test schedule'!J:J,ROW()+9))</f>
        <v/>
      </c>
      <c r="D456" s="74" t="str">
        <f>IFERROR(IF(A456="","",'Event Info'!$B$2),"")</f>
        <v/>
      </c>
      <c r="E456" cm="1">
        <f t="array" ref="E456">IF(INDEX('Test schedule'!B:B,ROW()+9)="START",E455+1,E455+0)</f>
        <v>5</v>
      </c>
      <c r="F456" s="82" t="str">
        <f>IF(A456&lt;&gt;"",_xlfn.CONCAT(TEXT(A456,"yyyy-mm-dd"),"T",TEXT(A456,"hh:mm:ss"),'Event Info'!$B$5,",",," ",C456),"")</f>
        <v/>
      </c>
      <c r="G456" t="e">
        <f t="shared" si="14"/>
        <v>#VALUE!</v>
      </c>
      <c r="H456" s="92" t="str">
        <f t="shared" si="15"/>
        <v/>
      </c>
      <c r="I456" s="88">
        <v>0</v>
      </c>
    </row>
    <row r="457" spans="1:9" ht="16.899999999999999">
      <c r="A457" s="76" t="str" cm="1">
        <f t="array" ref="A45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Calculators'!$B$2+E457)</f>
        <v/>
      </c>
      <c r="B457" s="76" t="str" cm="1">
        <f t="array" ref="B457">IF(OR(A457=""),"",IF(INDEX('Test schedule'!E:E,ROW()+9)="",IF(A458="",A457+$Q$10,A458),INDEX('Test schedule'!E:E,ROW()+9)+'Date Calculators'!$B$2+E457))</f>
        <v/>
      </c>
      <c r="C457" s="74" t="str" cm="1">
        <f t="array" ref="C457">IF(A457="","",INDEX('Test schedule'!J:J,ROW()+9))</f>
        <v/>
      </c>
      <c r="D457" s="74" t="str">
        <f>IFERROR(IF(A457="","",'Event Info'!$B$2),"")</f>
        <v/>
      </c>
      <c r="E457" cm="1">
        <f t="array" ref="E457">IF(INDEX('Test schedule'!B:B,ROW()+9)="START",E456+1,E456+0)</f>
        <v>5</v>
      </c>
      <c r="F457" s="82" t="str">
        <f>IF(A457&lt;&gt;"",_xlfn.CONCAT(TEXT(A457,"yyyy-mm-dd"),"T",TEXT(A457,"hh:mm:ss"),'Event Info'!$B$5,",",," ",C457),"")</f>
        <v/>
      </c>
      <c r="G457" t="e">
        <f t="shared" si="14"/>
        <v>#VALUE!</v>
      </c>
      <c r="H457" s="92" t="str">
        <f t="shared" si="15"/>
        <v/>
      </c>
      <c r="I457" s="91">
        <v>0</v>
      </c>
    </row>
    <row r="458" spans="1:9">
      <c r="A458" s="76" t="str" cm="1">
        <f t="array" ref="A45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Calculators'!$B$2+E458)</f>
        <v/>
      </c>
      <c r="B458" s="76" t="str" cm="1">
        <f t="array" ref="B458">IF(OR(A458=""),"",IF(INDEX('Test schedule'!E:E,ROW()+9)="",IF(A459="",A458+$Q$10,A459),INDEX('Test schedule'!E:E,ROW()+9)+'Date Calculators'!$B$2+E458))</f>
        <v/>
      </c>
      <c r="C458" s="74" t="str" cm="1">
        <f t="array" ref="C458">IF(A458="","",INDEX('Test schedule'!J:J,ROW()+9))</f>
        <v/>
      </c>
      <c r="D458" s="74" t="str">
        <f>IFERROR(IF(A458="","",'Event Info'!$B$2),"")</f>
        <v/>
      </c>
      <c r="E458" cm="1">
        <f t="array" ref="E458">IF(INDEX('Test schedule'!B:B,ROW()+9)="START",E457+1,E457+0)</f>
        <v>5</v>
      </c>
      <c r="F458" s="82" t="str">
        <f>IF(A458&lt;&gt;"",_xlfn.CONCAT(TEXT(A458,"yyyy-mm-dd"),"T",TEXT(A458,"hh:mm:ss"),'Event Info'!$B$5,",",," ",C458),"")</f>
        <v/>
      </c>
      <c r="G458" t="e">
        <f t="shared" si="14"/>
        <v>#VALUE!</v>
      </c>
      <c r="H458" s="92" t="str">
        <f t="shared" si="15"/>
        <v/>
      </c>
      <c r="I458" s="88">
        <v>0</v>
      </c>
    </row>
    <row r="459" spans="1:9">
      <c r="A459" s="76" t="str" cm="1">
        <f t="array" ref="A45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Calculators'!$B$2+E459)</f>
        <v/>
      </c>
      <c r="B459" s="76" t="str" cm="1">
        <f t="array" ref="B459">IF(OR(A459=""),"",IF(INDEX('Test schedule'!E:E,ROW()+9)="",IF(A460="",A459+$Q$10,A460),INDEX('Test schedule'!E:E,ROW()+9)+'Date Calculators'!$B$2+E459))</f>
        <v/>
      </c>
      <c r="C459" s="74" t="str" cm="1">
        <f t="array" ref="C459">IF(A459="","",INDEX('Test schedule'!J:J,ROW()+9))</f>
        <v/>
      </c>
      <c r="D459" s="74" t="str">
        <f>IFERROR(IF(A459="","",'Event Info'!$B$2),"")</f>
        <v/>
      </c>
      <c r="E459" cm="1">
        <f t="array" ref="E459">IF(INDEX('Test schedule'!B:B,ROW()+9)="START",E458+1,E458+0)</f>
        <v>5</v>
      </c>
      <c r="F459" s="82" t="str">
        <f>IF(A459&lt;&gt;"",_xlfn.CONCAT(TEXT(A459,"yyyy-mm-dd"),"T",TEXT(A459,"hh:mm:ss"),'Event Info'!$B$5,",",," ",C459),"")</f>
        <v/>
      </c>
      <c r="G459" t="e">
        <f t="shared" si="14"/>
        <v>#VALUE!</v>
      </c>
      <c r="H459" s="92" t="str">
        <f t="shared" si="15"/>
        <v/>
      </c>
      <c r="I459" s="88">
        <v>0</v>
      </c>
    </row>
    <row r="460" spans="1:9" ht="16.899999999999999">
      <c r="A460" s="76" t="str" cm="1">
        <f t="array" ref="A46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Calculators'!$B$2+E460)</f>
        <v/>
      </c>
      <c r="B460" s="76" t="str" cm="1">
        <f t="array" ref="B460">IF(OR(A460=""),"",IF(INDEX('Test schedule'!E:E,ROW()+9)="",IF(A461="",A460+$Q$10,A461),INDEX('Test schedule'!E:E,ROW()+9)+'Date Calculators'!$B$2+E460))</f>
        <v/>
      </c>
      <c r="C460" s="74" t="str" cm="1">
        <f t="array" ref="C460">IF(A460="","",INDEX('Test schedule'!J:J,ROW()+9))</f>
        <v/>
      </c>
      <c r="D460" s="74" t="str">
        <f>IFERROR(IF(A460="","",'Event Info'!$B$2),"")</f>
        <v/>
      </c>
      <c r="E460" cm="1">
        <f t="array" ref="E460">IF(INDEX('Test schedule'!B:B,ROW()+9)="START",E459+1,E459+0)</f>
        <v>5</v>
      </c>
      <c r="F460" s="82" t="str">
        <f>IF(A460&lt;&gt;"",_xlfn.CONCAT(TEXT(A460,"yyyy-mm-dd"),"T",TEXT(A460,"hh:mm:ss"),'Event Info'!$B$5,",",," ",C460),"")</f>
        <v/>
      </c>
      <c r="G460" t="e">
        <f t="shared" si="14"/>
        <v>#VALUE!</v>
      </c>
      <c r="H460" s="92" t="str">
        <f t="shared" si="15"/>
        <v/>
      </c>
      <c r="I460" s="91">
        <v>0</v>
      </c>
    </row>
    <row r="461" spans="1:9">
      <c r="A461" s="76" t="str" cm="1">
        <f t="array" ref="A46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Calculators'!$B$2+E461)</f>
        <v/>
      </c>
      <c r="B461" s="76" t="str" cm="1">
        <f t="array" ref="B461">IF(OR(A461=""),"",IF(INDEX('Test schedule'!E:E,ROW()+9)="",IF(A462="",A461+$Q$10,A462),INDEX('Test schedule'!E:E,ROW()+9)+'Date Calculators'!$B$2+E461))</f>
        <v/>
      </c>
      <c r="C461" s="74" t="str" cm="1">
        <f t="array" ref="C461">IF(A461="","",INDEX('Test schedule'!J:J,ROW()+9))</f>
        <v/>
      </c>
      <c r="D461" s="74" t="str">
        <f>IFERROR(IF(A461="","",'Event Info'!$B$2),"")</f>
        <v/>
      </c>
      <c r="E461" cm="1">
        <f t="array" ref="E461">IF(INDEX('Test schedule'!B:B,ROW()+9)="START",E460+1,E460+0)</f>
        <v>5</v>
      </c>
      <c r="F461" s="82" t="str">
        <f>IF(A461&lt;&gt;"",_xlfn.CONCAT(TEXT(A461,"yyyy-mm-dd"),"T",TEXT(A461,"hh:mm:ss"),'Event Info'!$B$5,",",," ",C461),"")</f>
        <v/>
      </c>
      <c r="G461" t="e">
        <f t="shared" si="14"/>
        <v>#VALUE!</v>
      </c>
      <c r="H461" s="92" t="str">
        <f t="shared" si="15"/>
        <v/>
      </c>
      <c r="I461" s="88">
        <v>0</v>
      </c>
    </row>
    <row r="462" spans="1:9">
      <c r="A462" s="76" t="str" cm="1">
        <f t="array" ref="A46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Calculators'!$B$2+E462)</f>
        <v/>
      </c>
      <c r="B462" s="76" t="str" cm="1">
        <f t="array" ref="B462">IF(OR(A462=""),"",IF(INDEX('Test schedule'!E:E,ROW()+9)="",IF(A463="",A462+$Q$10,A463),INDEX('Test schedule'!E:E,ROW()+9)+'Date Calculators'!$B$2+E462))</f>
        <v/>
      </c>
      <c r="C462" s="74" t="str" cm="1">
        <f t="array" ref="C462">IF(A462="","",INDEX('Test schedule'!J:J,ROW()+9))</f>
        <v/>
      </c>
      <c r="D462" s="74" t="str">
        <f>IFERROR(IF(A462="","",'Event Info'!$B$2),"")</f>
        <v/>
      </c>
      <c r="E462" cm="1">
        <f t="array" ref="E462">IF(INDEX('Test schedule'!B:B,ROW()+9)="START",E461+1,E461+0)</f>
        <v>5</v>
      </c>
      <c r="F462" s="82" t="str">
        <f>IF(A462&lt;&gt;"",_xlfn.CONCAT(TEXT(A462,"yyyy-mm-dd"),"T",TEXT(A462,"hh:mm:ss"),'Event Info'!$B$5,",",," ",C462),"")</f>
        <v/>
      </c>
      <c r="G462" t="e">
        <f t="shared" si="14"/>
        <v>#VALUE!</v>
      </c>
      <c r="H462" s="92" t="str">
        <f t="shared" si="15"/>
        <v/>
      </c>
      <c r="I462" s="88">
        <v>0</v>
      </c>
    </row>
    <row r="463" spans="1:9" ht="16.899999999999999">
      <c r="A463" s="76" t="str" cm="1">
        <f t="array" ref="A46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Calculators'!$B$2+E463)</f>
        <v/>
      </c>
      <c r="B463" s="76" t="str" cm="1">
        <f t="array" ref="B463">IF(OR(A463=""),"",IF(INDEX('Test schedule'!E:E,ROW()+9)="",IF(A464="",A463+$Q$10,A464),INDEX('Test schedule'!E:E,ROW()+9)+'Date Calculators'!$B$2+E463))</f>
        <v/>
      </c>
      <c r="C463" s="74" t="str" cm="1">
        <f t="array" ref="C463">IF(A463="","",INDEX('Test schedule'!J:J,ROW()+9))</f>
        <v/>
      </c>
      <c r="D463" s="74" t="str">
        <f>IFERROR(IF(A463="","",'Event Info'!$B$2),"")</f>
        <v/>
      </c>
      <c r="E463" cm="1">
        <f t="array" ref="E463">IF(INDEX('Test schedule'!B:B,ROW()+9)="START",E462+1,E462+0)</f>
        <v>5</v>
      </c>
      <c r="F463" s="82" t="str">
        <f>IF(A463&lt;&gt;"",_xlfn.CONCAT(TEXT(A463,"yyyy-mm-dd"),"T",TEXT(A463,"hh:mm:ss"),'Event Info'!$B$5,",",," ",C463),"")</f>
        <v/>
      </c>
      <c r="G463" t="e">
        <f t="shared" si="14"/>
        <v>#VALUE!</v>
      </c>
      <c r="H463" s="92" t="str">
        <f t="shared" si="15"/>
        <v/>
      </c>
      <c r="I463" s="91">
        <v>0</v>
      </c>
    </row>
    <row r="464" spans="1:9">
      <c r="A464" s="76" t="str" cm="1">
        <f t="array" ref="A46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Calculators'!$B$2+E464)</f>
        <v/>
      </c>
      <c r="B464" s="76" t="str" cm="1">
        <f t="array" ref="B464">IF(OR(A464=""),"",IF(INDEX('Test schedule'!E:E,ROW()+9)="",IF(A465="",A464+$Q$10,A465),INDEX('Test schedule'!E:E,ROW()+9)+'Date Calculators'!$B$2+E464))</f>
        <v/>
      </c>
      <c r="C464" s="74" t="str" cm="1">
        <f t="array" ref="C464">IF(A464="","",INDEX('Test schedule'!J:J,ROW()+9))</f>
        <v/>
      </c>
      <c r="D464" s="74" t="str">
        <f>IFERROR(IF(A464="","",'Event Info'!$B$2),"")</f>
        <v/>
      </c>
      <c r="E464" cm="1">
        <f t="array" ref="E464">IF(INDEX('Test schedule'!B:B,ROW()+9)="START",E463+1,E463+0)</f>
        <v>5</v>
      </c>
      <c r="F464" s="82" t="str">
        <f>IF(A464&lt;&gt;"",_xlfn.CONCAT(TEXT(A464,"yyyy-mm-dd"),"T",TEXT(A464,"hh:mm:ss"),'Event Info'!$B$5,",",," ",C464),"")</f>
        <v/>
      </c>
      <c r="G464" t="e">
        <f t="shared" si="14"/>
        <v>#VALUE!</v>
      </c>
      <c r="H464" s="92" t="str">
        <f t="shared" si="15"/>
        <v/>
      </c>
      <c r="I464" s="88">
        <v>0</v>
      </c>
    </row>
    <row r="465" spans="1:9">
      <c r="A465" s="76" t="str" cm="1">
        <f t="array" ref="A46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Calculators'!$B$2+E465)</f>
        <v/>
      </c>
      <c r="B465" s="76" t="str" cm="1">
        <f t="array" ref="B465">IF(OR(A465=""),"",IF(INDEX('Test schedule'!E:E,ROW()+9)="",IF(A466="",A465+$Q$10,A466),INDEX('Test schedule'!E:E,ROW()+9)+'Date Calculators'!$B$2+E465))</f>
        <v/>
      </c>
      <c r="C465" s="74" t="str" cm="1">
        <f t="array" ref="C465">IF(A465="","",INDEX('Test schedule'!J:J,ROW()+9))</f>
        <v/>
      </c>
      <c r="D465" s="74" t="str">
        <f>IFERROR(IF(A465="","",'Event Info'!$B$2),"")</f>
        <v/>
      </c>
      <c r="E465" cm="1">
        <f t="array" ref="E465">IF(INDEX('Test schedule'!B:B,ROW()+9)="START",E464+1,E464+0)</f>
        <v>5</v>
      </c>
      <c r="F465" s="82" t="str">
        <f>IF(A465&lt;&gt;"",_xlfn.CONCAT(TEXT(A465,"yyyy-mm-dd"),"T",TEXT(A465,"hh:mm:ss"),'Event Info'!$B$5,",",," ",C465),"")</f>
        <v/>
      </c>
      <c r="G465" t="e">
        <f t="shared" si="14"/>
        <v>#VALUE!</v>
      </c>
      <c r="H465" s="92" t="str">
        <f t="shared" si="15"/>
        <v/>
      </c>
      <c r="I465" s="88">
        <v>0</v>
      </c>
    </row>
    <row r="466" spans="1:9" ht="16.899999999999999">
      <c r="A466" s="76" t="str" cm="1">
        <f t="array" ref="A46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Calculators'!$B$2+E466)</f>
        <v/>
      </c>
      <c r="B466" s="76" t="str" cm="1">
        <f t="array" ref="B466">IF(OR(A466=""),"",IF(INDEX('Test schedule'!E:E,ROW()+9)="",IF(A467="",A466+$Q$10,A467),INDEX('Test schedule'!E:E,ROW()+9)+'Date Calculators'!$B$2+E466))</f>
        <v/>
      </c>
      <c r="C466" s="74" t="str" cm="1">
        <f t="array" ref="C466">IF(A466="","",INDEX('Test schedule'!J:J,ROW()+9))</f>
        <v/>
      </c>
      <c r="D466" s="74" t="str">
        <f>IFERROR(IF(A466="","",'Event Info'!$B$2),"")</f>
        <v/>
      </c>
      <c r="E466" cm="1">
        <f t="array" ref="E466">IF(INDEX('Test schedule'!B:B,ROW()+9)="START",E465+1,E465+0)</f>
        <v>5</v>
      </c>
      <c r="F466" s="82" t="str">
        <f>IF(A466&lt;&gt;"",_xlfn.CONCAT(TEXT(A466,"yyyy-mm-dd"),"T",TEXT(A466,"hh:mm:ss"),'Event Info'!$B$5,",",," ",C466),"")</f>
        <v/>
      </c>
      <c r="G466" t="e">
        <f t="shared" si="14"/>
        <v>#VALUE!</v>
      </c>
      <c r="H466" s="92" t="str">
        <f t="shared" si="15"/>
        <v/>
      </c>
      <c r="I466" s="91">
        <v>0</v>
      </c>
    </row>
    <row r="467" spans="1:9">
      <c r="A467" s="76" t="str" cm="1">
        <f t="array" ref="A46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Calculators'!$B$2+E467)</f>
        <v/>
      </c>
      <c r="B467" s="76" t="str" cm="1">
        <f t="array" ref="B467">IF(OR(A467=""),"",IF(INDEX('Test schedule'!E:E,ROW()+9)="",IF(A468="",A467+$Q$10,A468),INDEX('Test schedule'!E:E,ROW()+9)+'Date Calculators'!$B$2+E467))</f>
        <v/>
      </c>
      <c r="C467" s="74" t="str" cm="1">
        <f t="array" ref="C467">IF(A467="","",INDEX('Test schedule'!J:J,ROW()+9))</f>
        <v/>
      </c>
      <c r="D467" s="74" t="str">
        <f>IFERROR(IF(A467="","",'Event Info'!$B$2),"")</f>
        <v/>
      </c>
      <c r="E467" cm="1">
        <f t="array" ref="E467">IF(INDEX('Test schedule'!B:B,ROW()+9)="START",E466+1,E466+0)</f>
        <v>5</v>
      </c>
      <c r="F467" s="82" t="str">
        <f>IF(A467&lt;&gt;"",_xlfn.CONCAT(TEXT(A467,"yyyy-mm-dd"),"T",TEXT(A467,"hh:mm:ss"),'Event Info'!$B$5,",",," ",C467),"")</f>
        <v/>
      </c>
      <c r="G467" t="e">
        <f t="shared" si="14"/>
        <v>#VALUE!</v>
      </c>
      <c r="H467" s="92" t="str">
        <f t="shared" si="15"/>
        <v/>
      </c>
      <c r="I467" s="88">
        <v>0</v>
      </c>
    </row>
    <row r="468" spans="1:9">
      <c r="A468" s="76" t="str" cm="1">
        <f t="array" ref="A46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Calculators'!$B$2+E468)</f>
        <v/>
      </c>
      <c r="B468" s="76" t="str" cm="1">
        <f t="array" ref="B468">IF(OR(A468=""),"",IF(INDEX('Test schedule'!E:E,ROW()+9)="",IF(A469="",A468+$Q$10,A469),INDEX('Test schedule'!E:E,ROW()+9)+'Date Calculators'!$B$2+E468))</f>
        <v/>
      </c>
      <c r="C468" s="74" t="str" cm="1">
        <f t="array" ref="C468">IF(A468="","",INDEX('Test schedule'!J:J,ROW()+9))</f>
        <v/>
      </c>
      <c r="D468" s="74" t="str">
        <f>IFERROR(IF(A468="","",'Event Info'!$B$2),"")</f>
        <v/>
      </c>
      <c r="E468" cm="1">
        <f t="array" ref="E468">IF(INDEX('Test schedule'!B:B,ROW()+9)="START",E467+1,E467+0)</f>
        <v>5</v>
      </c>
      <c r="F468" s="82" t="str">
        <f>IF(A468&lt;&gt;"",_xlfn.CONCAT(TEXT(A468,"yyyy-mm-dd"),"T",TEXT(A468,"hh:mm:ss"),'Event Info'!$B$5,",",," ",C468),"")</f>
        <v/>
      </c>
      <c r="G468" t="e">
        <f t="shared" si="14"/>
        <v>#VALUE!</v>
      </c>
      <c r="H468" s="92" t="str">
        <f t="shared" si="15"/>
        <v/>
      </c>
      <c r="I468" s="88">
        <v>0</v>
      </c>
    </row>
    <row r="469" spans="1:9" ht="16.899999999999999">
      <c r="A469" s="76" t="str" cm="1">
        <f t="array" ref="A46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Calculators'!$B$2+E469)</f>
        <v/>
      </c>
      <c r="B469" s="76" t="str" cm="1">
        <f t="array" ref="B469">IF(OR(A469=""),"",IF(INDEX('Test schedule'!E:E,ROW()+9)="",IF(A470="",A469+$Q$10,A470),INDEX('Test schedule'!E:E,ROW()+9)+'Date Calculators'!$B$2+E469))</f>
        <v/>
      </c>
      <c r="C469" s="74" t="str" cm="1">
        <f t="array" ref="C469">IF(A469="","",INDEX('Test schedule'!J:J,ROW()+9))</f>
        <v/>
      </c>
      <c r="D469" s="74" t="str">
        <f>IFERROR(IF(A469="","",'Event Info'!$B$2),"")</f>
        <v/>
      </c>
      <c r="E469" cm="1">
        <f t="array" ref="E469">IF(INDEX('Test schedule'!B:B,ROW()+9)="START",E468+1,E468+0)</f>
        <v>5</v>
      </c>
      <c r="F469" s="82" t="str">
        <f>IF(A469&lt;&gt;"",_xlfn.CONCAT(TEXT(A469,"yyyy-mm-dd"),"T",TEXT(A469,"hh:mm:ss"),'Event Info'!$B$5,",",," ",C469),"")</f>
        <v/>
      </c>
      <c r="G469" t="e">
        <f t="shared" si="14"/>
        <v>#VALUE!</v>
      </c>
      <c r="H469" s="92" t="str">
        <f t="shared" si="15"/>
        <v/>
      </c>
      <c r="I469" s="91">
        <v>0</v>
      </c>
    </row>
    <row r="470" spans="1:9">
      <c r="A470" s="76" t="str" cm="1">
        <f t="array" ref="A47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Calculators'!$B$2+E470)</f>
        <v/>
      </c>
      <c r="B470" s="76" t="str" cm="1">
        <f t="array" ref="B470">IF(OR(A470=""),"",IF(INDEX('Test schedule'!E:E,ROW()+9)="",IF(A471="",A470+$Q$10,A471),INDEX('Test schedule'!E:E,ROW()+9)+'Date Calculators'!$B$2+E470))</f>
        <v/>
      </c>
      <c r="C470" s="74" t="str" cm="1">
        <f t="array" ref="C470">IF(A470="","",INDEX('Test schedule'!J:J,ROW()+9))</f>
        <v/>
      </c>
      <c r="D470" s="74" t="str">
        <f>IFERROR(IF(A470="","",'Event Info'!$B$2),"")</f>
        <v/>
      </c>
      <c r="E470" cm="1">
        <f t="array" ref="E470">IF(INDEX('Test schedule'!B:B,ROW()+9)="START",E469+1,E469+0)</f>
        <v>5</v>
      </c>
      <c r="F470" s="82" t="str">
        <f>IF(A470&lt;&gt;"",_xlfn.CONCAT(TEXT(A470,"yyyy-mm-dd"),"T",TEXT(A470,"hh:mm:ss"),'Event Info'!$B$5,",",," ",C470),"")</f>
        <v/>
      </c>
      <c r="G470" t="e">
        <f t="shared" si="14"/>
        <v>#VALUE!</v>
      </c>
      <c r="H470" s="92" t="str">
        <f t="shared" si="15"/>
        <v/>
      </c>
      <c r="I470" s="88">
        <v>0</v>
      </c>
    </row>
    <row r="471" spans="1:9">
      <c r="A471" s="76" t="str" cm="1">
        <f t="array" ref="A47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Calculators'!$B$2+E471)</f>
        <v/>
      </c>
      <c r="B471" s="76" t="str" cm="1">
        <f t="array" ref="B471">IF(OR(A471=""),"",IF(INDEX('Test schedule'!E:E,ROW()+9)="",IF(A472="",A471+$Q$10,A472),INDEX('Test schedule'!E:E,ROW()+9)+'Date Calculators'!$B$2+E471))</f>
        <v/>
      </c>
      <c r="C471" s="74" t="str" cm="1">
        <f t="array" ref="C471">IF(A471="","",INDEX('Test schedule'!J:J,ROW()+9))</f>
        <v/>
      </c>
      <c r="D471" s="74" t="str">
        <f>IFERROR(IF(A471="","",'Event Info'!$B$2),"")</f>
        <v/>
      </c>
      <c r="E471" cm="1">
        <f t="array" ref="E471">IF(INDEX('Test schedule'!B:B,ROW()+9)="START",E470+1,E470+0)</f>
        <v>5</v>
      </c>
      <c r="F471" s="82" t="str">
        <f>IF(A471&lt;&gt;"",_xlfn.CONCAT(TEXT(A471,"yyyy-mm-dd"),"T",TEXT(A471,"hh:mm:ss"),'Event Info'!$B$5,",",," ",C471),"")</f>
        <v/>
      </c>
      <c r="G471" t="e">
        <f t="shared" si="14"/>
        <v>#VALUE!</v>
      </c>
      <c r="H471" s="92" t="str">
        <f t="shared" si="15"/>
        <v/>
      </c>
      <c r="I471" s="88">
        <v>0</v>
      </c>
    </row>
    <row r="472" spans="1:9" ht="16.899999999999999">
      <c r="A472" s="76" t="str" cm="1">
        <f t="array" ref="A47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Calculators'!$B$2+E472)</f>
        <v/>
      </c>
      <c r="B472" s="76" t="str" cm="1">
        <f t="array" ref="B472">IF(OR(A472=""),"",IF(INDEX('Test schedule'!E:E,ROW()+9)="",IF(A473="",A472+$Q$10,A473),INDEX('Test schedule'!E:E,ROW()+9)+'Date Calculators'!$B$2+E472))</f>
        <v/>
      </c>
      <c r="C472" s="74" t="str" cm="1">
        <f t="array" ref="C472">IF(A472="","",INDEX('Test schedule'!J:J,ROW()+9))</f>
        <v/>
      </c>
      <c r="D472" s="74" t="str">
        <f>IFERROR(IF(A472="","",'Event Info'!$B$2),"")</f>
        <v/>
      </c>
      <c r="E472" cm="1">
        <f t="array" ref="E472">IF(INDEX('Test schedule'!B:B,ROW()+9)="START",E471+1,E471+0)</f>
        <v>5</v>
      </c>
      <c r="F472" s="82" t="str">
        <f>IF(A472&lt;&gt;"",_xlfn.CONCAT(TEXT(A472,"yyyy-mm-dd"),"T",TEXT(A472,"hh:mm:ss"),'Event Info'!$B$5,",",," ",C472),"")</f>
        <v/>
      </c>
      <c r="G472" t="e">
        <f t="shared" si="14"/>
        <v>#VALUE!</v>
      </c>
      <c r="H472" s="92" t="str">
        <f t="shared" si="15"/>
        <v/>
      </c>
      <c r="I472" s="91">
        <v>0</v>
      </c>
    </row>
    <row r="473" spans="1:9">
      <c r="A473" s="76" t="str" cm="1">
        <f t="array" ref="A47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Calculators'!$B$2+E473)</f>
        <v/>
      </c>
      <c r="B473" s="76" t="str" cm="1">
        <f t="array" ref="B473">IF(OR(A473=""),"",IF(INDEX('Test schedule'!E:E,ROW()+9)="",IF(A474="",A473+$Q$10,A474),INDEX('Test schedule'!E:E,ROW()+9)+'Date Calculators'!$B$2+E473))</f>
        <v/>
      </c>
      <c r="C473" s="74" t="str" cm="1">
        <f t="array" ref="C473">IF(A473="","",INDEX('Test schedule'!J:J,ROW()+9))</f>
        <v/>
      </c>
      <c r="D473" s="74" t="str">
        <f>IFERROR(IF(A473="","",'Event Info'!$B$2),"")</f>
        <v/>
      </c>
      <c r="E473" cm="1">
        <f t="array" ref="E473">IF(INDEX('Test schedule'!B:B,ROW()+9)="START",E472+1,E472+0)</f>
        <v>5</v>
      </c>
      <c r="F473" s="82" t="str">
        <f>IF(A473&lt;&gt;"",_xlfn.CONCAT(TEXT(A473,"yyyy-mm-dd"),"T",TEXT(A473,"hh:mm:ss"),'Event Info'!$B$5,",",," ",C473),"")</f>
        <v/>
      </c>
      <c r="G473" t="e">
        <f t="shared" si="14"/>
        <v>#VALUE!</v>
      </c>
      <c r="H473" s="92" t="str">
        <f t="shared" si="15"/>
        <v/>
      </c>
      <c r="I473" s="88">
        <v>0</v>
      </c>
    </row>
    <row r="474" spans="1:9">
      <c r="A474" s="76" t="str" cm="1">
        <f t="array" ref="A47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Calculators'!$B$2+E474)</f>
        <v/>
      </c>
      <c r="B474" s="76" t="str" cm="1">
        <f t="array" ref="B474">IF(OR(A474=""),"",IF(INDEX('Test schedule'!E:E,ROW()+9)="",IF(A475="",A474+$Q$10,A475),INDEX('Test schedule'!E:E,ROW()+9)+'Date Calculators'!$B$2+E474))</f>
        <v/>
      </c>
      <c r="C474" s="74" t="str" cm="1">
        <f t="array" ref="C474">IF(A474="","",INDEX('Test schedule'!J:J,ROW()+9))</f>
        <v/>
      </c>
      <c r="D474" s="74" t="str">
        <f>IFERROR(IF(A474="","",'Event Info'!$B$2),"")</f>
        <v/>
      </c>
      <c r="E474" cm="1">
        <f t="array" ref="E474">IF(INDEX('Test schedule'!B:B,ROW()+9)="START",E473+1,E473+0)</f>
        <v>5</v>
      </c>
      <c r="F474" s="82" t="str">
        <f>IF(A474&lt;&gt;"",_xlfn.CONCAT(TEXT(A474,"yyyy-mm-dd"),"T",TEXT(A474,"hh:mm:ss"),'Event Info'!$B$5,",",," ",C474),"")</f>
        <v/>
      </c>
      <c r="G474" t="e">
        <f t="shared" si="14"/>
        <v>#VALUE!</v>
      </c>
      <c r="H474" s="92" t="str">
        <f t="shared" si="15"/>
        <v/>
      </c>
      <c r="I474" s="88">
        <v>0</v>
      </c>
    </row>
    <row r="475" spans="1:9" ht="16.899999999999999">
      <c r="A475" s="76" t="str" cm="1">
        <f t="array" ref="A47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Calculators'!$B$2+E475)</f>
        <v/>
      </c>
      <c r="B475" s="76" t="str" cm="1">
        <f t="array" ref="B475">IF(OR(A475=""),"",IF(INDEX('Test schedule'!E:E,ROW()+9)="",IF(A476="",A475+$Q$10,A476),INDEX('Test schedule'!E:E,ROW()+9)+'Date Calculators'!$B$2+E475))</f>
        <v/>
      </c>
      <c r="C475" s="74" t="str" cm="1">
        <f t="array" ref="C475">IF(A475="","",INDEX('Test schedule'!J:J,ROW()+9))</f>
        <v/>
      </c>
      <c r="D475" s="74" t="str">
        <f>IFERROR(IF(A475="","",'Event Info'!$B$2),"")</f>
        <v/>
      </c>
      <c r="E475" cm="1">
        <f t="array" ref="E475">IF(INDEX('Test schedule'!B:B,ROW()+9)="START",E474+1,E474+0)</f>
        <v>5</v>
      </c>
      <c r="F475" s="82" t="str">
        <f>IF(A475&lt;&gt;"",_xlfn.CONCAT(TEXT(A475,"yyyy-mm-dd"),"T",TEXT(A475,"hh:mm:ss"),'Event Info'!$B$5,",",," ",C475),"")</f>
        <v/>
      </c>
      <c r="G475" t="e">
        <f t="shared" si="14"/>
        <v>#VALUE!</v>
      </c>
      <c r="H475" s="92" t="str">
        <f t="shared" si="15"/>
        <v/>
      </c>
      <c r="I475" s="91">
        <v>0</v>
      </c>
    </row>
    <row r="476" spans="1:9">
      <c r="A476" s="76" t="str" cm="1">
        <f t="array" ref="A47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Calculators'!$B$2+E476)</f>
        <v/>
      </c>
      <c r="B476" s="76" t="str" cm="1">
        <f t="array" ref="B476">IF(OR(A476=""),"",IF(INDEX('Test schedule'!E:E,ROW()+9)="",IF(A477="",A476+$Q$10,A477),INDEX('Test schedule'!E:E,ROW()+9)+'Date Calculators'!$B$2+E476))</f>
        <v/>
      </c>
      <c r="C476" s="74" t="str" cm="1">
        <f t="array" ref="C476">IF(A476="","",INDEX('Test schedule'!J:J,ROW()+9))</f>
        <v/>
      </c>
      <c r="D476" s="74" t="str">
        <f>IFERROR(IF(A476="","",'Event Info'!$B$2),"")</f>
        <v/>
      </c>
      <c r="E476" cm="1">
        <f t="array" ref="E476">IF(INDEX('Test schedule'!B:B,ROW()+9)="START",E475+1,E475+0)</f>
        <v>5</v>
      </c>
      <c r="F476" s="82" t="str">
        <f>IF(A476&lt;&gt;"",_xlfn.CONCAT(TEXT(A476,"yyyy-mm-dd"),"T",TEXT(A476,"hh:mm:ss"),'Event Info'!$B$5,",",," ",C476),"")</f>
        <v/>
      </c>
      <c r="G476" t="e">
        <f t="shared" si="14"/>
        <v>#VALUE!</v>
      </c>
      <c r="H476" s="92" t="str">
        <f t="shared" si="15"/>
        <v/>
      </c>
      <c r="I476" s="88">
        <v>0</v>
      </c>
    </row>
    <row r="477" spans="1:9">
      <c r="A477" s="76" t="str" cm="1">
        <f t="array" ref="A47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Calculators'!$B$2+E477)</f>
        <v/>
      </c>
      <c r="B477" s="76" t="str" cm="1">
        <f t="array" ref="B477">IF(OR(A477=""),"",IF(INDEX('Test schedule'!E:E,ROW()+9)="",IF(A478="",A477+$Q$10,A478),INDEX('Test schedule'!E:E,ROW()+9)+'Date Calculators'!$B$2+E477))</f>
        <v/>
      </c>
      <c r="C477" s="74" t="str" cm="1">
        <f t="array" ref="C477">IF(A477="","",INDEX('Test schedule'!J:J,ROW()+9))</f>
        <v/>
      </c>
      <c r="D477" s="74" t="str">
        <f>IFERROR(IF(A477="","",'Event Info'!$B$2),"")</f>
        <v/>
      </c>
      <c r="E477" cm="1">
        <f t="array" ref="E477">IF(INDEX('Test schedule'!B:B,ROW()+9)="START",E476+1,E476+0)</f>
        <v>5</v>
      </c>
      <c r="F477" s="82" t="str">
        <f>IF(A477&lt;&gt;"",_xlfn.CONCAT(TEXT(A477,"yyyy-mm-dd"),"T",TEXT(A477,"hh:mm:ss"),'Event Info'!$B$5,",",," ",C477),"")</f>
        <v/>
      </c>
      <c r="G477" t="e">
        <f t="shared" si="14"/>
        <v>#VALUE!</v>
      </c>
      <c r="H477" s="92" t="str">
        <f t="shared" si="15"/>
        <v/>
      </c>
      <c r="I477" s="88">
        <v>0</v>
      </c>
    </row>
    <row r="478" spans="1:9" ht="16.899999999999999">
      <c r="A478" s="76" t="str" cm="1">
        <f t="array" ref="A47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Calculators'!$B$2+E478)</f>
        <v/>
      </c>
      <c r="B478" s="76" t="str" cm="1">
        <f t="array" ref="B478">IF(OR(A478=""),"",IF(INDEX('Test schedule'!E:E,ROW()+9)="",IF(A479="",A478+$Q$10,A479),INDEX('Test schedule'!E:E,ROW()+9)+'Date Calculators'!$B$2+E478))</f>
        <v/>
      </c>
      <c r="C478" s="74" t="str" cm="1">
        <f t="array" ref="C478">IF(A478="","",INDEX('Test schedule'!J:J,ROW()+9))</f>
        <v/>
      </c>
      <c r="D478" s="74" t="str">
        <f>IFERROR(IF(A478="","",'Event Info'!$B$2),"")</f>
        <v/>
      </c>
      <c r="E478" cm="1">
        <f t="array" ref="E478">IF(INDEX('Test schedule'!B:B,ROW()+9)="START",E477+1,E477+0)</f>
        <v>5</v>
      </c>
      <c r="F478" s="82" t="str">
        <f>IF(A478&lt;&gt;"",_xlfn.CONCAT(TEXT(A478,"yyyy-mm-dd"),"T",TEXT(A478,"hh:mm:ss"),'Event Info'!$B$5,",",," ",C478),"")</f>
        <v/>
      </c>
      <c r="G478" t="e">
        <f t="shared" si="14"/>
        <v>#VALUE!</v>
      </c>
      <c r="H478" s="92" t="str">
        <f t="shared" si="15"/>
        <v/>
      </c>
      <c r="I478" s="91">
        <v>0</v>
      </c>
    </row>
    <row r="479" spans="1:9">
      <c r="A479" s="76" t="str" cm="1">
        <f t="array" ref="A47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Calculators'!$B$2+E479)</f>
        <v/>
      </c>
      <c r="B479" s="76" t="str" cm="1">
        <f t="array" ref="B479">IF(OR(A479=""),"",IF(INDEX('Test schedule'!E:E,ROW()+9)="",IF(A480="",A479+$Q$10,A480),INDEX('Test schedule'!E:E,ROW()+9)+'Date Calculators'!$B$2+E479))</f>
        <v/>
      </c>
      <c r="C479" s="74" t="str" cm="1">
        <f t="array" ref="C479">IF(A479="","",INDEX('Test schedule'!J:J,ROW()+9))</f>
        <v/>
      </c>
      <c r="D479" s="74" t="str">
        <f>IFERROR(IF(A479="","",'Event Info'!$B$2),"")</f>
        <v/>
      </c>
      <c r="E479" cm="1">
        <f t="array" ref="E479">IF(INDEX('Test schedule'!B:B,ROW()+9)="START",E478+1,E478+0)</f>
        <v>5</v>
      </c>
      <c r="F479" s="82" t="str">
        <f>IF(A479&lt;&gt;"",_xlfn.CONCAT(TEXT(A479,"yyyy-mm-dd"),"T",TEXT(A479,"hh:mm:ss"),'Event Info'!$B$5,",",," ",C479),"")</f>
        <v/>
      </c>
      <c r="G479" t="e">
        <f t="shared" si="14"/>
        <v>#VALUE!</v>
      </c>
      <c r="H479" s="92" t="str">
        <f t="shared" si="15"/>
        <v/>
      </c>
      <c r="I479" s="88">
        <v>0</v>
      </c>
    </row>
    <row r="480" spans="1:9">
      <c r="A480" s="76" t="str" cm="1">
        <f t="array" ref="A48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Calculators'!$B$2+E480)</f>
        <v/>
      </c>
      <c r="B480" s="76" t="str" cm="1">
        <f t="array" ref="B480">IF(OR(A480=""),"",IF(INDEX('Test schedule'!E:E,ROW()+9)="",IF(A481="",A480+$Q$10,A481),INDEX('Test schedule'!E:E,ROW()+9)+'Date Calculators'!$B$2+E480))</f>
        <v/>
      </c>
      <c r="C480" s="74" t="str" cm="1">
        <f t="array" ref="C480">IF(A480="","",INDEX('Test schedule'!J:J,ROW()+9))</f>
        <v/>
      </c>
      <c r="D480" s="74" t="str">
        <f>IFERROR(IF(A480="","",'Event Info'!$B$2),"")</f>
        <v/>
      </c>
      <c r="E480" cm="1">
        <f t="array" ref="E480">IF(INDEX('Test schedule'!B:B,ROW()+9)="START",E479+1,E479+0)</f>
        <v>5</v>
      </c>
      <c r="F480" s="82" t="str">
        <f>IF(A480&lt;&gt;"",_xlfn.CONCAT(TEXT(A480,"yyyy-mm-dd"),"T",TEXT(A480,"hh:mm:ss"),'Event Info'!$B$5,",",," ",C480),"")</f>
        <v/>
      </c>
      <c r="G480" t="e">
        <f t="shared" si="14"/>
        <v>#VALUE!</v>
      </c>
      <c r="H480" s="92" t="str">
        <f t="shared" si="15"/>
        <v/>
      </c>
      <c r="I480" s="88">
        <v>0</v>
      </c>
    </row>
    <row r="481" spans="1:9" ht="16.899999999999999">
      <c r="A481" s="76" t="str" cm="1">
        <f t="array" ref="A48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Calculators'!$B$2+E481)</f>
        <v/>
      </c>
      <c r="B481" s="76" t="str" cm="1">
        <f t="array" ref="B481">IF(OR(A481=""),"",IF(INDEX('Test schedule'!E:E,ROW()+9)="",IF(A482="",A481+$Q$10,A482),INDEX('Test schedule'!E:E,ROW()+9)+'Date Calculators'!$B$2+E481))</f>
        <v/>
      </c>
      <c r="C481" s="74" t="str" cm="1">
        <f t="array" ref="C481">IF(A481="","",INDEX('Test schedule'!J:J,ROW()+9))</f>
        <v/>
      </c>
      <c r="D481" s="74" t="str">
        <f>IFERROR(IF(A481="","",'Event Info'!$B$2),"")</f>
        <v/>
      </c>
      <c r="E481" cm="1">
        <f t="array" ref="E481">IF(INDEX('Test schedule'!B:B,ROW()+9)="START",E480+1,E480+0)</f>
        <v>5</v>
      </c>
      <c r="F481" s="82" t="str">
        <f>IF(A481&lt;&gt;"",_xlfn.CONCAT(TEXT(A481,"yyyy-mm-dd"),"T",TEXT(A481,"hh:mm:ss"),'Event Info'!$B$5,",",," ",C481),"")</f>
        <v/>
      </c>
      <c r="G481" t="e">
        <f t="shared" si="14"/>
        <v>#VALUE!</v>
      </c>
      <c r="H481" s="92" t="str">
        <f t="shared" si="15"/>
        <v/>
      </c>
      <c r="I481" s="91">
        <v>0</v>
      </c>
    </row>
    <row r="482" spans="1:9">
      <c r="A482" s="76" t="str" cm="1">
        <f t="array" ref="A48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Calculators'!$B$2+E482)</f>
        <v/>
      </c>
      <c r="B482" s="76" t="str" cm="1">
        <f t="array" ref="B482">IF(OR(A482=""),"",IF(INDEX('Test schedule'!E:E,ROW()+9)="",IF(A483="",A482+$Q$10,A483),INDEX('Test schedule'!E:E,ROW()+9)+'Date Calculators'!$B$2+E482))</f>
        <v/>
      </c>
      <c r="C482" s="74" t="str" cm="1">
        <f t="array" ref="C482">IF(A482="","",INDEX('Test schedule'!J:J,ROW()+9))</f>
        <v/>
      </c>
      <c r="D482" s="74" t="str">
        <f>IFERROR(IF(A482="","",'Event Info'!$B$2),"")</f>
        <v/>
      </c>
      <c r="E482" cm="1">
        <f t="array" ref="E482">IF(INDEX('Test schedule'!B:B,ROW()+9)="START",E481+1,E481+0)</f>
        <v>5</v>
      </c>
      <c r="F482" s="82" t="str">
        <f>IF(A482&lt;&gt;"",_xlfn.CONCAT(TEXT(A482,"yyyy-mm-dd"),"T",TEXT(A482,"hh:mm:ss"),'Event Info'!$B$5,",",," ",C482),"")</f>
        <v/>
      </c>
      <c r="G482" t="e">
        <f t="shared" si="14"/>
        <v>#VALUE!</v>
      </c>
      <c r="H482" s="92" t="str">
        <f t="shared" si="15"/>
        <v/>
      </c>
      <c r="I482" s="88">
        <v>0</v>
      </c>
    </row>
    <row r="483" spans="1:9">
      <c r="A483" s="76" t="str" cm="1">
        <f t="array" ref="A48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Calculators'!$B$2+E483)</f>
        <v/>
      </c>
      <c r="B483" s="76" t="str" cm="1">
        <f t="array" ref="B483">IF(OR(A483=""),"",IF(INDEX('Test schedule'!E:E,ROW()+9)="",IF(A484="",A483+$Q$10,A484),INDEX('Test schedule'!E:E,ROW()+9)+'Date Calculators'!$B$2+E483))</f>
        <v/>
      </c>
      <c r="C483" s="74" t="str" cm="1">
        <f t="array" ref="C483">IF(A483="","",INDEX('Test schedule'!J:J,ROW()+9))</f>
        <v/>
      </c>
      <c r="D483" s="74" t="str">
        <f>IFERROR(IF(A483="","",'Event Info'!$B$2),"")</f>
        <v/>
      </c>
      <c r="E483" cm="1">
        <f t="array" ref="E483">IF(INDEX('Test schedule'!B:B,ROW()+9)="START",E482+1,E482+0)</f>
        <v>5</v>
      </c>
      <c r="F483" s="82" t="str">
        <f>IF(A483&lt;&gt;"",_xlfn.CONCAT(TEXT(A483,"yyyy-mm-dd"),"T",TEXT(A483,"hh:mm:ss"),'Event Info'!$B$5,",",," ",C483),"")</f>
        <v/>
      </c>
      <c r="G483" t="e">
        <f t="shared" si="14"/>
        <v>#VALUE!</v>
      </c>
      <c r="H483" s="92" t="str">
        <f t="shared" si="15"/>
        <v/>
      </c>
      <c r="I483" s="88">
        <v>0</v>
      </c>
    </row>
    <row r="484" spans="1:9" ht="16.899999999999999">
      <c r="A484" s="76" t="str" cm="1">
        <f t="array" ref="A48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Calculators'!$B$2+E484)</f>
        <v/>
      </c>
      <c r="B484" s="76" t="str" cm="1">
        <f t="array" ref="B484">IF(OR(A484=""),"",IF(INDEX('Test schedule'!E:E,ROW()+9)="",IF(A485="",A484+$Q$10,A485),INDEX('Test schedule'!E:E,ROW()+9)+'Date Calculators'!$B$2+E484))</f>
        <v/>
      </c>
      <c r="C484" s="74" t="str" cm="1">
        <f t="array" ref="C484">IF(A484="","",INDEX('Test schedule'!J:J,ROW()+9))</f>
        <v/>
      </c>
      <c r="D484" s="74" t="str">
        <f>IFERROR(IF(A484="","",'Event Info'!$B$2),"")</f>
        <v/>
      </c>
      <c r="E484" cm="1">
        <f t="array" ref="E484">IF(INDEX('Test schedule'!B:B,ROW()+9)="START",E483+1,E483+0)</f>
        <v>5</v>
      </c>
      <c r="F484" s="82" t="str">
        <f>IF(A484&lt;&gt;"",_xlfn.CONCAT(TEXT(A484,"yyyy-mm-dd"),"T",TEXT(A484,"hh:mm:ss"),'Event Info'!$B$5,",",," ",C484),"")</f>
        <v/>
      </c>
      <c r="G484" t="e">
        <f t="shared" si="14"/>
        <v>#VALUE!</v>
      </c>
      <c r="H484" s="92" t="str">
        <f t="shared" si="15"/>
        <v/>
      </c>
      <c r="I484" s="91">
        <v>0</v>
      </c>
    </row>
    <row r="485" spans="1:9">
      <c r="A485" s="76" t="str" cm="1">
        <f t="array" ref="A48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Calculators'!$B$2+E485)</f>
        <v/>
      </c>
      <c r="B485" s="76" t="str" cm="1">
        <f t="array" ref="B485">IF(OR(A485=""),"",IF(INDEX('Test schedule'!E:E,ROW()+9)="",IF(A486="",A485+$Q$10,A486),INDEX('Test schedule'!E:E,ROW()+9)+'Date Calculators'!$B$2+E485))</f>
        <v/>
      </c>
      <c r="C485" s="74" t="str" cm="1">
        <f t="array" ref="C485">IF(A485="","",INDEX('Test schedule'!J:J,ROW()+9))</f>
        <v/>
      </c>
      <c r="D485" s="74" t="str">
        <f>IFERROR(IF(A485="","",'Event Info'!$B$2),"")</f>
        <v/>
      </c>
      <c r="E485" cm="1">
        <f t="array" ref="E485">IF(INDEX('Test schedule'!B:B,ROW()+9)="START",E484+1,E484+0)</f>
        <v>5</v>
      </c>
      <c r="F485" s="82" t="str">
        <f>IF(A485&lt;&gt;"",_xlfn.CONCAT(TEXT(A485,"yyyy-mm-dd"),"T",TEXT(A485,"hh:mm:ss"),'Event Info'!$B$5,",",," ",C485),"")</f>
        <v/>
      </c>
      <c r="G485" t="e">
        <f t="shared" si="14"/>
        <v>#VALUE!</v>
      </c>
      <c r="H485" s="92" t="str">
        <f t="shared" si="15"/>
        <v/>
      </c>
      <c r="I485" s="88">
        <v>0</v>
      </c>
    </row>
    <row r="486" spans="1:9">
      <c r="A486" s="76" t="str" cm="1">
        <f t="array" ref="A48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Calculators'!$B$2+E486)</f>
        <v/>
      </c>
      <c r="B486" s="76" t="str" cm="1">
        <f t="array" ref="B486">IF(OR(A486=""),"",IF(INDEX('Test schedule'!E:E,ROW()+9)="",IF(A487="",A486+$Q$10,A487),INDEX('Test schedule'!E:E,ROW()+9)+'Date Calculators'!$B$2+E486))</f>
        <v/>
      </c>
      <c r="C486" s="74" t="str" cm="1">
        <f t="array" ref="C486">IF(A486="","",INDEX('Test schedule'!J:J,ROW()+9))</f>
        <v/>
      </c>
      <c r="D486" s="74" t="str">
        <f>IFERROR(IF(A486="","",'Event Info'!$B$2),"")</f>
        <v/>
      </c>
      <c r="E486" cm="1">
        <f t="array" ref="E486">IF(INDEX('Test schedule'!B:B,ROW()+9)="START",E485+1,E485+0)</f>
        <v>5</v>
      </c>
      <c r="F486" s="82" t="str">
        <f>IF(A486&lt;&gt;"",_xlfn.CONCAT(TEXT(A486,"yyyy-mm-dd"),"T",TEXT(A486,"hh:mm:ss"),'Event Info'!$B$5,",",," ",C486),"")</f>
        <v/>
      </c>
      <c r="G486" t="e">
        <f t="shared" si="14"/>
        <v>#VALUE!</v>
      </c>
      <c r="H486" s="92" t="str">
        <f t="shared" si="15"/>
        <v/>
      </c>
      <c r="I486" s="88">
        <v>0</v>
      </c>
    </row>
    <row r="487" spans="1:9" ht="16.899999999999999">
      <c r="A487" s="76" t="str" cm="1">
        <f t="array" ref="A48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Calculators'!$B$2+E487)</f>
        <v/>
      </c>
      <c r="B487" s="76" t="str" cm="1">
        <f t="array" ref="B487">IF(OR(A487=""),"",IF(INDEX('Test schedule'!E:E,ROW()+9)="",IF(A488="",A487+$Q$10,A488),INDEX('Test schedule'!E:E,ROW()+9)+'Date Calculators'!$B$2+E487))</f>
        <v/>
      </c>
      <c r="C487" s="74" t="str" cm="1">
        <f t="array" ref="C487">IF(A487="","",INDEX('Test schedule'!J:J,ROW()+9))</f>
        <v/>
      </c>
      <c r="D487" s="74" t="str">
        <f>IFERROR(IF(A487="","",'Event Info'!$B$2),"")</f>
        <v/>
      </c>
      <c r="E487" cm="1">
        <f t="array" ref="E487">IF(INDEX('Test schedule'!B:B,ROW()+9)="START",E486+1,E486+0)</f>
        <v>5</v>
      </c>
      <c r="F487" s="82" t="str">
        <f>IF(A487&lt;&gt;"",_xlfn.CONCAT(TEXT(A487,"yyyy-mm-dd"),"T",TEXT(A487,"hh:mm:ss"),'Event Info'!$B$5,",",," ",C487),"")</f>
        <v/>
      </c>
      <c r="G487" t="e">
        <f t="shared" si="14"/>
        <v>#VALUE!</v>
      </c>
      <c r="H487" s="92" t="str">
        <f t="shared" si="15"/>
        <v/>
      </c>
      <c r="I487" s="91">
        <v>0</v>
      </c>
    </row>
    <row r="488" spans="1:9">
      <c r="A488" s="76" t="str" cm="1">
        <f t="array" ref="A48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Calculators'!$B$2+E488)</f>
        <v/>
      </c>
      <c r="B488" s="76" t="str" cm="1">
        <f t="array" ref="B488">IF(OR(A488=""),"",IF(INDEX('Test schedule'!E:E,ROW()+9)="",IF(A489="",A488+$Q$10,A489),INDEX('Test schedule'!E:E,ROW()+9)+'Date Calculators'!$B$2+E488))</f>
        <v/>
      </c>
      <c r="C488" s="74" t="str" cm="1">
        <f t="array" ref="C488">IF(A488="","",INDEX('Test schedule'!J:J,ROW()+9))</f>
        <v/>
      </c>
      <c r="D488" s="74" t="str">
        <f>IFERROR(IF(A488="","",'Event Info'!$B$2),"")</f>
        <v/>
      </c>
      <c r="E488" cm="1">
        <f t="array" ref="E488">IF(INDEX('Test schedule'!B:B,ROW()+9)="START",E487+1,E487+0)</f>
        <v>5</v>
      </c>
      <c r="F488" s="82" t="str">
        <f>IF(A488&lt;&gt;"",_xlfn.CONCAT(TEXT(A488,"yyyy-mm-dd"),"T",TEXT(A488,"hh:mm:ss"),'Event Info'!$B$5,",",," ",C488),"")</f>
        <v/>
      </c>
      <c r="G488" t="e">
        <f t="shared" si="14"/>
        <v>#VALUE!</v>
      </c>
      <c r="H488" s="92" t="str">
        <f t="shared" si="15"/>
        <v/>
      </c>
      <c r="I488" s="88">
        <v>0</v>
      </c>
    </row>
    <row r="489" spans="1:9">
      <c r="A489" s="76" t="str" cm="1">
        <f t="array" ref="A48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Calculators'!$B$2+E489)</f>
        <v/>
      </c>
      <c r="B489" s="76" t="str" cm="1">
        <f t="array" ref="B489">IF(OR(A489=""),"",IF(INDEX('Test schedule'!E:E,ROW()+9)="",IF(A490="",A489+$Q$10,A490),INDEX('Test schedule'!E:E,ROW()+9)+'Date Calculators'!$B$2+E489))</f>
        <v/>
      </c>
      <c r="C489" s="74" t="str" cm="1">
        <f t="array" ref="C489">IF(A489="","",INDEX('Test schedule'!J:J,ROW()+9))</f>
        <v/>
      </c>
      <c r="D489" s="74" t="str">
        <f>IFERROR(IF(A489="","",'Event Info'!$B$2),"")</f>
        <v/>
      </c>
      <c r="E489" cm="1">
        <f t="array" ref="E489">IF(INDEX('Test schedule'!B:B,ROW()+9)="START",E488+1,E488+0)</f>
        <v>5</v>
      </c>
      <c r="F489" s="82" t="str">
        <f>IF(A489&lt;&gt;"",_xlfn.CONCAT(TEXT(A489,"yyyy-mm-dd"),"T",TEXT(A489,"hh:mm:ss"),'Event Info'!$B$5,",",," ",C489),"")</f>
        <v/>
      </c>
      <c r="G489" t="e">
        <f t="shared" si="14"/>
        <v>#VALUE!</v>
      </c>
      <c r="H489" s="92" t="str">
        <f t="shared" si="15"/>
        <v/>
      </c>
      <c r="I489" s="88">
        <v>0</v>
      </c>
    </row>
    <row r="490" spans="1:9" ht="16.899999999999999">
      <c r="A490" s="76" t="str" cm="1">
        <f t="array" ref="A49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Calculators'!$B$2+E490)</f>
        <v/>
      </c>
      <c r="B490" s="76" t="str" cm="1">
        <f t="array" ref="B490">IF(OR(A490=""),"",IF(INDEX('Test schedule'!E:E,ROW()+9)="",IF(A491="",A490+$Q$10,A491),INDEX('Test schedule'!E:E,ROW()+9)+'Date Calculators'!$B$2+E490))</f>
        <v/>
      </c>
      <c r="C490" s="74" t="str" cm="1">
        <f t="array" ref="C490">IF(A490="","",INDEX('Test schedule'!J:J,ROW()+9))</f>
        <v/>
      </c>
      <c r="D490" s="74" t="str">
        <f>IFERROR(IF(A490="","",'Event Info'!$B$2),"")</f>
        <v/>
      </c>
      <c r="E490" cm="1">
        <f t="array" ref="E490">IF(INDEX('Test schedule'!B:B,ROW()+9)="START",E489+1,E489+0)</f>
        <v>5</v>
      </c>
      <c r="F490" s="82" t="str">
        <f>IF(A490&lt;&gt;"",_xlfn.CONCAT(TEXT(A490,"yyyy-mm-dd"),"T",TEXT(A490,"hh:mm:ss"),'Event Info'!$B$5,",",," ",C490),"")</f>
        <v/>
      </c>
      <c r="G490" t="e">
        <f t="shared" si="14"/>
        <v>#VALUE!</v>
      </c>
      <c r="H490" s="92" t="str">
        <f t="shared" si="15"/>
        <v/>
      </c>
      <c r="I490" s="91">
        <v>0</v>
      </c>
    </row>
    <row r="491" spans="1:9">
      <c r="A491" s="76" t="str" cm="1">
        <f t="array" ref="A491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Calculators'!$B$2+E491)</f>
        <v/>
      </c>
      <c r="B491" s="76" t="str" cm="1">
        <f t="array" ref="B491">IF(OR(A491=""),"",IF(INDEX('Test schedule'!E:E,ROW()+9)="",IF(A492="",A491+$Q$10,A492),INDEX('Test schedule'!E:E,ROW()+9)+'Date Calculators'!$B$2+E491))</f>
        <v/>
      </c>
      <c r="C491" s="74" t="str" cm="1">
        <f t="array" ref="C491">IF(A491="","",INDEX('Test schedule'!J:J,ROW()+9))</f>
        <v/>
      </c>
      <c r="D491" s="74" t="str">
        <f>IFERROR(IF(A491="","",'Event Info'!$B$2),"")</f>
        <v/>
      </c>
      <c r="E491" cm="1">
        <f t="array" ref="E491">IF(INDEX('Test schedule'!B:B,ROW()+9)="START",E490+1,E490+0)</f>
        <v>5</v>
      </c>
      <c r="F491" s="82" t="str">
        <f>IF(A491&lt;&gt;"",_xlfn.CONCAT(TEXT(A491,"yyyy-mm-dd"),"T",TEXT(A491,"hh:mm:ss"),'Event Info'!$B$5,",",," ",C491),"")</f>
        <v/>
      </c>
      <c r="G491" t="e">
        <f t="shared" si="14"/>
        <v>#VALUE!</v>
      </c>
      <c r="H491" s="92" t="str">
        <f t="shared" si="15"/>
        <v/>
      </c>
      <c r="I491" s="88">
        <v>0</v>
      </c>
    </row>
    <row r="492" spans="1:9">
      <c r="A492" s="76" t="str" cm="1">
        <f t="array" ref="A492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Calculators'!$B$2+E492)</f>
        <v/>
      </c>
      <c r="B492" s="76" t="str" cm="1">
        <f t="array" ref="B492">IF(OR(A492=""),"",IF(INDEX('Test schedule'!E:E,ROW()+9)="",IF(A493="",A492+$Q$10,A493),INDEX('Test schedule'!E:E,ROW()+9)+'Date Calculators'!$B$2+E492))</f>
        <v/>
      </c>
      <c r="C492" s="74" t="str" cm="1">
        <f t="array" ref="C492">IF(A492="","",INDEX('Test schedule'!J:J,ROW()+9))</f>
        <v/>
      </c>
      <c r="D492" s="74" t="str">
        <f>IFERROR(IF(A492="","",'Event Info'!$B$2),"")</f>
        <v/>
      </c>
      <c r="E492" cm="1">
        <f t="array" ref="E492">IF(INDEX('Test schedule'!B:B,ROW()+9)="START",E491+1,E491+0)</f>
        <v>5</v>
      </c>
      <c r="F492" s="82" t="str">
        <f>IF(A492&lt;&gt;"",_xlfn.CONCAT(TEXT(A492,"yyyy-mm-dd"),"T",TEXT(A492,"hh:mm:ss"),'Event Info'!$B$5,",",," ",C492),"")</f>
        <v/>
      </c>
      <c r="G492" t="e">
        <f t="shared" si="14"/>
        <v>#VALUE!</v>
      </c>
      <c r="H492" s="92" t="str">
        <f t="shared" si="15"/>
        <v/>
      </c>
      <c r="I492" s="88">
        <v>0</v>
      </c>
    </row>
    <row r="493" spans="1:9" ht="16.899999999999999">
      <c r="A493" s="76" t="str" cm="1">
        <f t="array" ref="A493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Calculators'!$B$2+E493)</f>
        <v/>
      </c>
      <c r="B493" s="76" t="str" cm="1">
        <f t="array" ref="B493">IF(OR(A493=""),"",IF(INDEX('Test schedule'!E:E,ROW()+9)="",IF(A494="",A493+$Q$10,A494),INDEX('Test schedule'!E:E,ROW()+9)+'Date Calculators'!$B$2+E493))</f>
        <v/>
      </c>
      <c r="C493" s="74" t="str" cm="1">
        <f t="array" ref="C493">IF(A493="","",INDEX('Test schedule'!J:J,ROW()+9))</f>
        <v/>
      </c>
      <c r="D493" s="74" t="str">
        <f>IFERROR(IF(A493="","",'Event Info'!$B$2),"")</f>
        <v/>
      </c>
      <c r="E493" cm="1">
        <f t="array" ref="E493">IF(INDEX('Test schedule'!B:B,ROW()+9)="START",E492+1,E492+0)</f>
        <v>5</v>
      </c>
      <c r="F493" s="82" t="str">
        <f>IF(A493&lt;&gt;"",_xlfn.CONCAT(TEXT(A493,"yyyy-mm-dd"),"T",TEXT(A493,"hh:mm:ss"),'Event Info'!$B$5,",",," ",C493),"")</f>
        <v/>
      </c>
      <c r="G493" t="e">
        <f t="shared" si="14"/>
        <v>#VALUE!</v>
      </c>
      <c r="H493" s="92" t="str">
        <f t="shared" si="15"/>
        <v/>
      </c>
      <c r="I493" s="91">
        <v>0</v>
      </c>
    </row>
    <row r="494" spans="1:9">
      <c r="A494" s="76" t="str" cm="1">
        <f t="array" ref="A494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Calculators'!$B$2+E494)</f>
        <v/>
      </c>
      <c r="B494" s="76" t="str" cm="1">
        <f t="array" ref="B494">IF(OR(A494=""),"",IF(INDEX('Test schedule'!E:E,ROW()+9)="",IF(A495="",A494+$Q$10,A495),INDEX('Test schedule'!E:E,ROW()+9)+'Date Calculators'!$B$2+E494))</f>
        <v/>
      </c>
      <c r="C494" s="74" t="str" cm="1">
        <f t="array" ref="C494">IF(A494="","",INDEX('Test schedule'!J:J,ROW()+9))</f>
        <v/>
      </c>
      <c r="D494" s="74" t="str">
        <f>IFERROR(IF(A494="","",'Event Info'!$B$2),"")</f>
        <v/>
      </c>
      <c r="E494" cm="1">
        <f t="array" ref="E494">IF(INDEX('Test schedule'!B:B,ROW()+9)="START",E493+1,E493+0)</f>
        <v>5</v>
      </c>
      <c r="F494" s="82" t="str">
        <f>IF(A494&lt;&gt;"",_xlfn.CONCAT(TEXT(A494,"yyyy-mm-dd"),"T",TEXT(A494,"hh:mm:ss"),'Event Info'!$B$5,",",," ",C494),"")</f>
        <v/>
      </c>
      <c r="G494" t="e">
        <f t="shared" si="14"/>
        <v>#VALUE!</v>
      </c>
      <c r="H494" s="92" t="str">
        <f t="shared" si="15"/>
        <v/>
      </c>
      <c r="I494" s="88">
        <v>0</v>
      </c>
    </row>
    <row r="495" spans="1:9">
      <c r="A495" s="76" t="str" cm="1">
        <f t="array" ref="A495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Calculators'!$B$2+E495)</f>
        <v/>
      </c>
      <c r="B495" s="76" t="str" cm="1">
        <f t="array" ref="B495">IF(OR(A495=""),"",IF(INDEX('Test schedule'!E:E,ROW()+9)="",IF(A496="",A495+$Q$10,A496),INDEX('Test schedule'!E:E,ROW()+9)+'Date Calculators'!$B$2+E495))</f>
        <v/>
      </c>
      <c r="C495" s="74" t="str" cm="1">
        <f t="array" ref="C495">IF(A495="","",INDEX('Test schedule'!J:J,ROW()+9))</f>
        <v/>
      </c>
      <c r="D495" s="74" t="str">
        <f>IFERROR(IF(A495="","",'Event Info'!$B$2),"")</f>
        <v/>
      </c>
      <c r="E495" cm="1">
        <f t="array" ref="E495">IF(INDEX('Test schedule'!B:B,ROW()+9)="START",E494+1,E494+0)</f>
        <v>5</v>
      </c>
      <c r="F495" s="82" t="str">
        <f>IF(A495&lt;&gt;"",_xlfn.CONCAT(TEXT(A495,"yyyy-mm-dd"),"T",TEXT(A495,"hh:mm:ss"),'Event Info'!$B$5,",",," ",C495),"")</f>
        <v/>
      </c>
      <c r="G495" t="e">
        <f t="shared" si="14"/>
        <v>#VALUE!</v>
      </c>
      <c r="H495" s="92" t="str">
        <f t="shared" si="15"/>
        <v/>
      </c>
      <c r="I495" s="88">
        <v>0</v>
      </c>
    </row>
    <row r="496" spans="1:9" ht="16.899999999999999">
      <c r="A496" s="76" t="str" cm="1">
        <f t="array" ref="A496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Calculators'!$B$2+E496)</f>
        <v/>
      </c>
      <c r="B496" s="76" t="str" cm="1">
        <f t="array" ref="B496">IF(OR(A496=""),"",IF(INDEX('Test schedule'!E:E,ROW()+9)="",IF(A497="",A496+$Q$10,A497),INDEX('Test schedule'!E:E,ROW()+9)+'Date Calculators'!$B$2+E496))</f>
        <v/>
      </c>
      <c r="C496" s="74" t="str" cm="1">
        <f t="array" ref="C496">IF(A496="","",INDEX('Test schedule'!J:J,ROW()+9))</f>
        <v/>
      </c>
      <c r="D496" s="74" t="str">
        <f>IFERROR(IF(A496="","",'Event Info'!$B$2),"")</f>
        <v/>
      </c>
      <c r="E496" cm="1">
        <f t="array" ref="E496">IF(INDEX('Test schedule'!B:B,ROW()+9)="START",E495+1,E495+0)</f>
        <v>5</v>
      </c>
      <c r="F496" s="82" t="str">
        <f>IF(A496&lt;&gt;"",_xlfn.CONCAT(TEXT(A496,"yyyy-mm-dd"),"T",TEXT(A496,"hh:mm:ss"),'Event Info'!$B$5,",",," ",C496),"")</f>
        <v/>
      </c>
      <c r="G496" t="e">
        <f t="shared" si="14"/>
        <v>#VALUE!</v>
      </c>
      <c r="H496" s="92" t="str">
        <f t="shared" si="15"/>
        <v/>
      </c>
      <c r="I496" s="91">
        <v>0</v>
      </c>
    </row>
    <row r="497" spans="1:9">
      <c r="A497" s="76" t="str" cm="1">
        <f t="array" ref="A497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Calculators'!$B$2+E497)</f>
        <v/>
      </c>
      <c r="B497" s="76" t="str" cm="1">
        <f t="array" ref="B497">IF(OR(A497=""),"",IF(INDEX('Test schedule'!E:E,ROW()+9)="",IF(A498="",A497+$Q$10,A498),INDEX('Test schedule'!E:E,ROW()+9)+'Date Calculators'!$B$2+E497))</f>
        <v/>
      </c>
      <c r="C497" s="74" t="str" cm="1">
        <f t="array" ref="C497">IF(A497="","",INDEX('Test schedule'!J:J,ROW()+9))</f>
        <v/>
      </c>
      <c r="D497" s="74" t="str">
        <f>IFERROR(IF(A497="","",'Event Info'!$B$2),"")</f>
        <v/>
      </c>
      <c r="E497" cm="1">
        <f t="array" ref="E497">IF(INDEX('Test schedule'!B:B,ROW()+9)="START",E496+1,E496+0)</f>
        <v>5</v>
      </c>
      <c r="F497" s="82" t="str">
        <f>IF(A497&lt;&gt;"",_xlfn.CONCAT(TEXT(A497,"yyyy-mm-dd"),"T",TEXT(A497,"hh:mm:ss"),'Event Info'!$B$5,",",," ",C497),"")</f>
        <v/>
      </c>
      <c r="G497" t="e">
        <f t="shared" si="14"/>
        <v>#VALUE!</v>
      </c>
      <c r="H497" s="92" t="str">
        <f t="shared" si="15"/>
        <v/>
      </c>
      <c r="I497" s="88">
        <v>0</v>
      </c>
    </row>
    <row r="498" spans="1:9">
      <c r="A498" s="76" t="str" cm="1">
        <f t="array" ref="A498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Calculators'!$B$2+E498)</f>
        <v/>
      </c>
      <c r="B498" s="76" t="str" cm="1">
        <f t="array" ref="B498">IF(OR(A498=""),"",IF(INDEX('Test schedule'!E:E,ROW()+9)="",IF(A499="",A498+$Q$10,A499),INDEX('Test schedule'!E:E,ROW()+9)+'Date Calculators'!$B$2+E498))</f>
        <v/>
      </c>
      <c r="C498" s="74" t="str" cm="1">
        <f t="array" ref="C498">IF(A498="","",INDEX('Test schedule'!J:J,ROW()+9))</f>
        <v/>
      </c>
      <c r="D498" s="74" t="str">
        <f>IFERROR(IF(A498="","",'Event Info'!$B$2),"")</f>
        <v/>
      </c>
      <c r="E498" cm="1">
        <f t="array" ref="E498">IF(INDEX('Test schedule'!B:B,ROW()+9)="START",E497+1,E497+0)</f>
        <v>5</v>
      </c>
      <c r="F498" s="82" t="str">
        <f>IF(A498&lt;&gt;"",_xlfn.CONCAT(TEXT(A498,"yyyy-mm-dd"),"T",TEXT(A498,"hh:mm:ss"),'Event Info'!$B$5,",",," ",C498),"")</f>
        <v/>
      </c>
      <c r="G498" t="e">
        <f t="shared" si="14"/>
        <v>#VALUE!</v>
      </c>
      <c r="H498" s="92" t="str">
        <f t="shared" si="15"/>
        <v/>
      </c>
      <c r="I498" s="88">
        <v>0</v>
      </c>
    </row>
    <row r="499" spans="1:9" ht="16.899999999999999">
      <c r="A499" s="76" t="str" cm="1">
        <f t="array" ref="A499">IF(OR(INDEX('Test schedule'!B:B,ROW()+10)="START",INDEX('Test schedule'!B:B,ROW()+9)="",INDEX('Test schedule'!B:B,ROW()+9)="START",INDEX('Test schedule'!B:B,ROW()+9)="TBA",INDEX('Test schedule'!B:B,ROW()+9)="TBC"),"",INDEX('Test schedule'!B:B,ROW()+9)+'Date Calculators'!$B$2+E499)</f>
        <v/>
      </c>
      <c r="B499" s="76" t="str" cm="1">
        <f t="array" ref="B499">IF(OR(A499=""),"",IF(INDEX('Test schedule'!E:E,ROW()+9)="",IF(A500="",A499+$Q$10,A500),INDEX('Test schedule'!E:E,ROW()+9)+'Date Calculators'!$B$2+E499))</f>
        <v/>
      </c>
      <c r="C499" s="74" t="str" cm="1">
        <f t="array" ref="C499">IF(A499="","",INDEX('Test schedule'!J:J,ROW()+9))</f>
        <v/>
      </c>
      <c r="D499" s="74" t="str">
        <f>IFERROR(IF(A499="","",'Event Info'!$B$2),"")</f>
        <v/>
      </c>
      <c r="E499" cm="1">
        <f t="array" ref="E499">IF(INDEX('Test schedule'!B:B,ROW()+9)="START",E498+1,E498+0)</f>
        <v>5</v>
      </c>
      <c r="F499" s="82" t="str">
        <f>IF(A499&lt;&gt;"",_xlfn.CONCAT(TEXT(A499,"yyyy-mm-dd"),"T",TEXT(A499,"hh:mm:ss"),'Event Info'!$B$5,",",," ",C499),"")</f>
        <v/>
      </c>
      <c r="G499" t="e">
        <f t="shared" si="14"/>
        <v>#VALUE!</v>
      </c>
      <c r="H499" s="92" t="str">
        <f t="shared" si="15"/>
        <v/>
      </c>
      <c r="I499" s="91">
        <v>0</v>
      </c>
    </row>
    <row r="500" spans="1:9">
      <c r="A500" s="76" t="str" cm="1">
        <f t="array" ref="A500">IF(OR(INDEX('Test schedule'!B:B,ROW()+10)="START",INDEX('Test schedule'!B:B,ROW()+9)="",INDEX('Test schedule'!B:B,ROW()+9)="START",INDEX('Test schedule'!B:B,ROW()+9)="TBA",INDEX('Test schedule'!B:B,ROW()+9)="TBC"),"",INDEX('Test schedule'!B:B,ROW()+9)+'Date Calculators'!$B$2+E500)</f>
        <v/>
      </c>
      <c r="B500" s="76" t="str" cm="1">
        <f t="array" ref="B500">IF(OR(A500=""),"",IF(INDEX('Test schedule'!E:E,ROW()+9)="",IF(A501="",A500+$Q$10,A501),INDEX('Test schedule'!E:E,ROW()+9)+'Date Calculators'!$B$2+E500))</f>
        <v/>
      </c>
      <c r="C500" s="74" t="str" cm="1">
        <f t="array" ref="C500">IF(A500="","",INDEX('Test schedule'!J:J,ROW()+9))</f>
        <v/>
      </c>
      <c r="D500" s="74" t="str">
        <f>IFERROR(IF(A500="","",'Event Info'!$B$2),"")</f>
        <v/>
      </c>
      <c r="E500" cm="1">
        <f t="array" ref="E500">IF(INDEX('Test schedule'!B:B,ROW()+9)="START",E499+1,E499+0)</f>
        <v>5</v>
      </c>
      <c r="F500" s="82" t="str">
        <f>IF(A500&lt;&gt;"",_xlfn.CONCAT(TEXT(A500,"yyyy-mm-dd"),"T",TEXT(A500,"hh:mm:ss"),'Event Info'!$B$5,",",," ",C500),"")</f>
        <v/>
      </c>
      <c r="G500" t="e">
        <f t="shared" si="14"/>
        <v>#VALUE!</v>
      </c>
      <c r="H500" s="94" t="str">
        <f t="shared" si="15"/>
        <v/>
      </c>
      <c r="I500" s="88">
        <v>0</v>
      </c>
    </row>
    <row r="501" spans="1:9">
      <c r="F501" s="95"/>
    </row>
  </sheetData>
  <mergeCells count="8">
    <mergeCell ref="J19:Q19"/>
    <mergeCell ref="J20:Q20"/>
    <mergeCell ref="K5:Q5"/>
    <mergeCell ref="J8:Q8"/>
    <mergeCell ref="J9:Q9"/>
    <mergeCell ref="J10:P10"/>
    <mergeCell ref="J15:Q15"/>
    <mergeCell ref="J16:Q16"/>
  </mergeCells>
  <dataValidations count="1">
    <dataValidation type="list" allowBlank="1" showInputMessage="1" showErrorMessage="1" sqref="J20:Q20" xr:uid="{430DA2FE-F850-491E-8612-3DA52FB6F623}">
      <formula1>OFFSET(timezone,0,0,ROWS(timezone)-COUNTIF(timezone,""))</formula1>
    </dataValidation>
  </dataValidations>
  <hyperlinks>
    <hyperlink ref="J16" r:id="rId1" xr:uid="{4EB15EC5-475F-4EA8-B4C2-9DB3021D5C5C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5" name="Button 1">
              <controlPr defaultSize="0" print="0" autoFill="0" autoPict="0" macro="[0]!CreateCalendar">
                <anchor mov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12</xdr:col>
                    <xdr:colOff>594360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6" name="Button 2">
              <controlPr defaultSize="0" print="0" autoFill="0" autoPict="0" macro="[0]!SaveSheetToTxt_Test">
                <anchor moveWithCells="1">
                  <from>
                    <xdr:col>13</xdr:col>
                    <xdr:colOff>60960</xdr:colOff>
                    <xdr:row>2</xdr:row>
                    <xdr:rowOff>22860</xdr:rowOff>
                  </from>
                  <to>
                    <xdr:col>17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ECBC-5B92-42E4-960A-3E07B122D37C}">
  <sheetPr codeName="Sheet68"/>
  <dimension ref="A1:U500"/>
  <sheetViews>
    <sheetView showGridLines="0" zoomScale="85" zoomScaleNormal="85" workbookViewId="0">
      <selection activeCell="R26" sqref="R26"/>
    </sheetView>
  </sheetViews>
  <sheetFormatPr defaultColWidth="9.140625" defaultRowHeight="15" customHeight="1"/>
  <cols>
    <col min="1" max="1" width="12.7109375" style="100" customWidth="1"/>
    <col min="2" max="2" width="10.7109375" style="100" customWidth="1"/>
    <col min="3" max="3" width="10.7109375" style="103" customWidth="1"/>
    <col min="4" max="4" width="10.7109375" style="100" customWidth="1"/>
    <col min="5" max="5" width="35.7109375" style="100" customWidth="1"/>
    <col min="6" max="6" width="35.7109375" style="104" customWidth="1"/>
    <col min="7" max="7" width="7.7109375" style="126" customWidth="1"/>
    <col min="8" max="10" width="10.7109375" style="100" customWidth="1"/>
    <col min="11" max="12" width="35.7109375" style="100" customWidth="1"/>
    <col min="13" max="13" width="7.7109375" style="100" customWidth="1"/>
    <col min="14" max="16" width="9.140625" style="100"/>
    <col min="17" max="17" width="10.7109375" style="100" customWidth="1"/>
    <col min="18" max="19" width="9.140625" style="100"/>
    <col min="20" max="20" width="10.7109375" style="100" customWidth="1"/>
    <col min="21" max="16384" width="9.140625" style="100"/>
  </cols>
  <sheetData>
    <row r="1" spans="1:21" ht="45" customHeight="1" thickBot="1">
      <c r="A1" s="1198"/>
      <c r="B1" s="1198"/>
      <c r="C1" s="1199"/>
      <c r="D1" s="1199"/>
      <c r="E1" s="98"/>
      <c r="F1" s="99" t="s">
        <v>925</v>
      </c>
      <c r="G1" s="1208" t="s">
        <v>926</v>
      </c>
      <c r="N1" s="96" t="b">
        <v>0</v>
      </c>
    </row>
    <row r="2" spans="1:21" ht="15" customHeight="1" thickTop="1">
      <c r="A2" s="102" t="s">
        <v>927</v>
      </c>
      <c r="B2" s="107"/>
      <c r="C2" s="108"/>
      <c r="D2" s="109"/>
      <c r="E2" s="110"/>
      <c r="F2" s="111" t="e">
        <f>#REF!</f>
        <v>#REF!</v>
      </c>
      <c r="G2" s="1208"/>
      <c r="H2" s="132"/>
      <c r="I2" s="108"/>
      <c r="J2" s="109"/>
      <c r="K2" s="110"/>
      <c r="L2" s="134"/>
      <c r="N2" s="1197" t="s">
        <v>17</v>
      </c>
      <c r="O2" s="1197"/>
      <c r="P2" s="1197"/>
      <c r="Q2" s="1197"/>
      <c r="R2" s="1197"/>
      <c r="S2" s="1197"/>
      <c r="T2" s="1197"/>
      <c r="U2" s="1197"/>
    </row>
    <row r="3" spans="1:21" ht="15" customHeight="1">
      <c r="B3" s="112" t="s">
        <v>193</v>
      </c>
      <c r="C3" s="113" t="s">
        <v>194</v>
      </c>
      <c r="D3" s="114" t="s">
        <v>214</v>
      </c>
      <c r="E3" s="114" t="s">
        <v>215</v>
      </c>
      <c r="F3" s="115" t="s">
        <v>217</v>
      </c>
      <c r="G3" s="1208"/>
      <c r="H3" s="133" t="s">
        <v>193</v>
      </c>
      <c r="I3" s="113" t="s">
        <v>194</v>
      </c>
      <c r="J3" s="114" t="s">
        <v>214</v>
      </c>
      <c r="K3" s="114" t="s">
        <v>215</v>
      </c>
      <c r="L3" s="114" t="s">
        <v>217</v>
      </c>
      <c r="M3" s="131"/>
      <c r="N3" s="1200" t="s">
        <v>928</v>
      </c>
      <c r="O3" s="1201"/>
      <c r="P3" s="1201"/>
      <c r="Q3" s="1201"/>
      <c r="R3" s="1201"/>
      <c r="S3" s="1201"/>
      <c r="T3" s="1201"/>
      <c r="U3" s="119">
        <v>4.1666666666666664E-2</v>
      </c>
    </row>
    <row r="4" spans="1:21" ht="15" customHeight="1">
      <c r="A4" s="122"/>
      <c r="B4" s="121" t="str">
        <f>IFERROR(IF(AND(INDEX($H$4:$H$500,MATCH(ROW()-3,$G$4:$G$500,0))&gt;C3,INDEX($I$4:$I$500,MATCH(ROW()-3,$G$4:$G$500,0))&lt;&gt;"END"),C3,INDEX($H$4:$H$500,MATCH(ROW()-3,$G$4:$G$500,0))),"")</f>
        <v/>
      </c>
      <c r="C4" s="117" t="str">
        <f t="shared" ref="C4" si="0">IFERROR(INDEX($I$4:$I$500,MATCH(ROW()-3,$G$4:$G$500,0)),"")</f>
        <v/>
      </c>
      <c r="D4" s="116" t="str">
        <f t="shared" ref="D4" si="1">IFERROR(INDEX($J$4:$J$500,MATCH(ROW()-3,$G$4:$G$500,0)),"")</f>
        <v/>
      </c>
      <c r="E4" s="120" t="str">
        <f t="shared" ref="E4" si="2">IFERROR(INDEX($K$4:$K$500,MATCH(ROW()-3,$G$4:$G$500,0)),"")</f>
        <v/>
      </c>
      <c r="F4" s="123" t="str">
        <f t="shared" ref="F4" si="3">IFERROR(INDEX($L$4:$L$500,MATCH(ROW()-3,$G$4:$G$500,0)),"")</f>
        <v/>
      </c>
      <c r="G4" s="126" t="e">
        <f>IF(I4&lt;&gt;"",1,0)</f>
        <v>#REF!</v>
      </c>
      <c r="H4" s="116" t="e">
        <f t="shared" ref="H4:H67" si="4">IF(I4="","",IF(I4="END","START",IF(OR(I3="END",I3=I4,I3=""),I4-$U$3,IFERROR(IF(I3&gt;I4,I4-$U$3,I3),I3))))</f>
        <v>#REF!</v>
      </c>
      <c r="I4" s="117" t="e" cm="1">
        <f t="array" ref="I4">IF(OR(INDEX(#REF!,ROW()+8)="START",INDEX(#REF!,ROW()+7)="",INDEX(#REF!,ROW()+7)="START",INDEX(#REF!,ROW()+7)="TBA",INDEX(#REF!,ROW()+7)="TBC"), IF(INDEX(#REF!,ROW()+7)="START",$C$3,""),IF(INDEX(#REF!,ROW()+7)="x",INDEX(#REF!,ROW()+7)+'Date Calculators'!$B$2+ICS4Master!$E2,""))</f>
        <v>#REF!</v>
      </c>
      <c r="J4" s="116" t="e" cm="1">
        <f t="array" ref="J4">IF(I4="","",INDEX(#REF!,ROW()+7))</f>
        <v>#REF!</v>
      </c>
      <c r="K4" s="120" t="e" cm="1">
        <f t="array" ref="K4">IF(I4="","",INDEX(#REF!,ROW()+7))</f>
        <v>#REF!</v>
      </c>
      <c r="L4" s="129" t="e" cm="1">
        <f t="array" ref="L4">IF(OR(I4="",INDEX(#REF!,ROW()+7)=""),"",INDEX(#REF!,ROW()+7))</f>
        <v>#REF!</v>
      </c>
      <c r="M4" s="131"/>
      <c r="N4" s="1202" t="s">
        <v>929</v>
      </c>
      <c r="O4" s="1203"/>
      <c r="P4" s="1203"/>
      <c r="Q4" s="1203"/>
      <c r="R4" s="1203"/>
      <c r="S4" s="1203"/>
      <c r="T4" s="1203"/>
      <c r="U4" s="1204"/>
    </row>
    <row r="5" spans="1:21" ht="15" customHeight="1">
      <c r="A5" s="122"/>
      <c r="B5" s="121" t="str">
        <f t="shared" ref="B5:B68" si="5">IFERROR(IF(AND(INDEX($H$4:$H$500,MATCH(ROW()-3,$G$4:$G$500,0))&gt;C4,INDEX($I$4:$I$500,MATCH(ROW()-3,$G$4:$G$500,0))&lt;&gt;"END"),C4,INDEX($H$4:$H$500,MATCH(ROW()-3,$G$4:$G$500,0))),"")</f>
        <v/>
      </c>
      <c r="C5" s="117" t="str">
        <f t="shared" ref="C5:C68" si="6">IFERROR(INDEX($I$4:$I$500,MATCH(ROW()-3,$G$4:$G$500,0)),"")</f>
        <v/>
      </c>
      <c r="D5" s="116" t="str">
        <f t="shared" ref="D5:D68" si="7">IFERROR(INDEX($J$4:$J$500,MATCH(ROW()-3,$G$4:$G$500,0)),"")</f>
        <v/>
      </c>
      <c r="E5" s="120" t="str">
        <f t="shared" ref="E5:E68" si="8">IFERROR(INDEX($K$4:$K$500,MATCH(ROW()-3,$G$4:$G$500,0)),"")</f>
        <v/>
      </c>
      <c r="F5" s="123" t="str">
        <f t="shared" ref="F5:F68" si="9">IFERROR(INDEX($L$4:$L$500,MATCH(ROW()-3,$G$4:$G$500,0)),"")</f>
        <v/>
      </c>
      <c r="G5" s="126" t="e">
        <f t="shared" ref="G5:G68" si="10">G4+IF(I5&lt;&gt;"",1,0)</f>
        <v>#REF!</v>
      </c>
      <c r="H5" s="116" t="e">
        <f t="shared" si="4"/>
        <v>#REF!</v>
      </c>
      <c r="I5" s="117" t="e" cm="1">
        <f t="array" ref="I5">IF(OR(INDEX(#REF!,ROW()+8)="START",INDEX(#REF!,ROW()+7)="",INDEX(#REF!,ROW()+7)="START",INDEX(#REF!,ROW()+7)="TBA",INDEX(#REF!,ROW()+7)="TBC"), IF(INDEX(#REF!,ROW()+7)="START",$C$3,""),IF(INDEX(#REF!,ROW()+7)="x",INDEX(#REF!,ROW()+7)+'Date Calculators'!$B$2+ICS4Master!$E3,""))</f>
        <v>#REF!</v>
      </c>
      <c r="J5" s="116" t="e" cm="1">
        <f t="array" ref="J5">IF(I5="","",INDEX(#REF!,ROW()+7))</f>
        <v>#REF!</v>
      </c>
      <c r="K5" s="120" t="e" cm="1">
        <f t="array" ref="K5">IF(I5="","",INDEX(#REF!,ROW()+7))</f>
        <v>#REF!</v>
      </c>
      <c r="L5" s="129" t="e" cm="1">
        <f t="array" ref="L5">IF(OR(I5="",INDEX(#REF!,ROW()+7)=""),"",INDEX(#REF!,ROW()+7))</f>
        <v>#REF!</v>
      </c>
      <c r="M5" s="131"/>
      <c r="N5" s="1205"/>
      <c r="O5" s="1206"/>
      <c r="P5" s="1206"/>
      <c r="Q5" s="1206"/>
      <c r="R5" s="1206"/>
      <c r="S5" s="1206"/>
      <c r="T5" s="1206"/>
      <c r="U5" s="1207"/>
    </row>
    <row r="6" spans="1:21" ht="15" customHeight="1">
      <c r="A6" s="122"/>
      <c r="B6" s="121" t="str">
        <f t="shared" si="5"/>
        <v/>
      </c>
      <c r="C6" s="117" t="str">
        <f t="shared" si="6"/>
        <v/>
      </c>
      <c r="D6" s="116" t="str">
        <f t="shared" si="7"/>
        <v/>
      </c>
      <c r="E6" s="120" t="str">
        <f t="shared" si="8"/>
        <v/>
      </c>
      <c r="F6" s="123" t="str">
        <f t="shared" si="9"/>
        <v/>
      </c>
      <c r="G6" s="126" t="e">
        <f t="shared" si="10"/>
        <v>#REF!</v>
      </c>
      <c r="H6" s="116" t="e">
        <f t="shared" si="4"/>
        <v>#REF!</v>
      </c>
      <c r="I6" s="117" t="e" cm="1">
        <f t="array" ref="I6">IF(OR(INDEX(#REF!,ROW()+8)="START",INDEX(#REF!,ROW()+7)="",INDEX(#REF!,ROW()+7)="START",INDEX(#REF!,ROW()+7)="TBA",INDEX(#REF!,ROW()+7)="TBC"), IF(INDEX(#REF!,ROW()+7)="START",$C$3,""),IF(INDEX(#REF!,ROW()+7)="x",INDEX(#REF!,ROW()+7)+'Date Calculators'!$B$2+ICS4Master!$E4,""))</f>
        <v>#REF!</v>
      </c>
      <c r="J6" s="116" t="e" cm="1">
        <f t="array" ref="J6">IF(I6="","",INDEX(#REF!,ROW()+7))</f>
        <v>#REF!</v>
      </c>
      <c r="K6" s="120" t="e" cm="1">
        <f t="array" ref="K6">IF(I6="","",INDEX(#REF!,ROW()+7))</f>
        <v>#REF!</v>
      </c>
      <c r="L6" s="129" t="e" cm="1">
        <f t="array" ref="L6">IF(OR(I6="",INDEX(#REF!,ROW()+7)=""),"",INDEX(#REF!,ROW()+7))</f>
        <v>#REF!</v>
      </c>
      <c r="P6" s="105"/>
      <c r="Q6" s="106"/>
    </row>
    <row r="7" spans="1:21" ht="15" customHeight="1">
      <c r="A7" s="122"/>
      <c r="B7" s="121" t="str">
        <f t="shared" si="5"/>
        <v/>
      </c>
      <c r="C7" s="117" t="str">
        <f t="shared" si="6"/>
        <v/>
      </c>
      <c r="D7" s="116" t="str">
        <f t="shared" si="7"/>
        <v/>
      </c>
      <c r="E7" s="120" t="str">
        <f t="shared" si="8"/>
        <v/>
      </c>
      <c r="F7" s="123" t="str">
        <f t="shared" si="9"/>
        <v/>
      </c>
      <c r="G7" s="126" t="e">
        <f t="shared" si="10"/>
        <v>#REF!</v>
      </c>
      <c r="H7" s="116" t="e">
        <f t="shared" si="4"/>
        <v>#REF!</v>
      </c>
      <c r="I7" s="117" t="e" cm="1">
        <f t="array" ref="I7">IF(OR(INDEX(#REF!,ROW()+8)="START",INDEX(#REF!,ROW()+7)="",INDEX(#REF!,ROW()+7)="START",INDEX(#REF!,ROW()+7)="TBA",INDEX(#REF!,ROW()+7)="TBC"), IF(INDEX(#REF!,ROW()+7)="START",$C$3,""),IF(INDEX(#REF!,ROW()+7)="x",INDEX(#REF!,ROW()+7)+'Date Calculators'!$B$2+ICS4Master!$E5,""))</f>
        <v>#REF!</v>
      </c>
      <c r="J7" s="116" t="e" cm="1">
        <f t="array" ref="J7">IF(I7="","",INDEX(#REF!,ROW()+7))</f>
        <v>#REF!</v>
      </c>
      <c r="K7" s="120" t="e" cm="1">
        <f t="array" ref="K7">IF(I7="","",INDEX(#REF!,ROW()+7))</f>
        <v>#REF!</v>
      </c>
      <c r="L7" s="129" t="e" cm="1">
        <f t="array" ref="L7">IF(OR(I7="",INDEX(#REF!,ROW()+7)=""),"",INDEX(#REF!,ROW()+7))</f>
        <v>#REF!</v>
      </c>
      <c r="M7" s="130"/>
      <c r="P7" s="105"/>
      <c r="Q7" s="106"/>
    </row>
    <row r="8" spans="1:21" ht="15" customHeight="1">
      <c r="B8" s="121" t="str">
        <f t="shared" si="5"/>
        <v/>
      </c>
      <c r="C8" s="117" t="str">
        <f t="shared" si="6"/>
        <v/>
      </c>
      <c r="D8" s="116" t="str">
        <f t="shared" si="7"/>
        <v/>
      </c>
      <c r="E8" s="120" t="str">
        <f t="shared" si="8"/>
        <v/>
      </c>
      <c r="F8" s="123" t="str">
        <f t="shared" si="9"/>
        <v/>
      </c>
      <c r="G8" s="126" t="e">
        <f t="shared" si="10"/>
        <v>#REF!</v>
      </c>
      <c r="H8" s="116" t="e">
        <f t="shared" si="4"/>
        <v>#REF!</v>
      </c>
      <c r="I8" s="117" t="e" cm="1">
        <f t="array" ref="I8">IF(OR(INDEX(#REF!,ROW()+8)="START",INDEX(#REF!,ROW()+7)="",INDEX(#REF!,ROW()+7)="START",INDEX(#REF!,ROW()+7)="TBA",INDEX(#REF!,ROW()+7)="TBC"), IF(INDEX(#REF!,ROW()+7)="START",$C$3,""),IF(INDEX(#REF!,ROW()+7)="x",INDEX(#REF!,ROW()+7)+'Date Calculators'!$B$2+ICS4Master!$E6,""))</f>
        <v>#REF!</v>
      </c>
      <c r="J8" s="116" t="e" cm="1">
        <f t="array" ref="J8">IF(I8="","",INDEX(#REF!,ROW()+7))</f>
        <v>#REF!</v>
      </c>
      <c r="K8" s="120" t="e" cm="1">
        <f t="array" ref="K8">IF(I8="","",INDEX(#REF!,ROW()+7))</f>
        <v>#REF!</v>
      </c>
      <c r="L8" s="129" t="e" cm="1">
        <f t="array" ref="L8">IF(OR(I8="",INDEX(#REF!,ROW()+7)=""),"",INDEX(#REF!,ROW()+7))</f>
        <v>#REF!</v>
      </c>
      <c r="P8" s="105"/>
      <c r="Q8" s="106"/>
    </row>
    <row r="9" spans="1:21" ht="15" customHeight="1">
      <c r="B9" s="121" t="str">
        <f t="shared" si="5"/>
        <v/>
      </c>
      <c r="C9" s="117" t="str">
        <f t="shared" si="6"/>
        <v/>
      </c>
      <c r="D9" s="116" t="str">
        <f t="shared" si="7"/>
        <v/>
      </c>
      <c r="E9" s="120" t="str">
        <f t="shared" si="8"/>
        <v/>
      </c>
      <c r="F9" s="123" t="str">
        <f t="shared" si="9"/>
        <v/>
      </c>
      <c r="G9" s="126" t="e">
        <f t="shared" si="10"/>
        <v>#REF!</v>
      </c>
      <c r="H9" s="116" t="e">
        <f t="shared" si="4"/>
        <v>#REF!</v>
      </c>
      <c r="I9" s="117" t="e" cm="1">
        <f t="array" ref="I9">IF(OR(INDEX(#REF!,ROW()+8)="START",INDEX(#REF!,ROW()+7)="",INDEX(#REF!,ROW()+7)="START",INDEX(#REF!,ROW()+7)="TBA",INDEX(#REF!,ROW()+7)="TBC"), IF(INDEX(#REF!,ROW()+7)="START",$C$3,""),IF(INDEX(#REF!,ROW()+7)="x",INDEX(#REF!,ROW()+7)+'Date Calculators'!$B$2+ICS4Master!$E7,""))</f>
        <v>#REF!</v>
      </c>
      <c r="J9" s="116" t="e" cm="1">
        <f t="array" ref="J9">IF(I9="","",INDEX(#REF!,ROW()+7))</f>
        <v>#REF!</v>
      </c>
      <c r="K9" s="120" t="e" cm="1">
        <f t="array" ref="K9">IF(I9="","",INDEX(#REF!,ROW()+7))</f>
        <v>#REF!</v>
      </c>
      <c r="L9" s="129" t="e" cm="1">
        <f t="array" ref="L9">IF(OR(I9="",INDEX(#REF!,ROW()+7)=""),"",INDEX(#REF!,ROW()+7))</f>
        <v>#REF!</v>
      </c>
      <c r="P9" s="105"/>
      <c r="Q9" s="106"/>
    </row>
    <row r="10" spans="1:21" ht="15" customHeight="1">
      <c r="B10" s="121" t="str">
        <f t="shared" si="5"/>
        <v/>
      </c>
      <c r="C10" s="117" t="str">
        <f t="shared" si="6"/>
        <v/>
      </c>
      <c r="D10" s="116" t="str">
        <f t="shared" si="7"/>
        <v/>
      </c>
      <c r="E10" s="120" t="str">
        <f t="shared" si="8"/>
        <v/>
      </c>
      <c r="F10" s="123" t="str">
        <f t="shared" si="9"/>
        <v/>
      </c>
      <c r="G10" s="126" t="e">
        <f t="shared" si="10"/>
        <v>#REF!</v>
      </c>
      <c r="H10" s="116" t="e">
        <f t="shared" si="4"/>
        <v>#REF!</v>
      </c>
      <c r="I10" s="117" t="e" cm="1">
        <f t="array" ref="I10">IF(OR(INDEX(#REF!,ROW()+8)="START",INDEX(#REF!,ROW()+7)="",INDEX(#REF!,ROW()+7)="START",INDEX(#REF!,ROW()+7)="TBA",INDEX(#REF!,ROW()+7)="TBC"), IF(INDEX(#REF!,ROW()+7)="START",$C$3,""),IF(INDEX(#REF!,ROW()+7)="x",INDEX(#REF!,ROW()+7)+'Date Calculators'!$B$2+ICS4Master!$E8,""))</f>
        <v>#REF!</v>
      </c>
      <c r="J10" s="116" t="e" cm="1">
        <f t="array" ref="J10">IF(I10="","",INDEX(#REF!,ROW()+7))</f>
        <v>#REF!</v>
      </c>
      <c r="K10" s="120" t="e" cm="1">
        <f t="array" ref="K10">IF(I10="","",INDEX(#REF!,ROW()+7))</f>
        <v>#REF!</v>
      </c>
      <c r="L10" s="129" t="e" cm="1">
        <f t="array" ref="L10">IF(OR(I10="",INDEX(#REF!,ROW()+7)=""),"",INDEX(#REF!,ROW()+7))</f>
        <v>#REF!</v>
      </c>
      <c r="P10" s="105"/>
      <c r="Q10" s="106"/>
    </row>
    <row r="11" spans="1:21" ht="15" customHeight="1">
      <c r="B11" s="121" t="str">
        <f t="shared" si="5"/>
        <v/>
      </c>
      <c r="C11" s="117" t="str">
        <f t="shared" si="6"/>
        <v/>
      </c>
      <c r="D11" s="116" t="str">
        <f t="shared" si="7"/>
        <v/>
      </c>
      <c r="E11" s="120" t="str">
        <f t="shared" si="8"/>
        <v/>
      </c>
      <c r="F11" s="123" t="str">
        <f t="shared" si="9"/>
        <v/>
      </c>
      <c r="G11" s="126" t="e">
        <f t="shared" si="10"/>
        <v>#REF!</v>
      </c>
      <c r="H11" s="116" t="e">
        <f t="shared" si="4"/>
        <v>#REF!</v>
      </c>
      <c r="I11" s="117" t="e" cm="1">
        <f t="array" ref="I11">IF(OR(INDEX(#REF!,ROW()+8)="START",INDEX(#REF!,ROW()+7)="",INDEX(#REF!,ROW()+7)="START",INDEX(#REF!,ROW()+7)="TBA",INDEX(#REF!,ROW()+7)="TBC"), IF(INDEX(#REF!,ROW()+7)="START",$C$3,""),IF(INDEX(#REF!,ROW()+7)="x",INDEX(#REF!,ROW()+7)+'Date Calculators'!$B$2+ICS4Master!$E9,""))</f>
        <v>#REF!</v>
      </c>
      <c r="J11" s="116" t="e" cm="1">
        <f t="array" ref="J11">IF(I11="","",INDEX(#REF!,ROW()+7))</f>
        <v>#REF!</v>
      </c>
      <c r="K11" s="120" t="e" cm="1">
        <f t="array" ref="K11">IF(I11="","",INDEX(#REF!,ROW()+7))</f>
        <v>#REF!</v>
      </c>
      <c r="L11" s="129" t="e" cm="1">
        <f t="array" ref="L11">IF(OR(I11="",INDEX(#REF!,ROW()+7)=""),"",INDEX(#REF!,ROW()+7))</f>
        <v>#REF!</v>
      </c>
      <c r="P11" s="105"/>
      <c r="Q11" s="106"/>
    </row>
    <row r="12" spans="1:21" ht="15" customHeight="1">
      <c r="B12" s="121" t="str">
        <f t="shared" si="5"/>
        <v/>
      </c>
      <c r="C12" s="117" t="str">
        <f t="shared" si="6"/>
        <v/>
      </c>
      <c r="D12" s="116" t="str">
        <f t="shared" si="7"/>
        <v/>
      </c>
      <c r="E12" s="120" t="str">
        <f t="shared" si="8"/>
        <v/>
      </c>
      <c r="F12" s="123" t="str">
        <f t="shared" si="9"/>
        <v/>
      </c>
      <c r="G12" s="126" t="e">
        <f t="shared" si="10"/>
        <v>#REF!</v>
      </c>
      <c r="H12" s="116" t="e">
        <f t="shared" si="4"/>
        <v>#REF!</v>
      </c>
      <c r="I12" s="117" t="e" cm="1">
        <f t="array" ref="I12">IF(OR(INDEX(#REF!,ROW()+8)="START",INDEX(#REF!,ROW()+7)="",INDEX(#REF!,ROW()+7)="START",INDEX(#REF!,ROW()+7)="TBA",INDEX(#REF!,ROW()+7)="TBC"), IF(INDEX(#REF!,ROW()+7)="START",$C$3,""),IF(INDEX(#REF!,ROW()+7)="x",INDEX(#REF!,ROW()+7)+'Date Calculators'!$B$2+ICS4Master!$E10,""))</f>
        <v>#REF!</v>
      </c>
      <c r="J12" s="116" t="e" cm="1">
        <f t="array" ref="J12">IF(I12="","",INDEX(#REF!,ROW()+7))</f>
        <v>#REF!</v>
      </c>
      <c r="K12" s="120" t="e" cm="1">
        <f t="array" ref="K12">IF(I12="","",INDEX(#REF!,ROW()+7))</f>
        <v>#REF!</v>
      </c>
      <c r="L12" s="129" t="e" cm="1">
        <f t="array" ref="L12">IF(OR(I12="",INDEX(#REF!,ROW()+7)=""),"",INDEX(#REF!,ROW()+7))</f>
        <v>#REF!</v>
      </c>
      <c r="M12" s="101"/>
      <c r="P12" s="105"/>
      <c r="Q12" s="106"/>
    </row>
    <row r="13" spans="1:21" ht="15" customHeight="1">
      <c r="B13" s="121" t="str">
        <f t="shared" si="5"/>
        <v/>
      </c>
      <c r="C13" s="117" t="str">
        <f t="shared" si="6"/>
        <v/>
      </c>
      <c r="D13" s="116" t="str">
        <f t="shared" si="7"/>
        <v/>
      </c>
      <c r="E13" s="120" t="str">
        <f t="shared" si="8"/>
        <v/>
      </c>
      <c r="F13" s="123" t="str">
        <f t="shared" si="9"/>
        <v/>
      </c>
      <c r="G13" s="126" t="e">
        <f t="shared" si="10"/>
        <v>#REF!</v>
      </c>
      <c r="H13" s="116" t="e">
        <f t="shared" si="4"/>
        <v>#REF!</v>
      </c>
      <c r="I13" s="117" t="e" cm="1">
        <f t="array" ref="I13">IF(OR(INDEX(#REF!,ROW()+8)="START",INDEX(#REF!,ROW()+7)="",INDEX(#REF!,ROW()+7)="START",INDEX(#REF!,ROW()+7)="TBA",INDEX(#REF!,ROW()+7)="TBC"), IF(INDEX(#REF!,ROW()+7)="START",$C$3,""),IF(INDEX(#REF!,ROW()+7)="x",INDEX(#REF!,ROW()+7)+'Date Calculators'!$B$2+ICS4Master!$E11,""))</f>
        <v>#REF!</v>
      </c>
      <c r="J13" s="116" t="e" cm="1">
        <f t="array" ref="J13">IF(I13="","",INDEX(#REF!,ROW()+7))</f>
        <v>#REF!</v>
      </c>
      <c r="K13" s="120" t="e" cm="1">
        <f t="array" ref="K13">IF(I13="","",INDEX(#REF!,ROW()+7))</f>
        <v>#REF!</v>
      </c>
      <c r="L13" s="129" t="e" cm="1">
        <f t="array" ref="L13">IF(OR(I13="",INDEX(#REF!,ROW()+7)=""),"",INDEX(#REF!,ROW()+7))</f>
        <v>#REF!</v>
      </c>
      <c r="P13" s="105"/>
      <c r="Q13" s="106"/>
    </row>
    <row r="14" spans="1:21" ht="15" customHeight="1">
      <c r="B14" s="121" t="str">
        <f t="shared" si="5"/>
        <v/>
      </c>
      <c r="C14" s="117" t="str">
        <f t="shared" si="6"/>
        <v/>
      </c>
      <c r="D14" s="116" t="str">
        <f t="shared" si="7"/>
        <v/>
      </c>
      <c r="E14" s="120" t="str">
        <f t="shared" si="8"/>
        <v/>
      </c>
      <c r="F14" s="123" t="str">
        <f t="shared" si="9"/>
        <v/>
      </c>
      <c r="G14" s="126" t="e">
        <f t="shared" si="10"/>
        <v>#REF!</v>
      </c>
      <c r="H14" s="116" t="e">
        <f t="shared" si="4"/>
        <v>#REF!</v>
      </c>
      <c r="I14" s="117" t="e" cm="1">
        <f t="array" ref="I14">IF(OR(INDEX(#REF!,ROW()+8)="START",INDEX(#REF!,ROW()+7)="",INDEX(#REF!,ROW()+7)="START",INDEX(#REF!,ROW()+7)="TBA",INDEX(#REF!,ROW()+7)="TBC"), IF(INDEX(#REF!,ROW()+7)="START",$C$3,""),IF(INDEX(#REF!,ROW()+7)="x",INDEX(#REF!,ROW()+7)+'Date Calculators'!$B$2+ICS4Master!$E12,""))</f>
        <v>#REF!</v>
      </c>
      <c r="J14" s="116" t="e" cm="1">
        <f t="array" ref="J14">IF(I14="","",INDEX(#REF!,ROW()+7))</f>
        <v>#REF!</v>
      </c>
      <c r="K14" s="120" t="e" cm="1">
        <f t="array" ref="K14">IF(I14="","",INDEX(#REF!,ROW()+7))</f>
        <v>#REF!</v>
      </c>
      <c r="L14" s="129" t="e" cm="1">
        <f t="array" ref="L14">IF(OR(I14="",INDEX(#REF!,ROW()+7)=""),"",INDEX(#REF!,ROW()+7))</f>
        <v>#REF!</v>
      </c>
      <c r="P14" s="105"/>
      <c r="Q14" s="106"/>
    </row>
    <row r="15" spans="1:21" ht="15" customHeight="1">
      <c r="B15" s="121" t="str">
        <f t="shared" si="5"/>
        <v/>
      </c>
      <c r="C15" s="117" t="str">
        <f t="shared" si="6"/>
        <v/>
      </c>
      <c r="D15" s="116" t="str">
        <f t="shared" si="7"/>
        <v/>
      </c>
      <c r="E15" s="120" t="str">
        <f t="shared" si="8"/>
        <v/>
      </c>
      <c r="F15" s="123" t="str">
        <f t="shared" si="9"/>
        <v/>
      </c>
      <c r="G15" s="126" t="e">
        <f t="shared" si="10"/>
        <v>#REF!</v>
      </c>
      <c r="H15" s="116" t="e">
        <f t="shared" si="4"/>
        <v>#REF!</v>
      </c>
      <c r="I15" s="117" t="e" cm="1">
        <f t="array" ref="I15">IF(OR(INDEX(#REF!,ROW()+8)="START",INDEX(#REF!,ROW()+7)="",INDEX(#REF!,ROW()+7)="START",INDEX(#REF!,ROW()+7)="TBA",INDEX(#REF!,ROW()+7)="TBC"), IF(INDEX(#REF!,ROW()+7)="START",$C$3,""),IF(INDEX(#REF!,ROW()+7)="x",INDEX(#REF!,ROW()+7)+'Date Calculators'!$B$2+ICS4Master!$E13,""))</f>
        <v>#REF!</v>
      </c>
      <c r="J15" s="116" t="e" cm="1">
        <f t="array" ref="J15">IF(I15="","",INDEX(#REF!,ROW()+7))</f>
        <v>#REF!</v>
      </c>
      <c r="K15" s="120" t="e" cm="1">
        <f t="array" ref="K15">IF(I15="","",INDEX(#REF!,ROW()+7))</f>
        <v>#REF!</v>
      </c>
      <c r="L15" s="129" t="e" cm="1">
        <f t="array" ref="L15">IF(OR(I15="",INDEX(#REF!,ROW()+7)=""),"",INDEX(#REF!,ROW()+7))</f>
        <v>#REF!</v>
      </c>
      <c r="P15" s="105"/>
      <c r="Q15" s="106"/>
    </row>
    <row r="16" spans="1:21" ht="15" customHeight="1">
      <c r="B16" s="121" t="str">
        <f t="shared" si="5"/>
        <v/>
      </c>
      <c r="C16" s="117" t="str">
        <f t="shared" si="6"/>
        <v/>
      </c>
      <c r="D16" s="116" t="str">
        <f t="shared" si="7"/>
        <v/>
      </c>
      <c r="E16" s="120" t="str">
        <f t="shared" si="8"/>
        <v/>
      </c>
      <c r="F16" s="123" t="str">
        <f t="shared" si="9"/>
        <v/>
      </c>
      <c r="G16" s="126" t="e">
        <f t="shared" si="10"/>
        <v>#REF!</v>
      </c>
      <c r="H16" s="116" t="e">
        <f t="shared" si="4"/>
        <v>#REF!</v>
      </c>
      <c r="I16" s="117" t="e" cm="1">
        <f t="array" ref="I16">IF(OR(INDEX(#REF!,ROW()+8)="START",INDEX(#REF!,ROW()+7)="",INDEX(#REF!,ROW()+7)="START",INDEX(#REF!,ROW()+7)="TBA",INDEX(#REF!,ROW()+7)="TBC"), IF(INDEX(#REF!,ROW()+7)="START",$C$3,""),IF(INDEX(#REF!,ROW()+7)="x",INDEX(#REF!,ROW()+7)+'Date Calculators'!$B$2+ICS4Master!$E14,""))</f>
        <v>#REF!</v>
      </c>
      <c r="J16" s="116" t="e" cm="1">
        <f t="array" ref="J16">IF(I16="","",INDEX(#REF!,ROW()+7))</f>
        <v>#REF!</v>
      </c>
      <c r="K16" s="120" t="e" cm="1">
        <f t="array" ref="K16">IF(I16="","",INDEX(#REF!,ROW()+7))</f>
        <v>#REF!</v>
      </c>
      <c r="L16" s="129" t="e" cm="1">
        <f t="array" ref="L16">IF(OR(I16="",INDEX(#REF!,ROW()+7)=""),"",INDEX(#REF!,ROW()+7))</f>
        <v>#REF!</v>
      </c>
      <c r="P16" s="105"/>
      <c r="Q16" s="106"/>
    </row>
    <row r="17" spans="2:17" ht="15" customHeight="1">
      <c r="B17" s="121" t="str">
        <f t="shared" si="5"/>
        <v/>
      </c>
      <c r="C17" s="117" t="str">
        <f t="shared" si="6"/>
        <v/>
      </c>
      <c r="D17" s="116" t="str">
        <f t="shared" si="7"/>
        <v/>
      </c>
      <c r="E17" s="120" t="str">
        <f t="shared" si="8"/>
        <v/>
      </c>
      <c r="F17" s="123" t="str">
        <f t="shared" si="9"/>
        <v/>
      </c>
      <c r="G17" s="126" t="e">
        <f t="shared" si="10"/>
        <v>#REF!</v>
      </c>
      <c r="H17" s="116" t="e">
        <f t="shared" si="4"/>
        <v>#REF!</v>
      </c>
      <c r="I17" s="117" t="e" cm="1">
        <f t="array" ref="I17">IF(OR(INDEX(#REF!,ROW()+8)="START",INDEX(#REF!,ROW()+7)="",INDEX(#REF!,ROW()+7)="START",INDEX(#REF!,ROW()+7)="TBA",INDEX(#REF!,ROW()+7)="TBC"), IF(INDEX(#REF!,ROW()+7)="START",$C$3,""),IF(INDEX(#REF!,ROW()+7)="x",INDEX(#REF!,ROW()+7)+'Date Calculators'!$B$2+ICS4Master!$E15,""))</f>
        <v>#REF!</v>
      </c>
      <c r="J17" s="116" t="e" cm="1">
        <f t="array" ref="J17">IF(I17="","",INDEX(#REF!,ROW()+7))</f>
        <v>#REF!</v>
      </c>
      <c r="K17" s="120" t="e" cm="1">
        <f t="array" ref="K17">IF(I17="","",INDEX(#REF!,ROW()+7))</f>
        <v>#REF!</v>
      </c>
      <c r="L17" s="129" t="e" cm="1">
        <f t="array" ref="L17">IF(OR(I17="",INDEX(#REF!,ROW()+7)=""),"",INDEX(#REF!,ROW()+7))</f>
        <v>#REF!</v>
      </c>
      <c r="P17" s="105"/>
      <c r="Q17" s="106"/>
    </row>
    <row r="18" spans="2:17" ht="15" customHeight="1">
      <c r="B18" s="121" t="str">
        <f t="shared" si="5"/>
        <v/>
      </c>
      <c r="C18" s="117" t="str">
        <f t="shared" si="6"/>
        <v/>
      </c>
      <c r="D18" s="116" t="str">
        <f t="shared" si="7"/>
        <v/>
      </c>
      <c r="E18" s="120" t="str">
        <f t="shared" si="8"/>
        <v/>
      </c>
      <c r="F18" s="123" t="str">
        <f t="shared" si="9"/>
        <v/>
      </c>
      <c r="G18" s="126" t="e">
        <f t="shared" si="10"/>
        <v>#REF!</v>
      </c>
      <c r="H18" s="116" t="e">
        <f t="shared" si="4"/>
        <v>#REF!</v>
      </c>
      <c r="I18" s="117" t="e" cm="1">
        <f t="array" ref="I18">IF(OR(INDEX(#REF!,ROW()+8)="START",INDEX(#REF!,ROW()+7)="",INDEX(#REF!,ROW()+7)="START",INDEX(#REF!,ROW()+7)="TBA",INDEX(#REF!,ROW()+7)="TBC"), IF(INDEX(#REF!,ROW()+7)="START",$C$3,""),IF(INDEX(#REF!,ROW()+7)="x",INDEX(#REF!,ROW()+7)+'Date Calculators'!$B$2+ICS4Master!$E16,""))</f>
        <v>#REF!</v>
      </c>
      <c r="J18" s="116" t="e" cm="1">
        <f t="array" ref="J18">IF(I18="","",INDEX(#REF!,ROW()+7))</f>
        <v>#REF!</v>
      </c>
      <c r="K18" s="120" t="e" cm="1">
        <f t="array" ref="K18">IF(I18="","",INDEX(#REF!,ROW()+7))</f>
        <v>#REF!</v>
      </c>
      <c r="L18" s="129" t="e" cm="1">
        <f t="array" ref="L18">IF(OR(I18="",INDEX(#REF!,ROW()+7)=""),"",INDEX(#REF!,ROW()+7))</f>
        <v>#REF!</v>
      </c>
      <c r="P18" s="105"/>
      <c r="Q18" s="106"/>
    </row>
    <row r="19" spans="2:17" ht="15" customHeight="1">
      <c r="B19" s="121" t="str">
        <f t="shared" si="5"/>
        <v/>
      </c>
      <c r="C19" s="117" t="str">
        <f t="shared" si="6"/>
        <v/>
      </c>
      <c r="D19" s="116" t="str">
        <f t="shared" si="7"/>
        <v/>
      </c>
      <c r="E19" s="120" t="str">
        <f t="shared" si="8"/>
        <v/>
      </c>
      <c r="F19" s="123" t="str">
        <f t="shared" si="9"/>
        <v/>
      </c>
      <c r="G19" s="126" t="e">
        <f t="shared" si="10"/>
        <v>#REF!</v>
      </c>
      <c r="H19" s="116" t="e">
        <f t="shared" si="4"/>
        <v>#REF!</v>
      </c>
      <c r="I19" s="117" t="e" cm="1">
        <f t="array" ref="I19">IF(OR(INDEX(#REF!,ROW()+8)="START",INDEX(#REF!,ROW()+7)="",INDEX(#REF!,ROW()+7)="START",INDEX(#REF!,ROW()+7)="TBA",INDEX(#REF!,ROW()+7)="TBC"), IF(INDEX(#REF!,ROW()+7)="START",$C$3,""),IF(INDEX(#REF!,ROW()+7)="x",INDEX(#REF!,ROW()+7)+'Date Calculators'!$B$2+ICS4Master!$E17,""))</f>
        <v>#REF!</v>
      </c>
      <c r="J19" s="116" t="e" cm="1">
        <f t="array" ref="J19">IF(I19="","",INDEX(#REF!,ROW()+7))</f>
        <v>#REF!</v>
      </c>
      <c r="K19" s="120" t="e" cm="1">
        <f t="array" ref="K19">IF(I19="","",INDEX(#REF!,ROW()+7))</f>
        <v>#REF!</v>
      </c>
      <c r="L19" s="129" t="e" cm="1">
        <f t="array" ref="L19">IF(OR(I19="",INDEX(#REF!,ROW()+7)=""),"",INDEX(#REF!,ROW()+7))</f>
        <v>#REF!</v>
      </c>
    </row>
    <row r="20" spans="2:17" ht="15" customHeight="1">
      <c r="B20" s="121" t="str">
        <f t="shared" si="5"/>
        <v/>
      </c>
      <c r="C20" s="117" t="str">
        <f t="shared" si="6"/>
        <v/>
      </c>
      <c r="D20" s="116" t="str">
        <f t="shared" si="7"/>
        <v/>
      </c>
      <c r="E20" s="120" t="str">
        <f t="shared" si="8"/>
        <v/>
      </c>
      <c r="F20" s="123" t="str">
        <f t="shared" si="9"/>
        <v/>
      </c>
      <c r="G20" s="126" t="e">
        <f t="shared" si="10"/>
        <v>#REF!</v>
      </c>
      <c r="H20" s="116" t="e">
        <f t="shared" si="4"/>
        <v>#REF!</v>
      </c>
      <c r="I20" s="117" t="e" cm="1">
        <f t="array" ref="I20">IF(OR(INDEX(#REF!,ROW()+8)="START",INDEX(#REF!,ROW()+7)="",INDEX(#REF!,ROW()+7)="START",INDEX(#REF!,ROW()+7)="TBA",INDEX(#REF!,ROW()+7)="TBC"), IF(INDEX(#REF!,ROW()+7)="START",$C$3,""),IF(INDEX(#REF!,ROW()+7)="x",INDEX(#REF!,ROW()+7)+'Date Calculators'!$B$2+ICS4Master!$E18,""))</f>
        <v>#REF!</v>
      </c>
      <c r="J20" s="116" t="e" cm="1">
        <f t="array" ref="J20">IF(I20="","",INDEX(#REF!,ROW()+7))</f>
        <v>#REF!</v>
      </c>
      <c r="K20" s="120" t="e" cm="1">
        <f t="array" ref="K20">IF(I20="","",INDEX(#REF!,ROW()+7))</f>
        <v>#REF!</v>
      </c>
      <c r="L20" s="129" t="e" cm="1">
        <f t="array" ref="L20">IF(OR(I20="",INDEX(#REF!,ROW()+7)=""),"",INDEX(#REF!,ROW()+7))</f>
        <v>#REF!</v>
      </c>
    </row>
    <row r="21" spans="2:17" ht="14.45">
      <c r="B21" s="121" t="str">
        <f t="shared" si="5"/>
        <v/>
      </c>
      <c r="C21" s="117" t="str">
        <f t="shared" si="6"/>
        <v/>
      </c>
      <c r="D21" s="116" t="str">
        <f t="shared" si="7"/>
        <v/>
      </c>
      <c r="E21" s="120" t="str">
        <f t="shared" si="8"/>
        <v/>
      </c>
      <c r="F21" s="123" t="str">
        <f t="shared" si="9"/>
        <v/>
      </c>
      <c r="G21" s="126" t="e">
        <f t="shared" si="10"/>
        <v>#REF!</v>
      </c>
      <c r="H21" s="116" t="e">
        <f t="shared" si="4"/>
        <v>#REF!</v>
      </c>
      <c r="I21" s="117" t="e" cm="1">
        <f t="array" ref="I21">IF(OR(INDEX(#REF!,ROW()+8)="START",INDEX(#REF!,ROW()+7)="",INDEX(#REF!,ROW()+7)="START",INDEX(#REF!,ROW()+7)="TBA",INDEX(#REF!,ROW()+7)="TBC"), IF(INDEX(#REF!,ROW()+7)="START",$C$3,""),IF(INDEX(#REF!,ROW()+7)="x",INDEX(#REF!,ROW()+7)+'Date Calculators'!$B$2+ICS4Master!$E19,""))</f>
        <v>#REF!</v>
      </c>
      <c r="J21" s="116" t="e" cm="1">
        <f t="array" ref="J21">IF(I21="","",INDEX(#REF!,ROW()+7))</f>
        <v>#REF!</v>
      </c>
      <c r="K21" s="120" t="e" cm="1">
        <f t="array" ref="K21">IF(I21="","",INDEX(#REF!,ROW()+7))</f>
        <v>#REF!</v>
      </c>
      <c r="L21" s="129" t="e" cm="1">
        <f t="array" ref="L21">IF(OR(I21="",INDEX(#REF!,ROW()+7)=""),"",INDEX(#REF!,ROW()+7))</f>
        <v>#REF!</v>
      </c>
    </row>
    <row r="22" spans="2:17" ht="14.45">
      <c r="B22" s="121" t="str">
        <f t="shared" si="5"/>
        <v/>
      </c>
      <c r="C22" s="117" t="str">
        <f t="shared" si="6"/>
        <v/>
      </c>
      <c r="D22" s="116" t="str">
        <f t="shared" si="7"/>
        <v/>
      </c>
      <c r="E22" s="120" t="str">
        <f t="shared" si="8"/>
        <v/>
      </c>
      <c r="F22" s="123" t="str">
        <f t="shared" si="9"/>
        <v/>
      </c>
      <c r="G22" s="126" t="e">
        <f t="shared" si="10"/>
        <v>#REF!</v>
      </c>
      <c r="H22" s="116" t="e">
        <f t="shared" si="4"/>
        <v>#REF!</v>
      </c>
      <c r="I22" s="117" t="e" cm="1">
        <f t="array" ref="I22">IF(OR(INDEX(#REF!,ROW()+8)="START",INDEX(#REF!,ROW()+7)="",INDEX(#REF!,ROW()+7)="START",INDEX(#REF!,ROW()+7)="TBA",INDEX(#REF!,ROW()+7)="TBC"), IF(INDEX(#REF!,ROW()+7)="START",$C$3,""),IF(INDEX(#REF!,ROW()+7)="x",INDEX(#REF!,ROW()+7)+'Date Calculators'!$B$2+ICS4Master!$E20,""))</f>
        <v>#REF!</v>
      </c>
      <c r="J22" s="116" t="e" cm="1">
        <f t="array" ref="J22">IF(I22="","",INDEX(#REF!,ROW()+7))</f>
        <v>#REF!</v>
      </c>
      <c r="K22" s="120" t="e" cm="1">
        <f t="array" ref="K22">IF(I22="","",INDEX(#REF!,ROW()+7))</f>
        <v>#REF!</v>
      </c>
      <c r="L22" s="129" t="e" cm="1">
        <f t="array" ref="L22">IF(OR(I22="",INDEX(#REF!,ROW()+7)=""),"",INDEX(#REF!,ROW()+7))</f>
        <v>#REF!</v>
      </c>
    </row>
    <row r="23" spans="2:17" ht="14.45">
      <c r="B23" s="121" t="str">
        <f t="shared" si="5"/>
        <v/>
      </c>
      <c r="C23" s="117" t="str">
        <f t="shared" si="6"/>
        <v/>
      </c>
      <c r="D23" s="116" t="str">
        <f t="shared" si="7"/>
        <v/>
      </c>
      <c r="E23" s="120" t="str">
        <f t="shared" si="8"/>
        <v/>
      </c>
      <c r="F23" s="123" t="str">
        <f t="shared" si="9"/>
        <v/>
      </c>
      <c r="G23" s="126" t="e">
        <f t="shared" si="10"/>
        <v>#REF!</v>
      </c>
      <c r="H23" s="116" t="e">
        <f t="shared" si="4"/>
        <v>#REF!</v>
      </c>
      <c r="I23" s="117" t="e" cm="1">
        <f t="array" ref="I23">IF(OR(INDEX(#REF!,ROW()+8)="START",INDEX(#REF!,ROW()+7)="",INDEX(#REF!,ROW()+7)="START",INDEX(#REF!,ROW()+7)="TBA",INDEX(#REF!,ROW()+7)="TBC"), IF(INDEX(#REF!,ROW()+7)="START",$C$3,""),IF(INDEX(#REF!,ROW()+7)="x",INDEX(#REF!,ROW()+7)+'Date Calculators'!$B$2+ICS4Master!$E21,""))</f>
        <v>#REF!</v>
      </c>
      <c r="J23" s="116" t="e" cm="1">
        <f t="array" ref="J23">IF(I23="","",INDEX(#REF!,ROW()+7))</f>
        <v>#REF!</v>
      </c>
      <c r="K23" s="120" t="e" cm="1">
        <f t="array" ref="K23">IF(I23="","",INDEX(#REF!,ROW()+7))</f>
        <v>#REF!</v>
      </c>
      <c r="L23" s="129" t="e" cm="1">
        <f t="array" ref="L23">IF(OR(I23="",INDEX(#REF!,ROW()+7)=""),"",INDEX(#REF!,ROW()+7))</f>
        <v>#REF!</v>
      </c>
    </row>
    <row r="24" spans="2:17" ht="15" customHeight="1">
      <c r="B24" s="121" t="str">
        <f t="shared" si="5"/>
        <v/>
      </c>
      <c r="C24" s="117" t="str">
        <f t="shared" si="6"/>
        <v/>
      </c>
      <c r="D24" s="116" t="str">
        <f t="shared" si="7"/>
        <v/>
      </c>
      <c r="E24" s="120" t="str">
        <f t="shared" si="8"/>
        <v/>
      </c>
      <c r="F24" s="123" t="str">
        <f t="shared" si="9"/>
        <v/>
      </c>
      <c r="G24" s="126" t="e">
        <f t="shared" si="10"/>
        <v>#REF!</v>
      </c>
      <c r="H24" s="116" t="e">
        <f t="shared" si="4"/>
        <v>#REF!</v>
      </c>
      <c r="I24" s="117" t="e" cm="1">
        <f t="array" ref="I24">IF(OR(INDEX(#REF!,ROW()+8)="START",INDEX(#REF!,ROW()+7)="",INDEX(#REF!,ROW()+7)="START",INDEX(#REF!,ROW()+7)="TBA",INDEX(#REF!,ROW()+7)="TBC"), IF(INDEX(#REF!,ROW()+7)="START",$C$3,""),IF(INDEX(#REF!,ROW()+7)="x",INDEX(#REF!,ROW()+7)+'Date Calculators'!$B$2+ICS4Master!$E22,""))</f>
        <v>#REF!</v>
      </c>
      <c r="J24" s="116" t="e" cm="1">
        <f t="array" ref="J24">IF(I24="","",INDEX(#REF!,ROW()+7))</f>
        <v>#REF!</v>
      </c>
      <c r="K24" s="120" t="e" cm="1">
        <f t="array" ref="K24">IF(I24="","",INDEX(#REF!,ROW()+7))</f>
        <v>#REF!</v>
      </c>
      <c r="L24" s="129" t="e" cm="1">
        <f t="array" ref="L24">IF(OR(I24="",INDEX(#REF!,ROW()+7)=""),"",INDEX(#REF!,ROW()+7))</f>
        <v>#REF!</v>
      </c>
    </row>
    <row r="25" spans="2:17" ht="15" customHeight="1">
      <c r="B25" s="121" t="str">
        <f t="shared" si="5"/>
        <v/>
      </c>
      <c r="C25" s="117" t="str">
        <f t="shared" si="6"/>
        <v/>
      </c>
      <c r="D25" s="116" t="str">
        <f t="shared" si="7"/>
        <v/>
      </c>
      <c r="E25" s="120" t="str">
        <f t="shared" si="8"/>
        <v/>
      </c>
      <c r="F25" s="123" t="str">
        <f t="shared" si="9"/>
        <v/>
      </c>
      <c r="G25" s="126" t="e">
        <f t="shared" si="10"/>
        <v>#REF!</v>
      </c>
      <c r="H25" s="116" t="e">
        <f t="shared" si="4"/>
        <v>#REF!</v>
      </c>
      <c r="I25" s="117" t="e" cm="1">
        <f t="array" ref="I25">IF(OR(INDEX(#REF!,ROW()+8)="START",INDEX(#REF!,ROW()+7)="",INDEX(#REF!,ROW()+7)="START",INDEX(#REF!,ROW()+7)="TBA",INDEX(#REF!,ROW()+7)="TBC"), IF(INDEX(#REF!,ROW()+7)="START",$C$3,""),IF(INDEX(#REF!,ROW()+7)="x",INDEX(#REF!,ROW()+7)+'Date Calculators'!$B$2+ICS4Master!$E23,""))</f>
        <v>#REF!</v>
      </c>
      <c r="J25" s="116" t="e" cm="1">
        <f t="array" ref="J25">IF(I25="","",INDEX(#REF!,ROW()+7))</f>
        <v>#REF!</v>
      </c>
      <c r="K25" s="120" t="e" cm="1">
        <f t="array" ref="K25">IF(I25="","",INDEX(#REF!,ROW()+7))</f>
        <v>#REF!</v>
      </c>
      <c r="L25" s="129" t="e" cm="1">
        <f t="array" ref="L25">IF(OR(I25="",INDEX(#REF!,ROW()+7)=""),"",INDEX(#REF!,ROW()+7))</f>
        <v>#REF!</v>
      </c>
    </row>
    <row r="26" spans="2:17" ht="15" customHeight="1">
      <c r="B26" s="121" t="str">
        <f t="shared" si="5"/>
        <v/>
      </c>
      <c r="C26" s="117" t="str">
        <f t="shared" si="6"/>
        <v/>
      </c>
      <c r="D26" s="116" t="str">
        <f t="shared" si="7"/>
        <v/>
      </c>
      <c r="E26" s="120" t="str">
        <f t="shared" si="8"/>
        <v/>
      </c>
      <c r="F26" s="123" t="str">
        <f t="shared" si="9"/>
        <v/>
      </c>
      <c r="G26" s="126" t="e">
        <f t="shared" si="10"/>
        <v>#REF!</v>
      </c>
      <c r="H26" s="116" t="e">
        <f t="shared" si="4"/>
        <v>#REF!</v>
      </c>
      <c r="I26" s="117" t="e" cm="1">
        <f t="array" ref="I26">IF(OR(INDEX(#REF!,ROW()+8)="START",INDEX(#REF!,ROW()+7)="",INDEX(#REF!,ROW()+7)="START",INDEX(#REF!,ROW()+7)="TBA",INDEX(#REF!,ROW()+7)="TBC"), IF(INDEX(#REF!,ROW()+7)="START",$C$3,""),IF(INDEX(#REF!,ROW()+7)="x",INDEX(#REF!,ROW()+7)+'Date Calculators'!$B$2+ICS4Master!$E24,""))</f>
        <v>#REF!</v>
      </c>
      <c r="J26" s="116" t="e" cm="1">
        <f t="array" ref="J26">IF(I26="","",INDEX(#REF!,ROW()+7))</f>
        <v>#REF!</v>
      </c>
      <c r="K26" s="120" t="e" cm="1">
        <f t="array" ref="K26">IF(I26="","",INDEX(#REF!,ROW()+7))</f>
        <v>#REF!</v>
      </c>
      <c r="L26" s="129" t="e" cm="1">
        <f t="array" ref="L26">IF(OR(I26="",INDEX(#REF!,ROW()+7)=""),"",INDEX(#REF!,ROW()+7))</f>
        <v>#REF!</v>
      </c>
    </row>
    <row r="27" spans="2:17" ht="15" customHeight="1">
      <c r="B27" s="121" t="str">
        <f t="shared" si="5"/>
        <v/>
      </c>
      <c r="C27" s="117" t="str">
        <f t="shared" si="6"/>
        <v/>
      </c>
      <c r="D27" s="116" t="str">
        <f t="shared" si="7"/>
        <v/>
      </c>
      <c r="E27" s="120" t="str">
        <f t="shared" si="8"/>
        <v/>
      </c>
      <c r="F27" s="123" t="str">
        <f t="shared" si="9"/>
        <v/>
      </c>
      <c r="G27" s="126" t="e">
        <f t="shared" si="10"/>
        <v>#REF!</v>
      </c>
      <c r="H27" s="116" t="e">
        <f t="shared" si="4"/>
        <v>#REF!</v>
      </c>
      <c r="I27" s="117" t="e" cm="1">
        <f t="array" ref="I27">IF(OR(INDEX(#REF!,ROW()+8)="START",INDEX(#REF!,ROW()+7)="",INDEX(#REF!,ROW()+7)="START",INDEX(#REF!,ROW()+7)="TBA",INDEX(#REF!,ROW()+7)="TBC"), IF(INDEX(#REF!,ROW()+7)="START",$C$3,""),IF(INDEX(#REF!,ROW()+7)="x",INDEX(#REF!,ROW()+7)+'Date Calculators'!$B$2+ICS4Master!$E25,""))</f>
        <v>#REF!</v>
      </c>
      <c r="J27" s="116" t="e" cm="1">
        <f t="array" ref="J27">IF(I27="","",INDEX(#REF!,ROW()+7))</f>
        <v>#REF!</v>
      </c>
      <c r="K27" s="120" t="e" cm="1">
        <f t="array" ref="K27">IF(I27="","",INDEX(#REF!,ROW()+7))</f>
        <v>#REF!</v>
      </c>
      <c r="L27" s="129" t="e" cm="1">
        <f t="array" ref="L27">IF(OR(I27="",INDEX(#REF!,ROW()+7)=""),"",INDEX(#REF!,ROW()+7))</f>
        <v>#REF!</v>
      </c>
    </row>
    <row r="28" spans="2:17" ht="15" customHeight="1">
      <c r="B28" s="121" t="str">
        <f t="shared" si="5"/>
        <v/>
      </c>
      <c r="C28" s="117" t="str">
        <f t="shared" si="6"/>
        <v/>
      </c>
      <c r="D28" s="116" t="str">
        <f t="shared" si="7"/>
        <v/>
      </c>
      <c r="E28" s="120" t="str">
        <f t="shared" si="8"/>
        <v/>
      </c>
      <c r="F28" s="123" t="str">
        <f t="shared" si="9"/>
        <v/>
      </c>
      <c r="G28" s="126" t="e">
        <f t="shared" si="10"/>
        <v>#REF!</v>
      </c>
      <c r="H28" s="116" t="e">
        <f t="shared" si="4"/>
        <v>#REF!</v>
      </c>
      <c r="I28" s="117" t="e" cm="1">
        <f t="array" ref="I28">IF(OR(INDEX(#REF!,ROW()+8)="START",INDEX(#REF!,ROW()+7)="",INDEX(#REF!,ROW()+7)="START",INDEX(#REF!,ROW()+7)="TBA",INDEX(#REF!,ROW()+7)="TBC"), IF(INDEX(#REF!,ROW()+7)="START",$C$3,""),IF(INDEX(#REF!,ROW()+7)="x",INDEX(#REF!,ROW()+7)+'Date Calculators'!$B$2+ICS4Master!$E26,""))</f>
        <v>#REF!</v>
      </c>
      <c r="J28" s="116" t="e" cm="1">
        <f t="array" ref="J28">IF(I28="","",INDEX(#REF!,ROW()+7))</f>
        <v>#REF!</v>
      </c>
      <c r="K28" s="120" t="e" cm="1">
        <f t="array" ref="K28">IF(I28="","",INDEX(#REF!,ROW()+7))</f>
        <v>#REF!</v>
      </c>
      <c r="L28" s="129" t="e" cm="1">
        <f t="array" ref="L28">IF(OR(I28="",INDEX(#REF!,ROW()+7)=""),"",INDEX(#REF!,ROW()+7))</f>
        <v>#REF!</v>
      </c>
    </row>
    <row r="29" spans="2:17" ht="15" customHeight="1">
      <c r="B29" s="121" t="str">
        <f t="shared" si="5"/>
        <v/>
      </c>
      <c r="C29" s="117" t="str">
        <f t="shared" si="6"/>
        <v/>
      </c>
      <c r="D29" s="116" t="str">
        <f t="shared" si="7"/>
        <v/>
      </c>
      <c r="E29" s="120" t="str">
        <f t="shared" si="8"/>
        <v/>
      </c>
      <c r="F29" s="123" t="str">
        <f t="shared" si="9"/>
        <v/>
      </c>
      <c r="G29" s="126" t="e">
        <f t="shared" si="10"/>
        <v>#REF!</v>
      </c>
      <c r="H29" s="116" t="e">
        <f t="shared" si="4"/>
        <v>#REF!</v>
      </c>
      <c r="I29" s="117" t="e" cm="1">
        <f t="array" ref="I29">IF(OR(INDEX(#REF!,ROW()+8)="START",INDEX(#REF!,ROW()+7)="",INDEX(#REF!,ROW()+7)="START",INDEX(#REF!,ROW()+7)="TBA",INDEX(#REF!,ROW()+7)="TBC"), IF(INDEX(#REF!,ROW()+7)="START",$C$3,""),IF(INDEX(#REF!,ROW()+7)="x",INDEX(#REF!,ROW()+7)+'Date Calculators'!$B$2+ICS4Master!$E27,""))</f>
        <v>#REF!</v>
      </c>
      <c r="J29" s="116" t="e" cm="1">
        <f t="array" ref="J29">IF(I29="","",INDEX(#REF!,ROW()+7))</f>
        <v>#REF!</v>
      </c>
      <c r="K29" s="120" t="e" cm="1">
        <f t="array" ref="K29">IF(I29="","",INDEX(#REF!,ROW()+7))</f>
        <v>#REF!</v>
      </c>
      <c r="L29" s="129" t="e" cm="1">
        <f t="array" ref="L29">IF(OR(I29="",INDEX(#REF!,ROW()+7)=""),"",INDEX(#REF!,ROW()+7))</f>
        <v>#REF!</v>
      </c>
    </row>
    <row r="30" spans="2:17" ht="15" customHeight="1">
      <c r="B30" s="121" t="str">
        <f t="shared" si="5"/>
        <v/>
      </c>
      <c r="C30" s="117" t="str">
        <f t="shared" si="6"/>
        <v/>
      </c>
      <c r="D30" s="116" t="str">
        <f t="shared" si="7"/>
        <v/>
      </c>
      <c r="E30" s="120" t="str">
        <f t="shared" si="8"/>
        <v/>
      </c>
      <c r="F30" s="123" t="str">
        <f t="shared" si="9"/>
        <v/>
      </c>
      <c r="G30" s="126" t="e">
        <f t="shared" si="10"/>
        <v>#REF!</v>
      </c>
      <c r="H30" s="116" t="e">
        <f t="shared" si="4"/>
        <v>#REF!</v>
      </c>
      <c r="I30" s="117" t="e" cm="1">
        <f t="array" ref="I30">IF(OR(INDEX(#REF!,ROW()+8)="START",INDEX(#REF!,ROW()+7)="",INDEX(#REF!,ROW()+7)="START",INDEX(#REF!,ROW()+7)="TBA",INDEX(#REF!,ROW()+7)="TBC"), IF(INDEX(#REF!,ROW()+7)="START",$C$3,""),IF(INDEX(#REF!,ROW()+7)="x",INDEX(#REF!,ROW()+7)+'Date Calculators'!$B$2+ICS4Master!$E28,""))</f>
        <v>#REF!</v>
      </c>
      <c r="J30" s="116" t="e" cm="1">
        <f t="array" ref="J30">IF(I30="","",INDEX(#REF!,ROW()+7))</f>
        <v>#REF!</v>
      </c>
      <c r="K30" s="120" t="e" cm="1">
        <f t="array" ref="K30">IF(I30="","",INDEX(#REF!,ROW()+7))</f>
        <v>#REF!</v>
      </c>
      <c r="L30" s="129" t="e" cm="1">
        <f t="array" ref="L30">IF(OR(I30="",INDEX(#REF!,ROW()+7)=""),"",INDEX(#REF!,ROW()+7))</f>
        <v>#REF!</v>
      </c>
    </row>
    <row r="31" spans="2:17" ht="15" customHeight="1">
      <c r="B31" s="121" t="str">
        <f t="shared" si="5"/>
        <v/>
      </c>
      <c r="C31" s="117" t="str">
        <f t="shared" si="6"/>
        <v/>
      </c>
      <c r="D31" s="116" t="str">
        <f t="shared" si="7"/>
        <v/>
      </c>
      <c r="E31" s="120" t="str">
        <f t="shared" si="8"/>
        <v/>
      </c>
      <c r="F31" s="123" t="str">
        <f t="shared" si="9"/>
        <v/>
      </c>
      <c r="G31" s="126" t="e">
        <f t="shared" si="10"/>
        <v>#REF!</v>
      </c>
      <c r="H31" s="116" t="e">
        <f t="shared" si="4"/>
        <v>#REF!</v>
      </c>
      <c r="I31" s="117" t="e" cm="1">
        <f t="array" ref="I31">IF(OR(INDEX(#REF!,ROW()+8)="START",INDEX(#REF!,ROW()+7)="",INDEX(#REF!,ROW()+7)="START",INDEX(#REF!,ROW()+7)="TBA",INDEX(#REF!,ROW()+7)="TBC"), IF(INDEX(#REF!,ROW()+7)="START",$C$3,""),IF(INDEX(#REF!,ROW()+7)="x",INDEX(#REF!,ROW()+7)+'Date Calculators'!$B$2+ICS4Master!$E29,""))</f>
        <v>#REF!</v>
      </c>
      <c r="J31" s="116" t="e" cm="1">
        <f t="array" ref="J31">IF(I31="","",INDEX(#REF!,ROW()+7))</f>
        <v>#REF!</v>
      </c>
      <c r="K31" s="120" t="e" cm="1">
        <f t="array" ref="K31">IF(I31="","",INDEX(#REF!,ROW()+7))</f>
        <v>#REF!</v>
      </c>
      <c r="L31" s="129" t="e" cm="1">
        <f t="array" ref="L31">IF(OR(I31="",INDEX(#REF!,ROW()+7)=""),"",INDEX(#REF!,ROW()+7))</f>
        <v>#REF!</v>
      </c>
    </row>
    <row r="32" spans="2:17" ht="15" customHeight="1">
      <c r="B32" s="121" t="str">
        <f t="shared" si="5"/>
        <v/>
      </c>
      <c r="C32" s="117" t="str">
        <f t="shared" si="6"/>
        <v/>
      </c>
      <c r="D32" s="116" t="str">
        <f t="shared" si="7"/>
        <v/>
      </c>
      <c r="E32" s="120" t="str">
        <f t="shared" si="8"/>
        <v/>
      </c>
      <c r="F32" s="123" t="str">
        <f t="shared" si="9"/>
        <v/>
      </c>
      <c r="G32" s="126" t="e">
        <f t="shared" si="10"/>
        <v>#REF!</v>
      </c>
      <c r="H32" s="116" t="e">
        <f t="shared" si="4"/>
        <v>#REF!</v>
      </c>
      <c r="I32" s="117" t="e" cm="1">
        <f t="array" ref="I32">IF(OR(INDEX(#REF!,ROW()+8)="START",INDEX(#REF!,ROW()+7)="",INDEX(#REF!,ROW()+7)="START",INDEX(#REF!,ROW()+7)="TBA",INDEX(#REF!,ROW()+7)="TBC"), IF(INDEX(#REF!,ROW()+7)="START",$C$3,""),IF(INDEX(#REF!,ROW()+7)="x",INDEX(#REF!,ROW()+7)+'Date Calculators'!$B$2+ICS4Master!$E30,""))</f>
        <v>#REF!</v>
      </c>
      <c r="J32" s="116" t="e" cm="1">
        <f t="array" ref="J32">IF(I32="","",INDEX(#REF!,ROW()+7))</f>
        <v>#REF!</v>
      </c>
      <c r="K32" s="120" t="e" cm="1">
        <f t="array" ref="K32">IF(I32="","",INDEX(#REF!,ROW()+7))</f>
        <v>#REF!</v>
      </c>
      <c r="L32" s="129" t="e" cm="1">
        <f t="array" ref="L32">IF(OR(I32="",INDEX(#REF!,ROW()+7)=""),"",INDEX(#REF!,ROW()+7))</f>
        <v>#REF!</v>
      </c>
    </row>
    <row r="33" spans="1:12" ht="15" customHeight="1">
      <c r="B33" s="121" t="str">
        <f t="shared" si="5"/>
        <v/>
      </c>
      <c r="C33" s="117" t="str">
        <f t="shared" si="6"/>
        <v/>
      </c>
      <c r="D33" s="116" t="str">
        <f t="shared" si="7"/>
        <v/>
      </c>
      <c r="E33" s="120" t="str">
        <f t="shared" si="8"/>
        <v/>
      </c>
      <c r="F33" s="123" t="str">
        <f t="shared" si="9"/>
        <v/>
      </c>
      <c r="G33" s="126" t="e">
        <f t="shared" si="10"/>
        <v>#REF!</v>
      </c>
      <c r="H33" s="116" t="e">
        <f t="shared" si="4"/>
        <v>#REF!</v>
      </c>
      <c r="I33" s="117" t="e" cm="1">
        <f t="array" ref="I33">IF(OR(INDEX(#REF!,ROW()+8)="START",INDEX(#REF!,ROW()+7)="",INDEX(#REF!,ROW()+7)="START",INDEX(#REF!,ROW()+7)="TBA",INDEX(#REF!,ROW()+7)="TBC"), IF(INDEX(#REF!,ROW()+7)="START",$C$3,""),IF(INDEX(#REF!,ROW()+7)="x",INDEX(#REF!,ROW()+7)+'Date Calculators'!$B$2+ICS4Master!$E31,""))</f>
        <v>#REF!</v>
      </c>
      <c r="J33" s="116" t="e" cm="1">
        <f t="array" ref="J33">IF(I33="","",INDEX(#REF!,ROW()+7))</f>
        <v>#REF!</v>
      </c>
      <c r="K33" s="120" t="e" cm="1">
        <f t="array" ref="K33">IF(I33="","",INDEX(#REF!,ROW()+7))</f>
        <v>#REF!</v>
      </c>
      <c r="L33" s="129" t="e" cm="1">
        <f t="array" ref="L33">IF(OR(I33="",INDEX(#REF!,ROW()+7)=""),"",INDEX(#REF!,ROW()+7))</f>
        <v>#REF!</v>
      </c>
    </row>
    <row r="34" spans="1:12" ht="15" customHeight="1">
      <c r="B34" s="121" t="str">
        <f t="shared" si="5"/>
        <v/>
      </c>
      <c r="C34" s="117" t="str">
        <f t="shared" si="6"/>
        <v/>
      </c>
      <c r="D34" s="116" t="str">
        <f t="shared" si="7"/>
        <v/>
      </c>
      <c r="E34" s="120" t="str">
        <f t="shared" si="8"/>
        <v/>
      </c>
      <c r="F34" s="123" t="str">
        <f t="shared" si="9"/>
        <v/>
      </c>
      <c r="G34" s="126" t="e">
        <f t="shared" si="10"/>
        <v>#REF!</v>
      </c>
      <c r="H34" s="116" t="e">
        <f t="shared" si="4"/>
        <v>#REF!</v>
      </c>
      <c r="I34" s="117" t="e" cm="1">
        <f t="array" ref="I34">IF(OR(INDEX(#REF!,ROW()+8)="START",INDEX(#REF!,ROW()+7)="",INDEX(#REF!,ROW()+7)="START",INDEX(#REF!,ROW()+7)="TBA",INDEX(#REF!,ROW()+7)="TBC"), IF(INDEX(#REF!,ROW()+7)="START",$C$3,""),IF(INDEX(#REF!,ROW()+7)="x",INDEX(#REF!,ROW()+7)+'Date Calculators'!$B$2+ICS4Master!$E32,""))</f>
        <v>#REF!</v>
      </c>
      <c r="J34" s="116" t="e" cm="1">
        <f t="array" ref="J34">IF(I34="","",INDEX(#REF!,ROW()+7))</f>
        <v>#REF!</v>
      </c>
      <c r="K34" s="120" t="e" cm="1">
        <f t="array" ref="K34">IF(I34="","",INDEX(#REF!,ROW()+7))</f>
        <v>#REF!</v>
      </c>
      <c r="L34" s="129" t="e" cm="1">
        <f t="array" ref="L34">IF(OR(I34="",INDEX(#REF!,ROW()+7)=""),"",INDEX(#REF!,ROW()+7))</f>
        <v>#REF!</v>
      </c>
    </row>
    <row r="35" spans="1:12" ht="15" customHeight="1">
      <c r="B35" s="121" t="str">
        <f t="shared" si="5"/>
        <v/>
      </c>
      <c r="C35" s="117" t="str">
        <f t="shared" si="6"/>
        <v/>
      </c>
      <c r="D35" s="116" t="str">
        <f t="shared" si="7"/>
        <v/>
      </c>
      <c r="E35" s="120" t="str">
        <f t="shared" si="8"/>
        <v/>
      </c>
      <c r="F35" s="123" t="str">
        <f t="shared" si="9"/>
        <v/>
      </c>
      <c r="G35" s="126" t="e">
        <f t="shared" si="10"/>
        <v>#REF!</v>
      </c>
      <c r="H35" s="116" t="e">
        <f t="shared" si="4"/>
        <v>#REF!</v>
      </c>
      <c r="I35" s="117" t="e" cm="1">
        <f t="array" ref="I35">IF(OR(INDEX(#REF!,ROW()+8)="START",INDEX(#REF!,ROW()+7)="",INDEX(#REF!,ROW()+7)="START",INDEX(#REF!,ROW()+7)="TBA",INDEX(#REF!,ROW()+7)="TBC"), IF(INDEX(#REF!,ROW()+7)="START",$C$3,""),IF(INDEX(#REF!,ROW()+7)="x",INDEX(#REF!,ROW()+7)+'Date Calculators'!$B$2+ICS4Master!$E33,""))</f>
        <v>#REF!</v>
      </c>
      <c r="J35" s="116" t="e" cm="1">
        <f t="array" ref="J35">IF(I35="","",INDEX(#REF!,ROW()+7))</f>
        <v>#REF!</v>
      </c>
      <c r="K35" s="120" t="e" cm="1">
        <f t="array" ref="K35">IF(I35="","",INDEX(#REF!,ROW()+7))</f>
        <v>#REF!</v>
      </c>
      <c r="L35" s="129" t="e" cm="1">
        <f t="array" ref="L35">IF(OR(I35="",INDEX(#REF!,ROW()+7)=""),"",INDEX(#REF!,ROW()+7))</f>
        <v>#REF!</v>
      </c>
    </row>
    <row r="36" spans="1:12" ht="15" customHeight="1">
      <c r="B36" s="121" t="str">
        <f t="shared" si="5"/>
        <v/>
      </c>
      <c r="C36" s="117" t="str">
        <f t="shared" si="6"/>
        <v/>
      </c>
      <c r="D36" s="116" t="str">
        <f t="shared" si="7"/>
        <v/>
      </c>
      <c r="E36" s="120" t="str">
        <f t="shared" si="8"/>
        <v/>
      </c>
      <c r="F36" s="123" t="str">
        <f t="shared" si="9"/>
        <v/>
      </c>
      <c r="G36" s="126" t="e">
        <f t="shared" si="10"/>
        <v>#REF!</v>
      </c>
      <c r="H36" s="116" t="e">
        <f t="shared" si="4"/>
        <v>#REF!</v>
      </c>
      <c r="I36" s="117" t="e" cm="1">
        <f t="array" ref="I36">IF(OR(INDEX(#REF!,ROW()+8)="START",INDEX(#REF!,ROW()+7)="",INDEX(#REF!,ROW()+7)="START",INDEX(#REF!,ROW()+7)="TBA",INDEX(#REF!,ROW()+7)="TBC"), IF(INDEX(#REF!,ROW()+7)="START",$C$3,""),IF(INDEX(#REF!,ROW()+7)="x",INDEX(#REF!,ROW()+7)+'Date Calculators'!$B$2+ICS4Master!$E34,""))</f>
        <v>#REF!</v>
      </c>
      <c r="J36" s="116" t="e" cm="1">
        <f t="array" ref="J36">IF(I36="","",INDEX(#REF!,ROW()+7))</f>
        <v>#REF!</v>
      </c>
      <c r="K36" s="120" t="e" cm="1">
        <f t="array" ref="K36">IF(I36="","",INDEX(#REF!,ROW()+7))</f>
        <v>#REF!</v>
      </c>
      <c r="L36" s="129" t="e" cm="1">
        <f t="array" ref="L36">IF(OR(I36="",INDEX(#REF!,ROW()+7)=""),"",INDEX(#REF!,ROW()+7))</f>
        <v>#REF!</v>
      </c>
    </row>
    <row r="37" spans="1:12" ht="15" customHeight="1">
      <c r="B37" s="121" t="str">
        <f t="shared" si="5"/>
        <v/>
      </c>
      <c r="C37" s="117" t="str">
        <f t="shared" si="6"/>
        <v/>
      </c>
      <c r="D37" s="116" t="str">
        <f t="shared" si="7"/>
        <v/>
      </c>
      <c r="E37" s="120" t="str">
        <f t="shared" si="8"/>
        <v/>
      </c>
      <c r="F37" s="123" t="str">
        <f t="shared" si="9"/>
        <v/>
      </c>
      <c r="G37" s="126" t="e">
        <f t="shared" si="10"/>
        <v>#REF!</v>
      </c>
      <c r="H37" s="116" t="e">
        <f t="shared" si="4"/>
        <v>#REF!</v>
      </c>
      <c r="I37" s="117" t="e" cm="1">
        <f t="array" ref="I37">IF(OR(INDEX(#REF!,ROW()+8)="START",INDEX(#REF!,ROW()+7)="",INDEX(#REF!,ROW()+7)="START",INDEX(#REF!,ROW()+7)="TBA",INDEX(#REF!,ROW()+7)="TBC"), IF(INDEX(#REF!,ROW()+7)="START",$C$3,""),IF(INDEX(#REF!,ROW()+7)="x",INDEX(#REF!,ROW()+7)+'Date Calculators'!$B$2+ICS4Master!$E35,""))</f>
        <v>#REF!</v>
      </c>
      <c r="J37" s="116" t="e" cm="1">
        <f t="array" ref="J37">IF(I37="","",INDEX(#REF!,ROW()+7))</f>
        <v>#REF!</v>
      </c>
      <c r="K37" s="120" t="e" cm="1">
        <f t="array" ref="K37">IF(I37="","",INDEX(#REF!,ROW()+7))</f>
        <v>#REF!</v>
      </c>
      <c r="L37" s="129" t="e" cm="1">
        <f t="array" ref="L37">IF(OR(I37="",INDEX(#REF!,ROW()+7)=""),"",INDEX(#REF!,ROW()+7))</f>
        <v>#REF!</v>
      </c>
    </row>
    <row r="38" spans="1:12" ht="15" customHeight="1">
      <c r="B38" s="121" t="str">
        <f t="shared" si="5"/>
        <v/>
      </c>
      <c r="C38" s="117" t="str">
        <f t="shared" si="6"/>
        <v/>
      </c>
      <c r="D38" s="116" t="str">
        <f t="shared" si="7"/>
        <v/>
      </c>
      <c r="E38" s="120" t="str">
        <f t="shared" si="8"/>
        <v/>
      </c>
      <c r="F38" s="123" t="str">
        <f t="shared" si="9"/>
        <v/>
      </c>
      <c r="G38" s="126" t="e">
        <f t="shared" si="10"/>
        <v>#REF!</v>
      </c>
      <c r="H38" s="116" t="e">
        <f t="shared" si="4"/>
        <v>#REF!</v>
      </c>
      <c r="I38" s="117" t="e" cm="1">
        <f t="array" ref="I38">IF(OR(INDEX(#REF!,ROW()+8)="START",INDEX(#REF!,ROW()+7)="",INDEX(#REF!,ROW()+7)="START",INDEX(#REF!,ROW()+7)="TBA",INDEX(#REF!,ROW()+7)="TBC"), IF(INDEX(#REF!,ROW()+7)="START",$C$3,""),IF(INDEX(#REF!,ROW()+7)="x",INDEX(#REF!,ROW()+7)+'Date Calculators'!$B$2+ICS4Master!$E36,""))</f>
        <v>#REF!</v>
      </c>
      <c r="J38" s="116" t="e" cm="1">
        <f t="array" ref="J38">IF(I38="","",INDEX(#REF!,ROW()+7))</f>
        <v>#REF!</v>
      </c>
      <c r="K38" s="120" t="e" cm="1">
        <f t="array" ref="K38">IF(I38="","",INDEX(#REF!,ROW()+7))</f>
        <v>#REF!</v>
      </c>
      <c r="L38" s="129" t="e" cm="1">
        <f t="array" ref="L38">IF(OR(I38="",INDEX(#REF!,ROW()+7)=""),"",INDEX(#REF!,ROW()+7))</f>
        <v>#REF!</v>
      </c>
    </row>
    <row r="39" spans="1:12" ht="15" customHeight="1">
      <c r="B39" s="121" t="str">
        <f t="shared" si="5"/>
        <v/>
      </c>
      <c r="C39" s="117" t="str">
        <f t="shared" si="6"/>
        <v/>
      </c>
      <c r="D39" s="116" t="str">
        <f t="shared" si="7"/>
        <v/>
      </c>
      <c r="E39" s="120" t="str">
        <f t="shared" si="8"/>
        <v/>
      </c>
      <c r="F39" s="123" t="str">
        <f t="shared" si="9"/>
        <v/>
      </c>
      <c r="G39" s="126" t="e">
        <f t="shared" si="10"/>
        <v>#REF!</v>
      </c>
      <c r="H39" s="116" t="e">
        <f t="shared" si="4"/>
        <v>#REF!</v>
      </c>
      <c r="I39" s="117" t="e" cm="1">
        <f t="array" ref="I39">IF(OR(INDEX(#REF!,ROW()+8)="START",INDEX(#REF!,ROW()+7)="",INDEX(#REF!,ROW()+7)="START",INDEX(#REF!,ROW()+7)="TBA",INDEX(#REF!,ROW()+7)="TBC"), IF(INDEX(#REF!,ROW()+7)="START",$C$3,""),IF(INDEX(#REF!,ROW()+7)="x",INDEX(#REF!,ROW()+7)+'Date Calculators'!$B$2+ICS4Master!$E37,""))</f>
        <v>#REF!</v>
      </c>
      <c r="J39" s="116" t="e" cm="1">
        <f t="array" ref="J39">IF(I39="","",INDEX(#REF!,ROW()+7))</f>
        <v>#REF!</v>
      </c>
      <c r="K39" s="120" t="e" cm="1">
        <f t="array" ref="K39">IF(I39="","",INDEX(#REF!,ROW()+7))</f>
        <v>#REF!</v>
      </c>
      <c r="L39" s="129" t="e" cm="1">
        <f t="array" ref="L39">IF(OR(I39="",INDEX(#REF!,ROW()+7)=""),"",INDEX(#REF!,ROW()+7))</f>
        <v>#REF!</v>
      </c>
    </row>
    <row r="40" spans="1:12" ht="15" customHeight="1">
      <c r="B40" s="121" t="str">
        <f t="shared" si="5"/>
        <v/>
      </c>
      <c r="C40" s="117" t="str">
        <f t="shared" si="6"/>
        <v/>
      </c>
      <c r="D40" s="116" t="str">
        <f t="shared" si="7"/>
        <v/>
      </c>
      <c r="E40" s="120" t="str">
        <f t="shared" si="8"/>
        <v/>
      </c>
      <c r="F40" s="123" t="str">
        <f t="shared" si="9"/>
        <v/>
      </c>
      <c r="G40" s="126" t="e">
        <f t="shared" si="10"/>
        <v>#REF!</v>
      </c>
      <c r="H40" s="116" t="e">
        <f t="shared" si="4"/>
        <v>#REF!</v>
      </c>
      <c r="I40" s="117" t="e" cm="1">
        <f t="array" ref="I40">IF(OR(INDEX(#REF!,ROW()+8)="START",INDEX(#REF!,ROW()+7)="",INDEX(#REF!,ROW()+7)="START",INDEX(#REF!,ROW()+7)="TBA",INDEX(#REF!,ROW()+7)="TBC"), IF(INDEX(#REF!,ROW()+7)="START",$C$3,""),IF(INDEX(#REF!,ROW()+7)="x",INDEX(#REF!,ROW()+7)+'Date Calculators'!$B$2+ICS4Master!$E38,""))</f>
        <v>#REF!</v>
      </c>
      <c r="J40" s="116" t="e" cm="1">
        <f t="array" ref="J40">IF(I40="","",INDEX(#REF!,ROW()+7))</f>
        <v>#REF!</v>
      </c>
      <c r="K40" s="120" t="e" cm="1">
        <f t="array" ref="K40">IF(I40="","",INDEX(#REF!,ROW()+7))</f>
        <v>#REF!</v>
      </c>
      <c r="L40" s="129" t="e" cm="1">
        <f t="array" ref="L40">IF(OR(I40="",INDEX(#REF!,ROW()+7)=""),"",INDEX(#REF!,ROW()+7))</f>
        <v>#REF!</v>
      </c>
    </row>
    <row r="41" spans="1:12" ht="15" customHeight="1">
      <c r="B41" s="121" t="str">
        <f t="shared" si="5"/>
        <v/>
      </c>
      <c r="C41" s="117" t="str">
        <f t="shared" si="6"/>
        <v/>
      </c>
      <c r="D41" s="116" t="str">
        <f t="shared" si="7"/>
        <v/>
      </c>
      <c r="E41" s="120" t="str">
        <f t="shared" si="8"/>
        <v/>
      </c>
      <c r="F41" s="123" t="str">
        <f t="shared" si="9"/>
        <v/>
      </c>
      <c r="G41" s="126" t="e">
        <f t="shared" si="10"/>
        <v>#REF!</v>
      </c>
      <c r="H41" s="116" t="e">
        <f t="shared" si="4"/>
        <v>#REF!</v>
      </c>
      <c r="I41" s="117" t="e" cm="1">
        <f t="array" ref="I41">IF(OR(INDEX(#REF!,ROW()+8)="START",INDEX(#REF!,ROW()+7)="",INDEX(#REF!,ROW()+7)="START",INDEX(#REF!,ROW()+7)="TBA",INDEX(#REF!,ROW()+7)="TBC"), IF(INDEX(#REF!,ROW()+7)="START",$C$3,""),IF(INDEX(#REF!,ROW()+7)="x",INDEX(#REF!,ROW()+7)+'Date Calculators'!$B$2+ICS4Master!$E39,""))</f>
        <v>#REF!</v>
      </c>
      <c r="J41" s="116" t="e" cm="1">
        <f t="array" ref="J41">IF(I41="","",INDEX(#REF!,ROW()+7))</f>
        <v>#REF!</v>
      </c>
      <c r="K41" s="120" t="e" cm="1">
        <f t="array" ref="K41">IF(I41="","",INDEX(#REF!,ROW()+7))</f>
        <v>#REF!</v>
      </c>
      <c r="L41" s="129" t="e" cm="1">
        <f t="array" ref="L41">IF(OR(I41="",INDEX(#REF!,ROW()+7)=""),"",INDEX(#REF!,ROW()+7))</f>
        <v>#REF!</v>
      </c>
    </row>
    <row r="42" spans="1:12" ht="15" customHeight="1">
      <c r="B42" s="121" t="str">
        <f t="shared" si="5"/>
        <v/>
      </c>
      <c r="C42" s="117" t="str">
        <f t="shared" si="6"/>
        <v/>
      </c>
      <c r="D42" s="116" t="str">
        <f t="shared" si="7"/>
        <v/>
      </c>
      <c r="E42" s="120" t="str">
        <f t="shared" si="8"/>
        <v/>
      </c>
      <c r="F42" s="123" t="str">
        <f t="shared" si="9"/>
        <v/>
      </c>
      <c r="G42" s="126" t="e">
        <f t="shared" si="10"/>
        <v>#REF!</v>
      </c>
      <c r="H42" s="116" t="e">
        <f t="shared" si="4"/>
        <v>#REF!</v>
      </c>
      <c r="I42" s="117" t="e" cm="1">
        <f t="array" ref="I42">IF(OR(INDEX(#REF!,ROW()+8)="START",INDEX(#REF!,ROW()+7)="",INDEX(#REF!,ROW()+7)="START",INDEX(#REF!,ROW()+7)="TBA",INDEX(#REF!,ROW()+7)="TBC"), IF(INDEX(#REF!,ROW()+7)="START",$C$3,""),IF(INDEX(#REF!,ROW()+7)="x",INDEX(#REF!,ROW()+7)+'Date Calculators'!$B$2+ICS4Master!$E40,""))</f>
        <v>#REF!</v>
      </c>
      <c r="J42" s="116" t="e" cm="1">
        <f t="array" ref="J42">IF(I42="","",INDEX(#REF!,ROW()+7))</f>
        <v>#REF!</v>
      </c>
      <c r="K42" s="120" t="e" cm="1">
        <f t="array" ref="K42">IF(I42="","",INDEX(#REF!,ROW()+7))</f>
        <v>#REF!</v>
      </c>
      <c r="L42" s="129" t="e" cm="1">
        <f t="array" ref="L42">IF(OR(I42="",INDEX(#REF!,ROW()+7)=""),"",INDEX(#REF!,ROW()+7))</f>
        <v>#REF!</v>
      </c>
    </row>
    <row r="43" spans="1:12" ht="15" customHeight="1">
      <c r="A43" s="97"/>
      <c r="B43" s="121" t="str">
        <f t="shared" si="5"/>
        <v/>
      </c>
      <c r="C43" s="117" t="str">
        <f t="shared" si="6"/>
        <v/>
      </c>
      <c r="D43" s="116" t="str">
        <f t="shared" si="7"/>
        <v/>
      </c>
      <c r="E43" s="120" t="str">
        <f t="shared" si="8"/>
        <v/>
      </c>
      <c r="F43" s="123" t="str">
        <f t="shared" si="9"/>
        <v/>
      </c>
      <c r="G43" s="126" t="e">
        <f t="shared" si="10"/>
        <v>#REF!</v>
      </c>
      <c r="H43" s="116" t="e">
        <f t="shared" si="4"/>
        <v>#REF!</v>
      </c>
      <c r="I43" s="117" t="e" cm="1">
        <f t="array" ref="I43">IF(OR(INDEX(#REF!,ROW()+8)="START",INDEX(#REF!,ROW()+7)="",INDEX(#REF!,ROW()+7)="START",INDEX(#REF!,ROW()+7)="TBA",INDEX(#REF!,ROW()+7)="TBC"), IF(INDEX(#REF!,ROW()+7)="START",$C$3,""),IF(INDEX(#REF!,ROW()+7)="x",INDEX(#REF!,ROW()+7)+'Date Calculators'!$B$2+ICS4Master!$E41,""))</f>
        <v>#REF!</v>
      </c>
      <c r="J43" s="116" t="e" cm="1">
        <f t="array" ref="J43">IF(I43="","",INDEX(#REF!,ROW()+7))</f>
        <v>#REF!</v>
      </c>
      <c r="K43" s="120" t="e" cm="1">
        <f t="array" ref="K43">IF(I43="","",INDEX(#REF!,ROW()+7))</f>
        <v>#REF!</v>
      </c>
      <c r="L43" s="129" t="e" cm="1">
        <f t="array" ref="L43">IF(OR(I43="",INDEX(#REF!,ROW()+7)=""),"",INDEX(#REF!,ROW()+7))</f>
        <v>#REF!</v>
      </c>
    </row>
    <row r="44" spans="1:12" ht="15" customHeight="1">
      <c r="B44" s="121" t="str">
        <f t="shared" si="5"/>
        <v/>
      </c>
      <c r="C44" s="117" t="str">
        <f t="shared" si="6"/>
        <v/>
      </c>
      <c r="D44" s="116" t="str">
        <f t="shared" si="7"/>
        <v/>
      </c>
      <c r="E44" s="120" t="str">
        <f t="shared" si="8"/>
        <v/>
      </c>
      <c r="F44" s="123" t="str">
        <f t="shared" si="9"/>
        <v/>
      </c>
      <c r="G44" s="126" t="e">
        <f t="shared" si="10"/>
        <v>#REF!</v>
      </c>
      <c r="H44" s="116" t="e">
        <f t="shared" si="4"/>
        <v>#REF!</v>
      </c>
      <c r="I44" s="117" t="e" cm="1">
        <f t="array" ref="I44">IF(OR(INDEX(#REF!,ROW()+8)="START",INDEX(#REF!,ROW()+7)="",INDEX(#REF!,ROW()+7)="START",INDEX(#REF!,ROW()+7)="TBA",INDEX(#REF!,ROW()+7)="TBC"), IF(INDEX(#REF!,ROW()+7)="START",$C$3,""),IF(INDEX(#REF!,ROW()+7)="x",INDEX(#REF!,ROW()+7)+'Date Calculators'!$B$2+ICS4Master!$E42,""))</f>
        <v>#REF!</v>
      </c>
      <c r="J44" s="116" t="e" cm="1">
        <f t="array" ref="J44">IF(I44="","",INDEX(#REF!,ROW()+7))</f>
        <v>#REF!</v>
      </c>
      <c r="K44" s="120" t="e" cm="1">
        <f t="array" ref="K44">IF(I44="","",INDEX(#REF!,ROW()+7))</f>
        <v>#REF!</v>
      </c>
      <c r="L44" s="129" t="e" cm="1">
        <f t="array" ref="L44">IF(OR(I44="",INDEX(#REF!,ROW()+7)=""),"",INDEX(#REF!,ROW()+7))</f>
        <v>#REF!</v>
      </c>
    </row>
    <row r="45" spans="1:12" ht="15" customHeight="1">
      <c r="B45" s="121" t="str">
        <f t="shared" si="5"/>
        <v/>
      </c>
      <c r="C45" s="117" t="str">
        <f t="shared" si="6"/>
        <v/>
      </c>
      <c r="D45" s="116" t="str">
        <f t="shared" si="7"/>
        <v/>
      </c>
      <c r="E45" s="120" t="str">
        <f t="shared" si="8"/>
        <v/>
      </c>
      <c r="F45" s="123" t="str">
        <f t="shared" si="9"/>
        <v/>
      </c>
      <c r="G45" s="126" t="e">
        <f t="shared" si="10"/>
        <v>#REF!</v>
      </c>
      <c r="H45" s="116" t="e">
        <f t="shared" si="4"/>
        <v>#REF!</v>
      </c>
      <c r="I45" s="117" t="e" cm="1">
        <f t="array" ref="I45">IF(OR(INDEX(#REF!,ROW()+8)="START",INDEX(#REF!,ROW()+7)="",INDEX(#REF!,ROW()+7)="START",INDEX(#REF!,ROW()+7)="TBA",INDEX(#REF!,ROW()+7)="TBC"), IF(INDEX(#REF!,ROW()+7)="START",$C$3,""),IF(INDEX(#REF!,ROW()+7)="x",INDEX(#REF!,ROW()+7)+'Date Calculators'!$B$2+ICS4Master!$E43,""))</f>
        <v>#REF!</v>
      </c>
      <c r="J45" s="116" t="e" cm="1">
        <f t="array" ref="J45">IF(I45="","",INDEX(#REF!,ROW()+7))</f>
        <v>#REF!</v>
      </c>
      <c r="K45" s="120" t="e" cm="1">
        <f t="array" ref="K45">IF(I45="","",INDEX(#REF!,ROW()+7))</f>
        <v>#REF!</v>
      </c>
      <c r="L45" s="129" t="e" cm="1">
        <f t="array" ref="L45">IF(OR(I45="",INDEX(#REF!,ROW()+7)=""),"",INDEX(#REF!,ROW()+7))</f>
        <v>#REF!</v>
      </c>
    </row>
    <row r="46" spans="1:12" ht="15" customHeight="1">
      <c r="B46" s="121" t="str">
        <f t="shared" si="5"/>
        <v/>
      </c>
      <c r="C46" s="117" t="str">
        <f t="shared" si="6"/>
        <v/>
      </c>
      <c r="D46" s="116" t="str">
        <f t="shared" si="7"/>
        <v/>
      </c>
      <c r="E46" s="120" t="str">
        <f t="shared" si="8"/>
        <v/>
      </c>
      <c r="F46" s="123" t="str">
        <f t="shared" si="9"/>
        <v/>
      </c>
      <c r="G46" s="126" t="e">
        <f t="shared" si="10"/>
        <v>#REF!</v>
      </c>
      <c r="H46" s="116" t="e">
        <f t="shared" si="4"/>
        <v>#REF!</v>
      </c>
      <c r="I46" s="117" t="e" cm="1">
        <f t="array" ref="I46">IF(OR(INDEX(#REF!,ROW()+8)="START",INDEX(#REF!,ROW()+7)="",INDEX(#REF!,ROW()+7)="START",INDEX(#REF!,ROW()+7)="TBA",INDEX(#REF!,ROW()+7)="TBC"), IF(INDEX(#REF!,ROW()+7)="START",$C$3,""),IF(INDEX(#REF!,ROW()+7)="x",INDEX(#REF!,ROW()+7)+'Date Calculators'!$B$2+ICS4Master!$E44,""))</f>
        <v>#REF!</v>
      </c>
      <c r="J46" s="116" t="e" cm="1">
        <f t="array" ref="J46">IF(I46="","",INDEX(#REF!,ROW()+7))</f>
        <v>#REF!</v>
      </c>
      <c r="K46" s="120" t="e" cm="1">
        <f t="array" ref="K46">IF(I46="","",INDEX(#REF!,ROW()+7))</f>
        <v>#REF!</v>
      </c>
      <c r="L46" s="129" t="e" cm="1">
        <f t="array" ref="L46">IF(OR(I46="",INDEX(#REF!,ROW()+7)=""),"",INDEX(#REF!,ROW()+7))</f>
        <v>#REF!</v>
      </c>
    </row>
    <row r="47" spans="1:12" ht="15" customHeight="1">
      <c r="B47" s="121" t="str">
        <f t="shared" si="5"/>
        <v/>
      </c>
      <c r="C47" s="117" t="str">
        <f t="shared" si="6"/>
        <v/>
      </c>
      <c r="D47" s="116" t="str">
        <f t="shared" si="7"/>
        <v/>
      </c>
      <c r="E47" s="120" t="str">
        <f t="shared" si="8"/>
        <v/>
      </c>
      <c r="F47" s="123" t="str">
        <f t="shared" si="9"/>
        <v/>
      </c>
      <c r="G47" s="126" t="e">
        <f t="shared" si="10"/>
        <v>#REF!</v>
      </c>
      <c r="H47" s="116" t="e">
        <f t="shared" si="4"/>
        <v>#REF!</v>
      </c>
      <c r="I47" s="117" t="e" cm="1">
        <f t="array" ref="I47">IF(OR(INDEX(#REF!,ROW()+8)="START",INDEX(#REF!,ROW()+7)="",INDEX(#REF!,ROW()+7)="START",INDEX(#REF!,ROW()+7)="TBA",INDEX(#REF!,ROW()+7)="TBC"), IF(INDEX(#REF!,ROW()+7)="START",$C$3,""),IF(INDEX(#REF!,ROW()+7)="x",INDEX(#REF!,ROW()+7)+'Date Calculators'!$B$2+ICS4Master!$E45,""))</f>
        <v>#REF!</v>
      </c>
      <c r="J47" s="116" t="e" cm="1">
        <f t="array" ref="J47">IF(I47="","",INDEX(#REF!,ROW()+7))</f>
        <v>#REF!</v>
      </c>
      <c r="K47" s="120" t="e" cm="1">
        <f t="array" ref="K47">IF(I47="","",INDEX(#REF!,ROW()+7))</f>
        <v>#REF!</v>
      </c>
      <c r="L47" s="129" t="e" cm="1">
        <f t="array" ref="L47">IF(OR(I47="",INDEX(#REF!,ROW()+7)=""),"",INDEX(#REF!,ROW()+7))</f>
        <v>#REF!</v>
      </c>
    </row>
    <row r="48" spans="1:12" ht="15" customHeight="1">
      <c r="B48" s="121" t="str">
        <f t="shared" si="5"/>
        <v/>
      </c>
      <c r="C48" s="117" t="str">
        <f t="shared" si="6"/>
        <v/>
      </c>
      <c r="D48" s="116" t="str">
        <f t="shared" si="7"/>
        <v/>
      </c>
      <c r="E48" s="120" t="str">
        <f t="shared" si="8"/>
        <v/>
      </c>
      <c r="F48" s="123" t="str">
        <f t="shared" si="9"/>
        <v/>
      </c>
      <c r="G48" s="126" t="e">
        <f t="shared" si="10"/>
        <v>#REF!</v>
      </c>
      <c r="H48" s="116" t="e">
        <f t="shared" si="4"/>
        <v>#REF!</v>
      </c>
      <c r="I48" s="117" t="e" cm="1">
        <f t="array" ref="I48">IF(OR(INDEX(#REF!,ROW()+8)="START",INDEX(#REF!,ROW()+7)="",INDEX(#REF!,ROW()+7)="START",INDEX(#REF!,ROW()+7)="TBA",INDEX(#REF!,ROW()+7)="TBC"), IF(INDEX(#REF!,ROW()+7)="START",$C$3,""),IF(INDEX(#REF!,ROW()+7)="x",INDEX(#REF!,ROW()+7)+'Date Calculators'!$B$2+ICS4Master!$E46,""))</f>
        <v>#REF!</v>
      </c>
      <c r="J48" s="116" t="e" cm="1">
        <f t="array" ref="J48">IF(I48="","",INDEX(#REF!,ROW()+7))</f>
        <v>#REF!</v>
      </c>
      <c r="K48" s="120" t="e" cm="1">
        <f t="array" ref="K48">IF(I48="","",INDEX(#REF!,ROW()+7))</f>
        <v>#REF!</v>
      </c>
      <c r="L48" s="129" t="e" cm="1">
        <f t="array" ref="L48">IF(OR(I48="",INDEX(#REF!,ROW()+7)=""),"",INDEX(#REF!,ROW()+7))</f>
        <v>#REF!</v>
      </c>
    </row>
    <row r="49" spans="2:12" ht="15" customHeight="1">
      <c r="B49" s="121" t="str">
        <f t="shared" si="5"/>
        <v/>
      </c>
      <c r="C49" s="117" t="str">
        <f t="shared" si="6"/>
        <v/>
      </c>
      <c r="D49" s="116" t="str">
        <f t="shared" si="7"/>
        <v/>
      </c>
      <c r="E49" s="120" t="str">
        <f t="shared" si="8"/>
        <v/>
      </c>
      <c r="F49" s="123" t="str">
        <f t="shared" si="9"/>
        <v/>
      </c>
      <c r="G49" s="126" t="e">
        <f t="shared" si="10"/>
        <v>#REF!</v>
      </c>
      <c r="H49" s="116" t="e">
        <f t="shared" si="4"/>
        <v>#REF!</v>
      </c>
      <c r="I49" s="117" t="e" cm="1">
        <f t="array" ref="I49">IF(OR(INDEX(#REF!,ROW()+8)="START",INDEX(#REF!,ROW()+7)="",INDEX(#REF!,ROW()+7)="START",INDEX(#REF!,ROW()+7)="TBA",INDEX(#REF!,ROW()+7)="TBC"), IF(INDEX(#REF!,ROW()+7)="START",$C$3,""),IF(INDEX(#REF!,ROW()+7)="x",INDEX(#REF!,ROW()+7)+'Date Calculators'!$B$2+ICS4Master!$E47,""))</f>
        <v>#REF!</v>
      </c>
      <c r="J49" s="116" t="e" cm="1">
        <f t="array" ref="J49">IF(I49="","",INDEX(#REF!,ROW()+7))</f>
        <v>#REF!</v>
      </c>
      <c r="K49" s="120" t="e" cm="1">
        <f t="array" ref="K49">IF(I49="","",INDEX(#REF!,ROW()+7))</f>
        <v>#REF!</v>
      </c>
      <c r="L49" s="129" t="e" cm="1">
        <f t="array" ref="L49">IF(OR(I49="",INDEX(#REF!,ROW()+7)=""),"",INDEX(#REF!,ROW()+7))</f>
        <v>#REF!</v>
      </c>
    </row>
    <row r="50" spans="2:12" ht="15" customHeight="1">
      <c r="B50" s="121" t="str">
        <f t="shared" si="5"/>
        <v/>
      </c>
      <c r="C50" s="117" t="str">
        <f t="shared" si="6"/>
        <v/>
      </c>
      <c r="D50" s="116" t="str">
        <f t="shared" si="7"/>
        <v/>
      </c>
      <c r="E50" s="120" t="str">
        <f t="shared" si="8"/>
        <v/>
      </c>
      <c r="F50" s="123" t="str">
        <f t="shared" si="9"/>
        <v/>
      </c>
      <c r="G50" s="126" t="e">
        <f t="shared" si="10"/>
        <v>#REF!</v>
      </c>
      <c r="H50" s="116" t="e">
        <f t="shared" si="4"/>
        <v>#REF!</v>
      </c>
      <c r="I50" s="117" t="e" cm="1">
        <f t="array" ref="I50">IF(OR(INDEX(#REF!,ROW()+8)="START",INDEX(#REF!,ROW()+7)="",INDEX(#REF!,ROW()+7)="START",INDEX(#REF!,ROW()+7)="TBA",INDEX(#REF!,ROW()+7)="TBC"), IF(INDEX(#REF!,ROW()+7)="START",$C$3,""),IF(INDEX(#REF!,ROW()+7)="x",INDEX(#REF!,ROW()+7)+'Date Calculators'!$B$2+ICS4Master!$E48,""))</f>
        <v>#REF!</v>
      </c>
      <c r="J50" s="116" t="e" cm="1">
        <f t="array" ref="J50">IF(I50="","",INDEX(#REF!,ROW()+7))</f>
        <v>#REF!</v>
      </c>
      <c r="K50" s="120" t="e" cm="1">
        <f t="array" ref="K50">IF(I50="","",INDEX(#REF!,ROW()+7))</f>
        <v>#REF!</v>
      </c>
      <c r="L50" s="129" t="e" cm="1">
        <f t="array" ref="L50">IF(OR(I50="",INDEX(#REF!,ROW()+7)=""),"",INDEX(#REF!,ROW()+7))</f>
        <v>#REF!</v>
      </c>
    </row>
    <row r="51" spans="2:12" ht="15" customHeight="1">
      <c r="B51" s="121" t="str">
        <f t="shared" si="5"/>
        <v/>
      </c>
      <c r="C51" s="117" t="str">
        <f t="shared" si="6"/>
        <v/>
      </c>
      <c r="D51" s="116" t="str">
        <f t="shared" si="7"/>
        <v/>
      </c>
      <c r="E51" s="120" t="str">
        <f t="shared" si="8"/>
        <v/>
      </c>
      <c r="F51" s="123" t="str">
        <f t="shared" si="9"/>
        <v/>
      </c>
      <c r="G51" s="126" t="e">
        <f t="shared" si="10"/>
        <v>#REF!</v>
      </c>
      <c r="H51" s="116" t="e">
        <f t="shared" si="4"/>
        <v>#REF!</v>
      </c>
      <c r="I51" s="117" t="e" cm="1">
        <f t="array" ref="I51">IF(OR(INDEX(#REF!,ROW()+8)="START",INDEX(#REF!,ROW()+7)="",INDEX(#REF!,ROW()+7)="START",INDEX(#REF!,ROW()+7)="TBA",INDEX(#REF!,ROW()+7)="TBC"), IF(INDEX(#REF!,ROW()+7)="START",$C$3,""),IF(INDEX(#REF!,ROW()+7)="x",INDEX(#REF!,ROW()+7)+'Date Calculators'!$B$2+ICS4Master!$E49,""))</f>
        <v>#REF!</v>
      </c>
      <c r="J51" s="116" t="e" cm="1">
        <f t="array" ref="J51">IF(I51="","",INDEX(#REF!,ROW()+7))</f>
        <v>#REF!</v>
      </c>
      <c r="K51" s="120" t="e" cm="1">
        <f t="array" ref="K51">IF(I51="","",INDEX(#REF!,ROW()+7))</f>
        <v>#REF!</v>
      </c>
      <c r="L51" s="129" t="e" cm="1">
        <f t="array" ref="L51">IF(OR(I51="",INDEX(#REF!,ROW()+7)=""),"",INDEX(#REF!,ROW()+7))</f>
        <v>#REF!</v>
      </c>
    </row>
    <row r="52" spans="2:12" ht="15" customHeight="1">
      <c r="B52" s="121" t="str">
        <f t="shared" si="5"/>
        <v/>
      </c>
      <c r="C52" s="117" t="str">
        <f t="shared" si="6"/>
        <v/>
      </c>
      <c r="D52" s="116" t="str">
        <f t="shared" si="7"/>
        <v/>
      </c>
      <c r="E52" s="120" t="str">
        <f t="shared" si="8"/>
        <v/>
      </c>
      <c r="F52" s="123" t="str">
        <f t="shared" si="9"/>
        <v/>
      </c>
      <c r="G52" s="126" t="e">
        <f t="shared" si="10"/>
        <v>#REF!</v>
      </c>
      <c r="H52" s="116" t="e">
        <f t="shared" si="4"/>
        <v>#REF!</v>
      </c>
      <c r="I52" s="117" t="e" cm="1">
        <f t="array" ref="I52">IF(OR(INDEX(#REF!,ROW()+8)="START",INDEX(#REF!,ROW()+7)="",INDEX(#REF!,ROW()+7)="START",INDEX(#REF!,ROW()+7)="TBA",INDEX(#REF!,ROW()+7)="TBC"), IF(INDEX(#REF!,ROW()+7)="START",$C$3,""),IF(INDEX(#REF!,ROW()+7)="x",INDEX(#REF!,ROW()+7)+'Date Calculators'!$B$2+ICS4Master!$E50,""))</f>
        <v>#REF!</v>
      </c>
      <c r="J52" s="116" t="e" cm="1">
        <f t="array" ref="J52">IF(I52="","",INDEX(#REF!,ROW()+7))</f>
        <v>#REF!</v>
      </c>
      <c r="K52" s="120" t="e" cm="1">
        <f t="array" ref="K52">IF(I52="","",INDEX(#REF!,ROW()+7))</f>
        <v>#REF!</v>
      </c>
      <c r="L52" s="129" t="e" cm="1">
        <f t="array" ref="L52">IF(OR(I52="",INDEX(#REF!,ROW()+7)=""),"",INDEX(#REF!,ROW()+7))</f>
        <v>#REF!</v>
      </c>
    </row>
    <row r="53" spans="2:12" ht="15" customHeight="1">
      <c r="B53" s="121" t="str">
        <f t="shared" si="5"/>
        <v/>
      </c>
      <c r="C53" s="117" t="str">
        <f t="shared" si="6"/>
        <v/>
      </c>
      <c r="D53" s="116" t="str">
        <f t="shared" si="7"/>
        <v/>
      </c>
      <c r="E53" s="120" t="str">
        <f t="shared" si="8"/>
        <v/>
      </c>
      <c r="F53" s="123" t="str">
        <f t="shared" si="9"/>
        <v/>
      </c>
      <c r="G53" s="126" t="e">
        <f t="shared" si="10"/>
        <v>#REF!</v>
      </c>
      <c r="H53" s="116" t="e">
        <f t="shared" si="4"/>
        <v>#REF!</v>
      </c>
      <c r="I53" s="117" t="e" cm="1">
        <f t="array" ref="I53">IF(OR(INDEX(#REF!,ROW()+8)="START",INDEX(#REF!,ROW()+7)="",INDEX(#REF!,ROW()+7)="START",INDEX(#REF!,ROW()+7)="TBA",INDEX(#REF!,ROW()+7)="TBC"), IF(INDEX(#REF!,ROW()+7)="START",$C$3,""),IF(INDEX(#REF!,ROW()+7)="x",INDEX(#REF!,ROW()+7)+'Date Calculators'!$B$2+ICS4Master!$E51,""))</f>
        <v>#REF!</v>
      </c>
      <c r="J53" s="116" t="e" cm="1">
        <f t="array" ref="J53">IF(I53="","",INDEX(#REF!,ROW()+7))</f>
        <v>#REF!</v>
      </c>
      <c r="K53" s="120" t="e" cm="1">
        <f t="array" ref="K53">IF(I53="","",INDEX(#REF!,ROW()+7))</f>
        <v>#REF!</v>
      </c>
      <c r="L53" s="129" t="e" cm="1">
        <f t="array" ref="L53">IF(OR(I53="",INDEX(#REF!,ROW()+7)=""),"",INDEX(#REF!,ROW()+7))</f>
        <v>#REF!</v>
      </c>
    </row>
    <row r="54" spans="2:12" ht="15" customHeight="1">
      <c r="B54" s="121" t="str">
        <f t="shared" si="5"/>
        <v/>
      </c>
      <c r="C54" s="117" t="str">
        <f t="shared" si="6"/>
        <v/>
      </c>
      <c r="D54" s="116" t="str">
        <f t="shared" si="7"/>
        <v/>
      </c>
      <c r="E54" s="120" t="str">
        <f t="shared" si="8"/>
        <v/>
      </c>
      <c r="F54" s="123" t="str">
        <f t="shared" si="9"/>
        <v/>
      </c>
      <c r="G54" s="126" t="e">
        <f t="shared" si="10"/>
        <v>#REF!</v>
      </c>
      <c r="H54" s="116" t="e">
        <f t="shared" si="4"/>
        <v>#REF!</v>
      </c>
      <c r="I54" s="117" t="e" cm="1">
        <f t="array" ref="I54">IF(OR(INDEX(#REF!,ROW()+8)="START",INDEX(#REF!,ROW()+7)="",INDEX(#REF!,ROW()+7)="START",INDEX(#REF!,ROW()+7)="TBA",INDEX(#REF!,ROW()+7)="TBC"), IF(INDEX(#REF!,ROW()+7)="START",$C$3,""),IF(INDEX(#REF!,ROW()+7)="x",INDEX(#REF!,ROW()+7)+'Date Calculators'!$B$2+ICS4Master!$E52,""))</f>
        <v>#REF!</v>
      </c>
      <c r="J54" s="116" t="e" cm="1">
        <f t="array" ref="J54">IF(I54="","",INDEX(#REF!,ROW()+7))</f>
        <v>#REF!</v>
      </c>
      <c r="K54" s="120" t="e" cm="1">
        <f t="array" ref="K54">IF(I54="","",INDEX(#REF!,ROW()+7))</f>
        <v>#REF!</v>
      </c>
      <c r="L54" s="129" t="e" cm="1">
        <f t="array" ref="L54">IF(OR(I54="",INDEX(#REF!,ROW()+7)=""),"",INDEX(#REF!,ROW()+7))</f>
        <v>#REF!</v>
      </c>
    </row>
    <row r="55" spans="2:12" ht="15" customHeight="1">
      <c r="B55" s="121" t="str">
        <f t="shared" si="5"/>
        <v/>
      </c>
      <c r="C55" s="117" t="str">
        <f t="shared" si="6"/>
        <v/>
      </c>
      <c r="D55" s="116" t="str">
        <f t="shared" si="7"/>
        <v/>
      </c>
      <c r="E55" s="120" t="str">
        <f t="shared" si="8"/>
        <v/>
      </c>
      <c r="F55" s="123" t="str">
        <f t="shared" si="9"/>
        <v/>
      </c>
      <c r="G55" s="126" t="e">
        <f t="shared" si="10"/>
        <v>#REF!</v>
      </c>
      <c r="H55" s="116" t="e">
        <f t="shared" si="4"/>
        <v>#REF!</v>
      </c>
      <c r="I55" s="117" t="e" cm="1">
        <f t="array" ref="I55">IF(OR(INDEX(#REF!,ROW()+8)="START",INDEX(#REF!,ROW()+7)="",INDEX(#REF!,ROW()+7)="START",INDEX(#REF!,ROW()+7)="TBA",INDEX(#REF!,ROW()+7)="TBC"), IF(INDEX(#REF!,ROW()+7)="START",$C$3,""),IF(INDEX(#REF!,ROW()+7)="x",INDEX(#REF!,ROW()+7)+'Date Calculators'!$B$2+ICS4Master!$E53,""))</f>
        <v>#REF!</v>
      </c>
      <c r="J55" s="116" t="e" cm="1">
        <f t="array" ref="J55">IF(I55="","",INDEX(#REF!,ROW()+7))</f>
        <v>#REF!</v>
      </c>
      <c r="K55" s="120" t="e" cm="1">
        <f t="array" ref="K55">IF(I55="","",INDEX(#REF!,ROW()+7))</f>
        <v>#REF!</v>
      </c>
      <c r="L55" s="129" t="e" cm="1">
        <f t="array" ref="L55">IF(OR(I55="",INDEX(#REF!,ROW()+7)=""),"",INDEX(#REF!,ROW()+7))</f>
        <v>#REF!</v>
      </c>
    </row>
    <row r="56" spans="2:12" ht="15" customHeight="1">
      <c r="B56" s="121" t="str">
        <f t="shared" si="5"/>
        <v/>
      </c>
      <c r="C56" s="117" t="str">
        <f t="shared" si="6"/>
        <v/>
      </c>
      <c r="D56" s="116" t="str">
        <f t="shared" si="7"/>
        <v/>
      </c>
      <c r="E56" s="120" t="str">
        <f t="shared" si="8"/>
        <v/>
      </c>
      <c r="F56" s="123" t="str">
        <f t="shared" si="9"/>
        <v/>
      </c>
      <c r="G56" s="126" t="e">
        <f t="shared" si="10"/>
        <v>#REF!</v>
      </c>
      <c r="H56" s="116" t="e">
        <f t="shared" si="4"/>
        <v>#REF!</v>
      </c>
      <c r="I56" s="117" t="e" cm="1">
        <f t="array" ref="I56">IF(OR(INDEX(#REF!,ROW()+8)="START",INDEX(#REF!,ROW()+7)="",INDEX(#REF!,ROW()+7)="START",INDEX(#REF!,ROW()+7)="TBA",INDEX(#REF!,ROW()+7)="TBC"), IF(INDEX(#REF!,ROW()+7)="START",$C$3,""),IF(INDEX(#REF!,ROW()+7)="x",INDEX(#REF!,ROW()+7)+'Date Calculators'!$B$2+ICS4Master!$E54,""))</f>
        <v>#REF!</v>
      </c>
      <c r="J56" s="116" t="e" cm="1">
        <f t="array" ref="J56">IF(I56="","",INDEX(#REF!,ROW()+7))</f>
        <v>#REF!</v>
      </c>
      <c r="K56" s="120" t="e" cm="1">
        <f t="array" ref="K56">IF(I56="","",INDEX(#REF!,ROW()+7))</f>
        <v>#REF!</v>
      </c>
      <c r="L56" s="129" t="e" cm="1">
        <f t="array" ref="L56">IF(OR(I56="",INDEX(#REF!,ROW()+7)=""),"",INDEX(#REF!,ROW()+7))</f>
        <v>#REF!</v>
      </c>
    </row>
    <row r="57" spans="2:12" ht="15" customHeight="1">
      <c r="B57" s="121" t="str">
        <f t="shared" si="5"/>
        <v/>
      </c>
      <c r="C57" s="117" t="str">
        <f t="shared" si="6"/>
        <v/>
      </c>
      <c r="D57" s="116" t="str">
        <f t="shared" si="7"/>
        <v/>
      </c>
      <c r="E57" s="120" t="str">
        <f t="shared" si="8"/>
        <v/>
      </c>
      <c r="F57" s="123" t="str">
        <f t="shared" si="9"/>
        <v/>
      </c>
      <c r="G57" s="126" t="e">
        <f t="shared" si="10"/>
        <v>#REF!</v>
      </c>
      <c r="H57" s="116" t="e">
        <f t="shared" si="4"/>
        <v>#REF!</v>
      </c>
      <c r="I57" s="117" t="e" cm="1">
        <f t="array" ref="I57">IF(OR(INDEX(#REF!,ROW()+8)="START",INDEX(#REF!,ROW()+7)="",INDEX(#REF!,ROW()+7)="START",INDEX(#REF!,ROW()+7)="TBA",INDEX(#REF!,ROW()+7)="TBC"), IF(INDEX(#REF!,ROW()+7)="START",$C$3,""),IF(INDEX(#REF!,ROW()+7)="x",INDEX(#REF!,ROW()+7)+'Date Calculators'!$B$2+ICS4Master!$E55,""))</f>
        <v>#REF!</v>
      </c>
      <c r="J57" s="116" t="e" cm="1">
        <f t="array" ref="J57">IF(I57="","",INDEX(#REF!,ROW()+7))</f>
        <v>#REF!</v>
      </c>
      <c r="K57" s="120" t="e" cm="1">
        <f t="array" ref="K57">IF(I57="","",INDEX(#REF!,ROW()+7))</f>
        <v>#REF!</v>
      </c>
      <c r="L57" s="129" t="e" cm="1">
        <f t="array" ref="L57">IF(OR(I57="",INDEX(#REF!,ROW()+7)=""),"",INDEX(#REF!,ROW()+7))</f>
        <v>#REF!</v>
      </c>
    </row>
    <row r="58" spans="2:12" ht="15" customHeight="1">
      <c r="B58" s="121" t="str">
        <f t="shared" si="5"/>
        <v/>
      </c>
      <c r="C58" s="117" t="str">
        <f t="shared" si="6"/>
        <v/>
      </c>
      <c r="D58" s="116" t="str">
        <f t="shared" si="7"/>
        <v/>
      </c>
      <c r="E58" s="120" t="str">
        <f t="shared" si="8"/>
        <v/>
      </c>
      <c r="F58" s="123" t="str">
        <f t="shared" si="9"/>
        <v/>
      </c>
      <c r="G58" s="126" t="e">
        <f t="shared" si="10"/>
        <v>#REF!</v>
      </c>
      <c r="H58" s="116" t="e">
        <f t="shared" si="4"/>
        <v>#REF!</v>
      </c>
      <c r="I58" s="117" t="e" cm="1">
        <f t="array" ref="I58">IF(OR(INDEX(#REF!,ROW()+8)="START",INDEX(#REF!,ROW()+7)="",INDEX(#REF!,ROW()+7)="START",INDEX(#REF!,ROW()+7)="TBA",INDEX(#REF!,ROW()+7)="TBC"), IF(INDEX(#REF!,ROW()+7)="START",$C$3,""),IF(INDEX(#REF!,ROW()+7)="x",INDEX(#REF!,ROW()+7)+'Date Calculators'!$B$2+ICS4Master!$E56,""))</f>
        <v>#REF!</v>
      </c>
      <c r="J58" s="116" t="e" cm="1">
        <f t="array" ref="J58">IF(I58="","",INDEX(#REF!,ROW()+7))</f>
        <v>#REF!</v>
      </c>
      <c r="K58" s="120" t="e" cm="1">
        <f t="array" ref="K58">IF(I58="","",INDEX(#REF!,ROW()+7))</f>
        <v>#REF!</v>
      </c>
      <c r="L58" s="129" t="e" cm="1">
        <f t="array" ref="L58">IF(OR(I58="",INDEX(#REF!,ROW()+7)=""),"",INDEX(#REF!,ROW()+7))</f>
        <v>#REF!</v>
      </c>
    </row>
    <row r="59" spans="2:12" ht="15" customHeight="1">
      <c r="B59" s="121" t="str">
        <f t="shared" si="5"/>
        <v/>
      </c>
      <c r="C59" s="117" t="str">
        <f t="shared" si="6"/>
        <v/>
      </c>
      <c r="D59" s="116" t="str">
        <f t="shared" si="7"/>
        <v/>
      </c>
      <c r="E59" s="120" t="str">
        <f t="shared" si="8"/>
        <v/>
      </c>
      <c r="F59" s="123" t="str">
        <f t="shared" si="9"/>
        <v/>
      </c>
      <c r="G59" s="126" t="e">
        <f t="shared" si="10"/>
        <v>#REF!</v>
      </c>
      <c r="H59" s="116" t="e">
        <f t="shared" si="4"/>
        <v>#REF!</v>
      </c>
      <c r="I59" s="117" t="e" cm="1">
        <f t="array" ref="I59">IF(OR(INDEX(#REF!,ROW()+8)="START",INDEX(#REF!,ROW()+7)="",INDEX(#REF!,ROW()+7)="START",INDEX(#REF!,ROW()+7)="TBA",INDEX(#REF!,ROW()+7)="TBC"), IF(INDEX(#REF!,ROW()+7)="START",$C$3,""),IF(INDEX(#REF!,ROW()+7)="x",INDEX(#REF!,ROW()+7)+'Date Calculators'!$B$2+ICS4Master!$E57,""))</f>
        <v>#REF!</v>
      </c>
      <c r="J59" s="116" t="e" cm="1">
        <f t="array" ref="J59">IF(I59="","",INDEX(#REF!,ROW()+7))</f>
        <v>#REF!</v>
      </c>
      <c r="K59" s="120" t="e" cm="1">
        <f t="array" ref="K59">IF(I59="","",INDEX(#REF!,ROW()+7))</f>
        <v>#REF!</v>
      </c>
      <c r="L59" s="129" t="e" cm="1">
        <f t="array" ref="L59">IF(OR(I59="",INDEX(#REF!,ROW()+7)=""),"",INDEX(#REF!,ROW()+7))</f>
        <v>#REF!</v>
      </c>
    </row>
    <row r="60" spans="2:12" ht="15" customHeight="1">
      <c r="B60" s="121" t="str">
        <f t="shared" si="5"/>
        <v/>
      </c>
      <c r="C60" s="117" t="str">
        <f t="shared" si="6"/>
        <v/>
      </c>
      <c r="D60" s="116" t="str">
        <f t="shared" si="7"/>
        <v/>
      </c>
      <c r="E60" s="120" t="str">
        <f t="shared" si="8"/>
        <v/>
      </c>
      <c r="F60" s="123" t="str">
        <f t="shared" si="9"/>
        <v/>
      </c>
      <c r="G60" s="126" t="e">
        <f t="shared" si="10"/>
        <v>#REF!</v>
      </c>
      <c r="H60" s="116" t="e">
        <f t="shared" si="4"/>
        <v>#REF!</v>
      </c>
      <c r="I60" s="117" t="e" cm="1">
        <f t="array" ref="I60">IF(OR(INDEX(#REF!,ROW()+8)="START",INDEX(#REF!,ROW()+7)="",INDEX(#REF!,ROW()+7)="START",INDEX(#REF!,ROW()+7)="TBA",INDEX(#REF!,ROW()+7)="TBC"), IF(INDEX(#REF!,ROW()+7)="START",$C$3,""),IF(INDEX(#REF!,ROW()+7)="x",INDEX(#REF!,ROW()+7)+'Date Calculators'!$B$2+ICS4Master!$E58,""))</f>
        <v>#REF!</v>
      </c>
      <c r="J60" s="116" t="e" cm="1">
        <f t="array" ref="J60">IF(I60="","",INDEX(#REF!,ROW()+7))</f>
        <v>#REF!</v>
      </c>
      <c r="K60" s="120" t="e" cm="1">
        <f t="array" ref="K60">IF(I60="","",INDEX(#REF!,ROW()+7))</f>
        <v>#REF!</v>
      </c>
      <c r="L60" s="129" t="e" cm="1">
        <f t="array" ref="L60">IF(OR(I60="",INDEX(#REF!,ROW()+7)=""),"",INDEX(#REF!,ROW()+7))</f>
        <v>#REF!</v>
      </c>
    </row>
    <row r="61" spans="2:12" ht="15" customHeight="1">
      <c r="B61" s="121" t="str">
        <f t="shared" si="5"/>
        <v/>
      </c>
      <c r="C61" s="117" t="str">
        <f t="shared" si="6"/>
        <v/>
      </c>
      <c r="D61" s="116" t="str">
        <f t="shared" si="7"/>
        <v/>
      </c>
      <c r="E61" s="120" t="str">
        <f t="shared" si="8"/>
        <v/>
      </c>
      <c r="F61" s="123" t="str">
        <f t="shared" si="9"/>
        <v/>
      </c>
      <c r="G61" s="126" t="e">
        <f t="shared" si="10"/>
        <v>#REF!</v>
      </c>
      <c r="H61" s="116" t="e">
        <f t="shared" si="4"/>
        <v>#REF!</v>
      </c>
      <c r="I61" s="117" t="e" cm="1">
        <f t="array" ref="I61">IF(OR(INDEX(#REF!,ROW()+8)="START",INDEX(#REF!,ROW()+7)="",INDEX(#REF!,ROW()+7)="START",INDEX(#REF!,ROW()+7)="TBA",INDEX(#REF!,ROW()+7)="TBC"), IF(INDEX(#REF!,ROW()+7)="START",$C$3,""),IF(INDEX(#REF!,ROW()+7)="x",INDEX(#REF!,ROW()+7)+'Date Calculators'!$B$2+ICS4Master!$E59,""))</f>
        <v>#REF!</v>
      </c>
      <c r="J61" s="116" t="e" cm="1">
        <f t="array" ref="J61">IF(I61="","",INDEX(#REF!,ROW()+7))</f>
        <v>#REF!</v>
      </c>
      <c r="K61" s="120" t="e" cm="1">
        <f t="array" ref="K61">IF(I61="","",INDEX(#REF!,ROW()+7))</f>
        <v>#REF!</v>
      </c>
      <c r="L61" s="129" t="e" cm="1">
        <f t="array" ref="L61">IF(OR(I61="",INDEX(#REF!,ROW()+7)=""),"",INDEX(#REF!,ROW()+7))</f>
        <v>#REF!</v>
      </c>
    </row>
    <row r="62" spans="2:12" ht="15" customHeight="1">
      <c r="B62" s="121" t="str">
        <f t="shared" si="5"/>
        <v/>
      </c>
      <c r="C62" s="117" t="str">
        <f t="shared" si="6"/>
        <v/>
      </c>
      <c r="D62" s="116" t="str">
        <f t="shared" si="7"/>
        <v/>
      </c>
      <c r="E62" s="120" t="str">
        <f t="shared" si="8"/>
        <v/>
      </c>
      <c r="F62" s="123" t="str">
        <f t="shared" si="9"/>
        <v/>
      </c>
      <c r="G62" s="126" t="e">
        <f t="shared" si="10"/>
        <v>#REF!</v>
      </c>
      <c r="H62" s="116" t="e">
        <f t="shared" si="4"/>
        <v>#REF!</v>
      </c>
      <c r="I62" s="117" t="e" cm="1">
        <f t="array" ref="I62">IF(OR(INDEX(#REF!,ROW()+8)="START",INDEX(#REF!,ROW()+7)="",INDEX(#REF!,ROW()+7)="START",INDEX(#REF!,ROW()+7)="TBA",INDEX(#REF!,ROW()+7)="TBC"), IF(INDEX(#REF!,ROW()+7)="START",$C$3,""),IF(INDEX(#REF!,ROW()+7)="x",INDEX(#REF!,ROW()+7)+'Date Calculators'!$B$2+ICS4Master!$E60,""))</f>
        <v>#REF!</v>
      </c>
      <c r="J62" s="116" t="e" cm="1">
        <f t="array" ref="J62">IF(I62="","",INDEX(#REF!,ROW()+7))</f>
        <v>#REF!</v>
      </c>
      <c r="K62" s="120" t="e" cm="1">
        <f t="array" ref="K62">IF(I62="","",INDEX(#REF!,ROW()+7))</f>
        <v>#REF!</v>
      </c>
      <c r="L62" s="129" t="e" cm="1">
        <f t="array" ref="L62">IF(OR(I62="",INDEX(#REF!,ROW()+7)=""),"",INDEX(#REF!,ROW()+7))</f>
        <v>#REF!</v>
      </c>
    </row>
    <row r="63" spans="2:12" ht="15" customHeight="1">
      <c r="B63" s="121" t="str">
        <f t="shared" si="5"/>
        <v/>
      </c>
      <c r="C63" s="117" t="str">
        <f t="shared" si="6"/>
        <v/>
      </c>
      <c r="D63" s="116" t="str">
        <f t="shared" si="7"/>
        <v/>
      </c>
      <c r="E63" s="120" t="str">
        <f t="shared" si="8"/>
        <v/>
      </c>
      <c r="F63" s="123" t="str">
        <f t="shared" si="9"/>
        <v/>
      </c>
      <c r="G63" s="126" t="e">
        <f t="shared" si="10"/>
        <v>#REF!</v>
      </c>
      <c r="H63" s="116" t="e">
        <f t="shared" si="4"/>
        <v>#REF!</v>
      </c>
      <c r="I63" s="117" t="e" cm="1">
        <f t="array" ref="I63">IF(OR(INDEX(#REF!,ROW()+8)="START",INDEX(#REF!,ROW()+7)="",INDEX(#REF!,ROW()+7)="START",INDEX(#REF!,ROW()+7)="TBA",INDEX(#REF!,ROW()+7)="TBC"), IF(INDEX(#REF!,ROW()+7)="START",$C$3,""),IF(INDEX(#REF!,ROW()+7)="x",INDEX(#REF!,ROW()+7)+'Date Calculators'!$B$2+ICS4Master!$E61,""))</f>
        <v>#REF!</v>
      </c>
      <c r="J63" s="116" t="e" cm="1">
        <f t="array" ref="J63">IF(I63="","",INDEX(#REF!,ROW()+7))</f>
        <v>#REF!</v>
      </c>
      <c r="K63" s="120" t="e" cm="1">
        <f t="array" ref="K63">IF(I63="","",INDEX(#REF!,ROW()+7))</f>
        <v>#REF!</v>
      </c>
      <c r="L63" s="129" t="e" cm="1">
        <f t="array" ref="L63">IF(OR(I63="",INDEX(#REF!,ROW()+7)=""),"",INDEX(#REF!,ROW()+7))</f>
        <v>#REF!</v>
      </c>
    </row>
    <row r="64" spans="2:12" ht="15" customHeight="1">
      <c r="B64" s="121" t="str">
        <f t="shared" si="5"/>
        <v/>
      </c>
      <c r="C64" s="117" t="str">
        <f t="shared" si="6"/>
        <v/>
      </c>
      <c r="D64" s="116" t="str">
        <f t="shared" si="7"/>
        <v/>
      </c>
      <c r="E64" s="120" t="str">
        <f t="shared" si="8"/>
        <v/>
      </c>
      <c r="F64" s="123" t="str">
        <f t="shared" si="9"/>
        <v/>
      </c>
      <c r="G64" s="126" t="e">
        <f t="shared" si="10"/>
        <v>#REF!</v>
      </c>
      <c r="H64" s="116" t="e">
        <f t="shared" si="4"/>
        <v>#REF!</v>
      </c>
      <c r="I64" s="117" t="e" cm="1">
        <f t="array" ref="I64">IF(OR(INDEX(#REF!,ROW()+8)="START",INDEX(#REF!,ROW()+7)="",INDEX(#REF!,ROW()+7)="START",INDEX(#REF!,ROW()+7)="TBA",INDEX(#REF!,ROW()+7)="TBC"), IF(INDEX(#REF!,ROW()+7)="START",$C$3,""),IF(INDEX(#REF!,ROW()+7)="x",INDEX(#REF!,ROW()+7)+'Date Calculators'!$B$2+ICS4Master!$E62,""))</f>
        <v>#REF!</v>
      </c>
      <c r="J64" s="116" t="e" cm="1">
        <f t="array" ref="J64">IF(I64="","",INDEX(#REF!,ROW()+7))</f>
        <v>#REF!</v>
      </c>
      <c r="K64" s="120" t="e" cm="1">
        <f t="array" ref="K64">IF(I64="","",INDEX(#REF!,ROW()+7))</f>
        <v>#REF!</v>
      </c>
      <c r="L64" s="129" t="e" cm="1">
        <f t="array" ref="L64">IF(OR(I64="",INDEX(#REF!,ROW()+7)=""),"",INDEX(#REF!,ROW()+7))</f>
        <v>#REF!</v>
      </c>
    </row>
    <row r="65" spans="2:12" ht="15" customHeight="1">
      <c r="B65" s="121" t="str">
        <f t="shared" si="5"/>
        <v/>
      </c>
      <c r="C65" s="117" t="str">
        <f t="shared" si="6"/>
        <v/>
      </c>
      <c r="D65" s="116" t="str">
        <f t="shared" si="7"/>
        <v/>
      </c>
      <c r="E65" s="120" t="str">
        <f t="shared" si="8"/>
        <v/>
      </c>
      <c r="F65" s="123" t="str">
        <f t="shared" si="9"/>
        <v/>
      </c>
      <c r="G65" s="126" t="e">
        <f t="shared" si="10"/>
        <v>#REF!</v>
      </c>
      <c r="H65" s="116" t="e">
        <f t="shared" si="4"/>
        <v>#REF!</v>
      </c>
      <c r="I65" s="117" t="e" cm="1">
        <f t="array" ref="I65">IF(OR(INDEX(#REF!,ROW()+8)="START",INDEX(#REF!,ROW()+7)="",INDEX(#REF!,ROW()+7)="START",INDEX(#REF!,ROW()+7)="TBA",INDEX(#REF!,ROW()+7)="TBC"), IF(INDEX(#REF!,ROW()+7)="START",$C$3,""),IF(INDEX(#REF!,ROW()+7)="x",INDEX(#REF!,ROW()+7)+'Date Calculators'!$B$2+ICS4Master!$E63,""))</f>
        <v>#REF!</v>
      </c>
      <c r="J65" s="116" t="e" cm="1">
        <f t="array" ref="J65">IF(I65="","",INDEX(#REF!,ROW()+7))</f>
        <v>#REF!</v>
      </c>
      <c r="K65" s="120" t="e" cm="1">
        <f t="array" ref="K65">IF(I65="","",INDEX(#REF!,ROW()+7))</f>
        <v>#REF!</v>
      </c>
      <c r="L65" s="129" t="e" cm="1">
        <f t="array" ref="L65">IF(OR(I65="",INDEX(#REF!,ROW()+7)=""),"",INDEX(#REF!,ROW()+7))</f>
        <v>#REF!</v>
      </c>
    </row>
    <row r="66" spans="2:12" ht="15" customHeight="1">
      <c r="B66" s="121" t="str">
        <f t="shared" si="5"/>
        <v/>
      </c>
      <c r="C66" s="117" t="str">
        <f t="shared" si="6"/>
        <v/>
      </c>
      <c r="D66" s="116" t="str">
        <f t="shared" si="7"/>
        <v/>
      </c>
      <c r="E66" s="120" t="str">
        <f t="shared" si="8"/>
        <v/>
      </c>
      <c r="F66" s="123" t="str">
        <f t="shared" si="9"/>
        <v/>
      </c>
      <c r="G66" s="126" t="e">
        <f t="shared" si="10"/>
        <v>#REF!</v>
      </c>
      <c r="H66" s="116" t="e">
        <f t="shared" si="4"/>
        <v>#REF!</v>
      </c>
      <c r="I66" s="117" t="e" cm="1">
        <f t="array" ref="I66">IF(OR(INDEX(#REF!,ROW()+8)="START",INDEX(#REF!,ROW()+7)="",INDEX(#REF!,ROW()+7)="START",INDEX(#REF!,ROW()+7)="TBA",INDEX(#REF!,ROW()+7)="TBC"), IF(INDEX(#REF!,ROW()+7)="START",$C$3,""),IF(INDEX(#REF!,ROW()+7)="x",INDEX(#REF!,ROW()+7)+'Date Calculators'!$B$2+ICS4Master!$E64,""))</f>
        <v>#REF!</v>
      </c>
      <c r="J66" s="116" t="e" cm="1">
        <f t="array" ref="J66">IF(I66="","",INDEX(#REF!,ROW()+7))</f>
        <v>#REF!</v>
      </c>
      <c r="K66" s="120" t="e" cm="1">
        <f t="array" ref="K66">IF(I66="","",INDEX(#REF!,ROW()+7))</f>
        <v>#REF!</v>
      </c>
      <c r="L66" s="129" t="e" cm="1">
        <f t="array" ref="L66">IF(OR(I66="",INDEX(#REF!,ROW()+7)=""),"",INDEX(#REF!,ROW()+7))</f>
        <v>#REF!</v>
      </c>
    </row>
    <row r="67" spans="2:12" ht="15" customHeight="1">
      <c r="B67" s="121" t="str">
        <f t="shared" si="5"/>
        <v/>
      </c>
      <c r="C67" s="117" t="str">
        <f t="shared" si="6"/>
        <v/>
      </c>
      <c r="D67" s="116" t="str">
        <f t="shared" si="7"/>
        <v/>
      </c>
      <c r="E67" s="120" t="str">
        <f t="shared" si="8"/>
        <v/>
      </c>
      <c r="F67" s="123" t="str">
        <f t="shared" si="9"/>
        <v/>
      </c>
      <c r="G67" s="126" t="e">
        <f t="shared" si="10"/>
        <v>#REF!</v>
      </c>
      <c r="H67" s="116" t="e">
        <f t="shared" si="4"/>
        <v>#REF!</v>
      </c>
      <c r="I67" s="117" t="e" cm="1">
        <f t="array" ref="I67">IF(OR(INDEX(#REF!,ROW()+8)="START",INDEX(#REF!,ROW()+7)="",INDEX(#REF!,ROW()+7)="START",INDEX(#REF!,ROW()+7)="TBA",INDEX(#REF!,ROW()+7)="TBC"), IF(INDEX(#REF!,ROW()+7)="START",$C$3,""),IF(INDEX(#REF!,ROW()+7)="x",INDEX(#REF!,ROW()+7)+'Date Calculators'!$B$2+ICS4Master!$E65,""))</f>
        <v>#REF!</v>
      </c>
      <c r="J67" s="116" t="e" cm="1">
        <f t="array" ref="J67">IF(I67="","",INDEX(#REF!,ROW()+7))</f>
        <v>#REF!</v>
      </c>
      <c r="K67" s="120" t="e" cm="1">
        <f t="array" ref="K67">IF(I67="","",INDEX(#REF!,ROW()+7))</f>
        <v>#REF!</v>
      </c>
      <c r="L67" s="129" t="e" cm="1">
        <f t="array" ref="L67">IF(OR(I67="",INDEX(#REF!,ROW()+7)=""),"",INDEX(#REF!,ROW()+7))</f>
        <v>#REF!</v>
      </c>
    </row>
    <row r="68" spans="2:12" ht="15" customHeight="1">
      <c r="B68" s="121" t="str">
        <f t="shared" si="5"/>
        <v/>
      </c>
      <c r="C68" s="117" t="str">
        <f t="shared" si="6"/>
        <v/>
      </c>
      <c r="D68" s="116" t="str">
        <f t="shared" si="7"/>
        <v/>
      </c>
      <c r="E68" s="120" t="str">
        <f t="shared" si="8"/>
        <v/>
      </c>
      <c r="F68" s="123" t="str">
        <f t="shared" si="9"/>
        <v/>
      </c>
      <c r="G68" s="126" t="e">
        <f t="shared" si="10"/>
        <v>#REF!</v>
      </c>
      <c r="H68" s="116" t="e">
        <f t="shared" ref="H68:H131" si="11">IF(I68="","",IF(I68="END","START",IF(OR(I67="END",I67=I68,I67=""),I68-$U$3,IFERROR(IF(I67&gt;I68,I68-$U$3,I67),I67))))</f>
        <v>#REF!</v>
      </c>
      <c r="I68" s="117" t="e" cm="1">
        <f t="array" ref="I68">IF(OR(INDEX(#REF!,ROW()+8)="START",INDEX(#REF!,ROW()+7)="",INDEX(#REF!,ROW()+7)="START",INDEX(#REF!,ROW()+7)="TBA",INDEX(#REF!,ROW()+7)="TBC"), IF(INDEX(#REF!,ROW()+7)="START",$C$3,""),IF(INDEX(#REF!,ROW()+7)="x",INDEX(#REF!,ROW()+7)+'Date Calculators'!$B$2+ICS4Master!$E66,""))</f>
        <v>#REF!</v>
      </c>
      <c r="J68" s="116" t="e" cm="1">
        <f t="array" ref="J68">IF(I68="","",INDEX(#REF!,ROW()+7))</f>
        <v>#REF!</v>
      </c>
      <c r="K68" s="120" t="e" cm="1">
        <f t="array" ref="K68">IF(I68="","",INDEX(#REF!,ROW()+7))</f>
        <v>#REF!</v>
      </c>
      <c r="L68" s="129" t="e" cm="1">
        <f t="array" ref="L68">IF(OR(I68="",INDEX(#REF!,ROW()+7)=""),"",INDEX(#REF!,ROW()+7))</f>
        <v>#REF!</v>
      </c>
    </row>
    <row r="69" spans="2:12" ht="15" customHeight="1">
      <c r="B69" s="121" t="str">
        <f t="shared" ref="B69:B132" si="12">IFERROR(IF(AND(INDEX($H$4:$H$500,MATCH(ROW()-3,$G$4:$G$500,0))&gt;C68,INDEX($I$4:$I$500,MATCH(ROW()-3,$G$4:$G$500,0))&lt;&gt;"END"),C68,INDEX($H$4:$H$500,MATCH(ROW()-3,$G$4:$G$500,0))),"")</f>
        <v/>
      </c>
      <c r="C69" s="117" t="str">
        <f t="shared" ref="C69:C132" si="13">IFERROR(INDEX($I$4:$I$500,MATCH(ROW()-3,$G$4:$G$500,0)),"")</f>
        <v/>
      </c>
      <c r="D69" s="116" t="str">
        <f t="shared" ref="D69:D132" si="14">IFERROR(INDEX($J$4:$J$500,MATCH(ROW()-3,$G$4:$G$500,0)),"")</f>
        <v/>
      </c>
      <c r="E69" s="120" t="str">
        <f t="shared" ref="E69:E132" si="15">IFERROR(INDEX($K$4:$K$500,MATCH(ROW()-3,$G$4:$G$500,0)),"")</f>
        <v/>
      </c>
      <c r="F69" s="123" t="str">
        <f t="shared" ref="F69:F132" si="16">IFERROR(INDEX($L$4:$L$500,MATCH(ROW()-3,$G$4:$G$500,0)),"")</f>
        <v/>
      </c>
      <c r="G69" s="126" t="e">
        <f t="shared" ref="G69:G132" si="17">G68+IF(I69&lt;&gt;"",1,0)</f>
        <v>#REF!</v>
      </c>
      <c r="H69" s="116" t="e">
        <f t="shared" si="11"/>
        <v>#REF!</v>
      </c>
      <c r="I69" s="117" t="e" cm="1">
        <f t="array" ref="I69">IF(OR(INDEX(#REF!,ROW()+8)="START",INDEX(#REF!,ROW()+7)="",INDEX(#REF!,ROW()+7)="START",INDEX(#REF!,ROW()+7)="TBA",INDEX(#REF!,ROW()+7)="TBC"), IF(INDEX(#REF!,ROW()+7)="START",$C$3,""),IF(INDEX(#REF!,ROW()+7)="x",INDEX(#REF!,ROW()+7)+'Date Calculators'!$B$2+ICS4Master!$E67,""))</f>
        <v>#REF!</v>
      </c>
      <c r="J69" s="116" t="e" cm="1">
        <f t="array" ref="J69">IF(I69="","",INDEX(#REF!,ROW()+7))</f>
        <v>#REF!</v>
      </c>
      <c r="K69" s="120" t="e" cm="1">
        <f t="array" ref="K69">IF(I69="","",INDEX(#REF!,ROW()+7))</f>
        <v>#REF!</v>
      </c>
      <c r="L69" s="129" t="e" cm="1">
        <f t="array" ref="L69">IF(OR(I69="",INDEX(#REF!,ROW()+7)=""),"",INDEX(#REF!,ROW()+7))</f>
        <v>#REF!</v>
      </c>
    </row>
    <row r="70" spans="2:12" ht="15" customHeight="1">
      <c r="B70" s="121" t="str">
        <f t="shared" si="12"/>
        <v/>
      </c>
      <c r="C70" s="117" t="str">
        <f t="shared" si="13"/>
        <v/>
      </c>
      <c r="D70" s="116" t="str">
        <f t="shared" si="14"/>
        <v/>
      </c>
      <c r="E70" s="120" t="str">
        <f t="shared" si="15"/>
        <v/>
      </c>
      <c r="F70" s="123" t="str">
        <f t="shared" si="16"/>
        <v/>
      </c>
      <c r="G70" s="126" t="e">
        <f t="shared" si="17"/>
        <v>#REF!</v>
      </c>
      <c r="H70" s="116" t="e">
        <f t="shared" si="11"/>
        <v>#REF!</v>
      </c>
      <c r="I70" s="117" t="e" cm="1">
        <f t="array" ref="I70">IF(OR(INDEX(#REF!,ROW()+8)="START",INDEX(#REF!,ROW()+7)="",INDEX(#REF!,ROW()+7)="START",INDEX(#REF!,ROW()+7)="TBA",INDEX(#REF!,ROW()+7)="TBC"), IF(INDEX(#REF!,ROW()+7)="START",$C$3,""),IF(INDEX(#REF!,ROW()+7)="x",INDEX(#REF!,ROW()+7)+'Date Calculators'!$B$2+ICS4Master!$E68,""))</f>
        <v>#REF!</v>
      </c>
      <c r="J70" s="116" t="e" cm="1">
        <f t="array" ref="J70">IF(I70="","",INDEX(#REF!,ROW()+7))</f>
        <v>#REF!</v>
      </c>
      <c r="K70" s="120" t="e" cm="1">
        <f t="array" ref="K70">IF(I70="","",INDEX(#REF!,ROW()+7))</f>
        <v>#REF!</v>
      </c>
      <c r="L70" s="129" t="e" cm="1">
        <f t="array" ref="L70">IF(OR(I70="",INDEX(#REF!,ROW()+7)=""),"",INDEX(#REF!,ROW()+7))</f>
        <v>#REF!</v>
      </c>
    </row>
    <row r="71" spans="2:12" ht="15" customHeight="1">
      <c r="B71" s="121" t="str">
        <f t="shared" si="12"/>
        <v/>
      </c>
      <c r="C71" s="117" t="str">
        <f t="shared" si="13"/>
        <v/>
      </c>
      <c r="D71" s="116" t="str">
        <f t="shared" si="14"/>
        <v/>
      </c>
      <c r="E71" s="120" t="str">
        <f t="shared" si="15"/>
        <v/>
      </c>
      <c r="F71" s="123" t="str">
        <f t="shared" si="16"/>
        <v/>
      </c>
      <c r="G71" s="126" t="e">
        <f t="shared" si="17"/>
        <v>#REF!</v>
      </c>
      <c r="H71" s="116" t="e">
        <f t="shared" si="11"/>
        <v>#REF!</v>
      </c>
      <c r="I71" s="117" t="e" cm="1">
        <f t="array" ref="I71">IF(OR(INDEX(#REF!,ROW()+8)="START",INDEX(#REF!,ROW()+7)="",INDEX(#REF!,ROW()+7)="START",INDEX(#REF!,ROW()+7)="TBA",INDEX(#REF!,ROW()+7)="TBC"), IF(INDEX(#REF!,ROW()+7)="START",$C$3,""),IF(INDEX(#REF!,ROW()+7)="x",INDEX(#REF!,ROW()+7)+'Date Calculators'!$B$2+ICS4Master!$E69,""))</f>
        <v>#REF!</v>
      </c>
      <c r="J71" s="116" t="e" cm="1">
        <f t="array" ref="J71">IF(I71="","",INDEX(#REF!,ROW()+7))</f>
        <v>#REF!</v>
      </c>
      <c r="K71" s="120" t="e" cm="1">
        <f t="array" ref="K71">IF(I71="","",INDEX(#REF!,ROW()+7))</f>
        <v>#REF!</v>
      </c>
      <c r="L71" s="129" t="e" cm="1">
        <f t="array" ref="L71">IF(OR(I71="",INDEX(#REF!,ROW()+7)=""),"",INDEX(#REF!,ROW()+7))</f>
        <v>#REF!</v>
      </c>
    </row>
    <row r="72" spans="2:12" ht="15" customHeight="1">
      <c r="B72" s="121" t="str">
        <f t="shared" si="12"/>
        <v/>
      </c>
      <c r="C72" s="117" t="str">
        <f t="shared" si="13"/>
        <v/>
      </c>
      <c r="D72" s="116" t="str">
        <f t="shared" si="14"/>
        <v/>
      </c>
      <c r="E72" s="120" t="str">
        <f t="shared" si="15"/>
        <v/>
      </c>
      <c r="F72" s="123" t="str">
        <f t="shared" si="16"/>
        <v/>
      </c>
      <c r="G72" s="126" t="e">
        <f t="shared" si="17"/>
        <v>#REF!</v>
      </c>
      <c r="H72" s="116" t="e">
        <f t="shared" si="11"/>
        <v>#REF!</v>
      </c>
      <c r="I72" s="117" t="e" cm="1">
        <f t="array" ref="I72">IF(OR(INDEX(#REF!,ROW()+8)="START",INDEX(#REF!,ROW()+7)="",INDEX(#REF!,ROW()+7)="START",INDEX(#REF!,ROW()+7)="TBA",INDEX(#REF!,ROW()+7)="TBC"), IF(INDEX(#REF!,ROW()+7)="START",$C$3,""),IF(INDEX(#REF!,ROW()+7)="x",INDEX(#REF!,ROW()+7)+'Date Calculators'!$B$2+ICS4Master!$E70,""))</f>
        <v>#REF!</v>
      </c>
      <c r="J72" s="116" t="e" cm="1">
        <f t="array" ref="J72">IF(I72="","",INDEX(#REF!,ROW()+7))</f>
        <v>#REF!</v>
      </c>
      <c r="K72" s="120" t="e" cm="1">
        <f t="array" ref="K72">IF(I72="","",INDEX(#REF!,ROW()+7))</f>
        <v>#REF!</v>
      </c>
      <c r="L72" s="129" t="e" cm="1">
        <f t="array" ref="L72">IF(OR(I72="",INDEX(#REF!,ROW()+7)=""),"",INDEX(#REF!,ROW()+7))</f>
        <v>#REF!</v>
      </c>
    </row>
    <row r="73" spans="2:12" ht="15" customHeight="1">
      <c r="B73" s="121" t="str">
        <f t="shared" si="12"/>
        <v/>
      </c>
      <c r="C73" s="117" t="str">
        <f t="shared" si="13"/>
        <v/>
      </c>
      <c r="D73" s="116" t="str">
        <f t="shared" si="14"/>
        <v/>
      </c>
      <c r="E73" s="120" t="str">
        <f t="shared" si="15"/>
        <v/>
      </c>
      <c r="F73" s="123" t="str">
        <f t="shared" si="16"/>
        <v/>
      </c>
      <c r="G73" s="126" t="e">
        <f t="shared" si="17"/>
        <v>#REF!</v>
      </c>
      <c r="H73" s="116" t="e">
        <f t="shared" si="11"/>
        <v>#REF!</v>
      </c>
      <c r="I73" s="117" t="e" cm="1">
        <f t="array" ref="I73">IF(OR(INDEX(#REF!,ROW()+8)="START",INDEX(#REF!,ROW()+7)="",INDEX(#REF!,ROW()+7)="START",INDEX(#REF!,ROW()+7)="TBA",INDEX(#REF!,ROW()+7)="TBC"), IF(INDEX(#REF!,ROW()+7)="START",$C$3,""),IF(INDEX(#REF!,ROW()+7)="x",INDEX(#REF!,ROW()+7)+'Date Calculators'!$B$2+ICS4Master!$E71,""))</f>
        <v>#REF!</v>
      </c>
      <c r="J73" s="116" t="e" cm="1">
        <f t="array" ref="J73">IF(I73="","",INDEX(#REF!,ROW()+7))</f>
        <v>#REF!</v>
      </c>
      <c r="K73" s="120" t="e" cm="1">
        <f t="array" ref="K73">IF(I73="","",INDEX(#REF!,ROW()+7))</f>
        <v>#REF!</v>
      </c>
      <c r="L73" s="129" t="e" cm="1">
        <f t="array" ref="L73">IF(OR(I73="",INDEX(#REF!,ROW()+7)=""),"",INDEX(#REF!,ROW()+7))</f>
        <v>#REF!</v>
      </c>
    </row>
    <row r="74" spans="2:12" ht="15" customHeight="1">
      <c r="B74" s="121" t="str">
        <f t="shared" si="12"/>
        <v/>
      </c>
      <c r="C74" s="117" t="str">
        <f t="shared" si="13"/>
        <v/>
      </c>
      <c r="D74" s="116" t="str">
        <f t="shared" si="14"/>
        <v/>
      </c>
      <c r="E74" s="120" t="str">
        <f t="shared" si="15"/>
        <v/>
      </c>
      <c r="F74" s="123" t="str">
        <f t="shared" si="16"/>
        <v/>
      </c>
      <c r="G74" s="126" t="e">
        <f t="shared" si="17"/>
        <v>#REF!</v>
      </c>
      <c r="H74" s="116" t="e">
        <f t="shared" si="11"/>
        <v>#REF!</v>
      </c>
      <c r="I74" s="117" t="e" cm="1">
        <f t="array" ref="I74">IF(OR(INDEX(#REF!,ROW()+8)="START",INDEX(#REF!,ROW()+7)="",INDEX(#REF!,ROW()+7)="START",INDEX(#REF!,ROW()+7)="TBA",INDEX(#REF!,ROW()+7)="TBC"), IF(INDEX(#REF!,ROW()+7)="START",$C$3,""),IF(INDEX(#REF!,ROW()+7)="x",INDEX(#REF!,ROW()+7)+'Date Calculators'!$B$2+ICS4Master!$E72,""))</f>
        <v>#REF!</v>
      </c>
      <c r="J74" s="116" t="e" cm="1">
        <f t="array" ref="J74">IF(I74="","",INDEX(#REF!,ROW()+7))</f>
        <v>#REF!</v>
      </c>
      <c r="K74" s="120" t="e" cm="1">
        <f t="array" ref="K74">IF(I74="","",INDEX(#REF!,ROW()+7))</f>
        <v>#REF!</v>
      </c>
      <c r="L74" s="129" t="e" cm="1">
        <f t="array" ref="L74">IF(OR(I74="",INDEX(#REF!,ROW()+7)=""),"",INDEX(#REF!,ROW()+7))</f>
        <v>#REF!</v>
      </c>
    </row>
    <row r="75" spans="2:12" ht="15" customHeight="1">
      <c r="B75" s="121" t="str">
        <f t="shared" si="12"/>
        <v/>
      </c>
      <c r="C75" s="117" t="str">
        <f t="shared" si="13"/>
        <v/>
      </c>
      <c r="D75" s="116" t="str">
        <f t="shared" si="14"/>
        <v/>
      </c>
      <c r="E75" s="120" t="str">
        <f t="shared" si="15"/>
        <v/>
      </c>
      <c r="F75" s="123" t="str">
        <f t="shared" si="16"/>
        <v/>
      </c>
      <c r="G75" s="126" t="e">
        <f t="shared" si="17"/>
        <v>#REF!</v>
      </c>
      <c r="H75" s="116" t="e">
        <f t="shared" si="11"/>
        <v>#REF!</v>
      </c>
      <c r="I75" s="117" t="e" cm="1">
        <f t="array" ref="I75">IF(OR(INDEX(#REF!,ROW()+8)="START",INDEX(#REF!,ROW()+7)="",INDEX(#REF!,ROW()+7)="START",INDEX(#REF!,ROW()+7)="TBA",INDEX(#REF!,ROW()+7)="TBC"), IF(INDEX(#REF!,ROW()+7)="START",$C$3,""),IF(INDEX(#REF!,ROW()+7)="x",INDEX(#REF!,ROW()+7)+'Date Calculators'!$B$2+ICS4Master!$E73,""))</f>
        <v>#REF!</v>
      </c>
      <c r="J75" s="116" t="e" cm="1">
        <f t="array" ref="J75">IF(I75="","",INDEX(#REF!,ROW()+7))</f>
        <v>#REF!</v>
      </c>
      <c r="K75" s="120" t="e" cm="1">
        <f t="array" ref="K75">IF(I75="","",INDEX(#REF!,ROW()+7))</f>
        <v>#REF!</v>
      </c>
      <c r="L75" s="129" t="e" cm="1">
        <f t="array" ref="L75">IF(OR(I75="",INDEX(#REF!,ROW()+7)=""),"",INDEX(#REF!,ROW()+7))</f>
        <v>#REF!</v>
      </c>
    </row>
    <row r="76" spans="2:12" ht="15" customHeight="1">
      <c r="B76" s="121" t="str">
        <f t="shared" si="12"/>
        <v/>
      </c>
      <c r="C76" s="117" t="str">
        <f t="shared" si="13"/>
        <v/>
      </c>
      <c r="D76" s="116" t="str">
        <f t="shared" si="14"/>
        <v/>
      </c>
      <c r="E76" s="120" t="str">
        <f t="shared" si="15"/>
        <v/>
      </c>
      <c r="F76" s="123" t="str">
        <f t="shared" si="16"/>
        <v/>
      </c>
      <c r="G76" s="126" t="e">
        <f t="shared" si="17"/>
        <v>#REF!</v>
      </c>
      <c r="H76" s="116" t="e">
        <f t="shared" si="11"/>
        <v>#REF!</v>
      </c>
      <c r="I76" s="117" t="e" cm="1">
        <f t="array" ref="I76">IF(OR(INDEX(#REF!,ROW()+8)="START",INDEX(#REF!,ROW()+7)="",INDEX(#REF!,ROW()+7)="START",INDEX(#REF!,ROW()+7)="TBA",INDEX(#REF!,ROW()+7)="TBC"), IF(INDEX(#REF!,ROW()+7)="START",$C$3,""),IF(INDEX(#REF!,ROW()+7)="x",INDEX(#REF!,ROW()+7)+'Date Calculators'!$B$2+ICS4Master!$E74,""))</f>
        <v>#REF!</v>
      </c>
      <c r="J76" s="116" t="e" cm="1">
        <f t="array" ref="J76">IF(I76="","",INDEX(#REF!,ROW()+7))</f>
        <v>#REF!</v>
      </c>
      <c r="K76" s="120" t="e" cm="1">
        <f t="array" ref="K76">IF(I76="","",INDEX(#REF!,ROW()+7))</f>
        <v>#REF!</v>
      </c>
      <c r="L76" s="129" t="e" cm="1">
        <f t="array" ref="L76">IF(OR(I76="",INDEX(#REF!,ROW()+7)=""),"",INDEX(#REF!,ROW()+7))</f>
        <v>#REF!</v>
      </c>
    </row>
    <row r="77" spans="2:12" ht="15" customHeight="1">
      <c r="B77" s="121" t="str">
        <f t="shared" si="12"/>
        <v/>
      </c>
      <c r="C77" s="117" t="str">
        <f t="shared" si="13"/>
        <v/>
      </c>
      <c r="D77" s="116" t="str">
        <f t="shared" si="14"/>
        <v/>
      </c>
      <c r="E77" s="120" t="str">
        <f t="shared" si="15"/>
        <v/>
      </c>
      <c r="F77" s="123" t="str">
        <f t="shared" si="16"/>
        <v/>
      </c>
      <c r="G77" s="126" t="e">
        <f t="shared" si="17"/>
        <v>#REF!</v>
      </c>
      <c r="H77" s="116" t="e">
        <f t="shared" si="11"/>
        <v>#REF!</v>
      </c>
      <c r="I77" s="117" t="e" cm="1">
        <f t="array" ref="I77">IF(OR(INDEX(#REF!,ROW()+8)="START",INDEX(#REF!,ROW()+7)="",INDEX(#REF!,ROW()+7)="START",INDEX(#REF!,ROW()+7)="TBA",INDEX(#REF!,ROW()+7)="TBC"), IF(INDEX(#REF!,ROW()+7)="START",$C$3,""),IF(INDEX(#REF!,ROW()+7)="x",INDEX(#REF!,ROW()+7)+'Date Calculators'!$B$2+ICS4Master!$E75,""))</f>
        <v>#REF!</v>
      </c>
      <c r="J77" s="116" t="e" cm="1">
        <f t="array" ref="J77">IF(I77="","",INDEX(#REF!,ROW()+7))</f>
        <v>#REF!</v>
      </c>
      <c r="K77" s="120" t="e" cm="1">
        <f t="array" ref="K77">IF(I77="","",INDEX(#REF!,ROW()+7))</f>
        <v>#REF!</v>
      </c>
      <c r="L77" s="129" t="e" cm="1">
        <f t="array" ref="L77">IF(OR(I77="",INDEX(#REF!,ROW()+7)=""),"",INDEX(#REF!,ROW()+7))</f>
        <v>#REF!</v>
      </c>
    </row>
    <row r="78" spans="2:12" ht="15" customHeight="1">
      <c r="B78" s="121" t="str">
        <f t="shared" si="12"/>
        <v/>
      </c>
      <c r="C78" s="117" t="str">
        <f t="shared" si="13"/>
        <v/>
      </c>
      <c r="D78" s="116" t="str">
        <f t="shared" si="14"/>
        <v/>
      </c>
      <c r="E78" s="120" t="str">
        <f t="shared" si="15"/>
        <v/>
      </c>
      <c r="F78" s="123" t="str">
        <f t="shared" si="16"/>
        <v/>
      </c>
      <c r="G78" s="126" t="e">
        <f t="shared" si="17"/>
        <v>#REF!</v>
      </c>
      <c r="H78" s="116" t="e">
        <f t="shared" si="11"/>
        <v>#REF!</v>
      </c>
      <c r="I78" s="117" t="e" cm="1">
        <f t="array" ref="I78">IF(OR(INDEX(#REF!,ROW()+8)="START",INDEX(#REF!,ROW()+7)="",INDEX(#REF!,ROW()+7)="START",INDEX(#REF!,ROW()+7)="TBA",INDEX(#REF!,ROW()+7)="TBC"), IF(INDEX(#REF!,ROW()+7)="START",$C$3,""),IF(INDEX(#REF!,ROW()+7)="x",INDEX(#REF!,ROW()+7)+'Date Calculators'!$B$2+ICS4Master!$E76,""))</f>
        <v>#REF!</v>
      </c>
      <c r="J78" s="116" t="e" cm="1">
        <f t="array" ref="J78">IF(I78="","",INDEX(#REF!,ROW()+7))</f>
        <v>#REF!</v>
      </c>
      <c r="K78" s="120" t="e" cm="1">
        <f t="array" ref="K78">IF(I78="","",INDEX(#REF!,ROW()+7))</f>
        <v>#REF!</v>
      </c>
      <c r="L78" s="129" t="e" cm="1">
        <f t="array" ref="L78">IF(OR(I78="",INDEX(#REF!,ROW()+7)=""),"",INDEX(#REF!,ROW()+7))</f>
        <v>#REF!</v>
      </c>
    </row>
    <row r="79" spans="2:12" ht="15" customHeight="1">
      <c r="B79" s="121" t="str">
        <f t="shared" si="12"/>
        <v/>
      </c>
      <c r="C79" s="117" t="str">
        <f t="shared" si="13"/>
        <v/>
      </c>
      <c r="D79" s="116" t="str">
        <f t="shared" si="14"/>
        <v/>
      </c>
      <c r="E79" s="120" t="str">
        <f t="shared" si="15"/>
        <v/>
      </c>
      <c r="F79" s="123" t="str">
        <f t="shared" si="16"/>
        <v/>
      </c>
      <c r="G79" s="126" t="e">
        <f t="shared" si="17"/>
        <v>#REF!</v>
      </c>
      <c r="H79" s="116" t="e">
        <f t="shared" si="11"/>
        <v>#REF!</v>
      </c>
      <c r="I79" s="117" t="e" cm="1">
        <f t="array" ref="I79">IF(OR(INDEX(#REF!,ROW()+8)="START",INDEX(#REF!,ROW()+7)="",INDEX(#REF!,ROW()+7)="START",INDEX(#REF!,ROW()+7)="TBA",INDEX(#REF!,ROW()+7)="TBC"), IF(INDEX(#REF!,ROW()+7)="START",$C$3,""),IF(INDEX(#REF!,ROW()+7)="x",INDEX(#REF!,ROW()+7)+'Date Calculators'!$B$2+ICS4Master!$E77,""))</f>
        <v>#REF!</v>
      </c>
      <c r="J79" s="116" t="e" cm="1">
        <f t="array" ref="J79">IF(I79="","",INDEX(#REF!,ROW()+7))</f>
        <v>#REF!</v>
      </c>
      <c r="K79" s="120" t="e" cm="1">
        <f t="array" ref="K79">IF(I79="","",INDEX(#REF!,ROW()+7))</f>
        <v>#REF!</v>
      </c>
      <c r="L79" s="129" t="e" cm="1">
        <f t="array" ref="L79">IF(OR(I79="",INDEX(#REF!,ROW()+7)=""),"",INDEX(#REF!,ROW()+7))</f>
        <v>#REF!</v>
      </c>
    </row>
    <row r="80" spans="2:12" ht="15" customHeight="1">
      <c r="B80" s="121" t="str">
        <f t="shared" si="12"/>
        <v/>
      </c>
      <c r="C80" s="117" t="str">
        <f t="shared" si="13"/>
        <v/>
      </c>
      <c r="D80" s="116" t="str">
        <f t="shared" si="14"/>
        <v/>
      </c>
      <c r="E80" s="120" t="str">
        <f t="shared" si="15"/>
        <v/>
      </c>
      <c r="F80" s="123" t="str">
        <f t="shared" si="16"/>
        <v/>
      </c>
      <c r="G80" s="126" t="e">
        <f t="shared" si="17"/>
        <v>#REF!</v>
      </c>
      <c r="H80" s="116" t="e">
        <f t="shared" si="11"/>
        <v>#REF!</v>
      </c>
      <c r="I80" s="117" t="e" cm="1">
        <f t="array" ref="I80">IF(OR(INDEX(#REF!,ROW()+8)="START",INDEX(#REF!,ROW()+7)="",INDEX(#REF!,ROW()+7)="START",INDEX(#REF!,ROW()+7)="TBA",INDEX(#REF!,ROW()+7)="TBC"), IF(INDEX(#REF!,ROW()+7)="START",$C$3,""),IF(INDEX(#REF!,ROW()+7)="x",INDEX(#REF!,ROW()+7)+'Date Calculators'!$B$2+ICS4Master!$E78,""))</f>
        <v>#REF!</v>
      </c>
      <c r="J80" s="116" t="e" cm="1">
        <f t="array" ref="J80">IF(I80="","",INDEX(#REF!,ROW()+7))</f>
        <v>#REF!</v>
      </c>
      <c r="K80" s="120" t="e" cm="1">
        <f t="array" ref="K80">IF(I80="","",INDEX(#REF!,ROW()+7))</f>
        <v>#REF!</v>
      </c>
      <c r="L80" s="129" t="e" cm="1">
        <f t="array" ref="L80">IF(OR(I80="",INDEX(#REF!,ROW()+7)=""),"",INDEX(#REF!,ROW()+7))</f>
        <v>#REF!</v>
      </c>
    </row>
    <row r="81" spans="2:12" ht="15" customHeight="1">
      <c r="B81" s="121" t="str">
        <f t="shared" si="12"/>
        <v/>
      </c>
      <c r="C81" s="117" t="str">
        <f t="shared" si="13"/>
        <v/>
      </c>
      <c r="D81" s="116" t="str">
        <f t="shared" si="14"/>
        <v/>
      </c>
      <c r="E81" s="120" t="str">
        <f t="shared" si="15"/>
        <v/>
      </c>
      <c r="F81" s="123" t="str">
        <f t="shared" si="16"/>
        <v/>
      </c>
      <c r="G81" s="126" t="e">
        <f t="shared" si="17"/>
        <v>#REF!</v>
      </c>
      <c r="H81" s="116" t="e">
        <f t="shared" si="11"/>
        <v>#REF!</v>
      </c>
      <c r="I81" s="117" t="e" cm="1">
        <f t="array" ref="I81">IF(OR(INDEX(#REF!,ROW()+8)="START",INDEX(#REF!,ROW()+7)="",INDEX(#REF!,ROW()+7)="START",INDEX(#REF!,ROW()+7)="TBA",INDEX(#REF!,ROW()+7)="TBC"), IF(INDEX(#REF!,ROW()+7)="START",$C$3,""),IF(INDEX(#REF!,ROW()+7)="x",INDEX(#REF!,ROW()+7)+'Date Calculators'!$B$2+ICS4Master!$E79,""))</f>
        <v>#REF!</v>
      </c>
      <c r="J81" s="116" t="e" cm="1">
        <f t="array" ref="J81">IF(I81="","",INDEX(#REF!,ROW()+7))</f>
        <v>#REF!</v>
      </c>
      <c r="K81" s="120" t="e" cm="1">
        <f t="array" ref="K81">IF(I81="","",INDEX(#REF!,ROW()+7))</f>
        <v>#REF!</v>
      </c>
      <c r="L81" s="129" t="e" cm="1">
        <f t="array" ref="L81">IF(OR(I81="",INDEX(#REF!,ROW()+7)=""),"",INDEX(#REF!,ROW()+7))</f>
        <v>#REF!</v>
      </c>
    </row>
    <row r="82" spans="2:12" ht="15" customHeight="1">
      <c r="B82" s="121" t="str">
        <f t="shared" si="12"/>
        <v/>
      </c>
      <c r="C82" s="117" t="str">
        <f t="shared" si="13"/>
        <v/>
      </c>
      <c r="D82" s="116" t="str">
        <f t="shared" si="14"/>
        <v/>
      </c>
      <c r="E82" s="120" t="str">
        <f t="shared" si="15"/>
        <v/>
      </c>
      <c r="F82" s="123" t="str">
        <f t="shared" si="16"/>
        <v/>
      </c>
      <c r="G82" s="126" t="e">
        <f t="shared" si="17"/>
        <v>#REF!</v>
      </c>
      <c r="H82" s="116" t="e">
        <f t="shared" si="11"/>
        <v>#REF!</v>
      </c>
      <c r="I82" s="117" t="e" cm="1">
        <f t="array" ref="I82">IF(OR(INDEX(#REF!,ROW()+8)="START",INDEX(#REF!,ROW()+7)="",INDEX(#REF!,ROW()+7)="START",INDEX(#REF!,ROW()+7)="TBA",INDEX(#REF!,ROW()+7)="TBC"), IF(INDEX(#REF!,ROW()+7)="START",$C$3,""),IF(INDEX(#REF!,ROW()+7)="x",INDEX(#REF!,ROW()+7)+'Date Calculators'!$B$2+ICS4Master!$E80,""))</f>
        <v>#REF!</v>
      </c>
      <c r="J82" s="116" t="e" cm="1">
        <f t="array" ref="J82">IF(I82="","",INDEX(#REF!,ROW()+7))</f>
        <v>#REF!</v>
      </c>
      <c r="K82" s="120" t="e" cm="1">
        <f t="array" ref="K82">IF(I82="","",INDEX(#REF!,ROW()+7))</f>
        <v>#REF!</v>
      </c>
      <c r="L82" s="129" t="e" cm="1">
        <f t="array" ref="L82">IF(OR(I82="",INDEX(#REF!,ROW()+7)=""),"",INDEX(#REF!,ROW()+7))</f>
        <v>#REF!</v>
      </c>
    </row>
    <row r="83" spans="2:12" ht="15" customHeight="1">
      <c r="B83" s="121" t="str">
        <f t="shared" si="12"/>
        <v/>
      </c>
      <c r="C83" s="117" t="str">
        <f t="shared" si="13"/>
        <v/>
      </c>
      <c r="D83" s="116" t="str">
        <f t="shared" si="14"/>
        <v/>
      </c>
      <c r="E83" s="120" t="str">
        <f t="shared" si="15"/>
        <v/>
      </c>
      <c r="F83" s="123" t="str">
        <f t="shared" si="16"/>
        <v/>
      </c>
      <c r="G83" s="126" t="e">
        <f t="shared" si="17"/>
        <v>#REF!</v>
      </c>
      <c r="H83" s="116" t="e">
        <f t="shared" si="11"/>
        <v>#REF!</v>
      </c>
      <c r="I83" s="117" t="e" cm="1">
        <f t="array" ref="I83">IF(OR(INDEX(#REF!,ROW()+8)="START",INDEX(#REF!,ROW()+7)="",INDEX(#REF!,ROW()+7)="START",INDEX(#REF!,ROW()+7)="TBA",INDEX(#REF!,ROW()+7)="TBC"), IF(INDEX(#REF!,ROW()+7)="START",$C$3,""),IF(INDEX(#REF!,ROW()+7)="x",INDEX(#REF!,ROW()+7)+'Date Calculators'!$B$2+ICS4Master!$E81,""))</f>
        <v>#REF!</v>
      </c>
      <c r="J83" s="116" t="e" cm="1">
        <f t="array" ref="J83">IF(I83="","",INDEX(#REF!,ROW()+7))</f>
        <v>#REF!</v>
      </c>
      <c r="K83" s="120" t="e" cm="1">
        <f t="array" ref="K83">IF(I83="","",INDEX(#REF!,ROW()+7))</f>
        <v>#REF!</v>
      </c>
      <c r="L83" s="129" t="e" cm="1">
        <f t="array" ref="L83">IF(OR(I83="",INDEX(#REF!,ROW()+7)=""),"",INDEX(#REF!,ROW()+7))</f>
        <v>#REF!</v>
      </c>
    </row>
    <row r="84" spans="2:12" ht="15" customHeight="1">
      <c r="B84" s="121" t="str">
        <f t="shared" si="12"/>
        <v/>
      </c>
      <c r="C84" s="117" t="str">
        <f t="shared" si="13"/>
        <v/>
      </c>
      <c r="D84" s="116" t="str">
        <f t="shared" si="14"/>
        <v/>
      </c>
      <c r="E84" s="120" t="str">
        <f t="shared" si="15"/>
        <v/>
      </c>
      <c r="F84" s="123" t="str">
        <f t="shared" si="16"/>
        <v/>
      </c>
      <c r="G84" s="126" t="e">
        <f t="shared" si="17"/>
        <v>#REF!</v>
      </c>
      <c r="H84" s="116" t="e">
        <f t="shared" si="11"/>
        <v>#REF!</v>
      </c>
      <c r="I84" s="117" t="e" cm="1">
        <f t="array" ref="I84">IF(OR(INDEX(#REF!,ROW()+8)="START",INDEX(#REF!,ROW()+7)="",INDEX(#REF!,ROW()+7)="START",INDEX(#REF!,ROW()+7)="TBA",INDEX(#REF!,ROW()+7)="TBC"), IF(INDEX(#REF!,ROW()+7)="START",$C$3,""),IF(INDEX(#REF!,ROW()+7)="x",INDEX(#REF!,ROW()+7)+'Date Calculators'!$B$2+ICS4Master!$E82,""))</f>
        <v>#REF!</v>
      </c>
      <c r="J84" s="116" t="e" cm="1">
        <f t="array" ref="J84">IF(I84="","",INDEX(#REF!,ROW()+7))</f>
        <v>#REF!</v>
      </c>
      <c r="K84" s="120" t="e" cm="1">
        <f t="array" ref="K84">IF(I84="","",INDEX(#REF!,ROW()+7))</f>
        <v>#REF!</v>
      </c>
      <c r="L84" s="129" t="e" cm="1">
        <f t="array" ref="L84">IF(OR(I84="",INDEX(#REF!,ROW()+7)=""),"",INDEX(#REF!,ROW()+7))</f>
        <v>#REF!</v>
      </c>
    </row>
    <row r="85" spans="2:12" ht="15" customHeight="1">
      <c r="B85" s="121" t="str">
        <f t="shared" si="12"/>
        <v/>
      </c>
      <c r="C85" s="117" t="str">
        <f t="shared" si="13"/>
        <v/>
      </c>
      <c r="D85" s="116" t="str">
        <f t="shared" si="14"/>
        <v/>
      </c>
      <c r="E85" s="120" t="str">
        <f t="shared" si="15"/>
        <v/>
      </c>
      <c r="F85" s="123" t="str">
        <f t="shared" si="16"/>
        <v/>
      </c>
      <c r="G85" s="126" t="e">
        <f t="shared" si="17"/>
        <v>#REF!</v>
      </c>
      <c r="H85" s="116" t="e">
        <f t="shared" si="11"/>
        <v>#REF!</v>
      </c>
      <c r="I85" s="117" t="e" cm="1">
        <f t="array" ref="I85">IF(OR(INDEX(#REF!,ROW()+8)="START",INDEX(#REF!,ROW()+7)="",INDEX(#REF!,ROW()+7)="START",INDEX(#REF!,ROW()+7)="TBA",INDEX(#REF!,ROW()+7)="TBC"), IF(INDEX(#REF!,ROW()+7)="START",$C$3,""),IF(INDEX(#REF!,ROW()+7)="x",INDEX(#REF!,ROW()+7)+'Date Calculators'!$B$2+ICS4Master!$E83,""))</f>
        <v>#REF!</v>
      </c>
      <c r="J85" s="116" t="e" cm="1">
        <f t="array" ref="J85">IF(I85="","",INDEX(#REF!,ROW()+7))</f>
        <v>#REF!</v>
      </c>
      <c r="K85" s="120" t="e" cm="1">
        <f t="array" ref="K85">IF(I85="","",INDEX(#REF!,ROW()+7))</f>
        <v>#REF!</v>
      </c>
      <c r="L85" s="129" t="e" cm="1">
        <f t="array" ref="L85">IF(OR(I85="",INDEX(#REF!,ROW()+7)=""),"",INDEX(#REF!,ROW()+7))</f>
        <v>#REF!</v>
      </c>
    </row>
    <row r="86" spans="2:12" ht="15" customHeight="1">
      <c r="B86" s="121" t="str">
        <f t="shared" si="12"/>
        <v/>
      </c>
      <c r="C86" s="117" t="str">
        <f t="shared" si="13"/>
        <v/>
      </c>
      <c r="D86" s="116" t="str">
        <f t="shared" si="14"/>
        <v/>
      </c>
      <c r="E86" s="120" t="str">
        <f t="shared" si="15"/>
        <v/>
      </c>
      <c r="F86" s="123" t="str">
        <f t="shared" si="16"/>
        <v/>
      </c>
      <c r="G86" s="126" t="e">
        <f t="shared" si="17"/>
        <v>#REF!</v>
      </c>
      <c r="H86" s="116" t="e">
        <f t="shared" si="11"/>
        <v>#REF!</v>
      </c>
      <c r="I86" s="117" t="e" cm="1">
        <f t="array" ref="I86">IF(OR(INDEX(#REF!,ROW()+8)="START",INDEX(#REF!,ROW()+7)="",INDEX(#REF!,ROW()+7)="START",INDEX(#REF!,ROW()+7)="TBA",INDEX(#REF!,ROW()+7)="TBC"), IF(INDEX(#REF!,ROW()+7)="START",$C$3,""),IF(INDEX(#REF!,ROW()+7)="x",INDEX(#REF!,ROW()+7)+'Date Calculators'!$B$2+ICS4Master!$E84,""))</f>
        <v>#REF!</v>
      </c>
      <c r="J86" s="116" t="e" cm="1">
        <f t="array" ref="J86">IF(I86="","",INDEX(#REF!,ROW()+7))</f>
        <v>#REF!</v>
      </c>
      <c r="K86" s="120" t="e" cm="1">
        <f t="array" ref="K86">IF(I86="","",INDEX(#REF!,ROW()+7))</f>
        <v>#REF!</v>
      </c>
      <c r="L86" s="129" t="e" cm="1">
        <f t="array" ref="L86">IF(OR(I86="",INDEX(#REF!,ROW()+7)=""),"",INDEX(#REF!,ROW()+7))</f>
        <v>#REF!</v>
      </c>
    </row>
    <row r="87" spans="2:12" ht="15" customHeight="1">
      <c r="B87" s="121" t="str">
        <f t="shared" si="12"/>
        <v/>
      </c>
      <c r="C87" s="117" t="str">
        <f t="shared" si="13"/>
        <v/>
      </c>
      <c r="D87" s="116" t="str">
        <f t="shared" si="14"/>
        <v/>
      </c>
      <c r="E87" s="120" t="str">
        <f t="shared" si="15"/>
        <v/>
      </c>
      <c r="F87" s="123" t="str">
        <f t="shared" si="16"/>
        <v/>
      </c>
      <c r="G87" s="126" t="e">
        <f t="shared" si="17"/>
        <v>#REF!</v>
      </c>
      <c r="H87" s="116" t="e">
        <f t="shared" si="11"/>
        <v>#REF!</v>
      </c>
      <c r="I87" s="117" t="e" cm="1">
        <f t="array" ref="I87">IF(OR(INDEX(#REF!,ROW()+8)="START",INDEX(#REF!,ROW()+7)="",INDEX(#REF!,ROW()+7)="START",INDEX(#REF!,ROW()+7)="TBA",INDEX(#REF!,ROW()+7)="TBC"), IF(INDEX(#REF!,ROW()+7)="START",$C$3,""),IF(INDEX(#REF!,ROW()+7)="x",INDEX(#REF!,ROW()+7)+'Date Calculators'!$B$2+ICS4Master!$E85,""))</f>
        <v>#REF!</v>
      </c>
      <c r="J87" s="116" t="e" cm="1">
        <f t="array" ref="J87">IF(I87="","",INDEX(#REF!,ROW()+7))</f>
        <v>#REF!</v>
      </c>
      <c r="K87" s="120" t="e" cm="1">
        <f t="array" ref="K87">IF(I87="","",INDEX(#REF!,ROW()+7))</f>
        <v>#REF!</v>
      </c>
      <c r="L87" s="129" t="e" cm="1">
        <f t="array" ref="L87">IF(OR(I87="",INDEX(#REF!,ROW()+7)=""),"",INDEX(#REF!,ROW()+7))</f>
        <v>#REF!</v>
      </c>
    </row>
    <row r="88" spans="2:12" ht="15" customHeight="1">
      <c r="B88" s="121" t="str">
        <f t="shared" si="12"/>
        <v/>
      </c>
      <c r="C88" s="117" t="str">
        <f t="shared" si="13"/>
        <v/>
      </c>
      <c r="D88" s="116" t="str">
        <f t="shared" si="14"/>
        <v/>
      </c>
      <c r="E88" s="120" t="str">
        <f t="shared" si="15"/>
        <v/>
      </c>
      <c r="F88" s="123" t="str">
        <f t="shared" si="16"/>
        <v/>
      </c>
      <c r="G88" s="126" t="e">
        <f t="shared" si="17"/>
        <v>#REF!</v>
      </c>
      <c r="H88" s="116" t="e">
        <f t="shared" si="11"/>
        <v>#REF!</v>
      </c>
      <c r="I88" s="117" t="e" cm="1">
        <f t="array" ref="I88">IF(OR(INDEX(#REF!,ROW()+8)="START",INDEX(#REF!,ROW()+7)="",INDEX(#REF!,ROW()+7)="START",INDEX(#REF!,ROW()+7)="TBA",INDEX(#REF!,ROW()+7)="TBC"), IF(INDEX(#REF!,ROW()+7)="START",$C$3,""),IF(INDEX(#REF!,ROW()+7)="x",INDEX(#REF!,ROW()+7)+'Date Calculators'!$B$2+ICS4Master!$E86,""))</f>
        <v>#REF!</v>
      </c>
      <c r="J88" s="116" t="e" cm="1">
        <f t="array" ref="J88">IF(I88="","",INDEX(#REF!,ROW()+7))</f>
        <v>#REF!</v>
      </c>
      <c r="K88" s="120" t="e" cm="1">
        <f t="array" ref="K88">IF(I88="","",INDEX(#REF!,ROW()+7))</f>
        <v>#REF!</v>
      </c>
      <c r="L88" s="129" t="e" cm="1">
        <f t="array" ref="L88">IF(OR(I88="",INDEX(#REF!,ROW()+7)=""),"",INDEX(#REF!,ROW()+7))</f>
        <v>#REF!</v>
      </c>
    </row>
    <row r="89" spans="2:12" ht="15" customHeight="1">
      <c r="B89" s="121" t="str">
        <f t="shared" si="12"/>
        <v/>
      </c>
      <c r="C89" s="117" t="str">
        <f t="shared" si="13"/>
        <v/>
      </c>
      <c r="D89" s="116" t="str">
        <f t="shared" si="14"/>
        <v/>
      </c>
      <c r="E89" s="120" t="str">
        <f t="shared" si="15"/>
        <v/>
      </c>
      <c r="F89" s="123" t="str">
        <f t="shared" si="16"/>
        <v/>
      </c>
      <c r="G89" s="126" t="e">
        <f t="shared" si="17"/>
        <v>#REF!</v>
      </c>
      <c r="H89" s="116" t="e">
        <f t="shared" si="11"/>
        <v>#REF!</v>
      </c>
      <c r="I89" s="117" t="e" cm="1">
        <f t="array" ref="I89">IF(OR(INDEX(#REF!,ROW()+8)="START",INDEX(#REF!,ROW()+7)="",INDEX(#REF!,ROW()+7)="START",INDEX(#REF!,ROW()+7)="TBA",INDEX(#REF!,ROW()+7)="TBC"), IF(INDEX(#REF!,ROW()+7)="START",$C$3,""),IF(INDEX(#REF!,ROW()+7)="x",INDEX(#REF!,ROW()+7)+'Date Calculators'!$B$2+ICS4Master!$E87,""))</f>
        <v>#REF!</v>
      </c>
      <c r="J89" s="116" t="e" cm="1">
        <f t="array" ref="J89">IF(I89="","",INDEX(#REF!,ROW()+7))</f>
        <v>#REF!</v>
      </c>
      <c r="K89" s="120" t="e" cm="1">
        <f t="array" ref="K89">IF(I89="","",INDEX(#REF!,ROW()+7))</f>
        <v>#REF!</v>
      </c>
      <c r="L89" s="129" t="e" cm="1">
        <f t="array" ref="L89">IF(OR(I89="",INDEX(#REF!,ROW()+7)=""),"",INDEX(#REF!,ROW()+7))</f>
        <v>#REF!</v>
      </c>
    </row>
    <row r="90" spans="2:12" ht="15" customHeight="1">
      <c r="B90" s="121" t="str">
        <f t="shared" si="12"/>
        <v/>
      </c>
      <c r="C90" s="117" t="str">
        <f t="shared" si="13"/>
        <v/>
      </c>
      <c r="D90" s="116" t="str">
        <f t="shared" si="14"/>
        <v/>
      </c>
      <c r="E90" s="120" t="str">
        <f t="shared" si="15"/>
        <v/>
      </c>
      <c r="F90" s="123" t="str">
        <f t="shared" si="16"/>
        <v/>
      </c>
      <c r="G90" s="126" t="e">
        <f t="shared" si="17"/>
        <v>#REF!</v>
      </c>
      <c r="H90" s="116" t="e">
        <f t="shared" si="11"/>
        <v>#REF!</v>
      </c>
      <c r="I90" s="117" t="e" cm="1">
        <f t="array" ref="I90">IF(OR(INDEX(#REF!,ROW()+8)="START",INDEX(#REF!,ROW()+7)="",INDEX(#REF!,ROW()+7)="START",INDEX(#REF!,ROW()+7)="TBA",INDEX(#REF!,ROW()+7)="TBC"), IF(INDEX(#REF!,ROW()+7)="START",$C$3,""),IF(INDEX(#REF!,ROW()+7)="x",INDEX(#REF!,ROW()+7)+'Date Calculators'!$B$2+ICS4Master!$E88,""))</f>
        <v>#REF!</v>
      </c>
      <c r="J90" s="116" t="e" cm="1">
        <f t="array" ref="J90">IF(I90="","",INDEX(#REF!,ROW()+7))</f>
        <v>#REF!</v>
      </c>
      <c r="K90" s="120" t="e" cm="1">
        <f t="array" ref="K90">IF(I90="","",INDEX(#REF!,ROW()+7))</f>
        <v>#REF!</v>
      </c>
      <c r="L90" s="129" t="e" cm="1">
        <f t="array" ref="L90">IF(OR(I90="",INDEX(#REF!,ROW()+7)=""),"",INDEX(#REF!,ROW()+7))</f>
        <v>#REF!</v>
      </c>
    </row>
    <row r="91" spans="2:12" ht="15" customHeight="1">
      <c r="B91" s="121" t="str">
        <f t="shared" si="12"/>
        <v/>
      </c>
      <c r="C91" s="117" t="str">
        <f t="shared" si="13"/>
        <v/>
      </c>
      <c r="D91" s="116" t="str">
        <f t="shared" si="14"/>
        <v/>
      </c>
      <c r="E91" s="120" t="str">
        <f t="shared" si="15"/>
        <v/>
      </c>
      <c r="F91" s="123" t="str">
        <f t="shared" si="16"/>
        <v/>
      </c>
      <c r="G91" s="126" t="e">
        <f t="shared" si="17"/>
        <v>#REF!</v>
      </c>
      <c r="H91" s="116" t="e">
        <f t="shared" si="11"/>
        <v>#REF!</v>
      </c>
      <c r="I91" s="117" t="e" cm="1">
        <f t="array" ref="I91">IF(OR(INDEX(#REF!,ROW()+8)="START",INDEX(#REF!,ROW()+7)="",INDEX(#REF!,ROW()+7)="START",INDEX(#REF!,ROW()+7)="TBA",INDEX(#REF!,ROW()+7)="TBC"), IF(INDEX(#REF!,ROW()+7)="START",$C$3,""),IF(INDEX(#REF!,ROW()+7)="x",INDEX(#REF!,ROW()+7)+'Date Calculators'!$B$2+ICS4Master!$E89,""))</f>
        <v>#REF!</v>
      </c>
      <c r="J91" s="116" t="e" cm="1">
        <f t="array" ref="J91">IF(I91="","",INDEX(#REF!,ROW()+7))</f>
        <v>#REF!</v>
      </c>
      <c r="K91" s="120" t="e" cm="1">
        <f t="array" ref="K91">IF(I91="","",INDEX(#REF!,ROW()+7))</f>
        <v>#REF!</v>
      </c>
      <c r="L91" s="129" t="e" cm="1">
        <f t="array" ref="L91">IF(OR(I91="",INDEX(#REF!,ROW()+7)=""),"",INDEX(#REF!,ROW()+7))</f>
        <v>#REF!</v>
      </c>
    </row>
    <row r="92" spans="2:12" ht="15" customHeight="1">
      <c r="B92" s="121" t="str">
        <f t="shared" si="12"/>
        <v/>
      </c>
      <c r="C92" s="117" t="str">
        <f t="shared" si="13"/>
        <v/>
      </c>
      <c r="D92" s="116" t="str">
        <f t="shared" si="14"/>
        <v/>
      </c>
      <c r="E92" s="120" t="str">
        <f t="shared" si="15"/>
        <v/>
      </c>
      <c r="F92" s="123" t="str">
        <f t="shared" si="16"/>
        <v/>
      </c>
      <c r="G92" s="126" t="e">
        <f t="shared" si="17"/>
        <v>#REF!</v>
      </c>
      <c r="H92" s="116" t="e">
        <f t="shared" si="11"/>
        <v>#REF!</v>
      </c>
      <c r="I92" s="117" t="e" cm="1">
        <f t="array" ref="I92">IF(OR(INDEX(#REF!,ROW()+8)="START",INDEX(#REF!,ROW()+7)="",INDEX(#REF!,ROW()+7)="START",INDEX(#REF!,ROW()+7)="TBA",INDEX(#REF!,ROW()+7)="TBC"), IF(INDEX(#REF!,ROW()+7)="START",$C$3,""),IF(INDEX(#REF!,ROW()+7)="x",INDEX(#REF!,ROW()+7)+'Date Calculators'!$B$2+ICS4Master!$E90,""))</f>
        <v>#REF!</v>
      </c>
      <c r="J92" s="116" t="e" cm="1">
        <f t="array" ref="J92">IF(I92="","",INDEX(#REF!,ROW()+7))</f>
        <v>#REF!</v>
      </c>
      <c r="K92" s="120" t="e" cm="1">
        <f t="array" ref="K92">IF(I92="","",INDEX(#REF!,ROW()+7))</f>
        <v>#REF!</v>
      </c>
      <c r="L92" s="129" t="e" cm="1">
        <f t="array" ref="L92">IF(OR(I92="",INDEX(#REF!,ROW()+7)=""),"",INDEX(#REF!,ROW()+7))</f>
        <v>#REF!</v>
      </c>
    </row>
    <row r="93" spans="2:12" ht="15" customHeight="1">
      <c r="B93" s="121" t="str">
        <f t="shared" si="12"/>
        <v/>
      </c>
      <c r="C93" s="117" t="str">
        <f t="shared" si="13"/>
        <v/>
      </c>
      <c r="D93" s="116" t="str">
        <f t="shared" si="14"/>
        <v/>
      </c>
      <c r="E93" s="120" t="str">
        <f t="shared" si="15"/>
        <v/>
      </c>
      <c r="F93" s="123" t="str">
        <f t="shared" si="16"/>
        <v/>
      </c>
      <c r="G93" s="126" t="e">
        <f t="shared" si="17"/>
        <v>#REF!</v>
      </c>
      <c r="H93" s="116" t="e">
        <f t="shared" si="11"/>
        <v>#REF!</v>
      </c>
      <c r="I93" s="117" t="e" cm="1">
        <f t="array" ref="I93">IF(OR(INDEX(#REF!,ROW()+8)="START",INDEX(#REF!,ROW()+7)="",INDEX(#REF!,ROW()+7)="START",INDEX(#REF!,ROW()+7)="TBA",INDEX(#REF!,ROW()+7)="TBC"), IF(INDEX(#REF!,ROW()+7)="START",$C$3,""),IF(INDEX(#REF!,ROW()+7)="x",INDEX(#REF!,ROW()+7)+'Date Calculators'!$B$2+ICS4Master!$E91,""))</f>
        <v>#REF!</v>
      </c>
      <c r="J93" s="116" t="e" cm="1">
        <f t="array" ref="J93">IF(I93="","",INDEX(#REF!,ROW()+7))</f>
        <v>#REF!</v>
      </c>
      <c r="K93" s="120" t="e" cm="1">
        <f t="array" ref="K93">IF(I93="","",INDEX(#REF!,ROW()+7))</f>
        <v>#REF!</v>
      </c>
      <c r="L93" s="129" t="e" cm="1">
        <f t="array" ref="L93">IF(OR(I93="",INDEX(#REF!,ROW()+7)=""),"",INDEX(#REF!,ROW()+7))</f>
        <v>#REF!</v>
      </c>
    </row>
    <row r="94" spans="2:12" ht="15" customHeight="1">
      <c r="B94" s="121" t="str">
        <f t="shared" si="12"/>
        <v/>
      </c>
      <c r="C94" s="117" t="str">
        <f t="shared" si="13"/>
        <v/>
      </c>
      <c r="D94" s="116" t="str">
        <f t="shared" si="14"/>
        <v/>
      </c>
      <c r="E94" s="120" t="str">
        <f t="shared" si="15"/>
        <v/>
      </c>
      <c r="F94" s="123" t="str">
        <f t="shared" si="16"/>
        <v/>
      </c>
      <c r="G94" s="126" t="e">
        <f t="shared" si="17"/>
        <v>#REF!</v>
      </c>
      <c r="H94" s="116" t="e">
        <f t="shared" si="11"/>
        <v>#REF!</v>
      </c>
      <c r="I94" s="117" t="e" cm="1">
        <f t="array" ref="I94">IF(OR(INDEX(#REF!,ROW()+8)="START",INDEX(#REF!,ROW()+7)="",INDEX(#REF!,ROW()+7)="START",INDEX(#REF!,ROW()+7)="TBA",INDEX(#REF!,ROW()+7)="TBC"), IF(INDEX(#REF!,ROW()+7)="START",$C$3,""),IF(INDEX(#REF!,ROW()+7)="x",INDEX(#REF!,ROW()+7)+'Date Calculators'!$B$2+ICS4Master!$E92,""))</f>
        <v>#REF!</v>
      </c>
      <c r="J94" s="116" t="e" cm="1">
        <f t="array" ref="J94">IF(I94="","",INDEX(#REF!,ROW()+7))</f>
        <v>#REF!</v>
      </c>
      <c r="K94" s="120" t="e" cm="1">
        <f t="array" ref="K94">IF(I94="","",INDEX(#REF!,ROW()+7))</f>
        <v>#REF!</v>
      </c>
      <c r="L94" s="129" t="e" cm="1">
        <f t="array" ref="L94">IF(OR(I94="",INDEX(#REF!,ROW()+7)=""),"",INDEX(#REF!,ROW()+7))</f>
        <v>#REF!</v>
      </c>
    </row>
    <row r="95" spans="2:12" ht="15" customHeight="1">
      <c r="B95" s="121" t="str">
        <f t="shared" si="12"/>
        <v/>
      </c>
      <c r="C95" s="117" t="str">
        <f t="shared" si="13"/>
        <v/>
      </c>
      <c r="D95" s="116" t="str">
        <f t="shared" si="14"/>
        <v/>
      </c>
      <c r="E95" s="120" t="str">
        <f t="shared" si="15"/>
        <v/>
      </c>
      <c r="F95" s="123" t="str">
        <f t="shared" si="16"/>
        <v/>
      </c>
      <c r="G95" s="126" t="e">
        <f t="shared" si="17"/>
        <v>#REF!</v>
      </c>
      <c r="H95" s="116" t="e">
        <f t="shared" si="11"/>
        <v>#REF!</v>
      </c>
      <c r="I95" s="117" t="e" cm="1">
        <f t="array" ref="I95">IF(OR(INDEX(#REF!,ROW()+8)="START",INDEX(#REF!,ROW()+7)="",INDEX(#REF!,ROW()+7)="START",INDEX(#REF!,ROW()+7)="TBA",INDEX(#REF!,ROW()+7)="TBC"), IF(INDEX(#REF!,ROW()+7)="START",$C$3,""),IF(INDEX(#REF!,ROW()+7)="x",INDEX(#REF!,ROW()+7)+'Date Calculators'!$B$2+ICS4Master!$E93,""))</f>
        <v>#REF!</v>
      </c>
      <c r="J95" s="116" t="e" cm="1">
        <f t="array" ref="J95">IF(I95="","",INDEX(#REF!,ROW()+7))</f>
        <v>#REF!</v>
      </c>
      <c r="K95" s="120" t="e" cm="1">
        <f t="array" ref="K95">IF(I95="","",INDEX(#REF!,ROW()+7))</f>
        <v>#REF!</v>
      </c>
      <c r="L95" s="129" t="e" cm="1">
        <f t="array" ref="L95">IF(OR(I95="",INDEX(#REF!,ROW()+7)=""),"",INDEX(#REF!,ROW()+7))</f>
        <v>#REF!</v>
      </c>
    </row>
    <row r="96" spans="2:12" ht="15" customHeight="1">
      <c r="B96" s="121" t="str">
        <f t="shared" si="12"/>
        <v/>
      </c>
      <c r="C96" s="117" t="str">
        <f t="shared" si="13"/>
        <v/>
      </c>
      <c r="D96" s="116" t="str">
        <f t="shared" si="14"/>
        <v/>
      </c>
      <c r="E96" s="120" t="str">
        <f t="shared" si="15"/>
        <v/>
      </c>
      <c r="F96" s="123" t="str">
        <f t="shared" si="16"/>
        <v/>
      </c>
      <c r="G96" s="126" t="e">
        <f t="shared" si="17"/>
        <v>#REF!</v>
      </c>
      <c r="H96" s="116" t="e">
        <f t="shared" si="11"/>
        <v>#REF!</v>
      </c>
      <c r="I96" s="117" t="e" cm="1">
        <f t="array" ref="I96">IF(OR(INDEX(#REF!,ROW()+8)="START",INDEX(#REF!,ROW()+7)="",INDEX(#REF!,ROW()+7)="START",INDEX(#REF!,ROW()+7)="TBA",INDEX(#REF!,ROW()+7)="TBC"), IF(INDEX(#REF!,ROW()+7)="START",$C$3,""),IF(INDEX(#REF!,ROW()+7)="x",INDEX(#REF!,ROW()+7)+'Date Calculators'!$B$2+ICS4Master!$E94,""))</f>
        <v>#REF!</v>
      </c>
      <c r="J96" s="116" t="e" cm="1">
        <f t="array" ref="J96">IF(I96="","",INDEX(#REF!,ROW()+7))</f>
        <v>#REF!</v>
      </c>
      <c r="K96" s="120" t="e" cm="1">
        <f t="array" ref="K96">IF(I96="","",INDEX(#REF!,ROW()+7))</f>
        <v>#REF!</v>
      </c>
      <c r="L96" s="129" t="e" cm="1">
        <f t="array" ref="L96">IF(OR(I96="",INDEX(#REF!,ROW()+7)=""),"",INDEX(#REF!,ROW()+7))</f>
        <v>#REF!</v>
      </c>
    </row>
    <row r="97" spans="2:12" ht="15" customHeight="1">
      <c r="B97" s="121" t="str">
        <f t="shared" si="12"/>
        <v/>
      </c>
      <c r="C97" s="117" t="str">
        <f t="shared" si="13"/>
        <v/>
      </c>
      <c r="D97" s="116" t="str">
        <f t="shared" si="14"/>
        <v/>
      </c>
      <c r="E97" s="120" t="str">
        <f t="shared" si="15"/>
        <v/>
      </c>
      <c r="F97" s="123" t="str">
        <f t="shared" si="16"/>
        <v/>
      </c>
      <c r="G97" s="126" t="e">
        <f t="shared" si="17"/>
        <v>#REF!</v>
      </c>
      <c r="H97" s="116" t="e">
        <f t="shared" si="11"/>
        <v>#REF!</v>
      </c>
      <c r="I97" s="117" t="e" cm="1">
        <f t="array" ref="I97">IF(OR(INDEX(#REF!,ROW()+8)="START",INDEX(#REF!,ROW()+7)="",INDEX(#REF!,ROW()+7)="START",INDEX(#REF!,ROW()+7)="TBA",INDEX(#REF!,ROW()+7)="TBC"), IF(INDEX(#REF!,ROW()+7)="START",$C$3,""),IF(INDEX(#REF!,ROW()+7)="x",INDEX(#REF!,ROW()+7)+'Date Calculators'!$B$2+ICS4Master!$E95,""))</f>
        <v>#REF!</v>
      </c>
      <c r="J97" s="116" t="e" cm="1">
        <f t="array" ref="J97">IF(I97="","",INDEX(#REF!,ROW()+7))</f>
        <v>#REF!</v>
      </c>
      <c r="K97" s="120" t="e" cm="1">
        <f t="array" ref="K97">IF(I97="","",INDEX(#REF!,ROW()+7))</f>
        <v>#REF!</v>
      </c>
      <c r="L97" s="129" t="e" cm="1">
        <f t="array" ref="L97">IF(OR(I97="",INDEX(#REF!,ROW()+7)=""),"",INDEX(#REF!,ROW()+7))</f>
        <v>#REF!</v>
      </c>
    </row>
    <row r="98" spans="2:12" ht="15" customHeight="1">
      <c r="B98" s="121" t="str">
        <f t="shared" si="12"/>
        <v/>
      </c>
      <c r="C98" s="117" t="str">
        <f t="shared" si="13"/>
        <v/>
      </c>
      <c r="D98" s="116" t="str">
        <f t="shared" si="14"/>
        <v/>
      </c>
      <c r="E98" s="120" t="str">
        <f t="shared" si="15"/>
        <v/>
      </c>
      <c r="F98" s="123" t="str">
        <f t="shared" si="16"/>
        <v/>
      </c>
      <c r="G98" s="126" t="e">
        <f t="shared" si="17"/>
        <v>#REF!</v>
      </c>
      <c r="H98" s="116" t="e">
        <f t="shared" si="11"/>
        <v>#REF!</v>
      </c>
      <c r="I98" s="117" t="e" cm="1">
        <f t="array" ref="I98">IF(OR(INDEX(#REF!,ROW()+8)="START",INDEX(#REF!,ROW()+7)="",INDEX(#REF!,ROW()+7)="START",INDEX(#REF!,ROW()+7)="TBA",INDEX(#REF!,ROW()+7)="TBC"), IF(INDEX(#REF!,ROW()+7)="START",$C$3,""),IF(INDEX(#REF!,ROW()+7)="x",INDEX(#REF!,ROW()+7)+'Date Calculators'!$B$2+ICS4Master!$E96,""))</f>
        <v>#REF!</v>
      </c>
      <c r="J98" s="116" t="e" cm="1">
        <f t="array" ref="J98">IF(I98="","",INDEX(#REF!,ROW()+7))</f>
        <v>#REF!</v>
      </c>
      <c r="K98" s="120" t="e" cm="1">
        <f t="array" ref="K98">IF(I98="","",INDEX(#REF!,ROW()+7))</f>
        <v>#REF!</v>
      </c>
      <c r="L98" s="129" t="e" cm="1">
        <f t="array" ref="L98">IF(OR(I98="",INDEX(#REF!,ROW()+7)=""),"",INDEX(#REF!,ROW()+7))</f>
        <v>#REF!</v>
      </c>
    </row>
    <row r="99" spans="2:12" ht="15" customHeight="1">
      <c r="B99" s="121" t="str">
        <f t="shared" si="12"/>
        <v/>
      </c>
      <c r="C99" s="117" t="str">
        <f t="shared" si="13"/>
        <v/>
      </c>
      <c r="D99" s="116" t="str">
        <f t="shared" si="14"/>
        <v/>
      </c>
      <c r="E99" s="120" t="str">
        <f t="shared" si="15"/>
        <v/>
      </c>
      <c r="F99" s="123" t="str">
        <f t="shared" si="16"/>
        <v/>
      </c>
      <c r="G99" s="126" t="e">
        <f t="shared" si="17"/>
        <v>#REF!</v>
      </c>
      <c r="H99" s="116" t="e">
        <f t="shared" si="11"/>
        <v>#REF!</v>
      </c>
      <c r="I99" s="117" t="e" cm="1">
        <f t="array" ref="I99">IF(OR(INDEX(#REF!,ROW()+8)="START",INDEX(#REF!,ROW()+7)="",INDEX(#REF!,ROW()+7)="START",INDEX(#REF!,ROW()+7)="TBA",INDEX(#REF!,ROW()+7)="TBC"), IF(INDEX(#REF!,ROW()+7)="START",$C$3,""),IF(INDEX(#REF!,ROW()+7)="x",INDEX(#REF!,ROW()+7)+'Date Calculators'!$B$2+ICS4Master!$E97,""))</f>
        <v>#REF!</v>
      </c>
      <c r="J99" s="116" t="e" cm="1">
        <f t="array" ref="J99">IF(I99="","",INDEX(#REF!,ROW()+7))</f>
        <v>#REF!</v>
      </c>
      <c r="K99" s="120" t="e" cm="1">
        <f t="array" ref="K99">IF(I99="","",INDEX(#REF!,ROW()+7))</f>
        <v>#REF!</v>
      </c>
      <c r="L99" s="129" t="e" cm="1">
        <f t="array" ref="L99">IF(OR(I99="",INDEX(#REF!,ROW()+7)=""),"",INDEX(#REF!,ROW()+7))</f>
        <v>#REF!</v>
      </c>
    </row>
    <row r="100" spans="2:12" ht="15" customHeight="1">
      <c r="B100" s="121" t="str">
        <f t="shared" si="12"/>
        <v/>
      </c>
      <c r="C100" s="117" t="str">
        <f t="shared" si="13"/>
        <v/>
      </c>
      <c r="D100" s="116" t="str">
        <f t="shared" si="14"/>
        <v/>
      </c>
      <c r="E100" s="120" t="str">
        <f t="shared" si="15"/>
        <v/>
      </c>
      <c r="F100" s="123" t="str">
        <f t="shared" si="16"/>
        <v/>
      </c>
      <c r="G100" s="126" t="e">
        <f t="shared" si="17"/>
        <v>#REF!</v>
      </c>
      <c r="H100" s="116" t="e">
        <f t="shared" si="11"/>
        <v>#REF!</v>
      </c>
      <c r="I100" s="117" t="e" cm="1">
        <f t="array" ref="I100">IF(OR(INDEX(#REF!,ROW()+8)="START",INDEX(#REF!,ROW()+7)="",INDEX(#REF!,ROW()+7)="START",INDEX(#REF!,ROW()+7)="TBA",INDEX(#REF!,ROW()+7)="TBC"), IF(INDEX(#REF!,ROW()+7)="START",$C$3,""),IF(INDEX(#REF!,ROW()+7)="x",INDEX(#REF!,ROW()+7)+'Date Calculators'!$B$2+ICS4Master!$E98,""))</f>
        <v>#REF!</v>
      </c>
      <c r="J100" s="116" t="e" cm="1">
        <f t="array" ref="J100">IF(I100="","",INDEX(#REF!,ROW()+7))</f>
        <v>#REF!</v>
      </c>
      <c r="K100" s="120" t="e" cm="1">
        <f t="array" ref="K100">IF(I100="","",INDEX(#REF!,ROW()+7))</f>
        <v>#REF!</v>
      </c>
      <c r="L100" s="129" t="e" cm="1">
        <f t="array" ref="L100">IF(OR(I100="",INDEX(#REF!,ROW()+7)=""),"",INDEX(#REF!,ROW()+7))</f>
        <v>#REF!</v>
      </c>
    </row>
    <row r="101" spans="2:12" ht="15" customHeight="1">
      <c r="B101" s="121" t="str">
        <f t="shared" si="12"/>
        <v/>
      </c>
      <c r="C101" s="117" t="str">
        <f t="shared" si="13"/>
        <v/>
      </c>
      <c r="D101" s="116" t="str">
        <f t="shared" si="14"/>
        <v/>
      </c>
      <c r="E101" s="120" t="str">
        <f t="shared" si="15"/>
        <v/>
      </c>
      <c r="F101" s="123" t="str">
        <f t="shared" si="16"/>
        <v/>
      </c>
      <c r="G101" s="126" t="e">
        <f t="shared" si="17"/>
        <v>#REF!</v>
      </c>
      <c r="H101" s="116" t="e">
        <f t="shared" si="11"/>
        <v>#REF!</v>
      </c>
      <c r="I101" s="117" t="e" cm="1">
        <f t="array" ref="I101">IF(OR(INDEX(#REF!,ROW()+8)="START",INDEX(#REF!,ROW()+7)="",INDEX(#REF!,ROW()+7)="START",INDEX(#REF!,ROW()+7)="TBA",INDEX(#REF!,ROW()+7)="TBC"), IF(INDEX(#REF!,ROW()+7)="START",$C$3,""),IF(INDEX(#REF!,ROW()+7)="x",INDEX(#REF!,ROW()+7)+'Date Calculators'!$B$2+ICS4Master!$E99,""))</f>
        <v>#REF!</v>
      </c>
      <c r="J101" s="116" t="e" cm="1">
        <f t="array" ref="J101">IF(I101="","",INDEX(#REF!,ROW()+7))</f>
        <v>#REF!</v>
      </c>
      <c r="K101" s="120" t="e" cm="1">
        <f t="array" ref="K101">IF(I101="","",INDEX(#REF!,ROW()+7))</f>
        <v>#REF!</v>
      </c>
      <c r="L101" s="129" t="e" cm="1">
        <f t="array" ref="L101">IF(OR(I101="",INDEX(#REF!,ROW()+7)=""),"",INDEX(#REF!,ROW()+7))</f>
        <v>#REF!</v>
      </c>
    </row>
    <row r="102" spans="2:12" ht="15" customHeight="1">
      <c r="B102" s="121" t="str">
        <f t="shared" si="12"/>
        <v/>
      </c>
      <c r="C102" s="117" t="str">
        <f t="shared" si="13"/>
        <v/>
      </c>
      <c r="D102" s="116" t="str">
        <f t="shared" si="14"/>
        <v/>
      </c>
      <c r="E102" s="120" t="str">
        <f t="shared" si="15"/>
        <v/>
      </c>
      <c r="F102" s="123" t="str">
        <f t="shared" si="16"/>
        <v/>
      </c>
      <c r="G102" s="126" t="e">
        <f t="shared" si="17"/>
        <v>#REF!</v>
      </c>
      <c r="H102" s="116" t="e">
        <f t="shared" si="11"/>
        <v>#REF!</v>
      </c>
      <c r="I102" s="117" t="e" cm="1">
        <f t="array" ref="I102">IF(OR(INDEX(#REF!,ROW()+8)="START",INDEX(#REF!,ROW()+7)="",INDEX(#REF!,ROW()+7)="START",INDEX(#REF!,ROW()+7)="TBA",INDEX(#REF!,ROW()+7)="TBC"), IF(INDEX(#REF!,ROW()+7)="START",$C$3,""),IF(INDEX(#REF!,ROW()+7)="x",INDEX(#REF!,ROW()+7)+'Date Calculators'!$B$2+ICS4Master!$E100,""))</f>
        <v>#REF!</v>
      </c>
      <c r="J102" s="116" t="e" cm="1">
        <f t="array" ref="J102">IF(I102="","",INDEX(#REF!,ROW()+7))</f>
        <v>#REF!</v>
      </c>
      <c r="K102" s="120" t="e" cm="1">
        <f t="array" ref="K102">IF(I102="","",INDEX(#REF!,ROW()+7))</f>
        <v>#REF!</v>
      </c>
      <c r="L102" s="129" t="e" cm="1">
        <f t="array" ref="L102">IF(OR(I102="",INDEX(#REF!,ROW()+7)=""),"",INDEX(#REF!,ROW()+7))</f>
        <v>#REF!</v>
      </c>
    </row>
    <row r="103" spans="2:12" ht="15" customHeight="1">
      <c r="B103" s="121" t="str">
        <f t="shared" si="12"/>
        <v/>
      </c>
      <c r="C103" s="117" t="str">
        <f t="shared" si="13"/>
        <v/>
      </c>
      <c r="D103" s="116" t="str">
        <f t="shared" si="14"/>
        <v/>
      </c>
      <c r="E103" s="120" t="str">
        <f t="shared" si="15"/>
        <v/>
      </c>
      <c r="F103" s="123" t="str">
        <f t="shared" si="16"/>
        <v/>
      </c>
      <c r="G103" s="126" t="e">
        <f t="shared" si="17"/>
        <v>#REF!</v>
      </c>
      <c r="H103" s="116" t="e">
        <f t="shared" si="11"/>
        <v>#REF!</v>
      </c>
      <c r="I103" s="117" t="e" cm="1">
        <f t="array" ref="I103">IF(OR(INDEX(#REF!,ROW()+8)="START",INDEX(#REF!,ROW()+7)="",INDEX(#REF!,ROW()+7)="START",INDEX(#REF!,ROW()+7)="TBA",INDEX(#REF!,ROW()+7)="TBC"), IF(INDEX(#REF!,ROW()+7)="START",$C$3,""),IF(INDEX(#REF!,ROW()+7)="x",INDEX(#REF!,ROW()+7)+'Date Calculators'!$B$2+ICS4Master!$E101,""))</f>
        <v>#REF!</v>
      </c>
      <c r="J103" s="116" t="e" cm="1">
        <f t="array" ref="J103">IF(I103="","",INDEX(#REF!,ROW()+7))</f>
        <v>#REF!</v>
      </c>
      <c r="K103" s="120" t="e" cm="1">
        <f t="array" ref="K103">IF(I103="","",INDEX(#REF!,ROW()+7))</f>
        <v>#REF!</v>
      </c>
      <c r="L103" s="129" t="e" cm="1">
        <f t="array" ref="L103">IF(OR(I103="",INDEX(#REF!,ROW()+7)=""),"",INDEX(#REF!,ROW()+7))</f>
        <v>#REF!</v>
      </c>
    </row>
    <row r="104" spans="2:12" ht="15" customHeight="1">
      <c r="B104" s="121" t="str">
        <f t="shared" si="12"/>
        <v/>
      </c>
      <c r="C104" s="117" t="str">
        <f t="shared" si="13"/>
        <v/>
      </c>
      <c r="D104" s="116" t="str">
        <f t="shared" si="14"/>
        <v/>
      </c>
      <c r="E104" s="120" t="str">
        <f t="shared" si="15"/>
        <v/>
      </c>
      <c r="F104" s="123" t="str">
        <f t="shared" si="16"/>
        <v/>
      </c>
      <c r="G104" s="126" t="e">
        <f t="shared" si="17"/>
        <v>#REF!</v>
      </c>
      <c r="H104" s="116" t="e">
        <f t="shared" si="11"/>
        <v>#REF!</v>
      </c>
      <c r="I104" s="117" t="e" cm="1">
        <f t="array" ref="I104">IF(OR(INDEX(#REF!,ROW()+8)="START",INDEX(#REF!,ROW()+7)="",INDEX(#REF!,ROW()+7)="START",INDEX(#REF!,ROW()+7)="TBA",INDEX(#REF!,ROW()+7)="TBC"), IF(INDEX(#REF!,ROW()+7)="START",$C$3,""),IF(INDEX(#REF!,ROW()+7)="x",INDEX(#REF!,ROW()+7)+'Date Calculators'!$B$2+ICS4Master!$E102,""))</f>
        <v>#REF!</v>
      </c>
      <c r="J104" s="116" t="e" cm="1">
        <f t="array" ref="J104">IF(I104="","",INDEX(#REF!,ROW()+7))</f>
        <v>#REF!</v>
      </c>
      <c r="K104" s="120" t="e" cm="1">
        <f t="array" ref="K104">IF(I104="","",INDEX(#REF!,ROW()+7))</f>
        <v>#REF!</v>
      </c>
      <c r="L104" s="129" t="e" cm="1">
        <f t="array" ref="L104">IF(OR(I104="",INDEX(#REF!,ROW()+7)=""),"",INDEX(#REF!,ROW()+7))</f>
        <v>#REF!</v>
      </c>
    </row>
    <row r="105" spans="2:12" ht="15" customHeight="1">
      <c r="B105" s="121" t="str">
        <f t="shared" si="12"/>
        <v/>
      </c>
      <c r="C105" s="117" t="str">
        <f t="shared" si="13"/>
        <v/>
      </c>
      <c r="D105" s="116" t="str">
        <f t="shared" si="14"/>
        <v/>
      </c>
      <c r="E105" s="120" t="str">
        <f t="shared" si="15"/>
        <v/>
      </c>
      <c r="F105" s="123" t="str">
        <f t="shared" si="16"/>
        <v/>
      </c>
      <c r="G105" s="126" t="e">
        <f t="shared" si="17"/>
        <v>#REF!</v>
      </c>
      <c r="H105" s="116" t="e">
        <f t="shared" si="11"/>
        <v>#REF!</v>
      </c>
      <c r="I105" s="117" t="e" cm="1">
        <f t="array" ref="I105">IF(OR(INDEX(#REF!,ROW()+8)="START",INDEX(#REF!,ROW()+7)="",INDEX(#REF!,ROW()+7)="START",INDEX(#REF!,ROW()+7)="TBA",INDEX(#REF!,ROW()+7)="TBC"), IF(INDEX(#REF!,ROW()+7)="START",$C$3,""),IF(INDEX(#REF!,ROW()+7)="x",INDEX(#REF!,ROW()+7)+'Date Calculators'!$B$2+ICS4Master!$E103,""))</f>
        <v>#REF!</v>
      </c>
      <c r="J105" s="116" t="e" cm="1">
        <f t="array" ref="J105">IF(I105="","",INDEX(#REF!,ROW()+7))</f>
        <v>#REF!</v>
      </c>
      <c r="K105" s="120" t="e" cm="1">
        <f t="array" ref="K105">IF(I105="","",INDEX(#REF!,ROW()+7))</f>
        <v>#REF!</v>
      </c>
      <c r="L105" s="129" t="e" cm="1">
        <f t="array" ref="L105">IF(OR(I105="",INDEX(#REF!,ROW()+7)=""),"",INDEX(#REF!,ROW()+7))</f>
        <v>#REF!</v>
      </c>
    </row>
    <row r="106" spans="2:12" ht="15" customHeight="1">
      <c r="B106" s="121" t="str">
        <f t="shared" si="12"/>
        <v/>
      </c>
      <c r="C106" s="117" t="str">
        <f t="shared" si="13"/>
        <v/>
      </c>
      <c r="D106" s="116" t="str">
        <f t="shared" si="14"/>
        <v/>
      </c>
      <c r="E106" s="120" t="str">
        <f t="shared" si="15"/>
        <v/>
      </c>
      <c r="F106" s="123" t="str">
        <f t="shared" si="16"/>
        <v/>
      </c>
      <c r="G106" s="126" t="e">
        <f t="shared" si="17"/>
        <v>#REF!</v>
      </c>
      <c r="H106" s="116" t="e">
        <f t="shared" si="11"/>
        <v>#REF!</v>
      </c>
      <c r="I106" s="117" t="e" cm="1">
        <f t="array" ref="I106">IF(OR(INDEX(#REF!,ROW()+8)="START",INDEX(#REF!,ROW()+7)="",INDEX(#REF!,ROW()+7)="START",INDEX(#REF!,ROW()+7)="TBA",INDEX(#REF!,ROW()+7)="TBC"), IF(INDEX(#REF!,ROW()+7)="START",$C$3,""),IF(INDEX(#REF!,ROW()+7)="x",INDEX(#REF!,ROW()+7)+'Date Calculators'!$B$2+ICS4Master!$E104,""))</f>
        <v>#REF!</v>
      </c>
      <c r="J106" s="116" t="e" cm="1">
        <f t="array" ref="J106">IF(I106="","",INDEX(#REF!,ROW()+7))</f>
        <v>#REF!</v>
      </c>
      <c r="K106" s="120" t="e" cm="1">
        <f t="array" ref="K106">IF(I106="","",INDEX(#REF!,ROW()+7))</f>
        <v>#REF!</v>
      </c>
      <c r="L106" s="129" t="e" cm="1">
        <f t="array" ref="L106">IF(OR(I106="",INDEX(#REF!,ROW()+7)=""),"",INDEX(#REF!,ROW()+7))</f>
        <v>#REF!</v>
      </c>
    </row>
    <row r="107" spans="2:12" ht="15" customHeight="1">
      <c r="B107" s="121" t="str">
        <f t="shared" si="12"/>
        <v/>
      </c>
      <c r="C107" s="117" t="str">
        <f t="shared" si="13"/>
        <v/>
      </c>
      <c r="D107" s="116" t="str">
        <f t="shared" si="14"/>
        <v/>
      </c>
      <c r="E107" s="120" t="str">
        <f t="shared" si="15"/>
        <v/>
      </c>
      <c r="F107" s="123" t="str">
        <f t="shared" si="16"/>
        <v/>
      </c>
      <c r="G107" s="126" t="e">
        <f t="shared" si="17"/>
        <v>#REF!</v>
      </c>
      <c r="H107" s="116" t="e">
        <f t="shared" si="11"/>
        <v>#REF!</v>
      </c>
      <c r="I107" s="117" t="e" cm="1">
        <f t="array" ref="I107">IF(OR(INDEX(#REF!,ROW()+8)="START",INDEX(#REF!,ROW()+7)="",INDEX(#REF!,ROW()+7)="START",INDEX(#REF!,ROW()+7)="TBA",INDEX(#REF!,ROW()+7)="TBC"), IF(INDEX(#REF!,ROW()+7)="START",$C$3,""),IF(INDEX(#REF!,ROW()+7)="x",INDEX(#REF!,ROW()+7)+'Date Calculators'!$B$2+ICS4Master!$E105,""))</f>
        <v>#REF!</v>
      </c>
      <c r="J107" s="116" t="e" cm="1">
        <f t="array" ref="J107">IF(I107="","",INDEX(#REF!,ROW()+7))</f>
        <v>#REF!</v>
      </c>
      <c r="K107" s="120" t="e" cm="1">
        <f t="array" ref="K107">IF(I107="","",INDEX(#REF!,ROW()+7))</f>
        <v>#REF!</v>
      </c>
      <c r="L107" s="129" t="e" cm="1">
        <f t="array" ref="L107">IF(OR(I107="",INDEX(#REF!,ROW()+7)=""),"",INDEX(#REF!,ROW()+7))</f>
        <v>#REF!</v>
      </c>
    </row>
    <row r="108" spans="2:12" ht="15" customHeight="1">
      <c r="B108" s="121" t="str">
        <f t="shared" si="12"/>
        <v/>
      </c>
      <c r="C108" s="117" t="str">
        <f t="shared" si="13"/>
        <v/>
      </c>
      <c r="D108" s="116" t="str">
        <f t="shared" si="14"/>
        <v/>
      </c>
      <c r="E108" s="120" t="str">
        <f t="shared" si="15"/>
        <v/>
      </c>
      <c r="F108" s="123" t="str">
        <f t="shared" si="16"/>
        <v/>
      </c>
      <c r="G108" s="126" t="e">
        <f t="shared" si="17"/>
        <v>#REF!</v>
      </c>
      <c r="H108" s="116" t="e">
        <f t="shared" si="11"/>
        <v>#REF!</v>
      </c>
      <c r="I108" s="117" t="e" cm="1">
        <f t="array" ref="I108">IF(OR(INDEX(#REF!,ROW()+8)="START",INDEX(#REF!,ROW()+7)="",INDEX(#REF!,ROW()+7)="START",INDEX(#REF!,ROW()+7)="TBA",INDEX(#REF!,ROW()+7)="TBC"), IF(INDEX(#REF!,ROW()+7)="START",$C$3,""),IF(INDEX(#REF!,ROW()+7)="x",INDEX(#REF!,ROW()+7)+'Date Calculators'!$B$2+ICS4Master!$E106,""))</f>
        <v>#REF!</v>
      </c>
      <c r="J108" s="116" t="e" cm="1">
        <f t="array" ref="J108">IF(I108="","",INDEX(#REF!,ROW()+7))</f>
        <v>#REF!</v>
      </c>
      <c r="K108" s="120" t="e" cm="1">
        <f t="array" ref="K108">IF(I108="","",INDEX(#REF!,ROW()+7))</f>
        <v>#REF!</v>
      </c>
      <c r="L108" s="129" t="e" cm="1">
        <f t="array" ref="L108">IF(OR(I108="",INDEX(#REF!,ROW()+7)=""),"",INDEX(#REF!,ROW()+7))</f>
        <v>#REF!</v>
      </c>
    </row>
    <row r="109" spans="2:12" ht="15" customHeight="1">
      <c r="B109" s="121" t="str">
        <f t="shared" si="12"/>
        <v/>
      </c>
      <c r="C109" s="117" t="str">
        <f t="shared" si="13"/>
        <v/>
      </c>
      <c r="D109" s="116" t="str">
        <f t="shared" si="14"/>
        <v/>
      </c>
      <c r="E109" s="120" t="str">
        <f t="shared" si="15"/>
        <v/>
      </c>
      <c r="F109" s="123" t="str">
        <f t="shared" si="16"/>
        <v/>
      </c>
      <c r="G109" s="126" t="e">
        <f t="shared" si="17"/>
        <v>#REF!</v>
      </c>
      <c r="H109" s="116" t="e">
        <f t="shared" si="11"/>
        <v>#REF!</v>
      </c>
      <c r="I109" s="117" t="e" cm="1">
        <f t="array" ref="I109">IF(OR(INDEX(#REF!,ROW()+8)="START",INDEX(#REF!,ROW()+7)="",INDEX(#REF!,ROW()+7)="START",INDEX(#REF!,ROW()+7)="TBA",INDEX(#REF!,ROW()+7)="TBC"), IF(INDEX(#REF!,ROW()+7)="START",$C$3,""),IF(INDEX(#REF!,ROW()+7)="x",INDEX(#REF!,ROW()+7)+'Date Calculators'!$B$2+ICS4Master!$E107,""))</f>
        <v>#REF!</v>
      </c>
      <c r="J109" s="116" t="e" cm="1">
        <f t="array" ref="J109">IF(I109="","",INDEX(#REF!,ROW()+7))</f>
        <v>#REF!</v>
      </c>
      <c r="K109" s="120" t="e" cm="1">
        <f t="array" ref="K109">IF(I109="","",INDEX(#REF!,ROW()+7))</f>
        <v>#REF!</v>
      </c>
      <c r="L109" s="129" t="e" cm="1">
        <f t="array" ref="L109">IF(OR(I109="",INDEX(#REF!,ROW()+7)=""),"",INDEX(#REF!,ROW()+7))</f>
        <v>#REF!</v>
      </c>
    </row>
    <row r="110" spans="2:12" ht="15" customHeight="1">
      <c r="B110" s="121" t="str">
        <f t="shared" si="12"/>
        <v/>
      </c>
      <c r="C110" s="117" t="str">
        <f t="shared" si="13"/>
        <v/>
      </c>
      <c r="D110" s="116" t="str">
        <f t="shared" si="14"/>
        <v/>
      </c>
      <c r="E110" s="120" t="str">
        <f t="shared" si="15"/>
        <v/>
      </c>
      <c r="F110" s="123" t="str">
        <f t="shared" si="16"/>
        <v/>
      </c>
      <c r="G110" s="126" t="e">
        <f t="shared" si="17"/>
        <v>#REF!</v>
      </c>
      <c r="H110" s="116" t="e">
        <f t="shared" si="11"/>
        <v>#REF!</v>
      </c>
      <c r="I110" s="117" t="e" cm="1">
        <f t="array" ref="I110">IF(OR(INDEX(#REF!,ROW()+8)="START",INDEX(#REF!,ROW()+7)="",INDEX(#REF!,ROW()+7)="START",INDEX(#REF!,ROW()+7)="TBA",INDEX(#REF!,ROW()+7)="TBC"), IF(INDEX(#REF!,ROW()+7)="START",$C$3,""),IF(INDEX(#REF!,ROW()+7)="x",INDEX(#REF!,ROW()+7)+'Date Calculators'!$B$2+ICS4Master!$E108,""))</f>
        <v>#REF!</v>
      </c>
      <c r="J110" s="116" t="e" cm="1">
        <f t="array" ref="J110">IF(I110="","",INDEX(#REF!,ROW()+7))</f>
        <v>#REF!</v>
      </c>
      <c r="K110" s="120" t="e" cm="1">
        <f t="array" ref="K110">IF(I110="","",INDEX(#REF!,ROW()+7))</f>
        <v>#REF!</v>
      </c>
      <c r="L110" s="129" t="e" cm="1">
        <f t="array" ref="L110">IF(OR(I110="",INDEX(#REF!,ROW()+7)=""),"",INDEX(#REF!,ROW()+7))</f>
        <v>#REF!</v>
      </c>
    </row>
    <row r="111" spans="2:12" ht="15" customHeight="1">
      <c r="B111" s="121" t="str">
        <f t="shared" si="12"/>
        <v/>
      </c>
      <c r="C111" s="117" t="str">
        <f t="shared" si="13"/>
        <v/>
      </c>
      <c r="D111" s="116" t="str">
        <f t="shared" si="14"/>
        <v/>
      </c>
      <c r="E111" s="120" t="str">
        <f t="shared" si="15"/>
        <v/>
      </c>
      <c r="F111" s="123" t="str">
        <f t="shared" si="16"/>
        <v/>
      </c>
      <c r="G111" s="126" t="e">
        <f t="shared" si="17"/>
        <v>#REF!</v>
      </c>
      <c r="H111" s="116" t="e">
        <f t="shared" si="11"/>
        <v>#REF!</v>
      </c>
      <c r="I111" s="117" t="e" cm="1">
        <f t="array" ref="I111">IF(OR(INDEX(#REF!,ROW()+8)="START",INDEX(#REF!,ROW()+7)="",INDEX(#REF!,ROW()+7)="START",INDEX(#REF!,ROW()+7)="TBA",INDEX(#REF!,ROW()+7)="TBC"), IF(INDEX(#REF!,ROW()+7)="START",$C$3,""),IF(INDEX(#REF!,ROW()+7)="x",INDEX(#REF!,ROW()+7)+'Date Calculators'!$B$2+ICS4Master!$E109,""))</f>
        <v>#REF!</v>
      </c>
      <c r="J111" s="116" t="e" cm="1">
        <f t="array" ref="J111">IF(I111="","",INDEX(#REF!,ROW()+7))</f>
        <v>#REF!</v>
      </c>
      <c r="K111" s="120" t="e" cm="1">
        <f t="array" ref="K111">IF(I111="","",INDEX(#REF!,ROW()+7))</f>
        <v>#REF!</v>
      </c>
      <c r="L111" s="129" t="e" cm="1">
        <f t="array" ref="L111">IF(OR(I111="",INDEX(#REF!,ROW()+7)=""),"",INDEX(#REF!,ROW()+7))</f>
        <v>#REF!</v>
      </c>
    </row>
    <row r="112" spans="2:12" ht="15" customHeight="1">
      <c r="B112" s="121" t="str">
        <f t="shared" si="12"/>
        <v/>
      </c>
      <c r="C112" s="117" t="str">
        <f t="shared" si="13"/>
        <v/>
      </c>
      <c r="D112" s="116" t="str">
        <f t="shared" si="14"/>
        <v/>
      </c>
      <c r="E112" s="120" t="str">
        <f t="shared" si="15"/>
        <v/>
      </c>
      <c r="F112" s="123" t="str">
        <f t="shared" si="16"/>
        <v/>
      </c>
      <c r="G112" s="126" t="e">
        <f t="shared" si="17"/>
        <v>#REF!</v>
      </c>
      <c r="H112" s="116" t="e">
        <f t="shared" si="11"/>
        <v>#REF!</v>
      </c>
      <c r="I112" s="117" t="e" cm="1">
        <f t="array" ref="I112">IF(OR(INDEX(#REF!,ROW()+8)="START",INDEX(#REF!,ROW()+7)="",INDEX(#REF!,ROW()+7)="START",INDEX(#REF!,ROW()+7)="TBA",INDEX(#REF!,ROW()+7)="TBC"), IF(INDEX(#REF!,ROW()+7)="START",$C$3,""),IF(INDEX(#REF!,ROW()+7)="x",INDEX(#REF!,ROW()+7)+'Date Calculators'!$B$2+ICS4Master!$E110,""))</f>
        <v>#REF!</v>
      </c>
      <c r="J112" s="116" t="e" cm="1">
        <f t="array" ref="J112">IF(I112="","",INDEX(#REF!,ROW()+7))</f>
        <v>#REF!</v>
      </c>
      <c r="K112" s="120" t="e" cm="1">
        <f t="array" ref="K112">IF(I112="","",INDEX(#REF!,ROW()+7))</f>
        <v>#REF!</v>
      </c>
      <c r="L112" s="129" t="e" cm="1">
        <f t="array" ref="L112">IF(OR(I112="",INDEX(#REF!,ROW()+7)=""),"",INDEX(#REF!,ROW()+7))</f>
        <v>#REF!</v>
      </c>
    </row>
    <row r="113" spans="2:12" ht="15" customHeight="1">
      <c r="B113" s="121" t="str">
        <f t="shared" si="12"/>
        <v/>
      </c>
      <c r="C113" s="117" t="str">
        <f t="shared" si="13"/>
        <v/>
      </c>
      <c r="D113" s="116" t="str">
        <f t="shared" si="14"/>
        <v/>
      </c>
      <c r="E113" s="120" t="str">
        <f t="shared" si="15"/>
        <v/>
      </c>
      <c r="F113" s="123" t="str">
        <f t="shared" si="16"/>
        <v/>
      </c>
      <c r="G113" s="126" t="e">
        <f t="shared" si="17"/>
        <v>#REF!</v>
      </c>
      <c r="H113" s="116" t="e">
        <f t="shared" si="11"/>
        <v>#REF!</v>
      </c>
      <c r="I113" s="117" t="e" cm="1">
        <f t="array" ref="I113">IF(OR(INDEX(#REF!,ROW()+8)="START",INDEX(#REF!,ROW()+7)="",INDEX(#REF!,ROW()+7)="START",INDEX(#REF!,ROW()+7)="TBA",INDEX(#REF!,ROW()+7)="TBC"), IF(INDEX(#REF!,ROW()+7)="START",$C$3,""),IF(INDEX(#REF!,ROW()+7)="x",INDEX(#REF!,ROW()+7)+'Date Calculators'!$B$2+ICS4Master!$E111,""))</f>
        <v>#REF!</v>
      </c>
      <c r="J113" s="116" t="e" cm="1">
        <f t="array" ref="J113">IF(I113="","",INDEX(#REF!,ROW()+7))</f>
        <v>#REF!</v>
      </c>
      <c r="K113" s="120" t="e" cm="1">
        <f t="array" ref="K113">IF(I113="","",INDEX(#REF!,ROW()+7))</f>
        <v>#REF!</v>
      </c>
      <c r="L113" s="129" t="e" cm="1">
        <f t="array" ref="L113">IF(OR(I113="",INDEX(#REF!,ROW()+7)=""),"",INDEX(#REF!,ROW()+7))</f>
        <v>#REF!</v>
      </c>
    </row>
    <row r="114" spans="2:12" ht="15" customHeight="1">
      <c r="B114" s="121" t="str">
        <f t="shared" si="12"/>
        <v/>
      </c>
      <c r="C114" s="117" t="str">
        <f t="shared" si="13"/>
        <v/>
      </c>
      <c r="D114" s="116" t="str">
        <f t="shared" si="14"/>
        <v/>
      </c>
      <c r="E114" s="120" t="str">
        <f t="shared" si="15"/>
        <v/>
      </c>
      <c r="F114" s="123" t="str">
        <f t="shared" si="16"/>
        <v/>
      </c>
      <c r="G114" s="126" t="e">
        <f t="shared" si="17"/>
        <v>#REF!</v>
      </c>
      <c r="H114" s="116" t="e">
        <f t="shared" si="11"/>
        <v>#REF!</v>
      </c>
      <c r="I114" s="117" t="e" cm="1">
        <f t="array" ref="I114">IF(OR(INDEX(#REF!,ROW()+8)="START",INDEX(#REF!,ROW()+7)="",INDEX(#REF!,ROW()+7)="START",INDEX(#REF!,ROW()+7)="TBA",INDEX(#REF!,ROW()+7)="TBC"), IF(INDEX(#REF!,ROW()+7)="START",$C$3,""),IF(INDEX(#REF!,ROW()+7)="x",INDEX(#REF!,ROW()+7)+'Date Calculators'!$B$2+ICS4Master!$E112,""))</f>
        <v>#REF!</v>
      </c>
      <c r="J114" s="116" t="e" cm="1">
        <f t="array" ref="J114">IF(I114="","",INDEX(#REF!,ROW()+7))</f>
        <v>#REF!</v>
      </c>
      <c r="K114" s="120" t="e" cm="1">
        <f t="array" ref="K114">IF(I114="","",INDEX(#REF!,ROW()+7))</f>
        <v>#REF!</v>
      </c>
      <c r="L114" s="129" t="e" cm="1">
        <f t="array" ref="L114">IF(OR(I114="",INDEX(#REF!,ROW()+7)=""),"",INDEX(#REF!,ROW()+7))</f>
        <v>#REF!</v>
      </c>
    </row>
    <row r="115" spans="2:12" ht="15" customHeight="1">
      <c r="B115" s="121" t="str">
        <f t="shared" si="12"/>
        <v/>
      </c>
      <c r="C115" s="117" t="str">
        <f t="shared" si="13"/>
        <v/>
      </c>
      <c r="D115" s="116" t="str">
        <f t="shared" si="14"/>
        <v/>
      </c>
      <c r="E115" s="120" t="str">
        <f t="shared" si="15"/>
        <v/>
      </c>
      <c r="F115" s="123" t="str">
        <f t="shared" si="16"/>
        <v/>
      </c>
      <c r="G115" s="126" t="e">
        <f t="shared" si="17"/>
        <v>#REF!</v>
      </c>
      <c r="H115" s="116" t="e">
        <f t="shared" si="11"/>
        <v>#REF!</v>
      </c>
      <c r="I115" s="117" t="e" cm="1">
        <f t="array" ref="I115">IF(OR(INDEX(#REF!,ROW()+8)="START",INDEX(#REF!,ROW()+7)="",INDEX(#REF!,ROW()+7)="START",INDEX(#REF!,ROW()+7)="TBA",INDEX(#REF!,ROW()+7)="TBC"), IF(INDEX(#REF!,ROW()+7)="START",$C$3,""),IF(INDEX(#REF!,ROW()+7)="x",INDEX(#REF!,ROW()+7)+'Date Calculators'!$B$2+ICS4Master!$E113,""))</f>
        <v>#REF!</v>
      </c>
      <c r="J115" s="116" t="e" cm="1">
        <f t="array" ref="J115">IF(I115="","",INDEX(#REF!,ROW()+7))</f>
        <v>#REF!</v>
      </c>
      <c r="K115" s="120" t="e" cm="1">
        <f t="array" ref="K115">IF(I115="","",INDEX(#REF!,ROW()+7))</f>
        <v>#REF!</v>
      </c>
      <c r="L115" s="129" t="e" cm="1">
        <f t="array" ref="L115">IF(OR(I115="",INDEX(#REF!,ROW()+7)=""),"",INDEX(#REF!,ROW()+7))</f>
        <v>#REF!</v>
      </c>
    </row>
    <row r="116" spans="2:12" ht="15" customHeight="1">
      <c r="B116" s="121" t="str">
        <f t="shared" si="12"/>
        <v/>
      </c>
      <c r="C116" s="117" t="str">
        <f t="shared" si="13"/>
        <v/>
      </c>
      <c r="D116" s="116" t="str">
        <f t="shared" si="14"/>
        <v/>
      </c>
      <c r="E116" s="120" t="str">
        <f t="shared" si="15"/>
        <v/>
      </c>
      <c r="F116" s="123" t="str">
        <f t="shared" si="16"/>
        <v/>
      </c>
      <c r="G116" s="126" t="e">
        <f t="shared" si="17"/>
        <v>#REF!</v>
      </c>
      <c r="H116" s="116" t="e">
        <f t="shared" si="11"/>
        <v>#REF!</v>
      </c>
      <c r="I116" s="117" t="e" cm="1">
        <f t="array" ref="I116">IF(OR(INDEX(#REF!,ROW()+8)="START",INDEX(#REF!,ROW()+7)="",INDEX(#REF!,ROW()+7)="START",INDEX(#REF!,ROW()+7)="TBA",INDEX(#REF!,ROW()+7)="TBC"), IF(INDEX(#REF!,ROW()+7)="START",$C$3,""),IF(INDEX(#REF!,ROW()+7)="x",INDEX(#REF!,ROW()+7)+'Date Calculators'!$B$2+ICS4Master!$E114,""))</f>
        <v>#REF!</v>
      </c>
      <c r="J116" s="116" t="e" cm="1">
        <f t="array" ref="J116">IF(I116="","",INDEX(#REF!,ROW()+7))</f>
        <v>#REF!</v>
      </c>
      <c r="K116" s="120" t="e" cm="1">
        <f t="array" ref="K116">IF(I116="","",INDEX(#REF!,ROW()+7))</f>
        <v>#REF!</v>
      </c>
      <c r="L116" s="129" t="e" cm="1">
        <f t="array" ref="L116">IF(OR(I116="",INDEX(#REF!,ROW()+7)=""),"",INDEX(#REF!,ROW()+7))</f>
        <v>#REF!</v>
      </c>
    </row>
    <row r="117" spans="2:12" ht="15" customHeight="1">
      <c r="B117" s="121" t="str">
        <f t="shared" si="12"/>
        <v/>
      </c>
      <c r="C117" s="117" t="str">
        <f t="shared" si="13"/>
        <v/>
      </c>
      <c r="D117" s="116" t="str">
        <f t="shared" si="14"/>
        <v/>
      </c>
      <c r="E117" s="120" t="str">
        <f t="shared" si="15"/>
        <v/>
      </c>
      <c r="F117" s="123" t="str">
        <f t="shared" si="16"/>
        <v/>
      </c>
      <c r="G117" s="126" t="e">
        <f t="shared" si="17"/>
        <v>#REF!</v>
      </c>
      <c r="H117" s="116" t="e">
        <f t="shared" si="11"/>
        <v>#REF!</v>
      </c>
      <c r="I117" s="117" t="e" cm="1">
        <f t="array" ref="I117">IF(OR(INDEX(#REF!,ROW()+8)="START",INDEX(#REF!,ROW()+7)="",INDEX(#REF!,ROW()+7)="START",INDEX(#REF!,ROW()+7)="TBA",INDEX(#REF!,ROW()+7)="TBC"), IF(INDEX(#REF!,ROW()+7)="START",$C$3,""),IF(INDEX(#REF!,ROW()+7)="x",INDEX(#REF!,ROW()+7)+'Date Calculators'!$B$2+ICS4Master!$E115,""))</f>
        <v>#REF!</v>
      </c>
      <c r="J117" s="116" t="e" cm="1">
        <f t="array" ref="J117">IF(I117="","",INDEX(#REF!,ROW()+7))</f>
        <v>#REF!</v>
      </c>
      <c r="K117" s="120" t="e" cm="1">
        <f t="array" ref="K117">IF(I117="","",INDEX(#REF!,ROW()+7))</f>
        <v>#REF!</v>
      </c>
      <c r="L117" s="129" t="e" cm="1">
        <f t="array" ref="L117">IF(OR(I117="",INDEX(#REF!,ROW()+7)=""),"",INDEX(#REF!,ROW()+7))</f>
        <v>#REF!</v>
      </c>
    </row>
    <row r="118" spans="2:12" ht="15" customHeight="1">
      <c r="B118" s="121" t="str">
        <f t="shared" si="12"/>
        <v/>
      </c>
      <c r="C118" s="117" t="str">
        <f t="shared" si="13"/>
        <v/>
      </c>
      <c r="D118" s="116" t="str">
        <f t="shared" si="14"/>
        <v/>
      </c>
      <c r="E118" s="120" t="str">
        <f t="shared" si="15"/>
        <v/>
      </c>
      <c r="F118" s="123" t="str">
        <f t="shared" si="16"/>
        <v/>
      </c>
      <c r="G118" s="126" t="e">
        <f t="shared" si="17"/>
        <v>#REF!</v>
      </c>
      <c r="H118" s="116" t="e">
        <f t="shared" si="11"/>
        <v>#REF!</v>
      </c>
      <c r="I118" s="117" t="e" cm="1">
        <f t="array" ref="I118">IF(OR(INDEX(#REF!,ROW()+8)="START",INDEX(#REF!,ROW()+7)="",INDEX(#REF!,ROW()+7)="START",INDEX(#REF!,ROW()+7)="TBA",INDEX(#REF!,ROW()+7)="TBC"), IF(INDEX(#REF!,ROW()+7)="START",$C$3,""),IF(INDEX(#REF!,ROW()+7)="x",INDEX(#REF!,ROW()+7)+'Date Calculators'!$B$2+ICS4Master!$E116,""))</f>
        <v>#REF!</v>
      </c>
      <c r="J118" s="116" t="e" cm="1">
        <f t="array" ref="J118">IF(I118="","",INDEX(#REF!,ROW()+7))</f>
        <v>#REF!</v>
      </c>
      <c r="K118" s="120" t="e" cm="1">
        <f t="array" ref="K118">IF(I118="","",INDEX(#REF!,ROW()+7))</f>
        <v>#REF!</v>
      </c>
      <c r="L118" s="129" t="e" cm="1">
        <f t="array" ref="L118">IF(OR(I118="",INDEX(#REF!,ROW()+7)=""),"",INDEX(#REF!,ROW()+7))</f>
        <v>#REF!</v>
      </c>
    </row>
    <row r="119" spans="2:12" ht="15" customHeight="1">
      <c r="B119" s="121" t="str">
        <f t="shared" si="12"/>
        <v/>
      </c>
      <c r="C119" s="117" t="str">
        <f t="shared" si="13"/>
        <v/>
      </c>
      <c r="D119" s="116" t="str">
        <f t="shared" si="14"/>
        <v/>
      </c>
      <c r="E119" s="120" t="str">
        <f t="shared" si="15"/>
        <v/>
      </c>
      <c r="F119" s="123" t="str">
        <f t="shared" si="16"/>
        <v/>
      </c>
      <c r="G119" s="126" t="e">
        <f t="shared" si="17"/>
        <v>#REF!</v>
      </c>
      <c r="H119" s="116" t="e">
        <f t="shared" si="11"/>
        <v>#REF!</v>
      </c>
      <c r="I119" s="117" t="e" cm="1">
        <f t="array" ref="I119">IF(OR(INDEX(#REF!,ROW()+8)="START",INDEX(#REF!,ROW()+7)="",INDEX(#REF!,ROW()+7)="START",INDEX(#REF!,ROW()+7)="TBA",INDEX(#REF!,ROW()+7)="TBC"), IF(INDEX(#REF!,ROW()+7)="START",$C$3,""),IF(INDEX(#REF!,ROW()+7)="x",INDEX(#REF!,ROW()+7)+'Date Calculators'!$B$2+ICS4Master!$E117,""))</f>
        <v>#REF!</v>
      </c>
      <c r="J119" s="116" t="e" cm="1">
        <f t="array" ref="J119">IF(I119="","",INDEX(#REF!,ROW()+7))</f>
        <v>#REF!</v>
      </c>
      <c r="K119" s="120" t="e" cm="1">
        <f t="array" ref="K119">IF(I119="","",INDEX(#REF!,ROW()+7))</f>
        <v>#REF!</v>
      </c>
      <c r="L119" s="129" t="e" cm="1">
        <f t="array" ref="L119">IF(OR(I119="",INDEX(#REF!,ROW()+7)=""),"",INDEX(#REF!,ROW()+7))</f>
        <v>#REF!</v>
      </c>
    </row>
    <row r="120" spans="2:12" ht="15" customHeight="1">
      <c r="B120" s="121" t="str">
        <f t="shared" si="12"/>
        <v/>
      </c>
      <c r="C120" s="117" t="str">
        <f t="shared" si="13"/>
        <v/>
      </c>
      <c r="D120" s="116" t="str">
        <f t="shared" si="14"/>
        <v/>
      </c>
      <c r="E120" s="120" t="str">
        <f t="shared" si="15"/>
        <v/>
      </c>
      <c r="F120" s="123" t="str">
        <f t="shared" si="16"/>
        <v/>
      </c>
      <c r="G120" s="126" t="e">
        <f t="shared" si="17"/>
        <v>#REF!</v>
      </c>
      <c r="H120" s="116" t="e">
        <f t="shared" si="11"/>
        <v>#REF!</v>
      </c>
      <c r="I120" s="117" t="e" cm="1">
        <f t="array" ref="I120">IF(OR(INDEX(#REF!,ROW()+8)="START",INDEX(#REF!,ROW()+7)="",INDEX(#REF!,ROW()+7)="START",INDEX(#REF!,ROW()+7)="TBA",INDEX(#REF!,ROW()+7)="TBC"), IF(INDEX(#REF!,ROW()+7)="START",$C$3,""),IF(INDEX(#REF!,ROW()+7)="x",INDEX(#REF!,ROW()+7)+'Date Calculators'!$B$2+ICS4Master!$E118,""))</f>
        <v>#REF!</v>
      </c>
      <c r="J120" s="116" t="e" cm="1">
        <f t="array" ref="J120">IF(I120="","",INDEX(#REF!,ROW()+7))</f>
        <v>#REF!</v>
      </c>
      <c r="K120" s="120" t="e" cm="1">
        <f t="array" ref="K120">IF(I120="","",INDEX(#REF!,ROW()+7))</f>
        <v>#REF!</v>
      </c>
      <c r="L120" s="129" t="e" cm="1">
        <f t="array" ref="L120">IF(OR(I120="",INDEX(#REF!,ROW()+7)=""),"",INDEX(#REF!,ROW()+7))</f>
        <v>#REF!</v>
      </c>
    </row>
    <row r="121" spans="2:12" ht="15" customHeight="1">
      <c r="B121" s="121" t="str">
        <f t="shared" si="12"/>
        <v/>
      </c>
      <c r="C121" s="117" t="str">
        <f t="shared" si="13"/>
        <v/>
      </c>
      <c r="D121" s="116" t="str">
        <f t="shared" si="14"/>
        <v/>
      </c>
      <c r="E121" s="120" t="str">
        <f t="shared" si="15"/>
        <v/>
      </c>
      <c r="F121" s="123" t="str">
        <f t="shared" si="16"/>
        <v/>
      </c>
      <c r="G121" s="126" t="e">
        <f t="shared" si="17"/>
        <v>#REF!</v>
      </c>
      <c r="H121" s="116" t="e">
        <f t="shared" si="11"/>
        <v>#REF!</v>
      </c>
      <c r="I121" s="117" t="e" cm="1">
        <f t="array" ref="I121">IF(OR(INDEX(#REF!,ROW()+8)="START",INDEX(#REF!,ROW()+7)="",INDEX(#REF!,ROW()+7)="START",INDEX(#REF!,ROW()+7)="TBA",INDEX(#REF!,ROW()+7)="TBC"), IF(INDEX(#REF!,ROW()+7)="START",$C$3,""),IF(INDEX(#REF!,ROW()+7)="x",INDEX(#REF!,ROW()+7)+'Date Calculators'!$B$2+ICS4Master!$E119,""))</f>
        <v>#REF!</v>
      </c>
      <c r="J121" s="116" t="e" cm="1">
        <f t="array" ref="J121">IF(I121="","",INDEX(#REF!,ROW()+7))</f>
        <v>#REF!</v>
      </c>
      <c r="K121" s="120" t="e" cm="1">
        <f t="array" ref="K121">IF(I121="","",INDEX(#REF!,ROW()+7))</f>
        <v>#REF!</v>
      </c>
      <c r="L121" s="129" t="e" cm="1">
        <f t="array" ref="L121">IF(OR(I121="",INDEX(#REF!,ROW()+7)=""),"",INDEX(#REF!,ROW()+7))</f>
        <v>#REF!</v>
      </c>
    </row>
    <row r="122" spans="2:12" ht="15" customHeight="1">
      <c r="B122" s="121" t="str">
        <f t="shared" si="12"/>
        <v/>
      </c>
      <c r="C122" s="117" t="str">
        <f t="shared" si="13"/>
        <v/>
      </c>
      <c r="D122" s="116" t="str">
        <f t="shared" si="14"/>
        <v/>
      </c>
      <c r="E122" s="120" t="str">
        <f t="shared" si="15"/>
        <v/>
      </c>
      <c r="F122" s="123" t="str">
        <f t="shared" si="16"/>
        <v/>
      </c>
      <c r="G122" s="126" t="e">
        <f t="shared" si="17"/>
        <v>#REF!</v>
      </c>
      <c r="H122" s="116" t="e">
        <f t="shared" si="11"/>
        <v>#REF!</v>
      </c>
      <c r="I122" s="117" t="e" cm="1">
        <f t="array" ref="I122">IF(OR(INDEX(#REF!,ROW()+8)="START",INDEX(#REF!,ROW()+7)="",INDEX(#REF!,ROW()+7)="START",INDEX(#REF!,ROW()+7)="TBA",INDEX(#REF!,ROW()+7)="TBC"), IF(INDEX(#REF!,ROW()+7)="START",$C$3,""),IF(INDEX(#REF!,ROW()+7)="x",INDEX(#REF!,ROW()+7)+'Date Calculators'!$B$2+ICS4Master!$E120,""))</f>
        <v>#REF!</v>
      </c>
      <c r="J122" s="116" t="e" cm="1">
        <f t="array" ref="J122">IF(I122="","",INDEX(#REF!,ROW()+7))</f>
        <v>#REF!</v>
      </c>
      <c r="K122" s="120" t="e" cm="1">
        <f t="array" ref="K122">IF(I122="","",INDEX(#REF!,ROW()+7))</f>
        <v>#REF!</v>
      </c>
      <c r="L122" s="129" t="e" cm="1">
        <f t="array" ref="L122">IF(OR(I122="",INDEX(#REF!,ROW()+7)=""),"",INDEX(#REF!,ROW()+7))</f>
        <v>#REF!</v>
      </c>
    </row>
    <row r="123" spans="2:12" ht="15" customHeight="1">
      <c r="B123" s="121" t="str">
        <f t="shared" si="12"/>
        <v/>
      </c>
      <c r="C123" s="117" t="str">
        <f t="shared" si="13"/>
        <v/>
      </c>
      <c r="D123" s="116" t="str">
        <f t="shared" si="14"/>
        <v/>
      </c>
      <c r="E123" s="120" t="str">
        <f t="shared" si="15"/>
        <v/>
      </c>
      <c r="F123" s="123" t="str">
        <f t="shared" si="16"/>
        <v/>
      </c>
      <c r="G123" s="126" t="e">
        <f t="shared" si="17"/>
        <v>#REF!</v>
      </c>
      <c r="H123" s="116" t="e">
        <f t="shared" si="11"/>
        <v>#REF!</v>
      </c>
      <c r="I123" s="117" t="e" cm="1">
        <f t="array" ref="I123">IF(OR(INDEX(#REF!,ROW()+8)="START",INDEX(#REF!,ROW()+7)="",INDEX(#REF!,ROW()+7)="START",INDEX(#REF!,ROW()+7)="TBA",INDEX(#REF!,ROW()+7)="TBC"), IF(INDEX(#REF!,ROW()+7)="START",$C$3,""),IF(INDEX(#REF!,ROW()+7)="x",INDEX(#REF!,ROW()+7)+'Date Calculators'!$B$2+ICS4Master!$E121,""))</f>
        <v>#REF!</v>
      </c>
      <c r="J123" s="116" t="e" cm="1">
        <f t="array" ref="J123">IF(I123="","",INDEX(#REF!,ROW()+7))</f>
        <v>#REF!</v>
      </c>
      <c r="K123" s="120" t="e" cm="1">
        <f t="array" ref="K123">IF(I123="","",INDEX(#REF!,ROW()+7))</f>
        <v>#REF!</v>
      </c>
      <c r="L123" s="129" t="e" cm="1">
        <f t="array" ref="L123">IF(OR(I123="",INDEX(#REF!,ROW()+7)=""),"",INDEX(#REF!,ROW()+7))</f>
        <v>#REF!</v>
      </c>
    </row>
    <row r="124" spans="2:12" ht="15" customHeight="1">
      <c r="B124" s="121" t="str">
        <f t="shared" si="12"/>
        <v/>
      </c>
      <c r="C124" s="117" t="str">
        <f t="shared" si="13"/>
        <v/>
      </c>
      <c r="D124" s="116" t="str">
        <f t="shared" si="14"/>
        <v/>
      </c>
      <c r="E124" s="120" t="str">
        <f t="shared" si="15"/>
        <v/>
      </c>
      <c r="F124" s="123" t="str">
        <f t="shared" si="16"/>
        <v/>
      </c>
      <c r="G124" s="126" t="e">
        <f t="shared" si="17"/>
        <v>#REF!</v>
      </c>
      <c r="H124" s="116" t="e">
        <f t="shared" si="11"/>
        <v>#REF!</v>
      </c>
      <c r="I124" s="117" t="e" cm="1">
        <f t="array" ref="I124">IF(OR(INDEX(#REF!,ROW()+8)="START",INDEX(#REF!,ROW()+7)="",INDEX(#REF!,ROW()+7)="START",INDEX(#REF!,ROW()+7)="TBA",INDEX(#REF!,ROW()+7)="TBC"), IF(INDEX(#REF!,ROW()+7)="START",$C$3,""),IF(INDEX(#REF!,ROW()+7)="x",INDEX(#REF!,ROW()+7)+'Date Calculators'!$B$2+ICS4Master!$E122,""))</f>
        <v>#REF!</v>
      </c>
      <c r="J124" s="116" t="e" cm="1">
        <f t="array" ref="J124">IF(I124="","",INDEX(#REF!,ROW()+7))</f>
        <v>#REF!</v>
      </c>
      <c r="K124" s="120" t="e" cm="1">
        <f t="array" ref="K124">IF(I124="","",INDEX(#REF!,ROW()+7))</f>
        <v>#REF!</v>
      </c>
      <c r="L124" s="129" t="e" cm="1">
        <f t="array" ref="L124">IF(OR(I124="",INDEX(#REF!,ROW()+7)=""),"",INDEX(#REF!,ROW()+7))</f>
        <v>#REF!</v>
      </c>
    </row>
    <row r="125" spans="2:12" ht="15" customHeight="1">
      <c r="B125" s="121" t="str">
        <f t="shared" si="12"/>
        <v/>
      </c>
      <c r="C125" s="117" t="str">
        <f t="shared" si="13"/>
        <v/>
      </c>
      <c r="D125" s="116" t="str">
        <f t="shared" si="14"/>
        <v/>
      </c>
      <c r="E125" s="120" t="str">
        <f t="shared" si="15"/>
        <v/>
      </c>
      <c r="F125" s="123" t="str">
        <f t="shared" si="16"/>
        <v/>
      </c>
      <c r="G125" s="126" t="e">
        <f t="shared" si="17"/>
        <v>#REF!</v>
      </c>
      <c r="H125" s="116" t="e">
        <f t="shared" si="11"/>
        <v>#REF!</v>
      </c>
      <c r="I125" s="117" t="e" cm="1">
        <f t="array" ref="I125">IF(OR(INDEX(#REF!,ROW()+8)="START",INDEX(#REF!,ROW()+7)="",INDEX(#REF!,ROW()+7)="START",INDEX(#REF!,ROW()+7)="TBA",INDEX(#REF!,ROW()+7)="TBC"), IF(INDEX(#REF!,ROW()+7)="START",$C$3,""),IF(INDEX(#REF!,ROW()+7)="x",INDEX(#REF!,ROW()+7)+'Date Calculators'!$B$2+ICS4Master!$E123,""))</f>
        <v>#REF!</v>
      </c>
      <c r="J125" s="116" t="e" cm="1">
        <f t="array" ref="J125">IF(I125="","",INDEX(#REF!,ROW()+7))</f>
        <v>#REF!</v>
      </c>
      <c r="K125" s="120" t="e" cm="1">
        <f t="array" ref="K125">IF(I125="","",INDEX(#REF!,ROW()+7))</f>
        <v>#REF!</v>
      </c>
      <c r="L125" s="129" t="e" cm="1">
        <f t="array" ref="L125">IF(OR(I125="",INDEX(#REF!,ROW()+7)=""),"",INDEX(#REF!,ROW()+7))</f>
        <v>#REF!</v>
      </c>
    </row>
    <row r="126" spans="2:12" ht="15" customHeight="1">
      <c r="B126" s="121" t="str">
        <f t="shared" si="12"/>
        <v/>
      </c>
      <c r="C126" s="117" t="str">
        <f t="shared" si="13"/>
        <v/>
      </c>
      <c r="D126" s="116" t="str">
        <f t="shared" si="14"/>
        <v/>
      </c>
      <c r="E126" s="120" t="str">
        <f t="shared" si="15"/>
        <v/>
      </c>
      <c r="F126" s="123" t="str">
        <f t="shared" si="16"/>
        <v/>
      </c>
      <c r="G126" s="126" t="e">
        <f t="shared" si="17"/>
        <v>#REF!</v>
      </c>
      <c r="H126" s="116" t="e">
        <f t="shared" si="11"/>
        <v>#REF!</v>
      </c>
      <c r="I126" s="117" t="e" cm="1">
        <f t="array" ref="I126">IF(OR(INDEX(#REF!,ROW()+8)="START",INDEX(#REF!,ROW()+7)="",INDEX(#REF!,ROW()+7)="START",INDEX(#REF!,ROW()+7)="TBA",INDEX(#REF!,ROW()+7)="TBC"), IF(INDEX(#REF!,ROW()+7)="START",$C$3,""),IF(INDEX(#REF!,ROW()+7)="x",INDEX(#REF!,ROW()+7)+'Date Calculators'!$B$2+ICS4Master!$E124,""))</f>
        <v>#REF!</v>
      </c>
      <c r="J126" s="116" t="e" cm="1">
        <f t="array" ref="J126">IF(I126="","",INDEX(#REF!,ROW()+7))</f>
        <v>#REF!</v>
      </c>
      <c r="K126" s="120" t="e" cm="1">
        <f t="array" ref="K126">IF(I126="","",INDEX(#REF!,ROW()+7))</f>
        <v>#REF!</v>
      </c>
      <c r="L126" s="129" t="e" cm="1">
        <f t="array" ref="L126">IF(OR(I126="",INDEX(#REF!,ROW()+7)=""),"",INDEX(#REF!,ROW()+7))</f>
        <v>#REF!</v>
      </c>
    </row>
    <row r="127" spans="2:12" ht="15" customHeight="1">
      <c r="B127" s="121" t="str">
        <f t="shared" si="12"/>
        <v/>
      </c>
      <c r="C127" s="117" t="str">
        <f t="shared" si="13"/>
        <v/>
      </c>
      <c r="D127" s="116" t="str">
        <f t="shared" si="14"/>
        <v/>
      </c>
      <c r="E127" s="120" t="str">
        <f t="shared" si="15"/>
        <v/>
      </c>
      <c r="F127" s="123" t="str">
        <f t="shared" si="16"/>
        <v/>
      </c>
      <c r="G127" s="126" t="e">
        <f t="shared" si="17"/>
        <v>#REF!</v>
      </c>
      <c r="H127" s="116" t="e">
        <f t="shared" si="11"/>
        <v>#REF!</v>
      </c>
      <c r="I127" s="117" t="e" cm="1">
        <f t="array" ref="I127">IF(OR(INDEX(#REF!,ROW()+8)="START",INDEX(#REF!,ROW()+7)="",INDEX(#REF!,ROW()+7)="START",INDEX(#REF!,ROW()+7)="TBA",INDEX(#REF!,ROW()+7)="TBC"), IF(INDEX(#REF!,ROW()+7)="START",$C$3,""),IF(INDEX(#REF!,ROW()+7)="x",INDEX(#REF!,ROW()+7)+'Date Calculators'!$B$2+ICS4Master!$E125,""))</f>
        <v>#REF!</v>
      </c>
      <c r="J127" s="116" t="e" cm="1">
        <f t="array" ref="J127">IF(I127="","",INDEX(#REF!,ROW()+7))</f>
        <v>#REF!</v>
      </c>
      <c r="K127" s="120" t="e" cm="1">
        <f t="array" ref="K127">IF(I127="","",INDEX(#REF!,ROW()+7))</f>
        <v>#REF!</v>
      </c>
      <c r="L127" s="129" t="e" cm="1">
        <f t="array" ref="L127">IF(OR(I127="",INDEX(#REF!,ROW()+7)=""),"",INDEX(#REF!,ROW()+7))</f>
        <v>#REF!</v>
      </c>
    </row>
    <row r="128" spans="2:12" ht="15" customHeight="1">
      <c r="B128" s="121" t="str">
        <f t="shared" si="12"/>
        <v/>
      </c>
      <c r="C128" s="117" t="str">
        <f t="shared" si="13"/>
        <v/>
      </c>
      <c r="D128" s="116" t="str">
        <f t="shared" si="14"/>
        <v/>
      </c>
      <c r="E128" s="120" t="str">
        <f t="shared" si="15"/>
        <v/>
      </c>
      <c r="F128" s="123" t="str">
        <f t="shared" si="16"/>
        <v/>
      </c>
      <c r="G128" s="126" t="e">
        <f t="shared" si="17"/>
        <v>#REF!</v>
      </c>
      <c r="H128" s="116" t="e">
        <f t="shared" si="11"/>
        <v>#REF!</v>
      </c>
      <c r="I128" s="117" t="e" cm="1">
        <f t="array" ref="I128">IF(OR(INDEX(#REF!,ROW()+8)="START",INDEX(#REF!,ROW()+7)="",INDEX(#REF!,ROW()+7)="START",INDEX(#REF!,ROW()+7)="TBA",INDEX(#REF!,ROW()+7)="TBC"), IF(INDEX(#REF!,ROW()+7)="START",$C$3,""),IF(INDEX(#REF!,ROW()+7)="x",INDEX(#REF!,ROW()+7)+'Date Calculators'!$B$2+ICS4Master!$E126,""))</f>
        <v>#REF!</v>
      </c>
      <c r="J128" s="116" t="e" cm="1">
        <f t="array" ref="J128">IF(I128="","",INDEX(#REF!,ROW()+7))</f>
        <v>#REF!</v>
      </c>
      <c r="K128" s="120" t="e" cm="1">
        <f t="array" ref="K128">IF(I128="","",INDEX(#REF!,ROW()+7))</f>
        <v>#REF!</v>
      </c>
      <c r="L128" s="129" t="e" cm="1">
        <f t="array" ref="L128">IF(OR(I128="",INDEX(#REF!,ROW()+7)=""),"",INDEX(#REF!,ROW()+7))</f>
        <v>#REF!</v>
      </c>
    </row>
    <row r="129" spans="1:12" ht="15" customHeight="1">
      <c r="B129" s="121" t="str">
        <f t="shared" si="12"/>
        <v/>
      </c>
      <c r="C129" s="117" t="str">
        <f t="shared" si="13"/>
        <v/>
      </c>
      <c r="D129" s="116" t="str">
        <f t="shared" si="14"/>
        <v/>
      </c>
      <c r="E129" s="120" t="str">
        <f t="shared" si="15"/>
        <v/>
      </c>
      <c r="F129" s="123" t="str">
        <f t="shared" si="16"/>
        <v/>
      </c>
      <c r="G129" s="126" t="e">
        <f t="shared" si="17"/>
        <v>#REF!</v>
      </c>
      <c r="H129" s="116" t="e">
        <f t="shared" si="11"/>
        <v>#REF!</v>
      </c>
      <c r="I129" s="117" t="e" cm="1">
        <f t="array" ref="I129">IF(OR(INDEX(#REF!,ROW()+8)="START",INDEX(#REF!,ROW()+7)="",INDEX(#REF!,ROW()+7)="START",INDEX(#REF!,ROW()+7)="TBA",INDEX(#REF!,ROW()+7)="TBC"), IF(INDEX(#REF!,ROW()+7)="START",$C$3,""),IF(INDEX(#REF!,ROW()+7)="x",INDEX(#REF!,ROW()+7)+'Date Calculators'!$B$2+ICS4Master!$E127,""))</f>
        <v>#REF!</v>
      </c>
      <c r="J129" s="116" t="e" cm="1">
        <f t="array" ref="J129">IF(I129="","",INDEX(#REF!,ROW()+7))</f>
        <v>#REF!</v>
      </c>
      <c r="K129" s="120" t="e" cm="1">
        <f t="array" ref="K129">IF(I129="","",INDEX(#REF!,ROW()+7))</f>
        <v>#REF!</v>
      </c>
      <c r="L129" s="129" t="e" cm="1">
        <f t="array" ref="L129">IF(OR(I129="",INDEX(#REF!,ROW()+7)=""),"",INDEX(#REF!,ROW()+7))</f>
        <v>#REF!</v>
      </c>
    </row>
    <row r="130" spans="1:12" ht="15" customHeight="1">
      <c r="A130" s="97"/>
      <c r="B130" s="121" t="str">
        <f t="shared" si="12"/>
        <v/>
      </c>
      <c r="C130" s="117" t="str">
        <f t="shared" si="13"/>
        <v/>
      </c>
      <c r="D130" s="116" t="str">
        <f t="shared" si="14"/>
        <v/>
      </c>
      <c r="E130" s="120" t="str">
        <f t="shared" si="15"/>
        <v/>
      </c>
      <c r="F130" s="123" t="str">
        <f t="shared" si="16"/>
        <v/>
      </c>
      <c r="G130" s="126" t="e">
        <f t="shared" si="17"/>
        <v>#REF!</v>
      </c>
      <c r="H130" s="116" t="e">
        <f t="shared" si="11"/>
        <v>#REF!</v>
      </c>
      <c r="I130" s="117" t="e" cm="1">
        <f t="array" ref="I130">IF(OR(INDEX(#REF!,ROW()+8)="START",INDEX(#REF!,ROW()+7)="",INDEX(#REF!,ROW()+7)="START",INDEX(#REF!,ROW()+7)="TBA",INDEX(#REF!,ROW()+7)="TBC"), IF(INDEX(#REF!,ROW()+7)="START",$C$3,""),IF(INDEX(#REF!,ROW()+7)="x",INDEX(#REF!,ROW()+7)+'Date Calculators'!$B$2+ICS4Master!$E128,""))</f>
        <v>#REF!</v>
      </c>
      <c r="J130" s="116" t="e" cm="1">
        <f t="array" ref="J130">IF(I130="","",INDEX(#REF!,ROW()+7))</f>
        <v>#REF!</v>
      </c>
      <c r="K130" s="120" t="e" cm="1">
        <f t="array" ref="K130">IF(I130="","",INDEX(#REF!,ROW()+7))</f>
        <v>#REF!</v>
      </c>
      <c r="L130" s="129" t="e" cm="1">
        <f t="array" ref="L130">IF(OR(I130="",INDEX(#REF!,ROW()+7)=""),"",INDEX(#REF!,ROW()+7))</f>
        <v>#REF!</v>
      </c>
    </row>
    <row r="131" spans="1:12" ht="15" customHeight="1">
      <c r="B131" s="121" t="str">
        <f t="shared" si="12"/>
        <v/>
      </c>
      <c r="C131" s="117" t="str">
        <f t="shared" si="13"/>
        <v/>
      </c>
      <c r="D131" s="116" t="str">
        <f t="shared" si="14"/>
        <v/>
      </c>
      <c r="E131" s="120" t="str">
        <f t="shared" si="15"/>
        <v/>
      </c>
      <c r="F131" s="123" t="str">
        <f t="shared" si="16"/>
        <v/>
      </c>
      <c r="G131" s="126" t="e">
        <f t="shared" si="17"/>
        <v>#REF!</v>
      </c>
      <c r="H131" s="116" t="e">
        <f t="shared" si="11"/>
        <v>#REF!</v>
      </c>
      <c r="I131" s="117" t="e" cm="1">
        <f t="array" ref="I131">IF(OR(INDEX(#REF!,ROW()+8)="START",INDEX(#REF!,ROW()+7)="",INDEX(#REF!,ROW()+7)="START",INDEX(#REF!,ROW()+7)="TBA",INDEX(#REF!,ROW()+7)="TBC"), IF(INDEX(#REF!,ROW()+7)="START",$C$3,""),IF(INDEX(#REF!,ROW()+7)="x",INDEX(#REF!,ROW()+7)+'Date Calculators'!$B$2+ICS4Master!$E129,""))</f>
        <v>#REF!</v>
      </c>
      <c r="J131" s="116" t="e" cm="1">
        <f t="array" ref="J131">IF(I131="","",INDEX(#REF!,ROW()+7))</f>
        <v>#REF!</v>
      </c>
      <c r="K131" s="120" t="e" cm="1">
        <f t="array" ref="K131">IF(I131="","",INDEX(#REF!,ROW()+7))</f>
        <v>#REF!</v>
      </c>
      <c r="L131" s="129" t="e" cm="1">
        <f t="array" ref="L131">IF(OR(I131="",INDEX(#REF!,ROW()+7)=""),"",INDEX(#REF!,ROW()+7))</f>
        <v>#REF!</v>
      </c>
    </row>
    <row r="132" spans="1:12" ht="15" customHeight="1">
      <c r="B132" s="121" t="str">
        <f t="shared" si="12"/>
        <v/>
      </c>
      <c r="C132" s="117" t="str">
        <f t="shared" si="13"/>
        <v/>
      </c>
      <c r="D132" s="116" t="str">
        <f t="shared" si="14"/>
        <v/>
      </c>
      <c r="E132" s="120" t="str">
        <f t="shared" si="15"/>
        <v/>
      </c>
      <c r="F132" s="123" t="str">
        <f t="shared" si="16"/>
        <v/>
      </c>
      <c r="G132" s="126" t="e">
        <f t="shared" si="17"/>
        <v>#REF!</v>
      </c>
      <c r="H132" s="116" t="e">
        <f t="shared" ref="H132:H195" si="18">IF(I132="","",IF(I132="END","START",IF(OR(I131="END",I131=I132,I131=""),I132-$U$3,IFERROR(IF(I131&gt;I132,I132-$U$3,I131),I131))))</f>
        <v>#REF!</v>
      </c>
      <c r="I132" s="117" t="e" cm="1">
        <f t="array" ref="I132">IF(OR(INDEX(#REF!,ROW()+8)="START",INDEX(#REF!,ROW()+7)="",INDEX(#REF!,ROW()+7)="START",INDEX(#REF!,ROW()+7)="TBA",INDEX(#REF!,ROW()+7)="TBC"), IF(INDEX(#REF!,ROW()+7)="START",$C$3,""),IF(INDEX(#REF!,ROW()+7)="x",INDEX(#REF!,ROW()+7)+'Date Calculators'!$B$2+ICS4Master!$E130,""))</f>
        <v>#REF!</v>
      </c>
      <c r="J132" s="116" t="e" cm="1">
        <f t="array" ref="J132">IF(I132="","",INDEX(#REF!,ROW()+7))</f>
        <v>#REF!</v>
      </c>
      <c r="K132" s="120" t="e" cm="1">
        <f t="array" ref="K132">IF(I132="","",INDEX(#REF!,ROW()+7))</f>
        <v>#REF!</v>
      </c>
      <c r="L132" s="129" t="e" cm="1">
        <f t="array" ref="L132">IF(OR(I132="",INDEX(#REF!,ROW()+7)=""),"",INDEX(#REF!,ROW()+7))</f>
        <v>#REF!</v>
      </c>
    </row>
    <row r="133" spans="1:12" ht="15" customHeight="1">
      <c r="B133" s="121" t="str">
        <f t="shared" ref="B133:B196" si="19">IFERROR(IF(AND(INDEX($H$4:$H$500,MATCH(ROW()-3,$G$4:$G$500,0))&gt;C132,INDEX($I$4:$I$500,MATCH(ROW()-3,$G$4:$G$500,0))&lt;&gt;"END"),C132,INDEX($H$4:$H$500,MATCH(ROW()-3,$G$4:$G$500,0))),"")</f>
        <v/>
      </c>
      <c r="C133" s="117" t="str">
        <f t="shared" ref="C133:C196" si="20">IFERROR(INDEX($I$4:$I$500,MATCH(ROW()-3,$G$4:$G$500,0)),"")</f>
        <v/>
      </c>
      <c r="D133" s="116" t="str">
        <f t="shared" ref="D133:D196" si="21">IFERROR(INDEX($J$4:$J$500,MATCH(ROW()-3,$G$4:$G$500,0)),"")</f>
        <v/>
      </c>
      <c r="E133" s="120" t="str">
        <f t="shared" ref="E133:E196" si="22">IFERROR(INDEX($K$4:$K$500,MATCH(ROW()-3,$G$4:$G$500,0)),"")</f>
        <v/>
      </c>
      <c r="F133" s="123" t="str">
        <f t="shared" ref="F133:F196" si="23">IFERROR(INDEX($L$4:$L$500,MATCH(ROW()-3,$G$4:$G$500,0)),"")</f>
        <v/>
      </c>
      <c r="G133" s="126" t="e">
        <f t="shared" ref="G133:G196" si="24">G132+IF(I133&lt;&gt;"",1,0)</f>
        <v>#REF!</v>
      </c>
      <c r="H133" s="116" t="e">
        <f t="shared" si="18"/>
        <v>#REF!</v>
      </c>
      <c r="I133" s="117" t="e" cm="1">
        <f t="array" ref="I133">IF(OR(INDEX(#REF!,ROW()+8)="START",INDEX(#REF!,ROW()+7)="",INDEX(#REF!,ROW()+7)="START",INDEX(#REF!,ROW()+7)="TBA",INDEX(#REF!,ROW()+7)="TBC"), IF(INDEX(#REF!,ROW()+7)="START",$C$3,""),IF(INDEX(#REF!,ROW()+7)="x",INDEX(#REF!,ROW()+7)+'Date Calculators'!$B$2+ICS4Master!$E131,""))</f>
        <v>#REF!</v>
      </c>
      <c r="J133" s="116" t="e" cm="1">
        <f t="array" ref="J133">IF(I133="","",INDEX(#REF!,ROW()+7))</f>
        <v>#REF!</v>
      </c>
      <c r="K133" s="120" t="e" cm="1">
        <f t="array" ref="K133">IF(I133="","",INDEX(#REF!,ROW()+7))</f>
        <v>#REF!</v>
      </c>
      <c r="L133" s="129" t="e" cm="1">
        <f t="array" ref="L133">IF(OR(I133="",INDEX(#REF!,ROW()+7)=""),"",INDEX(#REF!,ROW()+7))</f>
        <v>#REF!</v>
      </c>
    </row>
    <row r="134" spans="1:12" ht="15" customHeight="1">
      <c r="B134" s="121" t="str">
        <f t="shared" si="19"/>
        <v/>
      </c>
      <c r="C134" s="117" t="str">
        <f t="shared" si="20"/>
        <v/>
      </c>
      <c r="D134" s="116" t="str">
        <f t="shared" si="21"/>
        <v/>
      </c>
      <c r="E134" s="120" t="str">
        <f t="shared" si="22"/>
        <v/>
      </c>
      <c r="F134" s="123" t="str">
        <f t="shared" si="23"/>
        <v/>
      </c>
      <c r="G134" s="126" t="e">
        <f t="shared" si="24"/>
        <v>#REF!</v>
      </c>
      <c r="H134" s="116" t="e">
        <f t="shared" si="18"/>
        <v>#REF!</v>
      </c>
      <c r="I134" s="117" t="e" cm="1">
        <f t="array" ref="I134">IF(OR(INDEX(#REF!,ROW()+8)="START",INDEX(#REF!,ROW()+7)="",INDEX(#REF!,ROW()+7)="START",INDEX(#REF!,ROW()+7)="TBA",INDEX(#REF!,ROW()+7)="TBC"), IF(INDEX(#REF!,ROW()+7)="START",$C$3,""),IF(INDEX(#REF!,ROW()+7)="x",INDEX(#REF!,ROW()+7)+'Date Calculators'!$B$2+ICS4Master!$E132,""))</f>
        <v>#REF!</v>
      </c>
      <c r="J134" s="116" t="e" cm="1">
        <f t="array" ref="J134">IF(I134="","",INDEX(#REF!,ROW()+7))</f>
        <v>#REF!</v>
      </c>
      <c r="K134" s="120" t="e" cm="1">
        <f t="array" ref="K134">IF(I134="","",INDEX(#REF!,ROW()+7))</f>
        <v>#REF!</v>
      </c>
      <c r="L134" s="129" t="e" cm="1">
        <f t="array" ref="L134">IF(OR(I134="",INDEX(#REF!,ROW()+7)=""),"",INDEX(#REF!,ROW()+7))</f>
        <v>#REF!</v>
      </c>
    </row>
    <row r="135" spans="1:12" ht="15" customHeight="1">
      <c r="B135" s="121" t="str">
        <f t="shared" si="19"/>
        <v/>
      </c>
      <c r="C135" s="117" t="str">
        <f t="shared" si="20"/>
        <v/>
      </c>
      <c r="D135" s="116" t="str">
        <f t="shared" si="21"/>
        <v/>
      </c>
      <c r="E135" s="120" t="str">
        <f t="shared" si="22"/>
        <v/>
      </c>
      <c r="F135" s="123" t="str">
        <f t="shared" si="23"/>
        <v/>
      </c>
      <c r="G135" s="126" t="e">
        <f t="shared" si="24"/>
        <v>#REF!</v>
      </c>
      <c r="H135" s="116" t="e">
        <f t="shared" si="18"/>
        <v>#REF!</v>
      </c>
      <c r="I135" s="117" t="e" cm="1">
        <f t="array" ref="I135">IF(OR(INDEX(#REF!,ROW()+8)="START",INDEX(#REF!,ROW()+7)="",INDEX(#REF!,ROW()+7)="START",INDEX(#REF!,ROW()+7)="TBA",INDEX(#REF!,ROW()+7)="TBC"), IF(INDEX(#REF!,ROW()+7)="START",$C$3,""),IF(INDEX(#REF!,ROW()+7)="x",INDEX(#REF!,ROW()+7)+'Date Calculators'!$B$2+ICS4Master!$E133,""))</f>
        <v>#REF!</v>
      </c>
      <c r="J135" s="116" t="e" cm="1">
        <f t="array" ref="J135">IF(I135="","",INDEX(#REF!,ROW()+7))</f>
        <v>#REF!</v>
      </c>
      <c r="K135" s="120" t="e" cm="1">
        <f t="array" ref="K135">IF(I135="","",INDEX(#REF!,ROW()+7))</f>
        <v>#REF!</v>
      </c>
      <c r="L135" s="129" t="e" cm="1">
        <f t="array" ref="L135">IF(OR(I135="",INDEX(#REF!,ROW()+7)=""),"",INDEX(#REF!,ROW()+7))</f>
        <v>#REF!</v>
      </c>
    </row>
    <row r="136" spans="1:12" ht="15" customHeight="1">
      <c r="B136" s="121" t="str">
        <f t="shared" si="19"/>
        <v/>
      </c>
      <c r="C136" s="117" t="str">
        <f t="shared" si="20"/>
        <v/>
      </c>
      <c r="D136" s="116" t="str">
        <f t="shared" si="21"/>
        <v/>
      </c>
      <c r="E136" s="120" t="str">
        <f t="shared" si="22"/>
        <v/>
      </c>
      <c r="F136" s="123" t="str">
        <f t="shared" si="23"/>
        <v/>
      </c>
      <c r="G136" s="126" t="e">
        <f t="shared" si="24"/>
        <v>#REF!</v>
      </c>
      <c r="H136" s="116" t="e">
        <f t="shared" si="18"/>
        <v>#REF!</v>
      </c>
      <c r="I136" s="117" t="e" cm="1">
        <f t="array" ref="I136">IF(OR(INDEX(#REF!,ROW()+8)="START",INDEX(#REF!,ROW()+7)="",INDEX(#REF!,ROW()+7)="START",INDEX(#REF!,ROW()+7)="TBA",INDEX(#REF!,ROW()+7)="TBC"), IF(INDEX(#REF!,ROW()+7)="START",$C$3,""),IF(INDEX(#REF!,ROW()+7)="x",INDEX(#REF!,ROW()+7)+'Date Calculators'!$B$2+ICS4Master!$E134,""))</f>
        <v>#REF!</v>
      </c>
      <c r="J136" s="116" t="e" cm="1">
        <f t="array" ref="J136">IF(I136="","",INDEX(#REF!,ROW()+7))</f>
        <v>#REF!</v>
      </c>
      <c r="K136" s="120" t="e" cm="1">
        <f t="array" ref="K136">IF(I136="","",INDEX(#REF!,ROW()+7))</f>
        <v>#REF!</v>
      </c>
      <c r="L136" s="129" t="e" cm="1">
        <f t="array" ref="L136">IF(OR(I136="",INDEX(#REF!,ROW()+7)=""),"",INDEX(#REF!,ROW()+7))</f>
        <v>#REF!</v>
      </c>
    </row>
    <row r="137" spans="1:12" ht="15" customHeight="1">
      <c r="B137" s="121" t="str">
        <f t="shared" si="19"/>
        <v/>
      </c>
      <c r="C137" s="117" t="str">
        <f t="shared" si="20"/>
        <v/>
      </c>
      <c r="D137" s="116" t="str">
        <f t="shared" si="21"/>
        <v/>
      </c>
      <c r="E137" s="120" t="str">
        <f t="shared" si="22"/>
        <v/>
      </c>
      <c r="F137" s="123" t="str">
        <f t="shared" si="23"/>
        <v/>
      </c>
      <c r="G137" s="126" t="e">
        <f t="shared" si="24"/>
        <v>#REF!</v>
      </c>
      <c r="H137" s="116" t="e">
        <f t="shared" si="18"/>
        <v>#REF!</v>
      </c>
      <c r="I137" s="117" t="e" cm="1">
        <f t="array" ref="I137">IF(OR(INDEX(#REF!,ROW()+8)="START",INDEX(#REF!,ROW()+7)="",INDEX(#REF!,ROW()+7)="START",INDEX(#REF!,ROW()+7)="TBA",INDEX(#REF!,ROW()+7)="TBC"), IF(INDEX(#REF!,ROW()+7)="START",$C$3,""),IF(INDEX(#REF!,ROW()+7)="x",INDEX(#REF!,ROW()+7)+'Date Calculators'!$B$2+ICS4Master!$E135,""))</f>
        <v>#REF!</v>
      </c>
      <c r="J137" s="116" t="e" cm="1">
        <f t="array" ref="J137">IF(I137="","",INDEX(#REF!,ROW()+7))</f>
        <v>#REF!</v>
      </c>
      <c r="K137" s="120" t="e" cm="1">
        <f t="array" ref="K137">IF(I137="","",INDEX(#REF!,ROW()+7))</f>
        <v>#REF!</v>
      </c>
      <c r="L137" s="129" t="e" cm="1">
        <f t="array" ref="L137">IF(OR(I137="",INDEX(#REF!,ROW()+7)=""),"",INDEX(#REF!,ROW()+7))</f>
        <v>#REF!</v>
      </c>
    </row>
    <row r="138" spans="1:12" ht="15" customHeight="1">
      <c r="B138" s="121" t="str">
        <f t="shared" si="19"/>
        <v/>
      </c>
      <c r="C138" s="117" t="str">
        <f t="shared" si="20"/>
        <v/>
      </c>
      <c r="D138" s="116" t="str">
        <f t="shared" si="21"/>
        <v/>
      </c>
      <c r="E138" s="120" t="str">
        <f t="shared" si="22"/>
        <v/>
      </c>
      <c r="F138" s="123" t="str">
        <f t="shared" si="23"/>
        <v/>
      </c>
      <c r="G138" s="126" t="e">
        <f t="shared" si="24"/>
        <v>#REF!</v>
      </c>
      <c r="H138" s="116" t="e">
        <f t="shared" si="18"/>
        <v>#REF!</v>
      </c>
      <c r="I138" s="117" t="e" cm="1">
        <f t="array" ref="I138">IF(OR(INDEX(#REF!,ROW()+8)="START",INDEX(#REF!,ROW()+7)="",INDEX(#REF!,ROW()+7)="START",INDEX(#REF!,ROW()+7)="TBA",INDEX(#REF!,ROW()+7)="TBC"), IF(INDEX(#REF!,ROW()+7)="START",$C$3,""),IF(INDEX(#REF!,ROW()+7)="x",INDEX(#REF!,ROW()+7)+'Date Calculators'!$B$2+ICS4Master!$E136,""))</f>
        <v>#REF!</v>
      </c>
      <c r="J138" s="116" t="e" cm="1">
        <f t="array" ref="J138">IF(I138="","",INDEX(#REF!,ROW()+7))</f>
        <v>#REF!</v>
      </c>
      <c r="K138" s="120" t="e" cm="1">
        <f t="array" ref="K138">IF(I138="","",INDEX(#REF!,ROW()+7))</f>
        <v>#REF!</v>
      </c>
      <c r="L138" s="129" t="e" cm="1">
        <f t="array" ref="L138">IF(OR(I138="",INDEX(#REF!,ROW()+7)=""),"",INDEX(#REF!,ROW()+7))</f>
        <v>#REF!</v>
      </c>
    </row>
    <row r="139" spans="1:12" ht="15" customHeight="1">
      <c r="B139" s="121" t="str">
        <f t="shared" si="19"/>
        <v/>
      </c>
      <c r="C139" s="117" t="str">
        <f t="shared" si="20"/>
        <v/>
      </c>
      <c r="D139" s="116" t="str">
        <f t="shared" si="21"/>
        <v/>
      </c>
      <c r="E139" s="120" t="str">
        <f t="shared" si="22"/>
        <v/>
      </c>
      <c r="F139" s="123" t="str">
        <f t="shared" si="23"/>
        <v/>
      </c>
      <c r="G139" s="126" t="e">
        <f t="shared" si="24"/>
        <v>#REF!</v>
      </c>
      <c r="H139" s="116" t="e">
        <f t="shared" si="18"/>
        <v>#REF!</v>
      </c>
      <c r="I139" s="117" t="e" cm="1">
        <f t="array" ref="I139">IF(OR(INDEX(#REF!,ROW()+8)="START",INDEX(#REF!,ROW()+7)="",INDEX(#REF!,ROW()+7)="START",INDEX(#REF!,ROW()+7)="TBA",INDEX(#REF!,ROW()+7)="TBC"), IF(INDEX(#REF!,ROW()+7)="START",$C$3,""),IF(INDEX(#REF!,ROW()+7)="x",INDEX(#REF!,ROW()+7)+'Date Calculators'!$B$2+ICS4Master!$E137,""))</f>
        <v>#REF!</v>
      </c>
      <c r="J139" s="116" t="e" cm="1">
        <f t="array" ref="J139">IF(I139="","",INDEX(#REF!,ROW()+7))</f>
        <v>#REF!</v>
      </c>
      <c r="K139" s="120" t="e" cm="1">
        <f t="array" ref="K139">IF(I139="","",INDEX(#REF!,ROW()+7))</f>
        <v>#REF!</v>
      </c>
      <c r="L139" s="129" t="e" cm="1">
        <f t="array" ref="L139">IF(OR(I139="",INDEX(#REF!,ROW()+7)=""),"",INDEX(#REF!,ROW()+7))</f>
        <v>#REF!</v>
      </c>
    </row>
    <row r="140" spans="1:12" ht="15" customHeight="1">
      <c r="B140" s="121" t="str">
        <f t="shared" si="19"/>
        <v/>
      </c>
      <c r="C140" s="117" t="str">
        <f t="shared" si="20"/>
        <v/>
      </c>
      <c r="D140" s="116" t="str">
        <f t="shared" si="21"/>
        <v/>
      </c>
      <c r="E140" s="120" t="str">
        <f t="shared" si="22"/>
        <v/>
      </c>
      <c r="F140" s="123" t="str">
        <f t="shared" si="23"/>
        <v/>
      </c>
      <c r="G140" s="126" t="e">
        <f t="shared" si="24"/>
        <v>#REF!</v>
      </c>
      <c r="H140" s="116" t="e">
        <f t="shared" si="18"/>
        <v>#REF!</v>
      </c>
      <c r="I140" s="117" t="e" cm="1">
        <f t="array" ref="I140">IF(OR(INDEX(#REF!,ROW()+8)="START",INDEX(#REF!,ROW()+7)="",INDEX(#REF!,ROW()+7)="START",INDEX(#REF!,ROW()+7)="TBA",INDEX(#REF!,ROW()+7)="TBC"), IF(INDEX(#REF!,ROW()+7)="START",$C$3,""),IF(INDEX(#REF!,ROW()+7)="x",INDEX(#REF!,ROW()+7)+'Date Calculators'!$B$2+ICS4Master!$E138,""))</f>
        <v>#REF!</v>
      </c>
      <c r="J140" s="116" t="e" cm="1">
        <f t="array" ref="J140">IF(I140="","",INDEX(#REF!,ROW()+7))</f>
        <v>#REF!</v>
      </c>
      <c r="K140" s="120" t="e" cm="1">
        <f t="array" ref="K140">IF(I140="","",INDEX(#REF!,ROW()+7))</f>
        <v>#REF!</v>
      </c>
      <c r="L140" s="129" t="e" cm="1">
        <f t="array" ref="L140">IF(OR(I140="",INDEX(#REF!,ROW()+7)=""),"",INDEX(#REF!,ROW()+7))</f>
        <v>#REF!</v>
      </c>
    </row>
    <row r="141" spans="1:12" ht="15" customHeight="1">
      <c r="B141" s="121" t="str">
        <f t="shared" si="19"/>
        <v/>
      </c>
      <c r="C141" s="117" t="str">
        <f t="shared" si="20"/>
        <v/>
      </c>
      <c r="D141" s="116" t="str">
        <f t="shared" si="21"/>
        <v/>
      </c>
      <c r="E141" s="120" t="str">
        <f t="shared" si="22"/>
        <v/>
      </c>
      <c r="F141" s="123" t="str">
        <f t="shared" si="23"/>
        <v/>
      </c>
      <c r="G141" s="126" t="e">
        <f t="shared" si="24"/>
        <v>#REF!</v>
      </c>
      <c r="H141" s="116" t="e">
        <f t="shared" si="18"/>
        <v>#REF!</v>
      </c>
      <c r="I141" s="117" t="e" cm="1">
        <f t="array" ref="I141">IF(OR(INDEX(#REF!,ROW()+8)="START",INDEX(#REF!,ROW()+7)="",INDEX(#REF!,ROW()+7)="START",INDEX(#REF!,ROW()+7)="TBA",INDEX(#REF!,ROW()+7)="TBC"), IF(INDEX(#REF!,ROW()+7)="START",$C$3,""),IF(INDEX(#REF!,ROW()+7)="x",INDEX(#REF!,ROW()+7)+'Date Calculators'!$B$2+ICS4Master!$E139,""))</f>
        <v>#REF!</v>
      </c>
      <c r="J141" s="116" t="e" cm="1">
        <f t="array" ref="J141">IF(I141="","",INDEX(#REF!,ROW()+7))</f>
        <v>#REF!</v>
      </c>
      <c r="K141" s="120" t="e" cm="1">
        <f t="array" ref="K141">IF(I141="","",INDEX(#REF!,ROW()+7))</f>
        <v>#REF!</v>
      </c>
      <c r="L141" s="129" t="e" cm="1">
        <f t="array" ref="L141">IF(OR(I141="",INDEX(#REF!,ROW()+7)=""),"",INDEX(#REF!,ROW()+7))</f>
        <v>#REF!</v>
      </c>
    </row>
    <row r="142" spans="1:12" ht="15" customHeight="1">
      <c r="B142" s="121" t="str">
        <f t="shared" si="19"/>
        <v/>
      </c>
      <c r="C142" s="117" t="str">
        <f t="shared" si="20"/>
        <v/>
      </c>
      <c r="D142" s="116" t="str">
        <f t="shared" si="21"/>
        <v/>
      </c>
      <c r="E142" s="120" t="str">
        <f t="shared" si="22"/>
        <v/>
      </c>
      <c r="F142" s="123" t="str">
        <f t="shared" si="23"/>
        <v/>
      </c>
      <c r="G142" s="126" t="e">
        <f t="shared" si="24"/>
        <v>#REF!</v>
      </c>
      <c r="H142" s="116" t="e">
        <f t="shared" si="18"/>
        <v>#REF!</v>
      </c>
      <c r="I142" s="117" t="e" cm="1">
        <f t="array" ref="I142">IF(OR(INDEX(#REF!,ROW()+8)="START",INDEX(#REF!,ROW()+7)="",INDEX(#REF!,ROW()+7)="START",INDEX(#REF!,ROW()+7)="TBA",INDEX(#REF!,ROW()+7)="TBC"), IF(INDEX(#REF!,ROW()+7)="START",$C$3,""),IF(INDEX(#REF!,ROW()+7)="x",INDEX(#REF!,ROW()+7)+'Date Calculators'!$B$2+ICS4Master!$E140,""))</f>
        <v>#REF!</v>
      </c>
      <c r="J142" s="116" t="e" cm="1">
        <f t="array" ref="J142">IF(I142="","",INDEX(#REF!,ROW()+7))</f>
        <v>#REF!</v>
      </c>
      <c r="K142" s="120" t="e" cm="1">
        <f t="array" ref="K142">IF(I142="","",INDEX(#REF!,ROW()+7))</f>
        <v>#REF!</v>
      </c>
      <c r="L142" s="129" t="e" cm="1">
        <f t="array" ref="L142">IF(OR(I142="",INDEX(#REF!,ROW()+7)=""),"",INDEX(#REF!,ROW()+7))</f>
        <v>#REF!</v>
      </c>
    </row>
    <row r="143" spans="1:12" ht="15" customHeight="1">
      <c r="B143" s="121" t="str">
        <f t="shared" si="19"/>
        <v/>
      </c>
      <c r="C143" s="117" t="str">
        <f t="shared" si="20"/>
        <v/>
      </c>
      <c r="D143" s="116" t="str">
        <f t="shared" si="21"/>
        <v/>
      </c>
      <c r="E143" s="120" t="str">
        <f t="shared" si="22"/>
        <v/>
      </c>
      <c r="F143" s="123" t="str">
        <f t="shared" si="23"/>
        <v/>
      </c>
      <c r="G143" s="126" t="e">
        <f t="shared" si="24"/>
        <v>#REF!</v>
      </c>
      <c r="H143" s="116" t="e">
        <f t="shared" si="18"/>
        <v>#REF!</v>
      </c>
      <c r="I143" s="117" t="e" cm="1">
        <f t="array" ref="I143">IF(OR(INDEX(#REF!,ROW()+8)="START",INDEX(#REF!,ROW()+7)="",INDEX(#REF!,ROW()+7)="START",INDEX(#REF!,ROW()+7)="TBA",INDEX(#REF!,ROW()+7)="TBC"), IF(INDEX(#REF!,ROW()+7)="START",$C$3,""),IF(INDEX(#REF!,ROW()+7)="x",INDEX(#REF!,ROW()+7)+'Date Calculators'!$B$2+ICS4Master!$E141,""))</f>
        <v>#REF!</v>
      </c>
      <c r="J143" s="116" t="e" cm="1">
        <f t="array" ref="J143">IF(I143="","",INDEX(#REF!,ROW()+7))</f>
        <v>#REF!</v>
      </c>
      <c r="K143" s="120" t="e" cm="1">
        <f t="array" ref="K143">IF(I143="","",INDEX(#REF!,ROW()+7))</f>
        <v>#REF!</v>
      </c>
      <c r="L143" s="129" t="e" cm="1">
        <f t="array" ref="L143">IF(OR(I143="",INDEX(#REF!,ROW()+7)=""),"",INDEX(#REF!,ROW()+7))</f>
        <v>#REF!</v>
      </c>
    </row>
    <row r="144" spans="1:12" ht="15" customHeight="1">
      <c r="B144" s="121" t="str">
        <f t="shared" si="19"/>
        <v/>
      </c>
      <c r="C144" s="117" t="str">
        <f t="shared" si="20"/>
        <v/>
      </c>
      <c r="D144" s="116" t="str">
        <f t="shared" si="21"/>
        <v/>
      </c>
      <c r="E144" s="120" t="str">
        <f t="shared" si="22"/>
        <v/>
      </c>
      <c r="F144" s="123" t="str">
        <f t="shared" si="23"/>
        <v/>
      </c>
      <c r="G144" s="126" t="e">
        <f t="shared" si="24"/>
        <v>#REF!</v>
      </c>
      <c r="H144" s="116" t="e">
        <f t="shared" si="18"/>
        <v>#REF!</v>
      </c>
      <c r="I144" s="117" t="e" cm="1">
        <f t="array" ref="I144">IF(OR(INDEX(#REF!,ROW()+8)="START",INDEX(#REF!,ROW()+7)="",INDEX(#REF!,ROW()+7)="START",INDEX(#REF!,ROW()+7)="TBA",INDEX(#REF!,ROW()+7)="TBC"), IF(INDEX(#REF!,ROW()+7)="START",$C$3,""),IF(INDEX(#REF!,ROW()+7)="x",INDEX(#REF!,ROW()+7)+'Date Calculators'!$B$2+ICS4Master!$E142,""))</f>
        <v>#REF!</v>
      </c>
      <c r="J144" s="116" t="e" cm="1">
        <f t="array" ref="J144">IF(I144="","",INDEX(#REF!,ROW()+7))</f>
        <v>#REF!</v>
      </c>
      <c r="K144" s="120" t="e" cm="1">
        <f t="array" ref="K144">IF(I144="","",INDEX(#REF!,ROW()+7))</f>
        <v>#REF!</v>
      </c>
      <c r="L144" s="129" t="e" cm="1">
        <f t="array" ref="L144">IF(OR(I144="",INDEX(#REF!,ROW()+7)=""),"",INDEX(#REF!,ROW()+7))</f>
        <v>#REF!</v>
      </c>
    </row>
    <row r="145" spans="2:12" ht="15" customHeight="1">
      <c r="B145" s="121" t="str">
        <f t="shared" si="19"/>
        <v/>
      </c>
      <c r="C145" s="117" t="str">
        <f t="shared" si="20"/>
        <v/>
      </c>
      <c r="D145" s="116" t="str">
        <f t="shared" si="21"/>
        <v/>
      </c>
      <c r="E145" s="120" t="str">
        <f t="shared" si="22"/>
        <v/>
      </c>
      <c r="F145" s="123" t="str">
        <f t="shared" si="23"/>
        <v/>
      </c>
      <c r="G145" s="126" t="e">
        <f t="shared" si="24"/>
        <v>#REF!</v>
      </c>
      <c r="H145" s="116" t="e">
        <f t="shared" si="18"/>
        <v>#REF!</v>
      </c>
      <c r="I145" s="117" t="e" cm="1">
        <f t="array" ref="I145">IF(OR(INDEX(#REF!,ROW()+8)="START",INDEX(#REF!,ROW()+7)="",INDEX(#REF!,ROW()+7)="START",INDEX(#REF!,ROW()+7)="TBA",INDEX(#REF!,ROW()+7)="TBC"), IF(INDEX(#REF!,ROW()+7)="START",$C$3,""),IF(INDEX(#REF!,ROW()+7)="x",INDEX(#REF!,ROW()+7)+'Date Calculators'!$B$2+ICS4Master!$E143,""))</f>
        <v>#REF!</v>
      </c>
      <c r="J145" s="116" t="e" cm="1">
        <f t="array" ref="J145">IF(I145="","",INDEX(#REF!,ROW()+7))</f>
        <v>#REF!</v>
      </c>
      <c r="K145" s="120" t="e" cm="1">
        <f t="array" ref="K145">IF(I145="","",INDEX(#REF!,ROW()+7))</f>
        <v>#REF!</v>
      </c>
      <c r="L145" s="129" t="e" cm="1">
        <f t="array" ref="L145">IF(OR(I145="",INDEX(#REF!,ROW()+7)=""),"",INDEX(#REF!,ROW()+7))</f>
        <v>#REF!</v>
      </c>
    </row>
    <row r="146" spans="2:12" ht="15" customHeight="1">
      <c r="B146" s="121" t="str">
        <f t="shared" si="19"/>
        <v/>
      </c>
      <c r="C146" s="117" t="str">
        <f t="shared" si="20"/>
        <v/>
      </c>
      <c r="D146" s="116" t="str">
        <f t="shared" si="21"/>
        <v/>
      </c>
      <c r="E146" s="120" t="str">
        <f t="shared" si="22"/>
        <v/>
      </c>
      <c r="F146" s="123" t="str">
        <f t="shared" si="23"/>
        <v/>
      </c>
      <c r="G146" s="126" t="e">
        <f t="shared" si="24"/>
        <v>#REF!</v>
      </c>
      <c r="H146" s="116" t="e">
        <f t="shared" si="18"/>
        <v>#REF!</v>
      </c>
      <c r="I146" s="117" t="e" cm="1">
        <f t="array" ref="I146">IF(OR(INDEX(#REF!,ROW()+8)="START",INDEX(#REF!,ROW()+7)="",INDEX(#REF!,ROW()+7)="START",INDEX(#REF!,ROW()+7)="TBA",INDEX(#REF!,ROW()+7)="TBC"), IF(INDEX(#REF!,ROW()+7)="START",$C$3,""),IF(INDEX(#REF!,ROW()+7)="x",INDEX(#REF!,ROW()+7)+'Date Calculators'!$B$2+ICS4Master!$E144,""))</f>
        <v>#REF!</v>
      </c>
      <c r="J146" s="116" t="e" cm="1">
        <f t="array" ref="J146">IF(I146="","",INDEX(#REF!,ROW()+7))</f>
        <v>#REF!</v>
      </c>
      <c r="K146" s="120" t="e" cm="1">
        <f t="array" ref="K146">IF(I146="","",INDEX(#REF!,ROW()+7))</f>
        <v>#REF!</v>
      </c>
      <c r="L146" s="129" t="e" cm="1">
        <f t="array" ref="L146">IF(OR(I146="",INDEX(#REF!,ROW()+7)=""),"",INDEX(#REF!,ROW()+7))</f>
        <v>#REF!</v>
      </c>
    </row>
    <row r="147" spans="2:12" ht="15" customHeight="1">
      <c r="B147" s="121" t="str">
        <f t="shared" si="19"/>
        <v/>
      </c>
      <c r="C147" s="117" t="str">
        <f t="shared" si="20"/>
        <v/>
      </c>
      <c r="D147" s="116" t="str">
        <f t="shared" si="21"/>
        <v/>
      </c>
      <c r="E147" s="120" t="str">
        <f t="shared" si="22"/>
        <v/>
      </c>
      <c r="F147" s="123" t="str">
        <f t="shared" si="23"/>
        <v/>
      </c>
      <c r="G147" s="126" t="e">
        <f t="shared" si="24"/>
        <v>#REF!</v>
      </c>
      <c r="H147" s="116" t="e">
        <f t="shared" si="18"/>
        <v>#REF!</v>
      </c>
      <c r="I147" s="117" t="e" cm="1">
        <f t="array" ref="I147">IF(OR(INDEX(#REF!,ROW()+8)="START",INDEX(#REF!,ROW()+7)="",INDEX(#REF!,ROW()+7)="START",INDEX(#REF!,ROW()+7)="TBA",INDEX(#REF!,ROW()+7)="TBC"), IF(INDEX(#REF!,ROW()+7)="START",$C$3,""),IF(INDEX(#REF!,ROW()+7)="x",INDEX(#REF!,ROW()+7)+'Date Calculators'!$B$2+ICS4Master!$E145,""))</f>
        <v>#REF!</v>
      </c>
      <c r="J147" s="116" t="e" cm="1">
        <f t="array" ref="J147">IF(I147="","",INDEX(#REF!,ROW()+7))</f>
        <v>#REF!</v>
      </c>
      <c r="K147" s="120" t="e" cm="1">
        <f t="array" ref="K147">IF(I147="","",INDEX(#REF!,ROW()+7))</f>
        <v>#REF!</v>
      </c>
      <c r="L147" s="129" t="e" cm="1">
        <f t="array" ref="L147">IF(OR(I147="",INDEX(#REF!,ROW()+7)=""),"",INDEX(#REF!,ROW()+7))</f>
        <v>#REF!</v>
      </c>
    </row>
    <row r="148" spans="2:12" ht="15" customHeight="1">
      <c r="B148" s="121" t="str">
        <f t="shared" si="19"/>
        <v/>
      </c>
      <c r="C148" s="117" t="str">
        <f t="shared" si="20"/>
        <v/>
      </c>
      <c r="D148" s="116" t="str">
        <f t="shared" si="21"/>
        <v/>
      </c>
      <c r="E148" s="120" t="str">
        <f t="shared" si="22"/>
        <v/>
      </c>
      <c r="F148" s="123" t="str">
        <f t="shared" si="23"/>
        <v/>
      </c>
      <c r="G148" s="126" t="e">
        <f t="shared" si="24"/>
        <v>#REF!</v>
      </c>
      <c r="H148" s="116" t="e">
        <f t="shared" si="18"/>
        <v>#REF!</v>
      </c>
      <c r="I148" s="117" t="e" cm="1">
        <f t="array" ref="I148">IF(OR(INDEX(#REF!,ROW()+8)="START",INDEX(#REF!,ROW()+7)="",INDEX(#REF!,ROW()+7)="START",INDEX(#REF!,ROW()+7)="TBA",INDEX(#REF!,ROW()+7)="TBC"), IF(INDEX(#REF!,ROW()+7)="START",$C$3,""),IF(INDEX(#REF!,ROW()+7)="x",INDEX(#REF!,ROW()+7)+'Date Calculators'!$B$2+ICS4Master!$E146,""))</f>
        <v>#REF!</v>
      </c>
      <c r="J148" s="116" t="e" cm="1">
        <f t="array" ref="J148">IF(I148="","",INDEX(#REF!,ROW()+7))</f>
        <v>#REF!</v>
      </c>
      <c r="K148" s="120" t="e" cm="1">
        <f t="array" ref="K148">IF(I148="","",INDEX(#REF!,ROW()+7))</f>
        <v>#REF!</v>
      </c>
      <c r="L148" s="129" t="e" cm="1">
        <f t="array" ref="L148">IF(OR(I148="",INDEX(#REF!,ROW()+7)=""),"",INDEX(#REF!,ROW()+7))</f>
        <v>#REF!</v>
      </c>
    </row>
    <row r="149" spans="2:12" ht="15" customHeight="1">
      <c r="B149" s="121" t="str">
        <f t="shared" si="19"/>
        <v/>
      </c>
      <c r="C149" s="117" t="str">
        <f t="shared" si="20"/>
        <v/>
      </c>
      <c r="D149" s="116" t="str">
        <f t="shared" si="21"/>
        <v/>
      </c>
      <c r="E149" s="120" t="str">
        <f t="shared" si="22"/>
        <v/>
      </c>
      <c r="F149" s="123" t="str">
        <f t="shared" si="23"/>
        <v/>
      </c>
      <c r="G149" s="126" t="e">
        <f t="shared" si="24"/>
        <v>#REF!</v>
      </c>
      <c r="H149" s="116" t="e">
        <f t="shared" si="18"/>
        <v>#REF!</v>
      </c>
      <c r="I149" s="117" t="e" cm="1">
        <f t="array" ref="I149">IF(OR(INDEX(#REF!,ROW()+8)="START",INDEX(#REF!,ROW()+7)="",INDEX(#REF!,ROW()+7)="START",INDEX(#REF!,ROW()+7)="TBA",INDEX(#REF!,ROW()+7)="TBC"), IF(INDEX(#REF!,ROW()+7)="START",$C$3,""),IF(INDEX(#REF!,ROW()+7)="x",INDEX(#REF!,ROW()+7)+'Date Calculators'!$B$2+ICS4Master!$E147,""))</f>
        <v>#REF!</v>
      </c>
      <c r="J149" s="116" t="e" cm="1">
        <f t="array" ref="J149">IF(I149="","",INDEX(#REF!,ROW()+7))</f>
        <v>#REF!</v>
      </c>
      <c r="K149" s="120" t="e" cm="1">
        <f t="array" ref="K149">IF(I149="","",INDEX(#REF!,ROW()+7))</f>
        <v>#REF!</v>
      </c>
      <c r="L149" s="129" t="e" cm="1">
        <f t="array" ref="L149">IF(OR(I149="",INDEX(#REF!,ROW()+7)=""),"",INDEX(#REF!,ROW()+7))</f>
        <v>#REF!</v>
      </c>
    </row>
    <row r="150" spans="2:12" ht="15" customHeight="1">
      <c r="B150" s="121" t="str">
        <f t="shared" si="19"/>
        <v/>
      </c>
      <c r="C150" s="117" t="str">
        <f t="shared" si="20"/>
        <v/>
      </c>
      <c r="D150" s="116" t="str">
        <f t="shared" si="21"/>
        <v/>
      </c>
      <c r="E150" s="120" t="str">
        <f t="shared" si="22"/>
        <v/>
      </c>
      <c r="F150" s="123" t="str">
        <f t="shared" si="23"/>
        <v/>
      </c>
      <c r="G150" s="126" t="e">
        <f t="shared" si="24"/>
        <v>#REF!</v>
      </c>
      <c r="H150" s="116" t="e">
        <f t="shared" si="18"/>
        <v>#REF!</v>
      </c>
      <c r="I150" s="117" t="e" cm="1">
        <f t="array" ref="I150">IF(OR(INDEX(#REF!,ROW()+8)="START",INDEX(#REF!,ROW()+7)="",INDEX(#REF!,ROW()+7)="START",INDEX(#REF!,ROW()+7)="TBA",INDEX(#REF!,ROW()+7)="TBC"), IF(INDEX(#REF!,ROW()+7)="START",$C$3,""),IF(INDEX(#REF!,ROW()+7)="x",INDEX(#REF!,ROW()+7)+'Date Calculators'!$B$2+ICS4Master!$E148,""))</f>
        <v>#REF!</v>
      </c>
      <c r="J150" s="116" t="e" cm="1">
        <f t="array" ref="J150">IF(I150="","",INDEX(#REF!,ROW()+7))</f>
        <v>#REF!</v>
      </c>
      <c r="K150" s="120" t="e" cm="1">
        <f t="array" ref="K150">IF(I150="","",INDEX(#REF!,ROW()+7))</f>
        <v>#REF!</v>
      </c>
      <c r="L150" s="129" t="e" cm="1">
        <f t="array" ref="L150">IF(OR(I150="",INDEX(#REF!,ROW()+7)=""),"",INDEX(#REF!,ROW()+7))</f>
        <v>#REF!</v>
      </c>
    </row>
    <row r="151" spans="2:12" ht="15" customHeight="1">
      <c r="B151" s="121" t="str">
        <f t="shared" si="19"/>
        <v/>
      </c>
      <c r="C151" s="117" t="str">
        <f t="shared" si="20"/>
        <v/>
      </c>
      <c r="D151" s="116" t="str">
        <f t="shared" si="21"/>
        <v/>
      </c>
      <c r="E151" s="120" t="str">
        <f t="shared" si="22"/>
        <v/>
      </c>
      <c r="F151" s="123" t="str">
        <f t="shared" si="23"/>
        <v/>
      </c>
      <c r="G151" s="126" t="e">
        <f t="shared" si="24"/>
        <v>#REF!</v>
      </c>
      <c r="H151" s="116" t="e">
        <f t="shared" si="18"/>
        <v>#REF!</v>
      </c>
      <c r="I151" s="117" t="e" cm="1">
        <f t="array" ref="I151">IF(OR(INDEX(#REF!,ROW()+8)="START",INDEX(#REF!,ROW()+7)="",INDEX(#REF!,ROW()+7)="START",INDEX(#REF!,ROW()+7)="TBA",INDEX(#REF!,ROW()+7)="TBC"), IF(INDEX(#REF!,ROW()+7)="START",$C$3,""),IF(INDEX(#REF!,ROW()+7)="x",INDEX(#REF!,ROW()+7)+'Date Calculators'!$B$2+ICS4Master!$E149,""))</f>
        <v>#REF!</v>
      </c>
      <c r="J151" s="116" t="e" cm="1">
        <f t="array" ref="J151">IF(I151="","",INDEX(#REF!,ROW()+7))</f>
        <v>#REF!</v>
      </c>
      <c r="K151" s="120" t="e" cm="1">
        <f t="array" ref="K151">IF(I151="","",INDEX(#REF!,ROW()+7))</f>
        <v>#REF!</v>
      </c>
      <c r="L151" s="129" t="e" cm="1">
        <f t="array" ref="L151">IF(OR(I151="",INDEX(#REF!,ROW()+7)=""),"",INDEX(#REF!,ROW()+7))</f>
        <v>#REF!</v>
      </c>
    </row>
    <row r="152" spans="2:12" ht="15" customHeight="1">
      <c r="B152" s="121" t="str">
        <f t="shared" si="19"/>
        <v/>
      </c>
      <c r="C152" s="117" t="str">
        <f t="shared" si="20"/>
        <v/>
      </c>
      <c r="D152" s="116" t="str">
        <f t="shared" si="21"/>
        <v/>
      </c>
      <c r="E152" s="120" t="str">
        <f t="shared" si="22"/>
        <v/>
      </c>
      <c r="F152" s="123" t="str">
        <f t="shared" si="23"/>
        <v/>
      </c>
      <c r="G152" s="126" t="e">
        <f t="shared" si="24"/>
        <v>#REF!</v>
      </c>
      <c r="H152" s="116" t="e">
        <f t="shared" si="18"/>
        <v>#REF!</v>
      </c>
      <c r="I152" s="117" t="e" cm="1">
        <f t="array" ref="I152">IF(OR(INDEX(#REF!,ROW()+8)="START",INDEX(#REF!,ROW()+7)="",INDEX(#REF!,ROW()+7)="START",INDEX(#REF!,ROW()+7)="TBA",INDEX(#REF!,ROW()+7)="TBC"), IF(INDEX(#REF!,ROW()+7)="START",$C$3,""),IF(INDEX(#REF!,ROW()+7)="x",INDEX(#REF!,ROW()+7)+'Date Calculators'!$B$2+ICS4Master!$E150,""))</f>
        <v>#REF!</v>
      </c>
      <c r="J152" s="116" t="e" cm="1">
        <f t="array" ref="J152">IF(I152="","",INDEX(#REF!,ROW()+7))</f>
        <v>#REF!</v>
      </c>
      <c r="K152" s="120" t="e" cm="1">
        <f t="array" ref="K152">IF(I152="","",INDEX(#REF!,ROW()+7))</f>
        <v>#REF!</v>
      </c>
      <c r="L152" s="129" t="e" cm="1">
        <f t="array" ref="L152">IF(OR(I152="",INDEX(#REF!,ROW()+7)=""),"",INDEX(#REF!,ROW()+7))</f>
        <v>#REF!</v>
      </c>
    </row>
    <row r="153" spans="2:12" ht="15" customHeight="1">
      <c r="B153" s="121" t="str">
        <f t="shared" si="19"/>
        <v/>
      </c>
      <c r="C153" s="117" t="str">
        <f t="shared" si="20"/>
        <v/>
      </c>
      <c r="D153" s="116" t="str">
        <f t="shared" si="21"/>
        <v/>
      </c>
      <c r="E153" s="120" t="str">
        <f t="shared" si="22"/>
        <v/>
      </c>
      <c r="F153" s="123" t="str">
        <f t="shared" si="23"/>
        <v/>
      </c>
      <c r="G153" s="126" t="e">
        <f t="shared" si="24"/>
        <v>#REF!</v>
      </c>
      <c r="H153" s="116" t="e">
        <f t="shared" si="18"/>
        <v>#REF!</v>
      </c>
      <c r="I153" s="117" t="e" cm="1">
        <f t="array" ref="I153">IF(OR(INDEX(#REF!,ROW()+8)="START",INDEX(#REF!,ROW()+7)="",INDEX(#REF!,ROW()+7)="START",INDEX(#REF!,ROW()+7)="TBA",INDEX(#REF!,ROW()+7)="TBC"), IF(INDEX(#REF!,ROW()+7)="START",$C$3,""),IF(INDEX(#REF!,ROW()+7)="x",INDEX(#REF!,ROW()+7)+'Date Calculators'!$B$2+ICS4Master!$E151,""))</f>
        <v>#REF!</v>
      </c>
      <c r="J153" s="116" t="e" cm="1">
        <f t="array" ref="J153">IF(I153="","",INDEX(#REF!,ROW()+7))</f>
        <v>#REF!</v>
      </c>
      <c r="K153" s="120" t="e" cm="1">
        <f t="array" ref="K153">IF(I153="","",INDEX(#REF!,ROW()+7))</f>
        <v>#REF!</v>
      </c>
      <c r="L153" s="129" t="e" cm="1">
        <f t="array" ref="L153">IF(OR(I153="",INDEX(#REF!,ROW()+7)=""),"",INDEX(#REF!,ROW()+7))</f>
        <v>#REF!</v>
      </c>
    </row>
    <row r="154" spans="2:12" ht="15" customHeight="1">
      <c r="B154" s="121" t="str">
        <f t="shared" si="19"/>
        <v/>
      </c>
      <c r="C154" s="117" t="str">
        <f t="shared" si="20"/>
        <v/>
      </c>
      <c r="D154" s="116" t="str">
        <f t="shared" si="21"/>
        <v/>
      </c>
      <c r="E154" s="120" t="str">
        <f t="shared" si="22"/>
        <v/>
      </c>
      <c r="F154" s="123" t="str">
        <f t="shared" si="23"/>
        <v/>
      </c>
      <c r="G154" s="126" t="e">
        <f t="shared" si="24"/>
        <v>#REF!</v>
      </c>
      <c r="H154" s="116" t="e">
        <f t="shared" si="18"/>
        <v>#REF!</v>
      </c>
      <c r="I154" s="117" t="e" cm="1">
        <f t="array" ref="I154">IF(OR(INDEX(#REF!,ROW()+8)="START",INDEX(#REF!,ROW()+7)="",INDEX(#REF!,ROW()+7)="START",INDEX(#REF!,ROW()+7)="TBA",INDEX(#REF!,ROW()+7)="TBC"), IF(INDEX(#REF!,ROW()+7)="START",$C$3,""),IF(INDEX(#REF!,ROW()+7)="x",INDEX(#REF!,ROW()+7)+'Date Calculators'!$B$2+ICS4Master!$E152,""))</f>
        <v>#REF!</v>
      </c>
      <c r="J154" s="116" t="e" cm="1">
        <f t="array" ref="J154">IF(I154="","",INDEX(#REF!,ROW()+7))</f>
        <v>#REF!</v>
      </c>
      <c r="K154" s="120" t="e" cm="1">
        <f t="array" ref="K154">IF(I154="","",INDEX(#REF!,ROW()+7))</f>
        <v>#REF!</v>
      </c>
      <c r="L154" s="129" t="e" cm="1">
        <f t="array" ref="L154">IF(OR(I154="",INDEX(#REF!,ROW()+7)=""),"",INDEX(#REF!,ROW()+7))</f>
        <v>#REF!</v>
      </c>
    </row>
    <row r="155" spans="2:12" ht="15" customHeight="1">
      <c r="B155" s="121" t="str">
        <f t="shared" si="19"/>
        <v/>
      </c>
      <c r="C155" s="117" t="str">
        <f t="shared" si="20"/>
        <v/>
      </c>
      <c r="D155" s="116" t="str">
        <f t="shared" si="21"/>
        <v/>
      </c>
      <c r="E155" s="120" t="str">
        <f t="shared" si="22"/>
        <v/>
      </c>
      <c r="F155" s="123" t="str">
        <f t="shared" si="23"/>
        <v/>
      </c>
      <c r="G155" s="126" t="e">
        <f t="shared" si="24"/>
        <v>#REF!</v>
      </c>
      <c r="H155" s="116" t="e">
        <f t="shared" si="18"/>
        <v>#REF!</v>
      </c>
      <c r="I155" s="117" t="e" cm="1">
        <f t="array" ref="I155">IF(OR(INDEX(#REF!,ROW()+8)="START",INDEX(#REF!,ROW()+7)="",INDEX(#REF!,ROW()+7)="START",INDEX(#REF!,ROW()+7)="TBA",INDEX(#REF!,ROW()+7)="TBC"), IF(INDEX(#REF!,ROW()+7)="START",$C$3,""),IF(INDEX(#REF!,ROW()+7)="x",INDEX(#REF!,ROW()+7)+'Date Calculators'!$B$2+ICS4Master!$E153,""))</f>
        <v>#REF!</v>
      </c>
      <c r="J155" s="116" t="e" cm="1">
        <f t="array" ref="J155">IF(I155="","",INDEX(#REF!,ROW()+7))</f>
        <v>#REF!</v>
      </c>
      <c r="K155" s="120" t="e" cm="1">
        <f t="array" ref="K155">IF(I155="","",INDEX(#REF!,ROW()+7))</f>
        <v>#REF!</v>
      </c>
      <c r="L155" s="129" t="e" cm="1">
        <f t="array" ref="L155">IF(OR(I155="",INDEX(#REF!,ROW()+7)=""),"",INDEX(#REF!,ROW()+7))</f>
        <v>#REF!</v>
      </c>
    </row>
    <row r="156" spans="2:12" ht="15" customHeight="1">
      <c r="B156" s="121" t="str">
        <f t="shared" si="19"/>
        <v/>
      </c>
      <c r="C156" s="117" t="str">
        <f t="shared" si="20"/>
        <v/>
      </c>
      <c r="D156" s="116" t="str">
        <f t="shared" si="21"/>
        <v/>
      </c>
      <c r="E156" s="120" t="str">
        <f t="shared" si="22"/>
        <v/>
      </c>
      <c r="F156" s="123" t="str">
        <f t="shared" si="23"/>
        <v/>
      </c>
      <c r="G156" s="126" t="e">
        <f t="shared" si="24"/>
        <v>#REF!</v>
      </c>
      <c r="H156" s="116" t="e">
        <f t="shared" si="18"/>
        <v>#REF!</v>
      </c>
      <c r="I156" s="117" t="e" cm="1">
        <f t="array" ref="I156">IF(OR(INDEX(#REF!,ROW()+8)="START",INDEX(#REF!,ROW()+7)="",INDEX(#REF!,ROW()+7)="START",INDEX(#REF!,ROW()+7)="TBA",INDEX(#REF!,ROW()+7)="TBC"), IF(INDEX(#REF!,ROW()+7)="START",$C$3,""),IF(INDEX(#REF!,ROW()+7)="x",INDEX(#REF!,ROW()+7)+'Date Calculators'!$B$2+ICS4Master!$E154,""))</f>
        <v>#REF!</v>
      </c>
      <c r="J156" s="116" t="e" cm="1">
        <f t="array" ref="J156">IF(I156="","",INDEX(#REF!,ROW()+7))</f>
        <v>#REF!</v>
      </c>
      <c r="K156" s="120" t="e" cm="1">
        <f t="array" ref="K156">IF(I156="","",INDEX(#REF!,ROW()+7))</f>
        <v>#REF!</v>
      </c>
      <c r="L156" s="129" t="e" cm="1">
        <f t="array" ref="L156">IF(OR(I156="",INDEX(#REF!,ROW()+7)=""),"",INDEX(#REF!,ROW()+7))</f>
        <v>#REF!</v>
      </c>
    </row>
    <row r="157" spans="2:12" ht="15" customHeight="1">
      <c r="B157" s="121" t="str">
        <f t="shared" si="19"/>
        <v/>
      </c>
      <c r="C157" s="117" t="str">
        <f t="shared" si="20"/>
        <v/>
      </c>
      <c r="D157" s="116" t="str">
        <f t="shared" si="21"/>
        <v/>
      </c>
      <c r="E157" s="120" t="str">
        <f t="shared" si="22"/>
        <v/>
      </c>
      <c r="F157" s="123" t="str">
        <f t="shared" si="23"/>
        <v/>
      </c>
      <c r="G157" s="126" t="e">
        <f t="shared" si="24"/>
        <v>#REF!</v>
      </c>
      <c r="H157" s="116" t="e">
        <f t="shared" si="18"/>
        <v>#REF!</v>
      </c>
      <c r="I157" s="117" t="e" cm="1">
        <f t="array" ref="I157">IF(OR(INDEX(#REF!,ROW()+8)="START",INDEX(#REF!,ROW()+7)="",INDEX(#REF!,ROW()+7)="START",INDEX(#REF!,ROW()+7)="TBA",INDEX(#REF!,ROW()+7)="TBC"), IF(INDEX(#REF!,ROW()+7)="START",$C$3,""),IF(INDEX(#REF!,ROW()+7)="x",INDEX(#REF!,ROW()+7)+'Date Calculators'!$B$2+ICS4Master!$E155,""))</f>
        <v>#REF!</v>
      </c>
      <c r="J157" s="116" t="e" cm="1">
        <f t="array" ref="J157">IF(I157="","",INDEX(#REF!,ROW()+7))</f>
        <v>#REF!</v>
      </c>
      <c r="K157" s="120" t="e" cm="1">
        <f t="array" ref="K157">IF(I157="","",INDEX(#REF!,ROW()+7))</f>
        <v>#REF!</v>
      </c>
      <c r="L157" s="129" t="e" cm="1">
        <f t="array" ref="L157">IF(OR(I157="",INDEX(#REF!,ROW()+7)=""),"",INDEX(#REF!,ROW()+7))</f>
        <v>#REF!</v>
      </c>
    </row>
    <row r="158" spans="2:12" ht="15" customHeight="1">
      <c r="B158" s="121" t="str">
        <f t="shared" si="19"/>
        <v/>
      </c>
      <c r="C158" s="117" t="str">
        <f t="shared" si="20"/>
        <v/>
      </c>
      <c r="D158" s="116" t="str">
        <f t="shared" si="21"/>
        <v/>
      </c>
      <c r="E158" s="120" t="str">
        <f t="shared" si="22"/>
        <v/>
      </c>
      <c r="F158" s="123" t="str">
        <f t="shared" si="23"/>
        <v/>
      </c>
      <c r="G158" s="126" t="e">
        <f t="shared" si="24"/>
        <v>#REF!</v>
      </c>
      <c r="H158" s="116" t="e">
        <f t="shared" si="18"/>
        <v>#REF!</v>
      </c>
      <c r="I158" s="117" t="e" cm="1">
        <f t="array" ref="I158">IF(OR(INDEX(#REF!,ROW()+8)="START",INDEX(#REF!,ROW()+7)="",INDEX(#REF!,ROW()+7)="START",INDEX(#REF!,ROW()+7)="TBA",INDEX(#REF!,ROW()+7)="TBC"), IF(INDEX(#REF!,ROW()+7)="START",$C$3,""),IF(INDEX(#REF!,ROW()+7)="x",INDEX(#REF!,ROW()+7)+'Date Calculators'!$B$2+ICS4Master!$E156,""))</f>
        <v>#REF!</v>
      </c>
      <c r="J158" s="116" t="e" cm="1">
        <f t="array" ref="J158">IF(I158="","",INDEX(#REF!,ROW()+7))</f>
        <v>#REF!</v>
      </c>
      <c r="K158" s="120" t="e" cm="1">
        <f t="array" ref="K158">IF(I158="","",INDEX(#REF!,ROW()+7))</f>
        <v>#REF!</v>
      </c>
      <c r="L158" s="129" t="e" cm="1">
        <f t="array" ref="L158">IF(OR(I158="",INDEX(#REF!,ROW()+7)=""),"",INDEX(#REF!,ROW()+7))</f>
        <v>#REF!</v>
      </c>
    </row>
    <row r="159" spans="2:12" ht="15" customHeight="1">
      <c r="B159" s="121" t="str">
        <f t="shared" si="19"/>
        <v/>
      </c>
      <c r="C159" s="117" t="str">
        <f t="shared" si="20"/>
        <v/>
      </c>
      <c r="D159" s="116" t="str">
        <f t="shared" si="21"/>
        <v/>
      </c>
      <c r="E159" s="120" t="str">
        <f t="shared" si="22"/>
        <v/>
      </c>
      <c r="F159" s="123" t="str">
        <f t="shared" si="23"/>
        <v/>
      </c>
      <c r="G159" s="126" t="e">
        <f t="shared" si="24"/>
        <v>#REF!</v>
      </c>
      <c r="H159" s="116" t="e">
        <f t="shared" si="18"/>
        <v>#REF!</v>
      </c>
      <c r="I159" s="117" t="e" cm="1">
        <f t="array" ref="I159">IF(OR(INDEX(#REF!,ROW()+8)="START",INDEX(#REF!,ROW()+7)="",INDEX(#REF!,ROW()+7)="START",INDEX(#REF!,ROW()+7)="TBA",INDEX(#REF!,ROW()+7)="TBC"), IF(INDEX(#REF!,ROW()+7)="START",$C$3,""),IF(INDEX(#REF!,ROW()+7)="x",INDEX(#REF!,ROW()+7)+'Date Calculators'!$B$2+ICS4Master!$E157,""))</f>
        <v>#REF!</v>
      </c>
      <c r="J159" s="116" t="e" cm="1">
        <f t="array" ref="J159">IF(I159="","",INDEX(#REF!,ROW()+7))</f>
        <v>#REF!</v>
      </c>
      <c r="K159" s="120" t="e" cm="1">
        <f t="array" ref="K159">IF(I159="","",INDEX(#REF!,ROW()+7))</f>
        <v>#REF!</v>
      </c>
      <c r="L159" s="129" t="e" cm="1">
        <f t="array" ref="L159">IF(OR(I159="",INDEX(#REF!,ROW()+7)=""),"",INDEX(#REF!,ROW()+7))</f>
        <v>#REF!</v>
      </c>
    </row>
    <row r="160" spans="2:12" ht="15" customHeight="1">
      <c r="B160" s="121" t="str">
        <f t="shared" si="19"/>
        <v/>
      </c>
      <c r="C160" s="117" t="str">
        <f t="shared" si="20"/>
        <v/>
      </c>
      <c r="D160" s="116" t="str">
        <f t="shared" si="21"/>
        <v/>
      </c>
      <c r="E160" s="120" t="str">
        <f t="shared" si="22"/>
        <v/>
      </c>
      <c r="F160" s="123" t="str">
        <f t="shared" si="23"/>
        <v/>
      </c>
      <c r="G160" s="126" t="e">
        <f t="shared" si="24"/>
        <v>#REF!</v>
      </c>
      <c r="H160" s="116" t="e">
        <f t="shared" si="18"/>
        <v>#REF!</v>
      </c>
      <c r="I160" s="117" t="e" cm="1">
        <f t="array" ref="I160">IF(OR(INDEX(#REF!,ROW()+8)="START",INDEX(#REF!,ROW()+7)="",INDEX(#REF!,ROW()+7)="START",INDEX(#REF!,ROW()+7)="TBA",INDEX(#REF!,ROW()+7)="TBC"), IF(INDEX(#REF!,ROW()+7)="START",$C$3,""),IF(INDEX(#REF!,ROW()+7)="x",INDEX(#REF!,ROW()+7)+'Date Calculators'!$B$2+ICS4Master!$E158,""))</f>
        <v>#REF!</v>
      </c>
      <c r="J160" s="116" t="e" cm="1">
        <f t="array" ref="J160">IF(I160="","",INDEX(#REF!,ROW()+7))</f>
        <v>#REF!</v>
      </c>
      <c r="K160" s="120" t="e" cm="1">
        <f t="array" ref="K160">IF(I160="","",INDEX(#REF!,ROW()+7))</f>
        <v>#REF!</v>
      </c>
      <c r="L160" s="129" t="e" cm="1">
        <f t="array" ref="L160">IF(OR(I160="",INDEX(#REF!,ROW()+7)=""),"",INDEX(#REF!,ROW()+7))</f>
        <v>#REF!</v>
      </c>
    </row>
    <row r="161" spans="2:12" ht="15" customHeight="1">
      <c r="B161" s="121" t="str">
        <f t="shared" si="19"/>
        <v/>
      </c>
      <c r="C161" s="117" t="str">
        <f t="shared" si="20"/>
        <v/>
      </c>
      <c r="D161" s="116" t="str">
        <f t="shared" si="21"/>
        <v/>
      </c>
      <c r="E161" s="120" t="str">
        <f t="shared" si="22"/>
        <v/>
      </c>
      <c r="F161" s="123" t="str">
        <f t="shared" si="23"/>
        <v/>
      </c>
      <c r="G161" s="126" t="e">
        <f t="shared" si="24"/>
        <v>#REF!</v>
      </c>
      <c r="H161" s="116" t="e">
        <f t="shared" si="18"/>
        <v>#REF!</v>
      </c>
      <c r="I161" s="117" t="e" cm="1">
        <f t="array" ref="I161">IF(OR(INDEX(#REF!,ROW()+8)="START",INDEX(#REF!,ROW()+7)="",INDEX(#REF!,ROW()+7)="START",INDEX(#REF!,ROW()+7)="TBA",INDEX(#REF!,ROW()+7)="TBC"), IF(INDEX(#REF!,ROW()+7)="START",$C$3,""),IF(INDEX(#REF!,ROW()+7)="x",INDEX(#REF!,ROW()+7)+'Date Calculators'!$B$2+ICS4Master!$E159,""))</f>
        <v>#REF!</v>
      </c>
      <c r="J161" s="116" t="e" cm="1">
        <f t="array" ref="J161">IF(I161="","",INDEX(#REF!,ROW()+7))</f>
        <v>#REF!</v>
      </c>
      <c r="K161" s="120" t="e" cm="1">
        <f t="array" ref="K161">IF(I161="","",INDEX(#REF!,ROW()+7))</f>
        <v>#REF!</v>
      </c>
      <c r="L161" s="129" t="e" cm="1">
        <f t="array" ref="L161">IF(OR(I161="",INDEX(#REF!,ROW()+7)=""),"",INDEX(#REF!,ROW()+7))</f>
        <v>#REF!</v>
      </c>
    </row>
    <row r="162" spans="2:12" ht="15" customHeight="1">
      <c r="B162" s="121" t="str">
        <f t="shared" si="19"/>
        <v/>
      </c>
      <c r="C162" s="117" t="str">
        <f t="shared" si="20"/>
        <v/>
      </c>
      <c r="D162" s="116" t="str">
        <f t="shared" si="21"/>
        <v/>
      </c>
      <c r="E162" s="120" t="str">
        <f t="shared" si="22"/>
        <v/>
      </c>
      <c r="F162" s="123" t="str">
        <f t="shared" si="23"/>
        <v/>
      </c>
      <c r="G162" s="126" t="e">
        <f t="shared" si="24"/>
        <v>#REF!</v>
      </c>
      <c r="H162" s="116" t="e">
        <f t="shared" si="18"/>
        <v>#REF!</v>
      </c>
      <c r="I162" s="117" t="e" cm="1">
        <f t="array" ref="I162">IF(OR(INDEX(#REF!,ROW()+8)="START",INDEX(#REF!,ROW()+7)="",INDEX(#REF!,ROW()+7)="START",INDEX(#REF!,ROW()+7)="TBA",INDEX(#REF!,ROW()+7)="TBC"), IF(INDEX(#REF!,ROW()+7)="START",$C$3,""),IF(INDEX(#REF!,ROW()+7)="x",INDEX(#REF!,ROW()+7)+'Date Calculators'!$B$2+ICS4Master!$E160,""))</f>
        <v>#REF!</v>
      </c>
      <c r="J162" s="116" t="e" cm="1">
        <f t="array" ref="J162">IF(I162="","",INDEX(#REF!,ROW()+7))</f>
        <v>#REF!</v>
      </c>
      <c r="K162" s="120" t="e" cm="1">
        <f t="array" ref="K162">IF(I162="","",INDEX(#REF!,ROW()+7))</f>
        <v>#REF!</v>
      </c>
      <c r="L162" s="129" t="e" cm="1">
        <f t="array" ref="L162">IF(OR(I162="",INDEX(#REF!,ROW()+7)=""),"",INDEX(#REF!,ROW()+7))</f>
        <v>#REF!</v>
      </c>
    </row>
    <row r="163" spans="2:12" ht="15" customHeight="1">
      <c r="B163" s="121" t="str">
        <f t="shared" si="19"/>
        <v/>
      </c>
      <c r="C163" s="117" t="str">
        <f t="shared" si="20"/>
        <v/>
      </c>
      <c r="D163" s="116" t="str">
        <f t="shared" si="21"/>
        <v/>
      </c>
      <c r="E163" s="120" t="str">
        <f t="shared" si="22"/>
        <v/>
      </c>
      <c r="F163" s="123" t="str">
        <f t="shared" si="23"/>
        <v/>
      </c>
      <c r="G163" s="126" t="e">
        <f t="shared" si="24"/>
        <v>#REF!</v>
      </c>
      <c r="H163" s="116" t="e">
        <f t="shared" si="18"/>
        <v>#REF!</v>
      </c>
      <c r="I163" s="117" t="e" cm="1">
        <f t="array" ref="I163">IF(OR(INDEX(#REF!,ROW()+8)="START",INDEX(#REF!,ROW()+7)="",INDEX(#REF!,ROW()+7)="START",INDEX(#REF!,ROW()+7)="TBA",INDEX(#REF!,ROW()+7)="TBC"), IF(INDEX(#REF!,ROW()+7)="START",$C$3,""),IF(INDEX(#REF!,ROW()+7)="x",INDEX(#REF!,ROW()+7)+'Date Calculators'!$B$2+ICS4Master!$E161,""))</f>
        <v>#REF!</v>
      </c>
      <c r="J163" s="116" t="e" cm="1">
        <f t="array" ref="J163">IF(I163="","",INDEX(#REF!,ROW()+7))</f>
        <v>#REF!</v>
      </c>
      <c r="K163" s="120" t="e" cm="1">
        <f t="array" ref="K163">IF(I163="","",INDEX(#REF!,ROW()+7))</f>
        <v>#REF!</v>
      </c>
      <c r="L163" s="129" t="e" cm="1">
        <f t="array" ref="L163">IF(OR(I163="",INDEX(#REF!,ROW()+7)=""),"",INDEX(#REF!,ROW()+7))</f>
        <v>#REF!</v>
      </c>
    </row>
    <row r="164" spans="2:12" ht="15" customHeight="1">
      <c r="B164" s="121" t="str">
        <f t="shared" si="19"/>
        <v/>
      </c>
      <c r="C164" s="117" t="str">
        <f t="shared" si="20"/>
        <v/>
      </c>
      <c r="D164" s="116" t="str">
        <f t="shared" si="21"/>
        <v/>
      </c>
      <c r="E164" s="120" t="str">
        <f t="shared" si="22"/>
        <v/>
      </c>
      <c r="F164" s="123" t="str">
        <f t="shared" si="23"/>
        <v/>
      </c>
      <c r="G164" s="126" t="e">
        <f t="shared" si="24"/>
        <v>#REF!</v>
      </c>
      <c r="H164" s="116" t="e">
        <f t="shared" si="18"/>
        <v>#REF!</v>
      </c>
      <c r="I164" s="117" t="e" cm="1">
        <f t="array" ref="I164">IF(OR(INDEX(#REF!,ROW()+8)="START",INDEX(#REF!,ROW()+7)="",INDEX(#REF!,ROW()+7)="START",INDEX(#REF!,ROW()+7)="TBA",INDEX(#REF!,ROW()+7)="TBC"), IF(INDEX(#REF!,ROW()+7)="START",$C$3,""),IF(INDEX(#REF!,ROW()+7)="x",INDEX(#REF!,ROW()+7)+'Date Calculators'!$B$2+ICS4Master!$E162,""))</f>
        <v>#REF!</v>
      </c>
      <c r="J164" s="116" t="e" cm="1">
        <f t="array" ref="J164">IF(I164="","",INDEX(#REF!,ROW()+7))</f>
        <v>#REF!</v>
      </c>
      <c r="K164" s="120" t="e" cm="1">
        <f t="array" ref="K164">IF(I164="","",INDEX(#REF!,ROW()+7))</f>
        <v>#REF!</v>
      </c>
      <c r="L164" s="129" t="e" cm="1">
        <f t="array" ref="L164">IF(OR(I164="",INDEX(#REF!,ROW()+7)=""),"",INDEX(#REF!,ROW()+7))</f>
        <v>#REF!</v>
      </c>
    </row>
    <row r="165" spans="2:12" ht="15" customHeight="1">
      <c r="B165" s="121" t="str">
        <f t="shared" si="19"/>
        <v/>
      </c>
      <c r="C165" s="117" t="str">
        <f t="shared" si="20"/>
        <v/>
      </c>
      <c r="D165" s="116" t="str">
        <f t="shared" si="21"/>
        <v/>
      </c>
      <c r="E165" s="120" t="str">
        <f t="shared" si="22"/>
        <v/>
      </c>
      <c r="F165" s="123" t="str">
        <f t="shared" si="23"/>
        <v/>
      </c>
      <c r="G165" s="126" t="e">
        <f t="shared" si="24"/>
        <v>#REF!</v>
      </c>
      <c r="H165" s="116" t="e">
        <f t="shared" si="18"/>
        <v>#REF!</v>
      </c>
      <c r="I165" s="117" t="e" cm="1">
        <f t="array" ref="I165">IF(OR(INDEX(#REF!,ROW()+8)="START",INDEX(#REF!,ROW()+7)="",INDEX(#REF!,ROW()+7)="START",INDEX(#REF!,ROW()+7)="TBA",INDEX(#REF!,ROW()+7)="TBC"), IF(INDEX(#REF!,ROW()+7)="START",$C$3,""),IF(INDEX(#REF!,ROW()+7)="x",INDEX(#REF!,ROW()+7)+'Date Calculators'!$B$2+ICS4Master!$E163,""))</f>
        <v>#REF!</v>
      </c>
      <c r="J165" s="116" t="e" cm="1">
        <f t="array" ref="J165">IF(I165="","",INDEX(#REF!,ROW()+7))</f>
        <v>#REF!</v>
      </c>
      <c r="K165" s="120" t="e" cm="1">
        <f t="array" ref="K165">IF(I165="","",INDEX(#REF!,ROW()+7))</f>
        <v>#REF!</v>
      </c>
      <c r="L165" s="129" t="e" cm="1">
        <f t="array" ref="L165">IF(OR(I165="",INDEX(#REF!,ROW()+7)=""),"",INDEX(#REF!,ROW()+7))</f>
        <v>#REF!</v>
      </c>
    </row>
    <row r="166" spans="2:12" ht="15" customHeight="1">
      <c r="B166" s="121" t="str">
        <f t="shared" si="19"/>
        <v/>
      </c>
      <c r="C166" s="117" t="str">
        <f t="shared" si="20"/>
        <v/>
      </c>
      <c r="D166" s="116" t="str">
        <f t="shared" si="21"/>
        <v/>
      </c>
      <c r="E166" s="120" t="str">
        <f t="shared" si="22"/>
        <v/>
      </c>
      <c r="F166" s="123" t="str">
        <f t="shared" si="23"/>
        <v/>
      </c>
      <c r="G166" s="126" t="e">
        <f t="shared" si="24"/>
        <v>#REF!</v>
      </c>
      <c r="H166" s="116" t="e">
        <f t="shared" si="18"/>
        <v>#REF!</v>
      </c>
      <c r="I166" s="117" t="e" cm="1">
        <f t="array" ref="I166">IF(OR(INDEX(#REF!,ROW()+8)="START",INDEX(#REF!,ROW()+7)="",INDEX(#REF!,ROW()+7)="START",INDEX(#REF!,ROW()+7)="TBA",INDEX(#REF!,ROW()+7)="TBC"), IF(INDEX(#REF!,ROW()+7)="START",$C$3,""),IF(INDEX(#REF!,ROW()+7)="x",INDEX(#REF!,ROW()+7)+'Date Calculators'!$B$2+ICS4Master!$E164,""))</f>
        <v>#REF!</v>
      </c>
      <c r="J166" s="116" t="e" cm="1">
        <f t="array" ref="J166">IF(I166="","",INDEX(#REF!,ROW()+7))</f>
        <v>#REF!</v>
      </c>
      <c r="K166" s="120" t="e" cm="1">
        <f t="array" ref="K166">IF(I166="","",INDEX(#REF!,ROW()+7))</f>
        <v>#REF!</v>
      </c>
      <c r="L166" s="129" t="e" cm="1">
        <f t="array" ref="L166">IF(OR(I166="",INDEX(#REF!,ROW()+7)=""),"",INDEX(#REF!,ROW()+7))</f>
        <v>#REF!</v>
      </c>
    </row>
    <row r="167" spans="2:12" ht="15" customHeight="1">
      <c r="B167" s="121" t="str">
        <f t="shared" si="19"/>
        <v/>
      </c>
      <c r="C167" s="117" t="str">
        <f t="shared" si="20"/>
        <v/>
      </c>
      <c r="D167" s="116" t="str">
        <f t="shared" si="21"/>
        <v/>
      </c>
      <c r="E167" s="120" t="str">
        <f t="shared" si="22"/>
        <v/>
      </c>
      <c r="F167" s="123" t="str">
        <f t="shared" si="23"/>
        <v/>
      </c>
      <c r="G167" s="126" t="e">
        <f t="shared" si="24"/>
        <v>#REF!</v>
      </c>
      <c r="H167" s="116" t="e">
        <f t="shared" si="18"/>
        <v>#REF!</v>
      </c>
      <c r="I167" s="117" t="e" cm="1">
        <f t="array" ref="I167">IF(OR(INDEX(#REF!,ROW()+8)="START",INDEX(#REF!,ROW()+7)="",INDEX(#REF!,ROW()+7)="START",INDEX(#REF!,ROW()+7)="TBA",INDEX(#REF!,ROW()+7)="TBC"), IF(INDEX(#REF!,ROW()+7)="START",$C$3,""),IF(INDEX(#REF!,ROW()+7)="x",INDEX(#REF!,ROW()+7)+'Date Calculators'!$B$2+ICS4Master!$E165,""))</f>
        <v>#REF!</v>
      </c>
      <c r="J167" s="116" t="e" cm="1">
        <f t="array" ref="J167">IF(I167="","",INDEX(#REF!,ROW()+7))</f>
        <v>#REF!</v>
      </c>
      <c r="K167" s="120" t="e" cm="1">
        <f t="array" ref="K167">IF(I167="","",INDEX(#REF!,ROW()+7))</f>
        <v>#REF!</v>
      </c>
      <c r="L167" s="129" t="e" cm="1">
        <f t="array" ref="L167">IF(OR(I167="",INDEX(#REF!,ROW()+7)=""),"",INDEX(#REF!,ROW()+7))</f>
        <v>#REF!</v>
      </c>
    </row>
    <row r="168" spans="2:12" ht="15" customHeight="1">
      <c r="B168" s="121" t="str">
        <f t="shared" si="19"/>
        <v/>
      </c>
      <c r="C168" s="117" t="str">
        <f t="shared" si="20"/>
        <v/>
      </c>
      <c r="D168" s="116" t="str">
        <f t="shared" si="21"/>
        <v/>
      </c>
      <c r="E168" s="120" t="str">
        <f t="shared" si="22"/>
        <v/>
      </c>
      <c r="F168" s="123" t="str">
        <f t="shared" si="23"/>
        <v/>
      </c>
      <c r="G168" s="126" t="e">
        <f t="shared" si="24"/>
        <v>#REF!</v>
      </c>
      <c r="H168" s="116" t="e">
        <f t="shared" si="18"/>
        <v>#REF!</v>
      </c>
      <c r="I168" s="117" t="e" cm="1">
        <f t="array" ref="I168">IF(OR(INDEX(#REF!,ROW()+8)="START",INDEX(#REF!,ROW()+7)="",INDEX(#REF!,ROW()+7)="START",INDEX(#REF!,ROW()+7)="TBA",INDEX(#REF!,ROW()+7)="TBC"), IF(INDEX(#REF!,ROW()+7)="START",$C$3,""),IF(INDEX(#REF!,ROW()+7)="x",INDEX(#REF!,ROW()+7)+'Date Calculators'!$B$2+ICS4Master!$E166,""))</f>
        <v>#REF!</v>
      </c>
      <c r="J168" s="116" t="e" cm="1">
        <f t="array" ref="J168">IF(I168="","",INDEX(#REF!,ROW()+7))</f>
        <v>#REF!</v>
      </c>
      <c r="K168" s="120" t="e" cm="1">
        <f t="array" ref="K168">IF(I168="","",INDEX(#REF!,ROW()+7))</f>
        <v>#REF!</v>
      </c>
      <c r="L168" s="129" t="e" cm="1">
        <f t="array" ref="L168">IF(OR(I168="",INDEX(#REF!,ROW()+7)=""),"",INDEX(#REF!,ROW()+7))</f>
        <v>#REF!</v>
      </c>
    </row>
    <row r="169" spans="2:12" ht="15" customHeight="1">
      <c r="B169" s="121" t="str">
        <f t="shared" si="19"/>
        <v/>
      </c>
      <c r="C169" s="117" t="str">
        <f t="shared" si="20"/>
        <v/>
      </c>
      <c r="D169" s="116" t="str">
        <f t="shared" si="21"/>
        <v/>
      </c>
      <c r="E169" s="120" t="str">
        <f t="shared" si="22"/>
        <v/>
      </c>
      <c r="F169" s="123" t="str">
        <f t="shared" si="23"/>
        <v/>
      </c>
      <c r="G169" s="126" t="e">
        <f t="shared" si="24"/>
        <v>#REF!</v>
      </c>
      <c r="H169" s="116" t="e">
        <f t="shared" si="18"/>
        <v>#REF!</v>
      </c>
      <c r="I169" s="117" t="e" cm="1">
        <f t="array" ref="I169">IF(OR(INDEX(#REF!,ROW()+8)="START",INDEX(#REF!,ROW()+7)="",INDEX(#REF!,ROW()+7)="START",INDEX(#REF!,ROW()+7)="TBA",INDEX(#REF!,ROW()+7)="TBC"), IF(INDEX(#REF!,ROW()+7)="START",$C$3,""),IF(INDEX(#REF!,ROW()+7)="x",INDEX(#REF!,ROW()+7)+'Date Calculators'!$B$2+ICS4Master!$E167,""))</f>
        <v>#REF!</v>
      </c>
      <c r="J169" s="116" t="e" cm="1">
        <f t="array" ref="J169">IF(I169="","",INDEX(#REF!,ROW()+7))</f>
        <v>#REF!</v>
      </c>
      <c r="K169" s="120" t="e" cm="1">
        <f t="array" ref="K169">IF(I169="","",INDEX(#REF!,ROW()+7))</f>
        <v>#REF!</v>
      </c>
      <c r="L169" s="129" t="e" cm="1">
        <f t="array" ref="L169">IF(OR(I169="",INDEX(#REF!,ROW()+7)=""),"",INDEX(#REF!,ROW()+7))</f>
        <v>#REF!</v>
      </c>
    </row>
    <row r="170" spans="2:12" ht="15" customHeight="1">
      <c r="B170" s="121" t="str">
        <f t="shared" si="19"/>
        <v/>
      </c>
      <c r="C170" s="117" t="str">
        <f t="shared" si="20"/>
        <v/>
      </c>
      <c r="D170" s="116" t="str">
        <f t="shared" si="21"/>
        <v/>
      </c>
      <c r="E170" s="120" t="str">
        <f t="shared" si="22"/>
        <v/>
      </c>
      <c r="F170" s="123" t="str">
        <f t="shared" si="23"/>
        <v/>
      </c>
      <c r="G170" s="126" t="e">
        <f t="shared" si="24"/>
        <v>#REF!</v>
      </c>
      <c r="H170" s="116" t="e">
        <f t="shared" si="18"/>
        <v>#REF!</v>
      </c>
      <c r="I170" s="117" t="e" cm="1">
        <f t="array" ref="I170">IF(OR(INDEX(#REF!,ROW()+8)="START",INDEX(#REF!,ROW()+7)="",INDEX(#REF!,ROW()+7)="START",INDEX(#REF!,ROW()+7)="TBA",INDEX(#REF!,ROW()+7)="TBC"), IF(INDEX(#REF!,ROW()+7)="START",$C$3,""),IF(INDEX(#REF!,ROW()+7)="x",INDEX(#REF!,ROW()+7)+'Date Calculators'!$B$2+ICS4Master!$E168,""))</f>
        <v>#REF!</v>
      </c>
      <c r="J170" s="116" t="e" cm="1">
        <f t="array" ref="J170">IF(I170="","",INDEX(#REF!,ROW()+7))</f>
        <v>#REF!</v>
      </c>
      <c r="K170" s="120" t="e" cm="1">
        <f t="array" ref="K170">IF(I170="","",INDEX(#REF!,ROW()+7))</f>
        <v>#REF!</v>
      </c>
      <c r="L170" s="129" t="e" cm="1">
        <f t="array" ref="L170">IF(OR(I170="",INDEX(#REF!,ROW()+7)=""),"",INDEX(#REF!,ROW()+7))</f>
        <v>#REF!</v>
      </c>
    </row>
    <row r="171" spans="2:12" ht="15" customHeight="1">
      <c r="B171" s="121" t="str">
        <f t="shared" si="19"/>
        <v/>
      </c>
      <c r="C171" s="117" t="str">
        <f t="shared" si="20"/>
        <v/>
      </c>
      <c r="D171" s="116" t="str">
        <f t="shared" si="21"/>
        <v/>
      </c>
      <c r="E171" s="120" t="str">
        <f t="shared" si="22"/>
        <v/>
      </c>
      <c r="F171" s="123" t="str">
        <f t="shared" si="23"/>
        <v/>
      </c>
      <c r="G171" s="126" t="e">
        <f t="shared" si="24"/>
        <v>#REF!</v>
      </c>
      <c r="H171" s="116" t="e">
        <f t="shared" si="18"/>
        <v>#REF!</v>
      </c>
      <c r="I171" s="117" t="e" cm="1">
        <f t="array" ref="I171">IF(OR(INDEX(#REF!,ROW()+8)="START",INDEX(#REF!,ROW()+7)="",INDEX(#REF!,ROW()+7)="START",INDEX(#REF!,ROW()+7)="TBA",INDEX(#REF!,ROW()+7)="TBC"), IF(INDEX(#REF!,ROW()+7)="START",$C$3,""),IF(INDEX(#REF!,ROW()+7)="x",INDEX(#REF!,ROW()+7)+'Date Calculators'!$B$2+ICS4Master!$E169,""))</f>
        <v>#REF!</v>
      </c>
      <c r="J171" s="116" t="e" cm="1">
        <f t="array" ref="J171">IF(I171="","",INDEX(#REF!,ROW()+7))</f>
        <v>#REF!</v>
      </c>
      <c r="K171" s="120" t="e" cm="1">
        <f t="array" ref="K171">IF(I171="","",INDEX(#REF!,ROW()+7))</f>
        <v>#REF!</v>
      </c>
      <c r="L171" s="129" t="e" cm="1">
        <f t="array" ref="L171">IF(OR(I171="",INDEX(#REF!,ROW()+7)=""),"",INDEX(#REF!,ROW()+7))</f>
        <v>#REF!</v>
      </c>
    </row>
    <row r="172" spans="2:12" ht="15" customHeight="1">
      <c r="B172" s="121" t="str">
        <f t="shared" si="19"/>
        <v/>
      </c>
      <c r="C172" s="117" t="str">
        <f t="shared" si="20"/>
        <v/>
      </c>
      <c r="D172" s="116" t="str">
        <f t="shared" si="21"/>
        <v/>
      </c>
      <c r="E172" s="120" t="str">
        <f t="shared" si="22"/>
        <v/>
      </c>
      <c r="F172" s="123" t="str">
        <f t="shared" si="23"/>
        <v/>
      </c>
      <c r="G172" s="126" t="e">
        <f t="shared" si="24"/>
        <v>#REF!</v>
      </c>
      <c r="H172" s="116" t="e">
        <f t="shared" si="18"/>
        <v>#REF!</v>
      </c>
      <c r="I172" s="117" t="e" cm="1">
        <f t="array" ref="I172">IF(OR(INDEX(#REF!,ROW()+8)="START",INDEX(#REF!,ROW()+7)="",INDEX(#REF!,ROW()+7)="START",INDEX(#REF!,ROW()+7)="TBA",INDEX(#REF!,ROW()+7)="TBC"), IF(INDEX(#REF!,ROW()+7)="START",$C$3,""),IF(INDEX(#REF!,ROW()+7)="x",INDEX(#REF!,ROW()+7)+'Date Calculators'!$B$2+ICS4Master!$E170,""))</f>
        <v>#REF!</v>
      </c>
      <c r="J172" s="116" t="e" cm="1">
        <f t="array" ref="J172">IF(I172="","",INDEX(#REF!,ROW()+7))</f>
        <v>#REF!</v>
      </c>
      <c r="K172" s="120" t="e" cm="1">
        <f t="array" ref="K172">IF(I172="","",INDEX(#REF!,ROW()+7))</f>
        <v>#REF!</v>
      </c>
      <c r="L172" s="129" t="e" cm="1">
        <f t="array" ref="L172">IF(OR(I172="",INDEX(#REF!,ROW()+7)=""),"",INDEX(#REF!,ROW()+7))</f>
        <v>#REF!</v>
      </c>
    </row>
    <row r="173" spans="2:12" ht="15" customHeight="1">
      <c r="B173" s="121" t="str">
        <f t="shared" si="19"/>
        <v/>
      </c>
      <c r="C173" s="117" t="str">
        <f t="shared" si="20"/>
        <v/>
      </c>
      <c r="D173" s="116" t="str">
        <f t="shared" si="21"/>
        <v/>
      </c>
      <c r="E173" s="120" t="str">
        <f t="shared" si="22"/>
        <v/>
      </c>
      <c r="F173" s="123" t="str">
        <f t="shared" si="23"/>
        <v/>
      </c>
      <c r="G173" s="126" t="e">
        <f t="shared" si="24"/>
        <v>#REF!</v>
      </c>
      <c r="H173" s="116" t="e">
        <f t="shared" si="18"/>
        <v>#REF!</v>
      </c>
      <c r="I173" s="117" t="e" cm="1">
        <f t="array" ref="I173">IF(OR(INDEX(#REF!,ROW()+8)="START",INDEX(#REF!,ROW()+7)="",INDEX(#REF!,ROW()+7)="START",INDEX(#REF!,ROW()+7)="TBA",INDEX(#REF!,ROW()+7)="TBC"), IF(INDEX(#REF!,ROW()+7)="START",$C$3,""),IF(INDEX(#REF!,ROW()+7)="x",INDEX(#REF!,ROW()+7)+'Date Calculators'!$B$2+ICS4Master!$E171,""))</f>
        <v>#REF!</v>
      </c>
      <c r="J173" s="116" t="e" cm="1">
        <f t="array" ref="J173">IF(I173="","",INDEX(#REF!,ROW()+7))</f>
        <v>#REF!</v>
      </c>
      <c r="K173" s="120" t="e" cm="1">
        <f t="array" ref="K173">IF(I173="","",INDEX(#REF!,ROW()+7))</f>
        <v>#REF!</v>
      </c>
      <c r="L173" s="129" t="e" cm="1">
        <f t="array" ref="L173">IF(OR(I173="",INDEX(#REF!,ROW()+7)=""),"",INDEX(#REF!,ROW()+7))</f>
        <v>#REF!</v>
      </c>
    </row>
    <row r="174" spans="2:12" ht="15" customHeight="1">
      <c r="B174" s="121" t="str">
        <f t="shared" si="19"/>
        <v/>
      </c>
      <c r="C174" s="117" t="str">
        <f t="shared" si="20"/>
        <v/>
      </c>
      <c r="D174" s="116" t="str">
        <f t="shared" si="21"/>
        <v/>
      </c>
      <c r="E174" s="120" t="str">
        <f t="shared" si="22"/>
        <v/>
      </c>
      <c r="F174" s="123" t="str">
        <f t="shared" si="23"/>
        <v/>
      </c>
      <c r="G174" s="126" t="e">
        <f t="shared" si="24"/>
        <v>#REF!</v>
      </c>
      <c r="H174" s="116" t="e">
        <f t="shared" si="18"/>
        <v>#REF!</v>
      </c>
      <c r="I174" s="117" t="e" cm="1">
        <f t="array" ref="I174">IF(OR(INDEX(#REF!,ROW()+8)="START",INDEX(#REF!,ROW()+7)="",INDEX(#REF!,ROW()+7)="START",INDEX(#REF!,ROW()+7)="TBA",INDEX(#REF!,ROW()+7)="TBC"), IF(INDEX(#REF!,ROW()+7)="START",$C$3,""),IF(INDEX(#REF!,ROW()+7)="x",INDEX(#REF!,ROW()+7)+'Date Calculators'!$B$2+ICS4Master!$E172,""))</f>
        <v>#REF!</v>
      </c>
      <c r="J174" s="116" t="e" cm="1">
        <f t="array" ref="J174">IF(I174="","",INDEX(#REF!,ROW()+7))</f>
        <v>#REF!</v>
      </c>
      <c r="K174" s="120" t="e" cm="1">
        <f t="array" ref="K174">IF(I174="","",INDEX(#REF!,ROW()+7))</f>
        <v>#REF!</v>
      </c>
      <c r="L174" s="129" t="e" cm="1">
        <f t="array" ref="L174">IF(OR(I174="",INDEX(#REF!,ROW()+7)=""),"",INDEX(#REF!,ROW()+7))</f>
        <v>#REF!</v>
      </c>
    </row>
    <row r="175" spans="2:12" ht="15" customHeight="1">
      <c r="B175" s="121" t="str">
        <f t="shared" si="19"/>
        <v/>
      </c>
      <c r="C175" s="117" t="str">
        <f t="shared" si="20"/>
        <v/>
      </c>
      <c r="D175" s="116" t="str">
        <f t="shared" si="21"/>
        <v/>
      </c>
      <c r="E175" s="120" t="str">
        <f t="shared" si="22"/>
        <v/>
      </c>
      <c r="F175" s="123" t="str">
        <f t="shared" si="23"/>
        <v/>
      </c>
      <c r="G175" s="126" t="e">
        <f t="shared" si="24"/>
        <v>#REF!</v>
      </c>
      <c r="H175" s="116" t="e">
        <f t="shared" si="18"/>
        <v>#REF!</v>
      </c>
      <c r="I175" s="117" t="e" cm="1">
        <f t="array" ref="I175">IF(OR(INDEX(#REF!,ROW()+8)="START",INDEX(#REF!,ROW()+7)="",INDEX(#REF!,ROW()+7)="START",INDEX(#REF!,ROW()+7)="TBA",INDEX(#REF!,ROW()+7)="TBC"), IF(INDEX(#REF!,ROW()+7)="START",$C$3,""),IF(INDEX(#REF!,ROW()+7)="x",INDEX(#REF!,ROW()+7)+'Date Calculators'!$B$2+ICS4Master!$E173,""))</f>
        <v>#REF!</v>
      </c>
      <c r="J175" s="116" t="e" cm="1">
        <f t="array" ref="J175">IF(I175="","",INDEX(#REF!,ROW()+7))</f>
        <v>#REF!</v>
      </c>
      <c r="K175" s="120" t="e" cm="1">
        <f t="array" ref="K175">IF(I175="","",INDEX(#REF!,ROW()+7))</f>
        <v>#REF!</v>
      </c>
      <c r="L175" s="129" t="e" cm="1">
        <f t="array" ref="L175">IF(OR(I175="",INDEX(#REF!,ROW()+7)=""),"",INDEX(#REF!,ROW()+7))</f>
        <v>#REF!</v>
      </c>
    </row>
    <row r="176" spans="2:12" ht="15" customHeight="1">
      <c r="B176" s="121" t="str">
        <f t="shared" si="19"/>
        <v/>
      </c>
      <c r="C176" s="117" t="str">
        <f t="shared" si="20"/>
        <v/>
      </c>
      <c r="D176" s="116" t="str">
        <f t="shared" si="21"/>
        <v/>
      </c>
      <c r="E176" s="120" t="str">
        <f t="shared" si="22"/>
        <v/>
      </c>
      <c r="F176" s="123" t="str">
        <f t="shared" si="23"/>
        <v/>
      </c>
      <c r="G176" s="126" t="e">
        <f t="shared" si="24"/>
        <v>#REF!</v>
      </c>
      <c r="H176" s="116" t="e">
        <f t="shared" si="18"/>
        <v>#REF!</v>
      </c>
      <c r="I176" s="117" t="e" cm="1">
        <f t="array" ref="I176">IF(OR(INDEX(#REF!,ROW()+8)="START",INDEX(#REF!,ROW()+7)="",INDEX(#REF!,ROW()+7)="START",INDEX(#REF!,ROW()+7)="TBA",INDEX(#REF!,ROW()+7)="TBC"), IF(INDEX(#REF!,ROW()+7)="START",$C$3,""),IF(INDEX(#REF!,ROW()+7)="x",INDEX(#REF!,ROW()+7)+'Date Calculators'!$B$2+ICS4Master!$E174,""))</f>
        <v>#REF!</v>
      </c>
      <c r="J176" s="116" t="e" cm="1">
        <f t="array" ref="J176">IF(I176="","",INDEX(#REF!,ROW()+7))</f>
        <v>#REF!</v>
      </c>
      <c r="K176" s="120" t="e" cm="1">
        <f t="array" ref="K176">IF(I176="","",INDEX(#REF!,ROW()+7))</f>
        <v>#REF!</v>
      </c>
      <c r="L176" s="129" t="e" cm="1">
        <f t="array" ref="L176">IF(OR(I176="",INDEX(#REF!,ROW()+7)=""),"",INDEX(#REF!,ROW()+7))</f>
        <v>#REF!</v>
      </c>
    </row>
    <row r="177" spans="2:12" ht="15" customHeight="1">
      <c r="B177" s="121" t="str">
        <f t="shared" si="19"/>
        <v/>
      </c>
      <c r="C177" s="117" t="str">
        <f t="shared" si="20"/>
        <v/>
      </c>
      <c r="D177" s="116" t="str">
        <f t="shared" si="21"/>
        <v/>
      </c>
      <c r="E177" s="120" t="str">
        <f t="shared" si="22"/>
        <v/>
      </c>
      <c r="F177" s="123" t="str">
        <f t="shared" si="23"/>
        <v/>
      </c>
      <c r="G177" s="126" t="e">
        <f t="shared" si="24"/>
        <v>#REF!</v>
      </c>
      <c r="H177" s="116" t="e">
        <f t="shared" si="18"/>
        <v>#REF!</v>
      </c>
      <c r="I177" s="117" t="e" cm="1">
        <f t="array" ref="I177">IF(OR(INDEX(#REF!,ROW()+8)="START",INDEX(#REF!,ROW()+7)="",INDEX(#REF!,ROW()+7)="START",INDEX(#REF!,ROW()+7)="TBA",INDEX(#REF!,ROW()+7)="TBC"), IF(INDEX(#REF!,ROW()+7)="START",$C$3,""),IF(INDEX(#REF!,ROW()+7)="x",INDEX(#REF!,ROW()+7)+'Date Calculators'!$B$2+ICS4Master!$E175,""))</f>
        <v>#REF!</v>
      </c>
      <c r="J177" s="116" t="e" cm="1">
        <f t="array" ref="J177">IF(I177="","",INDEX(#REF!,ROW()+7))</f>
        <v>#REF!</v>
      </c>
      <c r="K177" s="120" t="e" cm="1">
        <f t="array" ref="K177">IF(I177="","",INDEX(#REF!,ROW()+7))</f>
        <v>#REF!</v>
      </c>
      <c r="L177" s="129" t="e" cm="1">
        <f t="array" ref="L177">IF(OR(I177="",INDEX(#REF!,ROW()+7)=""),"",INDEX(#REF!,ROW()+7))</f>
        <v>#REF!</v>
      </c>
    </row>
    <row r="178" spans="2:12" ht="15" customHeight="1">
      <c r="B178" s="121" t="str">
        <f t="shared" si="19"/>
        <v/>
      </c>
      <c r="C178" s="117" t="str">
        <f t="shared" si="20"/>
        <v/>
      </c>
      <c r="D178" s="116" t="str">
        <f t="shared" si="21"/>
        <v/>
      </c>
      <c r="E178" s="120" t="str">
        <f t="shared" si="22"/>
        <v/>
      </c>
      <c r="F178" s="123" t="str">
        <f t="shared" si="23"/>
        <v/>
      </c>
      <c r="G178" s="126" t="e">
        <f t="shared" si="24"/>
        <v>#REF!</v>
      </c>
      <c r="H178" s="116" t="e">
        <f t="shared" si="18"/>
        <v>#REF!</v>
      </c>
      <c r="I178" s="117" t="e" cm="1">
        <f t="array" ref="I178">IF(OR(INDEX(#REF!,ROW()+8)="START",INDEX(#REF!,ROW()+7)="",INDEX(#REF!,ROW()+7)="START",INDEX(#REF!,ROW()+7)="TBA",INDEX(#REF!,ROW()+7)="TBC"), IF(INDEX(#REF!,ROW()+7)="START",$C$3,""),IF(INDEX(#REF!,ROW()+7)="x",INDEX(#REF!,ROW()+7)+'Date Calculators'!$B$2+ICS4Master!$E176,""))</f>
        <v>#REF!</v>
      </c>
      <c r="J178" s="116" t="e" cm="1">
        <f t="array" ref="J178">IF(I178="","",INDEX(#REF!,ROW()+7))</f>
        <v>#REF!</v>
      </c>
      <c r="K178" s="120" t="e" cm="1">
        <f t="array" ref="K178">IF(I178="","",INDEX(#REF!,ROW()+7))</f>
        <v>#REF!</v>
      </c>
      <c r="L178" s="129" t="e" cm="1">
        <f t="array" ref="L178">IF(OR(I178="",INDEX(#REF!,ROW()+7)=""),"",INDEX(#REF!,ROW()+7))</f>
        <v>#REF!</v>
      </c>
    </row>
    <row r="179" spans="2:12" ht="15" customHeight="1">
      <c r="B179" s="121" t="str">
        <f t="shared" si="19"/>
        <v/>
      </c>
      <c r="C179" s="117" t="str">
        <f t="shared" si="20"/>
        <v/>
      </c>
      <c r="D179" s="116" t="str">
        <f t="shared" si="21"/>
        <v/>
      </c>
      <c r="E179" s="120" t="str">
        <f t="shared" si="22"/>
        <v/>
      </c>
      <c r="F179" s="123" t="str">
        <f t="shared" si="23"/>
        <v/>
      </c>
      <c r="G179" s="126" t="e">
        <f t="shared" si="24"/>
        <v>#REF!</v>
      </c>
      <c r="H179" s="116" t="e">
        <f t="shared" si="18"/>
        <v>#REF!</v>
      </c>
      <c r="I179" s="117" t="e" cm="1">
        <f t="array" ref="I179">IF(OR(INDEX(#REF!,ROW()+8)="START",INDEX(#REF!,ROW()+7)="",INDEX(#REF!,ROW()+7)="START",INDEX(#REF!,ROW()+7)="TBA",INDEX(#REF!,ROW()+7)="TBC"), IF(INDEX(#REF!,ROW()+7)="START",$C$3,""),IF(INDEX(#REF!,ROW()+7)="x",INDEX(#REF!,ROW()+7)+'Date Calculators'!$B$2+ICS4Master!$E177,""))</f>
        <v>#REF!</v>
      </c>
      <c r="J179" s="116" t="e" cm="1">
        <f t="array" ref="J179">IF(I179="","",INDEX(#REF!,ROW()+7))</f>
        <v>#REF!</v>
      </c>
      <c r="K179" s="120" t="e" cm="1">
        <f t="array" ref="K179">IF(I179="","",INDEX(#REF!,ROW()+7))</f>
        <v>#REF!</v>
      </c>
      <c r="L179" s="129" t="e" cm="1">
        <f t="array" ref="L179">IF(OR(I179="",INDEX(#REF!,ROW()+7)=""),"",INDEX(#REF!,ROW()+7))</f>
        <v>#REF!</v>
      </c>
    </row>
    <row r="180" spans="2:12" ht="15" customHeight="1">
      <c r="B180" s="121" t="str">
        <f t="shared" si="19"/>
        <v/>
      </c>
      <c r="C180" s="117" t="str">
        <f t="shared" si="20"/>
        <v/>
      </c>
      <c r="D180" s="116" t="str">
        <f t="shared" si="21"/>
        <v/>
      </c>
      <c r="E180" s="120" t="str">
        <f t="shared" si="22"/>
        <v/>
      </c>
      <c r="F180" s="123" t="str">
        <f t="shared" si="23"/>
        <v/>
      </c>
      <c r="G180" s="126" t="e">
        <f t="shared" si="24"/>
        <v>#REF!</v>
      </c>
      <c r="H180" s="116" t="e">
        <f t="shared" si="18"/>
        <v>#REF!</v>
      </c>
      <c r="I180" s="117" t="e" cm="1">
        <f t="array" ref="I180">IF(OR(INDEX(#REF!,ROW()+8)="START",INDEX(#REF!,ROW()+7)="",INDEX(#REF!,ROW()+7)="START",INDEX(#REF!,ROW()+7)="TBA",INDEX(#REF!,ROW()+7)="TBC"), IF(INDEX(#REF!,ROW()+7)="START",$C$3,""),IF(INDEX(#REF!,ROW()+7)="x",INDEX(#REF!,ROW()+7)+'Date Calculators'!$B$2+ICS4Master!$E178,""))</f>
        <v>#REF!</v>
      </c>
      <c r="J180" s="116" t="e" cm="1">
        <f t="array" ref="J180">IF(I180="","",INDEX(#REF!,ROW()+7))</f>
        <v>#REF!</v>
      </c>
      <c r="K180" s="120" t="e" cm="1">
        <f t="array" ref="K180">IF(I180="","",INDEX(#REF!,ROW()+7))</f>
        <v>#REF!</v>
      </c>
      <c r="L180" s="129" t="e" cm="1">
        <f t="array" ref="L180">IF(OR(I180="",INDEX(#REF!,ROW()+7)=""),"",INDEX(#REF!,ROW()+7))</f>
        <v>#REF!</v>
      </c>
    </row>
    <row r="181" spans="2:12" ht="15" customHeight="1">
      <c r="B181" s="121" t="str">
        <f t="shared" si="19"/>
        <v/>
      </c>
      <c r="C181" s="117" t="str">
        <f t="shared" si="20"/>
        <v/>
      </c>
      <c r="D181" s="116" t="str">
        <f t="shared" si="21"/>
        <v/>
      </c>
      <c r="E181" s="120" t="str">
        <f t="shared" si="22"/>
        <v/>
      </c>
      <c r="F181" s="123" t="str">
        <f t="shared" si="23"/>
        <v/>
      </c>
      <c r="G181" s="126" t="e">
        <f t="shared" si="24"/>
        <v>#REF!</v>
      </c>
      <c r="H181" s="116" t="e">
        <f t="shared" si="18"/>
        <v>#REF!</v>
      </c>
      <c r="I181" s="117" t="e" cm="1">
        <f t="array" ref="I181">IF(OR(INDEX(#REF!,ROW()+8)="START",INDEX(#REF!,ROW()+7)="",INDEX(#REF!,ROW()+7)="START",INDEX(#REF!,ROW()+7)="TBA",INDEX(#REF!,ROW()+7)="TBC"), IF(INDEX(#REF!,ROW()+7)="START",$C$3,""),IF(INDEX(#REF!,ROW()+7)="x",INDEX(#REF!,ROW()+7)+'Date Calculators'!$B$2+ICS4Master!$E179,""))</f>
        <v>#REF!</v>
      </c>
      <c r="J181" s="116" t="e" cm="1">
        <f t="array" ref="J181">IF(I181="","",INDEX(#REF!,ROW()+7))</f>
        <v>#REF!</v>
      </c>
      <c r="K181" s="120" t="e" cm="1">
        <f t="array" ref="K181">IF(I181="","",INDEX(#REF!,ROW()+7))</f>
        <v>#REF!</v>
      </c>
      <c r="L181" s="129" t="e" cm="1">
        <f t="array" ref="L181">IF(OR(I181="",INDEX(#REF!,ROW()+7)=""),"",INDEX(#REF!,ROW()+7))</f>
        <v>#REF!</v>
      </c>
    </row>
    <row r="182" spans="2:12" ht="15" customHeight="1">
      <c r="B182" s="121" t="str">
        <f t="shared" si="19"/>
        <v/>
      </c>
      <c r="C182" s="117" t="str">
        <f t="shared" si="20"/>
        <v/>
      </c>
      <c r="D182" s="116" t="str">
        <f t="shared" si="21"/>
        <v/>
      </c>
      <c r="E182" s="120" t="str">
        <f t="shared" si="22"/>
        <v/>
      </c>
      <c r="F182" s="123" t="str">
        <f t="shared" si="23"/>
        <v/>
      </c>
      <c r="G182" s="126" t="e">
        <f t="shared" si="24"/>
        <v>#REF!</v>
      </c>
      <c r="H182" s="116" t="e">
        <f t="shared" si="18"/>
        <v>#REF!</v>
      </c>
      <c r="I182" s="117" t="e" cm="1">
        <f t="array" ref="I182">IF(OR(INDEX(#REF!,ROW()+8)="START",INDEX(#REF!,ROW()+7)="",INDEX(#REF!,ROW()+7)="START",INDEX(#REF!,ROW()+7)="TBA",INDEX(#REF!,ROW()+7)="TBC"), IF(INDEX(#REF!,ROW()+7)="START",$C$3,""),IF(INDEX(#REF!,ROW()+7)="x",INDEX(#REF!,ROW()+7)+'Date Calculators'!$B$2+ICS4Master!$E180,""))</f>
        <v>#REF!</v>
      </c>
      <c r="J182" s="116" t="e" cm="1">
        <f t="array" ref="J182">IF(I182="","",INDEX(#REF!,ROW()+7))</f>
        <v>#REF!</v>
      </c>
      <c r="K182" s="120" t="e" cm="1">
        <f t="array" ref="K182">IF(I182="","",INDEX(#REF!,ROW()+7))</f>
        <v>#REF!</v>
      </c>
      <c r="L182" s="129" t="e" cm="1">
        <f t="array" ref="L182">IF(OR(I182="",INDEX(#REF!,ROW()+7)=""),"",INDEX(#REF!,ROW()+7))</f>
        <v>#REF!</v>
      </c>
    </row>
    <row r="183" spans="2:12" ht="15" customHeight="1">
      <c r="B183" s="121" t="str">
        <f t="shared" si="19"/>
        <v/>
      </c>
      <c r="C183" s="117" t="str">
        <f t="shared" si="20"/>
        <v/>
      </c>
      <c r="D183" s="116" t="str">
        <f t="shared" si="21"/>
        <v/>
      </c>
      <c r="E183" s="120" t="str">
        <f t="shared" si="22"/>
        <v/>
      </c>
      <c r="F183" s="123" t="str">
        <f t="shared" si="23"/>
        <v/>
      </c>
      <c r="G183" s="126" t="e">
        <f t="shared" si="24"/>
        <v>#REF!</v>
      </c>
      <c r="H183" s="116" t="e">
        <f t="shared" si="18"/>
        <v>#REF!</v>
      </c>
      <c r="I183" s="117" t="e" cm="1">
        <f t="array" ref="I183">IF(OR(INDEX(#REF!,ROW()+8)="START",INDEX(#REF!,ROW()+7)="",INDEX(#REF!,ROW()+7)="START",INDEX(#REF!,ROW()+7)="TBA",INDEX(#REF!,ROW()+7)="TBC"), IF(INDEX(#REF!,ROW()+7)="START",$C$3,""),IF(INDEX(#REF!,ROW()+7)="x",INDEX(#REF!,ROW()+7)+'Date Calculators'!$B$2+ICS4Master!$E181,""))</f>
        <v>#REF!</v>
      </c>
      <c r="J183" s="116" t="e" cm="1">
        <f t="array" ref="J183">IF(I183="","",INDEX(#REF!,ROW()+7))</f>
        <v>#REF!</v>
      </c>
      <c r="K183" s="120" t="e" cm="1">
        <f t="array" ref="K183">IF(I183="","",INDEX(#REF!,ROW()+7))</f>
        <v>#REF!</v>
      </c>
      <c r="L183" s="129" t="e" cm="1">
        <f t="array" ref="L183">IF(OR(I183="",INDEX(#REF!,ROW()+7)=""),"",INDEX(#REF!,ROW()+7))</f>
        <v>#REF!</v>
      </c>
    </row>
    <row r="184" spans="2:12" ht="15" customHeight="1">
      <c r="B184" s="121" t="str">
        <f t="shared" si="19"/>
        <v/>
      </c>
      <c r="C184" s="117" t="str">
        <f t="shared" si="20"/>
        <v/>
      </c>
      <c r="D184" s="116" t="str">
        <f t="shared" si="21"/>
        <v/>
      </c>
      <c r="E184" s="120" t="str">
        <f t="shared" si="22"/>
        <v/>
      </c>
      <c r="F184" s="123" t="str">
        <f t="shared" si="23"/>
        <v/>
      </c>
      <c r="G184" s="126" t="e">
        <f t="shared" si="24"/>
        <v>#REF!</v>
      </c>
      <c r="H184" s="116" t="e">
        <f t="shared" si="18"/>
        <v>#REF!</v>
      </c>
      <c r="I184" s="117" t="e" cm="1">
        <f t="array" ref="I184">IF(OR(INDEX(#REF!,ROW()+8)="START",INDEX(#REF!,ROW()+7)="",INDEX(#REF!,ROW()+7)="START",INDEX(#REF!,ROW()+7)="TBA",INDEX(#REF!,ROW()+7)="TBC"), IF(INDEX(#REF!,ROW()+7)="START",$C$3,""),IF(INDEX(#REF!,ROW()+7)="x",INDEX(#REF!,ROW()+7)+'Date Calculators'!$B$2+ICS4Master!$E182,""))</f>
        <v>#REF!</v>
      </c>
      <c r="J184" s="116" t="e" cm="1">
        <f t="array" ref="J184">IF(I184="","",INDEX(#REF!,ROW()+7))</f>
        <v>#REF!</v>
      </c>
      <c r="K184" s="120" t="e" cm="1">
        <f t="array" ref="K184">IF(I184="","",INDEX(#REF!,ROW()+7))</f>
        <v>#REF!</v>
      </c>
      <c r="L184" s="129" t="e" cm="1">
        <f t="array" ref="L184">IF(OR(I184="",INDEX(#REF!,ROW()+7)=""),"",INDEX(#REF!,ROW()+7))</f>
        <v>#REF!</v>
      </c>
    </row>
    <row r="185" spans="2:12" ht="15" customHeight="1">
      <c r="B185" s="121" t="str">
        <f t="shared" si="19"/>
        <v/>
      </c>
      <c r="C185" s="117" t="str">
        <f t="shared" si="20"/>
        <v/>
      </c>
      <c r="D185" s="116" t="str">
        <f t="shared" si="21"/>
        <v/>
      </c>
      <c r="E185" s="120" t="str">
        <f t="shared" si="22"/>
        <v/>
      </c>
      <c r="F185" s="123" t="str">
        <f t="shared" si="23"/>
        <v/>
      </c>
      <c r="G185" s="126" t="e">
        <f t="shared" si="24"/>
        <v>#REF!</v>
      </c>
      <c r="H185" s="116" t="e">
        <f t="shared" si="18"/>
        <v>#REF!</v>
      </c>
      <c r="I185" s="117" t="e" cm="1">
        <f t="array" ref="I185">IF(OR(INDEX(#REF!,ROW()+8)="START",INDEX(#REF!,ROW()+7)="",INDEX(#REF!,ROW()+7)="START",INDEX(#REF!,ROW()+7)="TBA",INDEX(#REF!,ROW()+7)="TBC"), IF(INDEX(#REF!,ROW()+7)="START",$C$3,""),IF(INDEX(#REF!,ROW()+7)="x",INDEX(#REF!,ROW()+7)+'Date Calculators'!$B$2+ICS4Master!$E183,""))</f>
        <v>#REF!</v>
      </c>
      <c r="J185" s="116" t="e" cm="1">
        <f t="array" ref="J185">IF(I185="","",INDEX(#REF!,ROW()+7))</f>
        <v>#REF!</v>
      </c>
      <c r="K185" s="120" t="e" cm="1">
        <f t="array" ref="K185">IF(I185="","",INDEX(#REF!,ROW()+7))</f>
        <v>#REF!</v>
      </c>
      <c r="L185" s="129" t="e" cm="1">
        <f t="array" ref="L185">IF(OR(I185="",INDEX(#REF!,ROW()+7)=""),"",INDEX(#REF!,ROW()+7))</f>
        <v>#REF!</v>
      </c>
    </row>
    <row r="186" spans="2:12" ht="15" customHeight="1">
      <c r="B186" s="121" t="str">
        <f t="shared" si="19"/>
        <v/>
      </c>
      <c r="C186" s="117" t="str">
        <f t="shared" si="20"/>
        <v/>
      </c>
      <c r="D186" s="116" t="str">
        <f t="shared" si="21"/>
        <v/>
      </c>
      <c r="E186" s="120" t="str">
        <f t="shared" si="22"/>
        <v/>
      </c>
      <c r="F186" s="123" t="str">
        <f t="shared" si="23"/>
        <v/>
      </c>
      <c r="G186" s="126" t="e">
        <f t="shared" si="24"/>
        <v>#REF!</v>
      </c>
      <c r="H186" s="116" t="e">
        <f t="shared" si="18"/>
        <v>#REF!</v>
      </c>
      <c r="I186" s="117" t="e" cm="1">
        <f t="array" ref="I186">IF(OR(INDEX(#REF!,ROW()+8)="START",INDEX(#REF!,ROW()+7)="",INDEX(#REF!,ROW()+7)="START",INDEX(#REF!,ROW()+7)="TBA",INDEX(#REF!,ROW()+7)="TBC"), IF(INDEX(#REF!,ROW()+7)="START",$C$3,""),IF(INDEX(#REF!,ROW()+7)="x",INDEX(#REF!,ROW()+7)+'Date Calculators'!$B$2+ICS4Master!$E184,""))</f>
        <v>#REF!</v>
      </c>
      <c r="J186" s="116" t="e" cm="1">
        <f t="array" ref="J186">IF(I186="","",INDEX(#REF!,ROW()+7))</f>
        <v>#REF!</v>
      </c>
      <c r="K186" s="120" t="e" cm="1">
        <f t="array" ref="K186">IF(I186="","",INDEX(#REF!,ROW()+7))</f>
        <v>#REF!</v>
      </c>
      <c r="L186" s="129" t="e" cm="1">
        <f t="array" ref="L186">IF(OR(I186="",INDEX(#REF!,ROW()+7)=""),"",INDEX(#REF!,ROW()+7))</f>
        <v>#REF!</v>
      </c>
    </row>
    <row r="187" spans="2:12" ht="15" customHeight="1">
      <c r="B187" s="121" t="str">
        <f t="shared" si="19"/>
        <v/>
      </c>
      <c r="C187" s="117" t="str">
        <f t="shared" si="20"/>
        <v/>
      </c>
      <c r="D187" s="116" t="str">
        <f t="shared" si="21"/>
        <v/>
      </c>
      <c r="E187" s="120" t="str">
        <f t="shared" si="22"/>
        <v/>
      </c>
      <c r="F187" s="123" t="str">
        <f t="shared" si="23"/>
        <v/>
      </c>
      <c r="G187" s="126" t="e">
        <f t="shared" si="24"/>
        <v>#REF!</v>
      </c>
      <c r="H187" s="116" t="e">
        <f t="shared" si="18"/>
        <v>#REF!</v>
      </c>
      <c r="I187" s="117" t="e" cm="1">
        <f t="array" ref="I187">IF(OR(INDEX(#REF!,ROW()+8)="START",INDEX(#REF!,ROW()+7)="",INDEX(#REF!,ROW()+7)="START",INDEX(#REF!,ROW()+7)="TBA",INDEX(#REF!,ROW()+7)="TBC"), IF(INDEX(#REF!,ROW()+7)="START",$C$3,""),IF(INDEX(#REF!,ROW()+7)="x",INDEX(#REF!,ROW()+7)+'Date Calculators'!$B$2+ICS4Master!$E185,""))</f>
        <v>#REF!</v>
      </c>
      <c r="J187" s="116" t="e" cm="1">
        <f t="array" ref="J187">IF(I187="","",INDEX(#REF!,ROW()+7))</f>
        <v>#REF!</v>
      </c>
      <c r="K187" s="120" t="e" cm="1">
        <f t="array" ref="K187">IF(I187="","",INDEX(#REF!,ROW()+7))</f>
        <v>#REF!</v>
      </c>
      <c r="L187" s="129" t="e" cm="1">
        <f t="array" ref="L187">IF(OR(I187="",INDEX(#REF!,ROW()+7)=""),"",INDEX(#REF!,ROW()+7))</f>
        <v>#REF!</v>
      </c>
    </row>
    <row r="188" spans="2:12" ht="15" customHeight="1">
      <c r="B188" s="121" t="str">
        <f t="shared" si="19"/>
        <v/>
      </c>
      <c r="C188" s="117" t="str">
        <f t="shared" si="20"/>
        <v/>
      </c>
      <c r="D188" s="116" t="str">
        <f t="shared" si="21"/>
        <v/>
      </c>
      <c r="E188" s="120" t="str">
        <f t="shared" si="22"/>
        <v/>
      </c>
      <c r="F188" s="123" t="str">
        <f t="shared" si="23"/>
        <v/>
      </c>
      <c r="G188" s="126" t="e">
        <f t="shared" si="24"/>
        <v>#REF!</v>
      </c>
      <c r="H188" s="116" t="e">
        <f t="shared" si="18"/>
        <v>#REF!</v>
      </c>
      <c r="I188" s="117" t="e" cm="1">
        <f t="array" ref="I188">IF(OR(INDEX(#REF!,ROW()+8)="START",INDEX(#REF!,ROW()+7)="",INDEX(#REF!,ROW()+7)="START",INDEX(#REF!,ROW()+7)="TBA",INDEX(#REF!,ROW()+7)="TBC"), IF(INDEX(#REF!,ROW()+7)="START",$C$3,""),IF(INDEX(#REF!,ROW()+7)="x",INDEX(#REF!,ROW()+7)+'Date Calculators'!$B$2+ICS4Master!$E186,""))</f>
        <v>#REF!</v>
      </c>
      <c r="J188" s="116" t="e" cm="1">
        <f t="array" ref="J188">IF(I188="","",INDEX(#REF!,ROW()+7))</f>
        <v>#REF!</v>
      </c>
      <c r="K188" s="120" t="e" cm="1">
        <f t="array" ref="K188">IF(I188="","",INDEX(#REF!,ROW()+7))</f>
        <v>#REF!</v>
      </c>
      <c r="L188" s="129" t="e" cm="1">
        <f t="array" ref="L188">IF(OR(I188="",INDEX(#REF!,ROW()+7)=""),"",INDEX(#REF!,ROW()+7))</f>
        <v>#REF!</v>
      </c>
    </row>
    <row r="189" spans="2:12" ht="15" customHeight="1">
      <c r="B189" s="121" t="str">
        <f t="shared" si="19"/>
        <v/>
      </c>
      <c r="C189" s="117" t="str">
        <f t="shared" si="20"/>
        <v/>
      </c>
      <c r="D189" s="116" t="str">
        <f t="shared" si="21"/>
        <v/>
      </c>
      <c r="E189" s="120" t="str">
        <f t="shared" si="22"/>
        <v/>
      </c>
      <c r="F189" s="123" t="str">
        <f t="shared" si="23"/>
        <v/>
      </c>
      <c r="G189" s="126" t="e">
        <f t="shared" si="24"/>
        <v>#REF!</v>
      </c>
      <c r="H189" s="116" t="e">
        <f t="shared" si="18"/>
        <v>#REF!</v>
      </c>
      <c r="I189" s="117" t="e" cm="1">
        <f t="array" ref="I189">IF(OR(INDEX(#REF!,ROW()+8)="START",INDEX(#REF!,ROW()+7)="",INDEX(#REF!,ROW()+7)="START",INDEX(#REF!,ROW()+7)="TBA",INDEX(#REF!,ROW()+7)="TBC"), IF(INDEX(#REF!,ROW()+7)="START",$C$3,""),IF(INDEX(#REF!,ROW()+7)="x",INDEX(#REF!,ROW()+7)+'Date Calculators'!$B$2+ICS4Master!$E187,""))</f>
        <v>#REF!</v>
      </c>
      <c r="J189" s="116" t="e" cm="1">
        <f t="array" ref="J189">IF(I189="","",INDEX(#REF!,ROW()+7))</f>
        <v>#REF!</v>
      </c>
      <c r="K189" s="120" t="e" cm="1">
        <f t="array" ref="K189">IF(I189="","",INDEX(#REF!,ROW()+7))</f>
        <v>#REF!</v>
      </c>
      <c r="L189" s="129" t="e" cm="1">
        <f t="array" ref="L189">IF(OR(I189="",INDEX(#REF!,ROW()+7)=""),"",INDEX(#REF!,ROW()+7))</f>
        <v>#REF!</v>
      </c>
    </row>
    <row r="190" spans="2:12" ht="15" customHeight="1">
      <c r="B190" s="121" t="str">
        <f t="shared" si="19"/>
        <v/>
      </c>
      <c r="C190" s="117" t="str">
        <f t="shared" si="20"/>
        <v/>
      </c>
      <c r="D190" s="116" t="str">
        <f t="shared" si="21"/>
        <v/>
      </c>
      <c r="E190" s="120" t="str">
        <f t="shared" si="22"/>
        <v/>
      </c>
      <c r="F190" s="123" t="str">
        <f t="shared" si="23"/>
        <v/>
      </c>
      <c r="G190" s="126" t="e">
        <f t="shared" si="24"/>
        <v>#REF!</v>
      </c>
      <c r="H190" s="116" t="e">
        <f t="shared" si="18"/>
        <v>#REF!</v>
      </c>
      <c r="I190" s="117" t="e" cm="1">
        <f t="array" ref="I190">IF(OR(INDEX(#REF!,ROW()+8)="START",INDEX(#REF!,ROW()+7)="",INDEX(#REF!,ROW()+7)="START",INDEX(#REF!,ROW()+7)="TBA",INDEX(#REF!,ROW()+7)="TBC"), IF(INDEX(#REF!,ROW()+7)="START",$C$3,""),IF(INDEX(#REF!,ROW()+7)="x",INDEX(#REF!,ROW()+7)+'Date Calculators'!$B$2+ICS4Master!$E188,""))</f>
        <v>#REF!</v>
      </c>
      <c r="J190" s="116" t="e" cm="1">
        <f t="array" ref="J190">IF(I190="","",INDEX(#REF!,ROW()+7))</f>
        <v>#REF!</v>
      </c>
      <c r="K190" s="120" t="e" cm="1">
        <f t="array" ref="K190">IF(I190="","",INDEX(#REF!,ROW()+7))</f>
        <v>#REF!</v>
      </c>
      <c r="L190" s="129" t="e" cm="1">
        <f t="array" ref="L190">IF(OR(I190="",INDEX(#REF!,ROW()+7)=""),"",INDEX(#REF!,ROW()+7))</f>
        <v>#REF!</v>
      </c>
    </row>
    <row r="191" spans="2:12" ht="15" customHeight="1">
      <c r="B191" s="121" t="str">
        <f t="shared" si="19"/>
        <v/>
      </c>
      <c r="C191" s="117" t="str">
        <f t="shared" si="20"/>
        <v/>
      </c>
      <c r="D191" s="116" t="str">
        <f t="shared" si="21"/>
        <v/>
      </c>
      <c r="E191" s="120" t="str">
        <f t="shared" si="22"/>
        <v/>
      </c>
      <c r="F191" s="123" t="str">
        <f t="shared" si="23"/>
        <v/>
      </c>
      <c r="G191" s="126" t="e">
        <f t="shared" si="24"/>
        <v>#REF!</v>
      </c>
      <c r="H191" s="116" t="e">
        <f t="shared" si="18"/>
        <v>#REF!</v>
      </c>
      <c r="I191" s="117" t="e" cm="1">
        <f t="array" ref="I191">IF(OR(INDEX(#REF!,ROW()+8)="START",INDEX(#REF!,ROW()+7)="",INDEX(#REF!,ROW()+7)="START",INDEX(#REF!,ROW()+7)="TBA",INDEX(#REF!,ROW()+7)="TBC"), IF(INDEX(#REF!,ROW()+7)="START",$C$3,""),IF(INDEX(#REF!,ROW()+7)="x",INDEX(#REF!,ROW()+7)+'Date Calculators'!$B$2+ICS4Master!$E189,""))</f>
        <v>#REF!</v>
      </c>
      <c r="J191" s="116" t="e" cm="1">
        <f t="array" ref="J191">IF(I191="","",INDEX(#REF!,ROW()+7))</f>
        <v>#REF!</v>
      </c>
      <c r="K191" s="120" t="e" cm="1">
        <f t="array" ref="K191">IF(I191="","",INDEX(#REF!,ROW()+7))</f>
        <v>#REF!</v>
      </c>
      <c r="L191" s="129" t="e" cm="1">
        <f t="array" ref="L191">IF(OR(I191="",INDEX(#REF!,ROW()+7)=""),"",INDEX(#REF!,ROW()+7))</f>
        <v>#REF!</v>
      </c>
    </row>
    <row r="192" spans="2:12" ht="15" customHeight="1">
      <c r="B192" s="121" t="str">
        <f t="shared" si="19"/>
        <v/>
      </c>
      <c r="C192" s="117" t="str">
        <f t="shared" si="20"/>
        <v/>
      </c>
      <c r="D192" s="116" t="str">
        <f t="shared" si="21"/>
        <v/>
      </c>
      <c r="E192" s="120" t="str">
        <f t="shared" si="22"/>
        <v/>
      </c>
      <c r="F192" s="123" t="str">
        <f t="shared" si="23"/>
        <v/>
      </c>
      <c r="G192" s="126" t="e">
        <f t="shared" si="24"/>
        <v>#REF!</v>
      </c>
      <c r="H192" s="116" t="e">
        <f t="shared" si="18"/>
        <v>#REF!</v>
      </c>
      <c r="I192" s="117" t="e" cm="1">
        <f t="array" ref="I192">IF(OR(INDEX(#REF!,ROW()+8)="START",INDEX(#REF!,ROW()+7)="",INDEX(#REF!,ROW()+7)="START",INDEX(#REF!,ROW()+7)="TBA",INDEX(#REF!,ROW()+7)="TBC"), IF(INDEX(#REF!,ROW()+7)="START",$C$3,""),IF(INDEX(#REF!,ROW()+7)="x",INDEX(#REF!,ROW()+7)+'Date Calculators'!$B$2+ICS4Master!$E190,""))</f>
        <v>#REF!</v>
      </c>
      <c r="J192" s="116" t="e" cm="1">
        <f t="array" ref="J192">IF(I192="","",INDEX(#REF!,ROW()+7))</f>
        <v>#REF!</v>
      </c>
      <c r="K192" s="120" t="e" cm="1">
        <f t="array" ref="K192">IF(I192="","",INDEX(#REF!,ROW()+7))</f>
        <v>#REF!</v>
      </c>
      <c r="L192" s="129" t="e" cm="1">
        <f t="array" ref="L192">IF(OR(I192="",INDEX(#REF!,ROW()+7)=""),"",INDEX(#REF!,ROW()+7))</f>
        <v>#REF!</v>
      </c>
    </row>
    <row r="193" spans="2:12" ht="15" customHeight="1">
      <c r="B193" s="121" t="str">
        <f t="shared" si="19"/>
        <v/>
      </c>
      <c r="C193" s="117" t="str">
        <f t="shared" si="20"/>
        <v/>
      </c>
      <c r="D193" s="116" t="str">
        <f t="shared" si="21"/>
        <v/>
      </c>
      <c r="E193" s="120" t="str">
        <f t="shared" si="22"/>
        <v/>
      </c>
      <c r="F193" s="123" t="str">
        <f t="shared" si="23"/>
        <v/>
      </c>
      <c r="G193" s="126" t="e">
        <f t="shared" si="24"/>
        <v>#REF!</v>
      </c>
      <c r="H193" s="116" t="e">
        <f t="shared" si="18"/>
        <v>#REF!</v>
      </c>
      <c r="I193" s="117" t="e" cm="1">
        <f t="array" ref="I193">IF(OR(INDEX(#REF!,ROW()+8)="START",INDEX(#REF!,ROW()+7)="",INDEX(#REF!,ROW()+7)="START",INDEX(#REF!,ROW()+7)="TBA",INDEX(#REF!,ROW()+7)="TBC"), IF(INDEX(#REF!,ROW()+7)="START",$C$3,""),IF(INDEX(#REF!,ROW()+7)="x",INDEX(#REF!,ROW()+7)+'Date Calculators'!$B$2+ICS4Master!$E191,""))</f>
        <v>#REF!</v>
      </c>
      <c r="J193" s="116" t="e" cm="1">
        <f t="array" ref="J193">IF(I193="","",INDEX(#REF!,ROW()+7))</f>
        <v>#REF!</v>
      </c>
      <c r="K193" s="120" t="e" cm="1">
        <f t="array" ref="K193">IF(I193="","",INDEX(#REF!,ROW()+7))</f>
        <v>#REF!</v>
      </c>
      <c r="L193" s="129" t="e" cm="1">
        <f t="array" ref="L193">IF(OR(I193="",INDEX(#REF!,ROW()+7)=""),"",INDEX(#REF!,ROW()+7))</f>
        <v>#REF!</v>
      </c>
    </row>
    <row r="194" spans="2:12" ht="15" customHeight="1">
      <c r="B194" s="121" t="str">
        <f t="shared" si="19"/>
        <v/>
      </c>
      <c r="C194" s="117" t="str">
        <f t="shared" si="20"/>
        <v/>
      </c>
      <c r="D194" s="116" t="str">
        <f t="shared" si="21"/>
        <v/>
      </c>
      <c r="E194" s="120" t="str">
        <f t="shared" si="22"/>
        <v/>
      </c>
      <c r="F194" s="123" t="str">
        <f t="shared" si="23"/>
        <v/>
      </c>
      <c r="G194" s="126" t="e">
        <f t="shared" si="24"/>
        <v>#REF!</v>
      </c>
      <c r="H194" s="116" t="e">
        <f t="shared" si="18"/>
        <v>#REF!</v>
      </c>
      <c r="I194" s="117" t="e" cm="1">
        <f t="array" ref="I194">IF(OR(INDEX(#REF!,ROW()+8)="START",INDEX(#REF!,ROW()+7)="",INDEX(#REF!,ROW()+7)="START",INDEX(#REF!,ROW()+7)="TBA",INDEX(#REF!,ROW()+7)="TBC"), IF(INDEX(#REF!,ROW()+7)="START",$C$3,""),IF(INDEX(#REF!,ROW()+7)="x",INDEX(#REF!,ROW()+7)+'Date Calculators'!$B$2+ICS4Master!$E192,""))</f>
        <v>#REF!</v>
      </c>
      <c r="J194" s="116" t="e" cm="1">
        <f t="array" ref="J194">IF(I194="","",INDEX(#REF!,ROW()+7))</f>
        <v>#REF!</v>
      </c>
      <c r="K194" s="120" t="e" cm="1">
        <f t="array" ref="K194">IF(I194="","",INDEX(#REF!,ROW()+7))</f>
        <v>#REF!</v>
      </c>
      <c r="L194" s="129" t="e" cm="1">
        <f t="array" ref="L194">IF(OR(I194="",INDEX(#REF!,ROW()+7)=""),"",INDEX(#REF!,ROW()+7))</f>
        <v>#REF!</v>
      </c>
    </row>
    <row r="195" spans="2:12" ht="15" customHeight="1">
      <c r="B195" s="121" t="str">
        <f t="shared" si="19"/>
        <v/>
      </c>
      <c r="C195" s="117" t="str">
        <f t="shared" si="20"/>
        <v/>
      </c>
      <c r="D195" s="116" t="str">
        <f t="shared" si="21"/>
        <v/>
      </c>
      <c r="E195" s="120" t="str">
        <f t="shared" si="22"/>
        <v/>
      </c>
      <c r="F195" s="123" t="str">
        <f t="shared" si="23"/>
        <v/>
      </c>
      <c r="G195" s="126" t="e">
        <f t="shared" si="24"/>
        <v>#REF!</v>
      </c>
      <c r="H195" s="116" t="e">
        <f t="shared" si="18"/>
        <v>#REF!</v>
      </c>
      <c r="I195" s="117" t="e" cm="1">
        <f t="array" ref="I195">IF(OR(INDEX(#REF!,ROW()+8)="START",INDEX(#REF!,ROW()+7)="",INDEX(#REF!,ROW()+7)="START",INDEX(#REF!,ROW()+7)="TBA",INDEX(#REF!,ROW()+7)="TBC"), IF(INDEX(#REF!,ROW()+7)="START",$C$3,""),IF(INDEX(#REF!,ROW()+7)="x",INDEX(#REF!,ROW()+7)+'Date Calculators'!$B$2+ICS4Master!$E193,""))</f>
        <v>#REF!</v>
      </c>
      <c r="J195" s="116" t="e" cm="1">
        <f t="array" ref="J195">IF(I195="","",INDEX(#REF!,ROW()+7))</f>
        <v>#REF!</v>
      </c>
      <c r="K195" s="120" t="e" cm="1">
        <f t="array" ref="K195">IF(I195="","",INDEX(#REF!,ROW()+7))</f>
        <v>#REF!</v>
      </c>
      <c r="L195" s="129" t="e" cm="1">
        <f t="array" ref="L195">IF(OR(I195="",INDEX(#REF!,ROW()+7)=""),"",INDEX(#REF!,ROW()+7))</f>
        <v>#REF!</v>
      </c>
    </row>
    <row r="196" spans="2:12" ht="15" customHeight="1">
      <c r="B196" s="121" t="str">
        <f t="shared" si="19"/>
        <v/>
      </c>
      <c r="C196" s="117" t="str">
        <f t="shared" si="20"/>
        <v/>
      </c>
      <c r="D196" s="116" t="str">
        <f t="shared" si="21"/>
        <v/>
      </c>
      <c r="E196" s="120" t="str">
        <f t="shared" si="22"/>
        <v/>
      </c>
      <c r="F196" s="123" t="str">
        <f t="shared" si="23"/>
        <v/>
      </c>
      <c r="G196" s="126" t="e">
        <f t="shared" si="24"/>
        <v>#REF!</v>
      </c>
      <c r="H196" s="116" t="e">
        <f t="shared" ref="H196:H259" si="25">IF(I196="","",IF(I196="END","START",IF(OR(I195="END",I195=I196,I195=""),I196-$U$3,IFERROR(IF(I195&gt;I196,I196-$U$3,I195),I195))))</f>
        <v>#REF!</v>
      </c>
      <c r="I196" s="117" t="e" cm="1">
        <f t="array" ref="I196">IF(OR(INDEX(#REF!,ROW()+8)="START",INDEX(#REF!,ROW()+7)="",INDEX(#REF!,ROW()+7)="START",INDEX(#REF!,ROW()+7)="TBA",INDEX(#REF!,ROW()+7)="TBC"), IF(INDEX(#REF!,ROW()+7)="START",$C$3,""),IF(INDEX(#REF!,ROW()+7)="x",INDEX(#REF!,ROW()+7)+'Date Calculators'!$B$2+ICS4Master!$E194,""))</f>
        <v>#REF!</v>
      </c>
      <c r="J196" s="116" t="e" cm="1">
        <f t="array" ref="J196">IF(I196="","",INDEX(#REF!,ROW()+7))</f>
        <v>#REF!</v>
      </c>
      <c r="K196" s="120" t="e" cm="1">
        <f t="array" ref="K196">IF(I196="","",INDEX(#REF!,ROW()+7))</f>
        <v>#REF!</v>
      </c>
      <c r="L196" s="129" t="e" cm="1">
        <f t="array" ref="L196">IF(OR(I196="",INDEX(#REF!,ROW()+7)=""),"",INDEX(#REF!,ROW()+7))</f>
        <v>#REF!</v>
      </c>
    </row>
    <row r="197" spans="2:12" ht="15" customHeight="1">
      <c r="B197" s="121" t="str">
        <f t="shared" ref="B197:B260" si="26">IFERROR(IF(AND(INDEX($H$4:$H$500,MATCH(ROW()-3,$G$4:$G$500,0))&gt;C196,INDEX($I$4:$I$500,MATCH(ROW()-3,$G$4:$G$500,0))&lt;&gt;"END"),C196,INDEX($H$4:$H$500,MATCH(ROW()-3,$G$4:$G$500,0))),"")</f>
        <v/>
      </c>
      <c r="C197" s="117" t="str">
        <f t="shared" ref="C197:C260" si="27">IFERROR(INDEX($I$4:$I$500,MATCH(ROW()-3,$G$4:$G$500,0)),"")</f>
        <v/>
      </c>
      <c r="D197" s="116" t="str">
        <f t="shared" ref="D197:D260" si="28">IFERROR(INDEX($J$4:$J$500,MATCH(ROW()-3,$G$4:$G$500,0)),"")</f>
        <v/>
      </c>
      <c r="E197" s="120" t="str">
        <f t="shared" ref="E197:E260" si="29">IFERROR(INDEX($K$4:$K$500,MATCH(ROW()-3,$G$4:$G$500,0)),"")</f>
        <v/>
      </c>
      <c r="F197" s="123" t="str">
        <f t="shared" ref="F197:F260" si="30">IFERROR(INDEX($L$4:$L$500,MATCH(ROW()-3,$G$4:$G$500,0)),"")</f>
        <v/>
      </c>
      <c r="G197" s="126" t="e">
        <f t="shared" ref="G197:G260" si="31">G196+IF(I197&lt;&gt;"",1,0)</f>
        <v>#REF!</v>
      </c>
      <c r="H197" s="116" t="e">
        <f t="shared" si="25"/>
        <v>#REF!</v>
      </c>
      <c r="I197" s="117" t="e" cm="1">
        <f t="array" ref="I197">IF(OR(INDEX(#REF!,ROW()+8)="START",INDEX(#REF!,ROW()+7)="",INDEX(#REF!,ROW()+7)="START",INDEX(#REF!,ROW()+7)="TBA",INDEX(#REF!,ROW()+7)="TBC"), IF(INDEX(#REF!,ROW()+7)="START",$C$3,""),IF(INDEX(#REF!,ROW()+7)="x",INDEX(#REF!,ROW()+7)+'Date Calculators'!$B$2+ICS4Master!$E195,""))</f>
        <v>#REF!</v>
      </c>
      <c r="J197" s="116" t="e" cm="1">
        <f t="array" ref="J197">IF(I197="","",INDEX(#REF!,ROW()+7))</f>
        <v>#REF!</v>
      </c>
      <c r="K197" s="120" t="e" cm="1">
        <f t="array" ref="K197">IF(I197="","",INDEX(#REF!,ROW()+7))</f>
        <v>#REF!</v>
      </c>
      <c r="L197" s="129" t="e" cm="1">
        <f t="array" ref="L197">IF(OR(I197="",INDEX(#REF!,ROW()+7)=""),"",INDEX(#REF!,ROW()+7))</f>
        <v>#REF!</v>
      </c>
    </row>
    <row r="198" spans="2:12" ht="15" customHeight="1">
      <c r="B198" s="121" t="str">
        <f t="shared" si="26"/>
        <v/>
      </c>
      <c r="C198" s="117" t="str">
        <f t="shared" si="27"/>
        <v/>
      </c>
      <c r="D198" s="116" t="str">
        <f t="shared" si="28"/>
        <v/>
      </c>
      <c r="E198" s="120" t="str">
        <f t="shared" si="29"/>
        <v/>
      </c>
      <c r="F198" s="123" t="str">
        <f t="shared" si="30"/>
        <v/>
      </c>
      <c r="G198" s="126" t="e">
        <f t="shared" si="31"/>
        <v>#REF!</v>
      </c>
      <c r="H198" s="116" t="e">
        <f t="shared" si="25"/>
        <v>#REF!</v>
      </c>
      <c r="I198" s="117" t="e" cm="1">
        <f t="array" ref="I198">IF(OR(INDEX(#REF!,ROW()+8)="START",INDEX(#REF!,ROW()+7)="",INDEX(#REF!,ROW()+7)="START",INDEX(#REF!,ROW()+7)="TBA",INDEX(#REF!,ROW()+7)="TBC"), IF(INDEX(#REF!,ROW()+7)="START",$C$3,""),IF(INDEX(#REF!,ROW()+7)="x",INDEX(#REF!,ROW()+7)+'Date Calculators'!$B$2+ICS4Master!$E196,""))</f>
        <v>#REF!</v>
      </c>
      <c r="J198" s="116" t="e" cm="1">
        <f t="array" ref="J198">IF(I198="","",INDEX(#REF!,ROW()+7))</f>
        <v>#REF!</v>
      </c>
      <c r="K198" s="120" t="e" cm="1">
        <f t="array" ref="K198">IF(I198="","",INDEX(#REF!,ROW()+7))</f>
        <v>#REF!</v>
      </c>
      <c r="L198" s="129" t="e" cm="1">
        <f t="array" ref="L198">IF(OR(I198="",INDEX(#REF!,ROW()+7)=""),"",INDEX(#REF!,ROW()+7))</f>
        <v>#REF!</v>
      </c>
    </row>
    <row r="199" spans="2:12" ht="15" customHeight="1">
      <c r="B199" s="121" t="str">
        <f t="shared" si="26"/>
        <v/>
      </c>
      <c r="C199" s="117" t="str">
        <f t="shared" si="27"/>
        <v/>
      </c>
      <c r="D199" s="116" t="str">
        <f t="shared" si="28"/>
        <v/>
      </c>
      <c r="E199" s="120" t="str">
        <f t="shared" si="29"/>
        <v/>
      </c>
      <c r="F199" s="123" t="str">
        <f t="shared" si="30"/>
        <v/>
      </c>
      <c r="G199" s="126" t="e">
        <f t="shared" si="31"/>
        <v>#REF!</v>
      </c>
      <c r="H199" s="116" t="e">
        <f t="shared" si="25"/>
        <v>#REF!</v>
      </c>
      <c r="I199" s="117" t="e" cm="1">
        <f t="array" ref="I199">IF(OR(INDEX(#REF!,ROW()+8)="START",INDEX(#REF!,ROW()+7)="",INDEX(#REF!,ROW()+7)="START",INDEX(#REF!,ROW()+7)="TBA",INDEX(#REF!,ROW()+7)="TBC"), IF(INDEX(#REF!,ROW()+7)="START",$C$3,""),IF(INDEX(#REF!,ROW()+7)="x",INDEX(#REF!,ROW()+7)+'Date Calculators'!$B$2+ICS4Master!$E197,""))</f>
        <v>#REF!</v>
      </c>
      <c r="J199" s="116" t="e" cm="1">
        <f t="array" ref="J199">IF(I199="","",INDEX(#REF!,ROW()+7))</f>
        <v>#REF!</v>
      </c>
      <c r="K199" s="120" t="e" cm="1">
        <f t="array" ref="K199">IF(I199="","",INDEX(#REF!,ROW()+7))</f>
        <v>#REF!</v>
      </c>
      <c r="L199" s="129" t="e" cm="1">
        <f t="array" ref="L199">IF(OR(I199="",INDEX(#REF!,ROW()+7)=""),"",INDEX(#REF!,ROW()+7))</f>
        <v>#REF!</v>
      </c>
    </row>
    <row r="200" spans="2:12" ht="15" customHeight="1">
      <c r="B200" s="121" t="str">
        <f t="shared" si="26"/>
        <v/>
      </c>
      <c r="C200" s="117" t="str">
        <f t="shared" si="27"/>
        <v/>
      </c>
      <c r="D200" s="116" t="str">
        <f t="shared" si="28"/>
        <v/>
      </c>
      <c r="E200" s="120" t="str">
        <f t="shared" si="29"/>
        <v/>
      </c>
      <c r="F200" s="123" t="str">
        <f t="shared" si="30"/>
        <v/>
      </c>
      <c r="G200" s="126" t="e">
        <f t="shared" si="31"/>
        <v>#REF!</v>
      </c>
      <c r="H200" s="116" t="e">
        <f t="shared" si="25"/>
        <v>#REF!</v>
      </c>
      <c r="I200" s="117" t="e" cm="1">
        <f t="array" ref="I200">IF(OR(INDEX(#REF!,ROW()+8)="START",INDEX(#REF!,ROW()+7)="",INDEX(#REF!,ROW()+7)="START",INDEX(#REF!,ROW()+7)="TBA",INDEX(#REF!,ROW()+7)="TBC"), IF(INDEX(#REF!,ROW()+7)="START",$C$3,""),IF(INDEX(#REF!,ROW()+7)="x",INDEX(#REF!,ROW()+7)+'Date Calculators'!$B$2+ICS4Master!$E198,""))</f>
        <v>#REF!</v>
      </c>
      <c r="J200" s="116" t="e" cm="1">
        <f t="array" ref="J200">IF(I200="","",INDEX(#REF!,ROW()+7))</f>
        <v>#REF!</v>
      </c>
      <c r="K200" s="120" t="e" cm="1">
        <f t="array" ref="K200">IF(I200="","",INDEX(#REF!,ROW()+7))</f>
        <v>#REF!</v>
      </c>
      <c r="L200" s="129" t="e" cm="1">
        <f t="array" ref="L200">IF(OR(I200="",INDEX(#REF!,ROW()+7)=""),"",INDEX(#REF!,ROW()+7))</f>
        <v>#REF!</v>
      </c>
    </row>
    <row r="201" spans="2:12" ht="15" customHeight="1">
      <c r="B201" s="121" t="str">
        <f t="shared" si="26"/>
        <v/>
      </c>
      <c r="C201" s="117" t="str">
        <f t="shared" si="27"/>
        <v/>
      </c>
      <c r="D201" s="116" t="str">
        <f t="shared" si="28"/>
        <v/>
      </c>
      <c r="E201" s="120" t="str">
        <f t="shared" si="29"/>
        <v/>
      </c>
      <c r="F201" s="123" t="str">
        <f t="shared" si="30"/>
        <v/>
      </c>
      <c r="G201" s="126" t="e">
        <f t="shared" si="31"/>
        <v>#REF!</v>
      </c>
      <c r="H201" s="116" t="e">
        <f t="shared" si="25"/>
        <v>#REF!</v>
      </c>
      <c r="I201" s="117" t="e" cm="1">
        <f t="array" ref="I201">IF(OR(INDEX(#REF!,ROW()+8)="START",INDEX(#REF!,ROW()+7)="",INDEX(#REF!,ROW()+7)="START",INDEX(#REF!,ROW()+7)="TBA",INDEX(#REF!,ROW()+7)="TBC"), IF(INDEX(#REF!,ROW()+7)="START",$C$3,""),IF(INDEX(#REF!,ROW()+7)="x",INDEX(#REF!,ROW()+7)+'Date Calculators'!$B$2+ICS4Master!$E199,""))</f>
        <v>#REF!</v>
      </c>
      <c r="J201" s="116" t="e" cm="1">
        <f t="array" ref="J201">IF(I201="","",INDEX(#REF!,ROW()+7))</f>
        <v>#REF!</v>
      </c>
      <c r="K201" s="120" t="e" cm="1">
        <f t="array" ref="K201">IF(I201="","",INDEX(#REF!,ROW()+7))</f>
        <v>#REF!</v>
      </c>
      <c r="L201" s="129" t="e" cm="1">
        <f t="array" ref="L201">IF(OR(I201="",INDEX(#REF!,ROW()+7)=""),"",INDEX(#REF!,ROW()+7))</f>
        <v>#REF!</v>
      </c>
    </row>
    <row r="202" spans="2:12" ht="15" customHeight="1">
      <c r="B202" s="121" t="str">
        <f t="shared" si="26"/>
        <v/>
      </c>
      <c r="C202" s="117" t="str">
        <f t="shared" si="27"/>
        <v/>
      </c>
      <c r="D202" s="116" t="str">
        <f t="shared" si="28"/>
        <v/>
      </c>
      <c r="E202" s="120" t="str">
        <f t="shared" si="29"/>
        <v/>
      </c>
      <c r="F202" s="123" t="str">
        <f t="shared" si="30"/>
        <v/>
      </c>
      <c r="G202" s="126" t="e">
        <f t="shared" si="31"/>
        <v>#REF!</v>
      </c>
      <c r="H202" s="116" t="e">
        <f t="shared" si="25"/>
        <v>#REF!</v>
      </c>
      <c r="I202" s="117" t="e" cm="1">
        <f t="array" ref="I202">IF(OR(INDEX(#REF!,ROW()+8)="START",INDEX(#REF!,ROW()+7)="",INDEX(#REF!,ROW()+7)="START",INDEX(#REF!,ROW()+7)="TBA",INDEX(#REF!,ROW()+7)="TBC"), IF(INDEX(#REF!,ROW()+7)="START",$C$3,""),IF(INDEX(#REF!,ROW()+7)="x",INDEX(#REF!,ROW()+7)+'Date Calculators'!$B$2+ICS4Master!$E200,""))</f>
        <v>#REF!</v>
      </c>
      <c r="J202" s="116" t="e" cm="1">
        <f t="array" ref="J202">IF(I202="","",INDEX(#REF!,ROW()+7))</f>
        <v>#REF!</v>
      </c>
      <c r="K202" s="120" t="e" cm="1">
        <f t="array" ref="K202">IF(I202="","",INDEX(#REF!,ROW()+7))</f>
        <v>#REF!</v>
      </c>
      <c r="L202" s="129" t="e" cm="1">
        <f t="array" ref="L202">IF(OR(I202="",INDEX(#REF!,ROW()+7)=""),"",INDEX(#REF!,ROW()+7))</f>
        <v>#REF!</v>
      </c>
    </row>
    <row r="203" spans="2:12" ht="15" customHeight="1">
      <c r="B203" s="121" t="str">
        <f t="shared" si="26"/>
        <v/>
      </c>
      <c r="C203" s="117" t="str">
        <f t="shared" si="27"/>
        <v/>
      </c>
      <c r="D203" s="116" t="str">
        <f t="shared" si="28"/>
        <v/>
      </c>
      <c r="E203" s="120" t="str">
        <f t="shared" si="29"/>
        <v/>
      </c>
      <c r="F203" s="123" t="str">
        <f t="shared" si="30"/>
        <v/>
      </c>
      <c r="G203" s="126" t="e">
        <f t="shared" si="31"/>
        <v>#REF!</v>
      </c>
      <c r="H203" s="116" t="e">
        <f t="shared" si="25"/>
        <v>#REF!</v>
      </c>
      <c r="I203" s="117" t="e" cm="1">
        <f t="array" ref="I203">IF(OR(INDEX(#REF!,ROW()+8)="START",INDEX(#REF!,ROW()+7)="",INDEX(#REF!,ROW()+7)="START",INDEX(#REF!,ROW()+7)="TBA",INDEX(#REF!,ROW()+7)="TBC"), IF(INDEX(#REF!,ROW()+7)="START",$C$3,""),IF(INDEX(#REF!,ROW()+7)="x",INDEX(#REF!,ROW()+7)+'Date Calculators'!$B$2+ICS4Master!$E201,""))</f>
        <v>#REF!</v>
      </c>
      <c r="J203" s="116" t="e" cm="1">
        <f t="array" ref="J203">IF(I203="","",INDEX(#REF!,ROW()+7))</f>
        <v>#REF!</v>
      </c>
      <c r="K203" s="120" t="e" cm="1">
        <f t="array" ref="K203">IF(I203="","",INDEX(#REF!,ROW()+7))</f>
        <v>#REF!</v>
      </c>
      <c r="L203" s="129" t="e" cm="1">
        <f t="array" ref="L203">IF(OR(I203="",INDEX(#REF!,ROW()+7)=""),"",INDEX(#REF!,ROW()+7))</f>
        <v>#REF!</v>
      </c>
    </row>
    <row r="204" spans="2:12" ht="15" customHeight="1">
      <c r="B204" s="121" t="str">
        <f t="shared" si="26"/>
        <v/>
      </c>
      <c r="C204" s="117" t="str">
        <f t="shared" si="27"/>
        <v/>
      </c>
      <c r="D204" s="116" t="str">
        <f t="shared" si="28"/>
        <v/>
      </c>
      <c r="E204" s="120" t="str">
        <f t="shared" si="29"/>
        <v/>
      </c>
      <c r="F204" s="123" t="str">
        <f t="shared" si="30"/>
        <v/>
      </c>
      <c r="G204" s="126" t="e">
        <f t="shared" si="31"/>
        <v>#REF!</v>
      </c>
      <c r="H204" s="116" t="e">
        <f t="shared" si="25"/>
        <v>#REF!</v>
      </c>
      <c r="I204" s="117" t="e" cm="1">
        <f t="array" ref="I204">IF(OR(INDEX(#REF!,ROW()+8)="START",INDEX(#REF!,ROW()+7)="",INDEX(#REF!,ROW()+7)="START",INDEX(#REF!,ROW()+7)="TBA",INDEX(#REF!,ROW()+7)="TBC"), IF(INDEX(#REF!,ROW()+7)="START",$C$3,""),IF(INDEX(#REF!,ROW()+7)="x",INDEX(#REF!,ROW()+7)+'Date Calculators'!$B$2+ICS4Master!$E202,""))</f>
        <v>#REF!</v>
      </c>
      <c r="J204" s="116" t="e" cm="1">
        <f t="array" ref="J204">IF(I204="","",INDEX(#REF!,ROW()+7))</f>
        <v>#REF!</v>
      </c>
      <c r="K204" s="120" t="e" cm="1">
        <f t="array" ref="K204">IF(I204="","",INDEX(#REF!,ROW()+7))</f>
        <v>#REF!</v>
      </c>
      <c r="L204" s="129" t="e" cm="1">
        <f t="array" ref="L204">IF(OR(I204="",INDEX(#REF!,ROW()+7)=""),"",INDEX(#REF!,ROW()+7))</f>
        <v>#REF!</v>
      </c>
    </row>
    <row r="205" spans="2:12" ht="15" customHeight="1">
      <c r="B205" s="121" t="str">
        <f t="shared" si="26"/>
        <v/>
      </c>
      <c r="C205" s="117" t="str">
        <f t="shared" si="27"/>
        <v/>
      </c>
      <c r="D205" s="116" t="str">
        <f t="shared" si="28"/>
        <v/>
      </c>
      <c r="E205" s="120" t="str">
        <f t="shared" si="29"/>
        <v/>
      </c>
      <c r="F205" s="123" t="str">
        <f t="shared" si="30"/>
        <v/>
      </c>
      <c r="G205" s="126" t="e">
        <f t="shared" si="31"/>
        <v>#REF!</v>
      </c>
      <c r="H205" s="116" t="e">
        <f t="shared" si="25"/>
        <v>#REF!</v>
      </c>
      <c r="I205" s="117" t="e" cm="1">
        <f t="array" ref="I205">IF(OR(INDEX(#REF!,ROW()+8)="START",INDEX(#REF!,ROW()+7)="",INDEX(#REF!,ROW()+7)="START",INDEX(#REF!,ROW()+7)="TBA",INDEX(#REF!,ROW()+7)="TBC"), IF(INDEX(#REF!,ROW()+7)="START",$C$3,""),IF(INDEX(#REF!,ROW()+7)="x",INDEX(#REF!,ROW()+7)+'Date Calculators'!$B$2+ICS4Master!$E203,""))</f>
        <v>#REF!</v>
      </c>
      <c r="J205" s="116" t="e" cm="1">
        <f t="array" ref="J205">IF(I205="","",INDEX(#REF!,ROW()+7))</f>
        <v>#REF!</v>
      </c>
      <c r="K205" s="120" t="e" cm="1">
        <f t="array" ref="K205">IF(I205="","",INDEX(#REF!,ROW()+7))</f>
        <v>#REF!</v>
      </c>
      <c r="L205" s="129" t="e" cm="1">
        <f t="array" ref="L205">IF(OR(I205="",INDEX(#REF!,ROW()+7)=""),"",INDEX(#REF!,ROW()+7))</f>
        <v>#REF!</v>
      </c>
    </row>
    <row r="206" spans="2:12" ht="15" customHeight="1">
      <c r="B206" s="121" t="str">
        <f t="shared" si="26"/>
        <v/>
      </c>
      <c r="C206" s="117" t="str">
        <f t="shared" si="27"/>
        <v/>
      </c>
      <c r="D206" s="116" t="str">
        <f t="shared" si="28"/>
        <v/>
      </c>
      <c r="E206" s="120" t="str">
        <f t="shared" si="29"/>
        <v/>
      </c>
      <c r="F206" s="123" t="str">
        <f t="shared" si="30"/>
        <v/>
      </c>
      <c r="G206" s="126" t="e">
        <f t="shared" si="31"/>
        <v>#REF!</v>
      </c>
      <c r="H206" s="116" t="e">
        <f t="shared" si="25"/>
        <v>#REF!</v>
      </c>
      <c r="I206" s="117" t="e" cm="1">
        <f t="array" ref="I206">IF(OR(INDEX(#REF!,ROW()+8)="START",INDEX(#REF!,ROW()+7)="",INDEX(#REF!,ROW()+7)="START",INDEX(#REF!,ROW()+7)="TBA",INDEX(#REF!,ROW()+7)="TBC"), IF(INDEX(#REF!,ROW()+7)="START",$C$3,""),IF(INDEX(#REF!,ROW()+7)="x",INDEX(#REF!,ROW()+7)+'Date Calculators'!$B$2+ICS4Master!$E204,""))</f>
        <v>#REF!</v>
      </c>
      <c r="J206" s="116" t="e" cm="1">
        <f t="array" ref="J206">IF(I206="","",INDEX(#REF!,ROW()+7))</f>
        <v>#REF!</v>
      </c>
      <c r="K206" s="120" t="e" cm="1">
        <f t="array" ref="K206">IF(I206="","",INDEX(#REF!,ROW()+7))</f>
        <v>#REF!</v>
      </c>
      <c r="L206" s="129" t="e" cm="1">
        <f t="array" ref="L206">IF(OR(I206="",INDEX(#REF!,ROW()+7)=""),"",INDEX(#REF!,ROW()+7))</f>
        <v>#REF!</v>
      </c>
    </row>
    <row r="207" spans="2:12" ht="15" customHeight="1">
      <c r="B207" s="121" t="str">
        <f t="shared" si="26"/>
        <v/>
      </c>
      <c r="C207" s="117" t="str">
        <f t="shared" si="27"/>
        <v/>
      </c>
      <c r="D207" s="116" t="str">
        <f t="shared" si="28"/>
        <v/>
      </c>
      <c r="E207" s="120" t="str">
        <f t="shared" si="29"/>
        <v/>
      </c>
      <c r="F207" s="123" t="str">
        <f t="shared" si="30"/>
        <v/>
      </c>
      <c r="G207" s="126" t="e">
        <f t="shared" si="31"/>
        <v>#REF!</v>
      </c>
      <c r="H207" s="116" t="e">
        <f t="shared" si="25"/>
        <v>#REF!</v>
      </c>
      <c r="I207" s="117" t="e" cm="1">
        <f t="array" ref="I207">IF(OR(INDEX(#REF!,ROW()+8)="START",INDEX(#REF!,ROW()+7)="",INDEX(#REF!,ROW()+7)="START",INDEX(#REF!,ROW()+7)="TBA",INDEX(#REF!,ROW()+7)="TBC"), IF(INDEX(#REF!,ROW()+7)="START",$C$3,""),IF(INDEX(#REF!,ROW()+7)="x",INDEX(#REF!,ROW()+7)+'Date Calculators'!$B$2+ICS4Master!$E205,""))</f>
        <v>#REF!</v>
      </c>
      <c r="J207" s="116" t="e" cm="1">
        <f t="array" ref="J207">IF(I207="","",INDEX(#REF!,ROW()+7))</f>
        <v>#REF!</v>
      </c>
      <c r="K207" s="120" t="e" cm="1">
        <f t="array" ref="K207">IF(I207="","",INDEX(#REF!,ROW()+7))</f>
        <v>#REF!</v>
      </c>
      <c r="L207" s="129" t="e" cm="1">
        <f t="array" ref="L207">IF(OR(I207="",INDEX(#REF!,ROW()+7)=""),"",INDEX(#REF!,ROW()+7))</f>
        <v>#REF!</v>
      </c>
    </row>
    <row r="208" spans="2:12" ht="15" customHeight="1">
      <c r="B208" s="121" t="str">
        <f t="shared" si="26"/>
        <v/>
      </c>
      <c r="C208" s="117" t="str">
        <f t="shared" si="27"/>
        <v/>
      </c>
      <c r="D208" s="116" t="str">
        <f t="shared" si="28"/>
        <v/>
      </c>
      <c r="E208" s="120" t="str">
        <f t="shared" si="29"/>
        <v/>
      </c>
      <c r="F208" s="123" t="str">
        <f t="shared" si="30"/>
        <v/>
      </c>
      <c r="G208" s="126" t="e">
        <f t="shared" si="31"/>
        <v>#REF!</v>
      </c>
      <c r="H208" s="116" t="e">
        <f t="shared" si="25"/>
        <v>#REF!</v>
      </c>
      <c r="I208" s="117" t="e" cm="1">
        <f t="array" ref="I208">IF(OR(INDEX(#REF!,ROW()+8)="START",INDEX(#REF!,ROW()+7)="",INDEX(#REF!,ROW()+7)="START",INDEX(#REF!,ROW()+7)="TBA",INDEX(#REF!,ROW()+7)="TBC"), IF(INDEX(#REF!,ROW()+7)="START",$C$3,""),IF(INDEX(#REF!,ROW()+7)="x",INDEX(#REF!,ROW()+7)+'Date Calculators'!$B$2+ICS4Master!$E206,""))</f>
        <v>#REF!</v>
      </c>
      <c r="J208" s="116" t="e" cm="1">
        <f t="array" ref="J208">IF(I208="","",INDEX(#REF!,ROW()+7))</f>
        <v>#REF!</v>
      </c>
      <c r="K208" s="120" t="e" cm="1">
        <f t="array" ref="K208">IF(I208="","",INDEX(#REF!,ROW()+7))</f>
        <v>#REF!</v>
      </c>
      <c r="L208" s="129" t="e" cm="1">
        <f t="array" ref="L208">IF(OR(I208="",INDEX(#REF!,ROW()+7)=""),"",INDEX(#REF!,ROW()+7))</f>
        <v>#REF!</v>
      </c>
    </row>
    <row r="209" spans="2:12" ht="15" customHeight="1">
      <c r="B209" s="121" t="str">
        <f t="shared" si="26"/>
        <v/>
      </c>
      <c r="C209" s="117" t="str">
        <f t="shared" si="27"/>
        <v/>
      </c>
      <c r="D209" s="116" t="str">
        <f t="shared" si="28"/>
        <v/>
      </c>
      <c r="E209" s="120" t="str">
        <f t="shared" si="29"/>
        <v/>
      </c>
      <c r="F209" s="123" t="str">
        <f t="shared" si="30"/>
        <v/>
      </c>
      <c r="G209" s="126" t="e">
        <f t="shared" si="31"/>
        <v>#REF!</v>
      </c>
      <c r="H209" s="116" t="e">
        <f t="shared" si="25"/>
        <v>#REF!</v>
      </c>
      <c r="I209" s="117" t="e" cm="1">
        <f t="array" ref="I209">IF(OR(INDEX(#REF!,ROW()+8)="START",INDEX(#REF!,ROW()+7)="",INDEX(#REF!,ROW()+7)="START",INDEX(#REF!,ROW()+7)="TBA",INDEX(#REF!,ROW()+7)="TBC"), IF(INDEX(#REF!,ROW()+7)="START",$C$3,""),IF(INDEX(#REF!,ROW()+7)="x",INDEX(#REF!,ROW()+7)+'Date Calculators'!$B$2+ICS4Master!$E207,""))</f>
        <v>#REF!</v>
      </c>
      <c r="J209" s="116" t="e" cm="1">
        <f t="array" ref="J209">IF(I209="","",INDEX(#REF!,ROW()+7))</f>
        <v>#REF!</v>
      </c>
      <c r="K209" s="120" t="e" cm="1">
        <f t="array" ref="K209">IF(I209="","",INDEX(#REF!,ROW()+7))</f>
        <v>#REF!</v>
      </c>
      <c r="L209" s="129" t="e" cm="1">
        <f t="array" ref="L209">IF(OR(I209="",INDEX(#REF!,ROW()+7)=""),"",INDEX(#REF!,ROW()+7))</f>
        <v>#REF!</v>
      </c>
    </row>
    <row r="210" spans="2:12" ht="15" customHeight="1">
      <c r="B210" s="121" t="str">
        <f t="shared" si="26"/>
        <v/>
      </c>
      <c r="C210" s="117" t="str">
        <f t="shared" si="27"/>
        <v/>
      </c>
      <c r="D210" s="116" t="str">
        <f t="shared" si="28"/>
        <v/>
      </c>
      <c r="E210" s="120" t="str">
        <f t="shared" si="29"/>
        <v/>
      </c>
      <c r="F210" s="123" t="str">
        <f t="shared" si="30"/>
        <v/>
      </c>
      <c r="G210" s="126" t="e">
        <f t="shared" si="31"/>
        <v>#REF!</v>
      </c>
      <c r="H210" s="116" t="e">
        <f t="shared" si="25"/>
        <v>#REF!</v>
      </c>
      <c r="I210" s="117" t="e" cm="1">
        <f t="array" ref="I210">IF(OR(INDEX(#REF!,ROW()+8)="START",INDEX(#REF!,ROW()+7)="",INDEX(#REF!,ROW()+7)="START",INDEX(#REF!,ROW()+7)="TBA",INDEX(#REF!,ROW()+7)="TBC"), IF(INDEX(#REF!,ROW()+7)="START",$C$3,""),IF(INDEX(#REF!,ROW()+7)="x",INDEX(#REF!,ROW()+7)+'Date Calculators'!$B$2+ICS4Master!$E208,""))</f>
        <v>#REF!</v>
      </c>
      <c r="J210" s="116" t="e" cm="1">
        <f t="array" ref="J210">IF(I210="","",INDEX(#REF!,ROW()+7))</f>
        <v>#REF!</v>
      </c>
      <c r="K210" s="120" t="e" cm="1">
        <f t="array" ref="K210">IF(I210="","",INDEX(#REF!,ROW()+7))</f>
        <v>#REF!</v>
      </c>
      <c r="L210" s="129" t="e" cm="1">
        <f t="array" ref="L210">IF(OR(I210="",INDEX(#REF!,ROW()+7)=""),"",INDEX(#REF!,ROW()+7))</f>
        <v>#REF!</v>
      </c>
    </row>
    <row r="211" spans="2:12" ht="15" customHeight="1">
      <c r="B211" s="121" t="str">
        <f t="shared" si="26"/>
        <v/>
      </c>
      <c r="C211" s="117" t="str">
        <f t="shared" si="27"/>
        <v/>
      </c>
      <c r="D211" s="116" t="str">
        <f t="shared" si="28"/>
        <v/>
      </c>
      <c r="E211" s="120" t="str">
        <f t="shared" si="29"/>
        <v/>
      </c>
      <c r="F211" s="123" t="str">
        <f t="shared" si="30"/>
        <v/>
      </c>
      <c r="G211" s="126" t="e">
        <f t="shared" si="31"/>
        <v>#REF!</v>
      </c>
      <c r="H211" s="116" t="e">
        <f t="shared" si="25"/>
        <v>#REF!</v>
      </c>
      <c r="I211" s="117" t="e" cm="1">
        <f t="array" ref="I211">IF(OR(INDEX(#REF!,ROW()+8)="START",INDEX(#REF!,ROW()+7)="",INDEX(#REF!,ROW()+7)="START",INDEX(#REF!,ROW()+7)="TBA",INDEX(#REF!,ROW()+7)="TBC"), IF(INDEX(#REF!,ROW()+7)="START",$C$3,""),IF(INDEX(#REF!,ROW()+7)="x",INDEX(#REF!,ROW()+7)+'Date Calculators'!$B$2+ICS4Master!$E209,""))</f>
        <v>#REF!</v>
      </c>
      <c r="J211" s="116" t="e" cm="1">
        <f t="array" ref="J211">IF(I211="","",INDEX(#REF!,ROW()+7))</f>
        <v>#REF!</v>
      </c>
      <c r="K211" s="120" t="e" cm="1">
        <f t="array" ref="K211">IF(I211="","",INDEX(#REF!,ROW()+7))</f>
        <v>#REF!</v>
      </c>
      <c r="L211" s="129" t="e" cm="1">
        <f t="array" ref="L211">IF(OR(I211="",INDEX(#REF!,ROW()+7)=""),"",INDEX(#REF!,ROW()+7))</f>
        <v>#REF!</v>
      </c>
    </row>
    <row r="212" spans="2:12" ht="15" customHeight="1">
      <c r="B212" s="121" t="str">
        <f t="shared" si="26"/>
        <v/>
      </c>
      <c r="C212" s="117" t="str">
        <f t="shared" si="27"/>
        <v/>
      </c>
      <c r="D212" s="116" t="str">
        <f t="shared" si="28"/>
        <v/>
      </c>
      <c r="E212" s="120" t="str">
        <f t="shared" si="29"/>
        <v/>
      </c>
      <c r="F212" s="123" t="str">
        <f t="shared" si="30"/>
        <v/>
      </c>
      <c r="G212" s="126" t="e">
        <f t="shared" si="31"/>
        <v>#REF!</v>
      </c>
      <c r="H212" s="116" t="e">
        <f t="shared" si="25"/>
        <v>#REF!</v>
      </c>
      <c r="I212" s="117" t="e" cm="1">
        <f t="array" ref="I212">IF(OR(INDEX(#REF!,ROW()+8)="START",INDEX(#REF!,ROW()+7)="",INDEX(#REF!,ROW()+7)="START",INDEX(#REF!,ROW()+7)="TBA",INDEX(#REF!,ROW()+7)="TBC"), IF(INDEX(#REF!,ROW()+7)="START",$C$3,""),IF(INDEX(#REF!,ROW()+7)="x",INDEX(#REF!,ROW()+7)+'Date Calculators'!$B$2+ICS4Master!$E210,""))</f>
        <v>#REF!</v>
      </c>
      <c r="J212" s="116" t="e" cm="1">
        <f t="array" ref="J212">IF(I212="","",INDEX(#REF!,ROW()+7))</f>
        <v>#REF!</v>
      </c>
      <c r="K212" s="120" t="e" cm="1">
        <f t="array" ref="K212">IF(I212="","",INDEX(#REF!,ROW()+7))</f>
        <v>#REF!</v>
      </c>
      <c r="L212" s="129" t="e" cm="1">
        <f t="array" ref="L212">IF(OR(I212="",INDEX(#REF!,ROW()+7)=""),"",INDEX(#REF!,ROW()+7))</f>
        <v>#REF!</v>
      </c>
    </row>
    <row r="213" spans="2:12" ht="15" customHeight="1">
      <c r="B213" s="121" t="str">
        <f t="shared" si="26"/>
        <v/>
      </c>
      <c r="C213" s="117" t="str">
        <f t="shared" si="27"/>
        <v/>
      </c>
      <c r="D213" s="116" t="str">
        <f t="shared" si="28"/>
        <v/>
      </c>
      <c r="E213" s="120" t="str">
        <f t="shared" si="29"/>
        <v/>
      </c>
      <c r="F213" s="123" t="str">
        <f t="shared" si="30"/>
        <v/>
      </c>
      <c r="G213" s="126" t="e">
        <f t="shared" si="31"/>
        <v>#REF!</v>
      </c>
      <c r="H213" s="116" t="e">
        <f t="shared" si="25"/>
        <v>#REF!</v>
      </c>
      <c r="I213" s="117" t="e" cm="1">
        <f t="array" ref="I213">IF(OR(INDEX(#REF!,ROW()+8)="START",INDEX(#REF!,ROW()+7)="",INDEX(#REF!,ROW()+7)="START",INDEX(#REF!,ROW()+7)="TBA",INDEX(#REF!,ROW()+7)="TBC"), IF(INDEX(#REF!,ROW()+7)="START",$C$3,""),IF(INDEX(#REF!,ROW()+7)="x",INDEX(#REF!,ROW()+7)+'Date Calculators'!$B$2+ICS4Master!$E211,""))</f>
        <v>#REF!</v>
      </c>
      <c r="J213" s="116" t="e" cm="1">
        <f t="array" ref="J213">IF(I213="","",INDEX(#REF!,ROW()+7))</f>
        <v>#REF!</v>
      </c>
      <c r="K213" s="120" t="e" cm="1">
        <f t="array" ref="K213">IF(I213="","",INDEX(#REF!,ROW()+7))</f>
        <v>#REF!</v>
      </c>
      <c r="L213" s="129" t="e" cm="1">
        <f t="array" ref="L213">IF(OR(I213="",INDEX(#REF!,ROW()+7)=""),"",INDEX(#REF!,ROW()+7))</f>
        <v>#REF!</v>
      </c>
    </row>
    <row r="214" spans="2:12" ht="15" customHeight="1">
      <c r="B214" s="121" t="str">
        <f t="shared" si="26"/>
        <v/>
      </c>
      <c r="C214" s="117" t="str">
        <f t="shared" si="27"/>
        <v/>
      </c>
      <c r="D214" s="116" t="str">
        <f t="shared" si="28"/>
        <v/>
      </c>
      <c r="E214" s="120" t="str">
        <f t="shared" si="29"/>
        <v/>
      </c>
      <c r="F214" s="123" t="str">
        <f t="shared" si="30"/>
        <v/>
      </c>
      <c r="G214" s="126" t="e">
        <f t="shared" si="31"/>
        <v>#REF!</v>
      </c>
      <c r="H214" s="116" t="e">
        <f t="shared" si="25"/>
        <v>#REF!</v>
      </c>
      <c r="I214" s="117" t="e" cm="1">
        <f t="array" ref="I214">IF(OR(INDEX(#REF!,ROW()+8)="START",INDEX(#REF!,ROW()+7)="",INDEX(#REF!,ROW()+7)="START",INDEX(#REF!,ROW()+7)="TBA",INDEX(#REF!,ROW()+7)="TBC"), IF(INDEX(#REF!,ROW()+7)="START",$C$3,""),IF(INDEX(#REF!,ROW()+7)="x",INDEX(#REF!,ROW()+7)+'Date Calculators'!$B$2+ICS4Master!$E212,""))</f>
        <v>#REF!</v>
      </c>
      <c r="J214" s="116" t="e" cm="1">
        <f t="array" ref="J214">IF(I214="","",INDEX(#REF!,ROW()+7))</f>
        <v>#REF!</v>
      </c>
      <c r="K214" s="120" t="e" cm="1">
        <f t="array" ref="K214">IF(I214="","",INDEX(#REF!,ROW()+7))</f>
        <v>#REF!</v>
      </c>
      <c r="L214" s="129" t="e" cm="1">
        <f t="array" ref="L214">IF(OR(I214="",INDEX(#REF!,ROW()+7)=""),"",INDEX(#REF!,ROW()+7))</f>
        <v>#REF!</v>
      </c>
    </row>
    <row r="215" spans="2:12" ht="15" customHeight="1">
      <c r="B215" s="121" t="str">
        <f t="shared" si="26"/>
        <v/>
      </c>
      <c r="C215" s="117" t="str">
        <f t="shared" si="27"/>
        <v/>
      </c>
      <c r="D215" s="116" t="str">
        <f t="shared" si="28"/>
        <v/>
      </c>
      <c r="E215" s="120" t="str">
        <f t="shared" si="29"/>
        <v/>
      </c>
      <c r="F215" s="123" t="str">
        <f t="shared" si="30"/>
        <v/>
      </c>
      <c r="G215" s="126" t="e">
        <f t="shared" si="31"/>
        <v>#REF!</v>
      </c>
      <c r="H215" s="116" t="e">
        <f t="shared" si="25"/>
        <v>#REF!</v>
      </c>
      <c r="I215" s="117" t="e" cm="1">
        <f t="array" ref="I215">IF(OR(INDEX(#REF!,ROW()+8)="START",INDEX(#REF!,ROW()+7)="",INDEX(#REF!,ROW()+7)="START",INDEX(#REF!,ROW()+7)="TBA",INDEX(#REF!,ROW()+7)="TBC"), IF(INDEX(#REF!,ROW()+7)="START",$C$3,""),IF(INDEX(#REF!,ROW()+7)="x",INDEX(#REF!,ROW()+7)+'Date Calculators'!$B$2+ICS4Master!$E213,""))</f>
        <v>#REF!</v>
      </c>
      <c r="J215" s="116" t="e" cm="1">
        <f t="array" ref="J215">IF(I215="","",INDEX(#REF!,ROW()+7))</f>
        <v>#REF!</v>
      </c>
      <c r="K215" s="120" t="e" cm="1">
        <f t="array" ref="K215">IF(I215="","",INDEX(#REF!,ROW()+7))</f>
        <v>#REF!</v>
      </c>
      <c r="L215" s="129" t="e" cm="1">
        <f t="array" ref="L215">IF(OR(I215="",INDEX(#REF!,ROW()+7)=""),"",INDEX(#REF!,ROW()+7))</f>
        <v>#REF!</v>
      </c>
    </row>
    <row r="216" spans="2:12" ht="15" customHeight="1">
      <c r="B216" s="121" t="str">
        <f t="shared" si="26"/>
        <v/>
      </c>
      <c r="C216" s="117" t="str">
        <f t="shared" si="27"/>
        <v/>
      </c>
      <c r="D216" s="116" t="str">
        <f t="shared" si="28"/>
        <v/>
      </c>
      <c r="E216" s="120" t="str">
        <f t="shared" si="29"/>
        <v/>
      </c>
      <c r="F216" s="123" t="str">
        <f t="shared" si="30"/>
        <v/>
      </c>
      <c r="G216" s="126" t="e">
        <f t="shared" si="31"/>
        <v>#REF!</v>
      </c>
      <c r="H216" s="116" t="e">
        <f t="shared" si="25"/>
        <v>#REF!</v>
      </c>
      <c r="I216" s="117" t="e" cm="1">
        <f t="array" ref="I216">IF(OR(INDEX(#REF!,ROW()+8)="START",INDEX(#REF!,ROW()+7)="",INDEX(#REF!,ROW()+7)="START",INDEX(#REF!,ROW()+7)="TBA",INDEX(#REF!,ROW()+7)="TBC"), IF(INDEX(#REF!,ROW()+7)="START",$C$3,""),IF(INDEX(#REF!,ROW()+7)="x",INDEX(#REF!,ROW()+7)+'Date Calculators'!$B$2+ICS4Master!$E214,""))</f>
        <v>#REF!</v>
      </c>
      <c r="J216" s="116" t="e" cm="1">
        <f t="array" ref="J216">IF(I216="","",INDEX(#REF!,ROW()+7))</f>
        <v>#REF!</v>
      </c>
      <c r="K216" s="120" t="e" cm="1">
        <f t="array" ref="K216">IF(I216="","",INDEX(#REF!,ROW()+7))</f>
        <v>#REF!</v>
      </c>
      <c r="L216" s="129" t="e" cm="1">
        <f t="array" ref="L216">IF(OR(I216="",INDEX(#REF!,ROW()+7)=""),"",INDEX(#REF!,ROW()+7))</f>
        <v>#REF!</v>
      </c>
    </row>
    <row r="217" spans="2:12" ht="15" customHeight="1">
      <c r="B217" s="121" t="str">
        <f t="shared" si="26"/>
        <v/>
      </c>
      <c r="C217" s="117" t="str">
        <f t="shared" si="27"/>
        <v/>
      </c>
      <c r="D217" s="116" t="str">
        <f t="shared" si="28"/>
        <v/>
      </c>
      <c r="E217" s="120" t="str">
        <f t="shared" si="29"/>
        <v/>
      </c>
      <c r="F217" s="123" t="str">
        <f t="shared" si="30"/>
        <v/>
      </c>
      <c r="G217" s="126" t="e">
        <f t="shared" si="31"/>
        <v>#REF!</v>
      </c>
      <c r="H217" s="116" t="e">
        <f t="shared" si="25"/>
        <v>#REF!</v>
      </c>
      <c r="I217" s="117" t="e" cm="1">
        <f t="array" ref="I217">IF(OR(INDEX(#REF!,ROW()+8)="START",INDEX(#REF!,ROW()+7)="",INDEX(#REF!,ROW()+7)="START",INDEX(#REF!,ROW()+7)="TBA",INDEX(#REF!,ROW()+7)="TBC"), IF(INDEX(#REF!,ROW()+7)="START",$C$3,""),IF(INDEX(#REF!,ROW()+7)="x",INDEX(#REF!,ROW()+7)+'Date Calculators'!$B$2+ICS4Master!$E215,""))</f>
        <v>#REF!</v>
      </c>
      <c r="J217" s="116" t="e" cm="1">
        <f t="array" ref="J217">IF(I217="","",INDEX(#REF!,ROW()+7))</f>
        <v>#REF!</v>
      </c>
      <c r="K217" s="120" t="e" cm="1">
        <f t="array" ref="K217">IF(I217="","",INDEX(#REF!,ROW()+7))</f>
        <v>#REF!</v>
      </c>
      <c r="L217" s="129" t="e" cm="1">
        <f t="array" ref="L217">IF(OR(I217="",INDEX(#REF!,ROW()+7)=""),"",INDEX(#REF!,ROW()+7))</f>
        <v>#REF!</v>
      </c>
    </row>
    <row r="218" spans="2:12" ht="15" customHeight="1">
      <c r="B218" s="121" t="str">
        <f t="shared" si="26"/>
        <v/>
      </c>
      <c r="C218" s="117" t="str">
        <f t="shared" si="27"/>
        <v/>
      </c>
      <c r="D218" s="116" t="str">
        <f t="shared" si="28"/>
        <v/>
      </c>
      <c r="E218" s="120" t="str">
        <f t="shared" si="29"/>
        <v/>
      </c>
      <c r="F218" s="123" t="str">
        <f t="shared" si="30"/>
        <v/>
      </c>
      <c r="G218" s="126" t="e">
        <f t="shared" si="31"/>
        <v>#REF!</v>
      </c>
      <c r="H218" s="116" t="e">
        <f t="shared" si="25"/>
        <v>#REF!</v>
      </c>
      <c r="I218" s="117" t="e" cm="1">
        <f t="array" ref="I218">IF(OR(INDEX(#REF!,ROW()+8)="START",INDEX(#REF!,ROW()+7)="",INDEX(#REF!,ROW()+7)="START",INDEX(#REF!,ROW()+7)="TBA",INDEX(#REF!,ROW()+7)="TBC"), IF(INDEX(#REF!,ROW()+7)="START",$C$3,""),IF(INDEX(#REF!,ROW()+7)="x",INDEX(#REF!,ROW()+7)+'Date Calculators'!$B$2+ICS4Master!$E216,""))</f>
        <v>#REF!</v>
      </c>
      <c r="J218" s="116" t="e" cm="1">
        <f t="array" ref="J218">IF(I218="","",INDEX(#REF!,ROW()+7))</f>
        <v>#REF!</v>
      </c>
      <c r="K218" s="120" t="e" cm="1">
        <f t="array" ref="K218">IF(I218="","",INDEX(#REF!,ROW()+7))</f>
        <v>#REF!</v>
      </c>
      <c r="L218" s="129" t="e" cm="1">
        <f t="array" ref="L218">IF(OR(I218="",INDEX(#REF!,ROW()+7)=""),"",INDEX(#REF!,ROW()+7))</f>
        <v>#REF!</v>
      </c>
    </row>
    <row r="219" spans="2:12" ht="15" customHeight="1">
      <c r="B219" s="121" t="str">
        <f t="shared" si="26"/>
        <v/>
      </c>
      <c r="C219" s="117" t="str">
        <f t="shared" si="27"/>
        <v/>
      </c>
      <c r="D219" s="116" t="str">
        <f t="shared" si="28"/>
        <v/>
      </c>
      <c r="E219" s="120" t="str">
        <f t="shared" si="29"/>
        <v/>
      </c>
      <c r="F219" s="123" t="str">
        <f t="shared" si="30"/>
        <v/>
      </c>
      <c r="G219" s="126" t="e">
        <f t="shared" si="31"/>
        <v>#REF!</v>
      </c>
      <c r="H219" s="116" t="e">
        <f t="shared" si="25"/>
        <v>#REF!</v>
      </c>
      <c r="I219" s="117" t="e" cm="1">
        <f t="array" ref="I219">IF(OR(INDEX(#REF!,ROW()+8)="START",INDEX(#REF!,ROW()+7)="",INDEX(#REF!,ROW()+7)="START",INDEX(#REF!,ROW()+7)="TBA",INDEX(#REF!,ROW()+7)="TBC"), IF(INDEX(#REF!,ROW()+7)="START",$C$3,""),IF(INDEX(#REF!,ROW()+7)="x",INDEX(#REF!,ROW()+7)+'Date Calculators'!$B$2+ICS4Master!$E217,""))</f>
        <v>#REF!</v>
      </c>
      <c r="J219" s="116" t="e" cm="1">
        <f t="array" ref="J219">IF(I219="","",INDEX(#REF!,ROW()+7))</f>
        <v>#REF!</v>
      </c>
      <c r="K219" s="120" t="e" cm="1">
        <f t="array" ref="K219">IF(I219="","",INDEX(#REF!,ROW()+7))</f>
        <v>#REF!</v>
      </c>
      <c r="L219" s="129" t="e" cm="1">
        <f t="array" ref="L219">IF(OR(I219="",INDEX(#REF!,ROW()+7)=""),"",INDEX(#REF!,ROW()+7))</f>
        <v>#REF!</v>
      </c>
    </row>
    <row r="220" spans="2:12" ht="15" customHeight="1">
      <c r="B220" s="121" t="str">
        <f t="shared" si="26"/>
        <v/>
      </c>
      <c r="C220" s="117" t="str">
        <f t="shared" si="27"/>
        <v/>
      </c>
      <c r="D220" s="116" t="str">
        <f t="shared" si="28"/>
        <v/>
      </c>
      <c r="E220" s="120" t="str">
        <f t="shared" si="29"/>
        <v/>
      </c>
      <c r="F220" s="123" t="str">
        <f t="shared" si="30"/>
        <v/>
      </c>
      <c r="G220" s="126" t="e">
        <f t="shared" si="31"/>
        <v>#REF!</v>
      </c>
      <c r="H220" s="116" t="e">
        <f t="shared" si="25"/>
        <v>#REF!</v>
      </c>
      <c r="I220" s="117" t="e" cm="1">
        <f t="array" ref="I220">IF(OR(INDEX(#REF!,ROW()+8)="START",INDEX(#REF!,ROW()+7)="",INDEX(#REF!,ROW()+7)="START",INDEX(#REF!,ROW()+7)="TBA",INDEX(#REF!,ROW()+7)="TBC"), IF(INDEX(#REF!,ROW()+7)="START",$C$3,""),IF(INDEX(#REF!,ROW()+7)="x",INDEX(#REF!,ROW()+7)+'Date Calculators'!$B$2+ICS4Master!$E218,""))</f>
        <v>#REF!</v>
      </c>
      <c r="J220" s="116" t="e" cm="1">
        <f t="array" ref="J220">IF(I220="","",INDEX(#REF!,ROW()+7))</f>
        <v>#REF!</v>
      </c>
      <c r="K220" s="120" t="e" cm="1">
        <f t="array" ref="K220">IF(I220="","",INDEX(#REF!,ROW()+7))</f>
        <v>#REF!</v>
      </c>
      <c r="L220" s="129" t="e" cm="1">
        <f t="array" ref="L220">IF(OR(I220="",INDEX(#REF!,ROW()+7)=""),"",INDEX(#REF!,ROW()+7))</f>
        <v>#REF!</v>
      </c>
    </row>
    <row r="221" spans="2:12" ht="15" customHeight="1">
      <c r="B221" s="121" t="str">
        <f t="shared" si="26"/>
        <v/>
      </c>
      <c r="C221" s="117" t="str">
        <f t="shared" si="27"/>
        <v/>
      </c>
      <c r="D221" s="116" t="str">
        <f t="shared" si="28"/>
        <v/>
      </c>
      <c r="E221" s="120" t="str">
        <f t="shared" si="29"/>
        <v/>
      </c>
      <c r="F221" s="123" t="str">
        <f t="shared" si="30"/>
        <v/>
      </c>
      <c r="G221" s="126" t="e">
        <f t="shared" si="31"/>
        <v>#REF!</v>
      </c>
      <c r="H221" s="116" t="e">
        <f t="shared" si="25"/>
        <v>#REF!</v>
      </c>
      <c r="I221" s="117" t="e" cm="1">
        <f t="array" ref="I221">IF(OR(INDEX(#REF!,ROW()+8)="START",INDEX(#REF!,ROW()+7)="",INDEX(#REF!,ROW()+7)="START",INDEX(#REF!,ROW()+7)="TBA",INDEX(#REF!,ROW()+7)="TBC"), IF(INDEX(#REF!,ROW()+7)="START",$C$3,""),IF(INDEX(#REF!,ROW()+7)="x",INDEX(#REF!,ROW()+7)+'Date Calculators'!$B$2+ICS4Master!$E219,""))</f>
        <v>#REF!</v>
      </c>
      <c r="J221" s="116" t="e" cm="1">
        <f t="array" ref="J221">IF(I221="","",INDEX(#REF!,ROW()+7))</f>
        <v>#REF!</v>
      </c>
      <c r="K221" s="120" t="e" cm="1">
        <f t="array" ref="K221">IF(I221="","",INDEX(#REF!,ROW()+7))</f>
        <v>#REF!</v>
      </c>
      <c r="L221" s="129" t="e" cm="1">
        <f t="array" ref="L221">IF(OR(I221="",INDEX(#REF!,ROW()+7)=""),"",INDEX(#REF!,ROW()+7))</f>
        <v>#REF!</v>
      </c>
    </row>
    <row r="222" spans="2:12" ht="15" customHeight="1">
      <c r="B222" s="121" t="str">
        <f t="shared" si="26"/>
        <v/>
      </c>
      <c r="C222" s="117" t="str">
        <f t="shared" si="27"/>
        <v/>
      </c>
      <c r="D222" s="116" t="str">
        <f t="shared" si="28"/>
        <v/>
      </c>
      <c r="E222" s="120" t="str">
        <f t="shared" si="29"/>
        <v/>
      </c>
      <c r="F222" s="123" t="str">
        <f t="shared" si="30"/>
        <v/>
      </c>
      <c r="G222" s="126" t="e">
        <f t="shared" si="31"/>
        <v>#REF!</v>
      </c>
      <c r="H222" s="116" t="e">
        <f t="shared" si="25"/>
        <v>#REF!</v>
      </c>
      <c r="I222" s="117" t="e" cm="1">
        <f t="array" ref="I222">IF(OR(INDEX(#REF!,ROW()+8)="START",INDEX(#REF!,ROW()+7)="",INDEX(#REF!,ROW()+7)="START",INDEX(#REF!,ROW()+7)="TBA",INDEX(#REF!,ROW()+7)="TBC"), IF(INDEX(#REF!,ROW()+7)="START",$C$3,""),IF(INDEX(#REF!,ROW()+7)="x",INDEX(#REF!,ROW()+7)+'Date Calculators'!$B$2+ICS4Master!$E220,""))</f>
        <v>#REF!</v>
      </c>
      <c r="J222" s="116" t="e" cm="1">
        <f t="array" ref="J222">IF(I222="","",INDEX(#REF!,ROW()+7))</f>
        <v>#REF!</v>
      </c>
      <c r="K222" s="120" t="e" cm="1">
        <f t="array" ref="K222">IF(I222="","",INDEX(#REF!,ROW()+7))</f>
        <v>#REF!</v>
      </c>
      <c r="L222" s="129" t="e" cm="1">
        <f t="array" ref="L222">IF(OR(I222="",INDEX(#REF!,ROW()+7)=""),"",INDEX(#REF!,ROW()+7))</f>
        <v>#REF!</v>
      </c>
    </row>
    <row r="223" spans="2:12" ht="15" customHeight="1">
      <c r="B223" s="121" t="str">
        <f t="shared" si="26"/>
        <v/>
      </c>
      <c r="C223" s="117" t="str">
        <f t="shared" si="27"/>
        <v/>
      </c>
      <c r="D223" s="116" t="str">
        <f t="shared" si="28"/>
        <v/>
      </c>
      <c r="E223" s="120" t="str">
        <f t="shared" si="29"/>
        <v/>
      </c>
      <c r="F223" s="123" t="str">
        <f t="shared" si="30"/>
        <v/>
      </c>
      <c r="G223" s="126" t="e">
        <f t="shared" si="31"/>
        <v>#REF!</v>
      </c>
      <c r="H223" s="116" t="e">
        <f t="shared" si="25"/>
        <v>#REF!</v>
      </c>
      <c r="I223" s="117" t="e" cm="1">
        <f t="array" ref="I223">IF(OR(INDEX(#REF!,ROW()+8)="START",INDEX(#REF!,ROW()+7)="",INDEX(#REF!,ROW()+7)="START",INDEX(#REF!,ROW()+7)="TBA",INDEX(#REF!,ROW()+7)="TBC"), IF(INDEX(#REF!,ROW()+7)="START",$C$3,""),IF(INDEX(#REF!,ROW()+7)="x",INDEX(#REF!,ROW()+7)+'Date Calculators'!$B$2+ICS4Master!$E221,""))</f>
        <v>#REF!</v>
      </c>
      <c r="J223" s="116" t="e" cm="1">
        <f t="array" ref="J223">IF(I223="","",INDEX(#REF!,ROW()+7))</f>
        <v>#REF!</v>
      </c>
      <c r="K223" s="120" t="e" cm="1">
        <f t="array" ref="K223">IF(I223="","",INDEX(#REF!,ROW()+7))</f>
        <v>#REF!</v>
      </c>
      <c r="L223" s="129" t="e" cm="1">
        <f t="array" ref="L223">IF(OR(I223="",INDEX(#REF!,ROW()+7)=""),"",INDEX(#REF!,ROW()+7))</f>
        <v>#REF!</v>
      </c>
    </row>
    <row r="224" spans="2:12" ht="15" customHeight="1">
      <c r="B224" s="121" t="str">
        <f t="shared" si="26"/>
        <v/>
      </c>
      <c r="C224" s="117" t="str">
        <f t="shared" si="27"/>
        <v/>
      </c>
      <c r="D224" s="116" t="str">
        <f t="shared" si="28"/>
        <v/>
      </c>
      <c r="E224" s="120" t="str">
        <f t="shared" si="29"/>
        <v/>
      </c>
      <c r="F224" s="123" t="str">
        <f t="shared" si="30"/>
        <v/>
      </c>
      <c r="G224" s="126" t="e">
        <f t="shared" si="31"/>
        <v>#REF!</v>
      </c>
      <c r="H224" s="116" t="e">
        <f t="shared" si="25"/>
        <v>#REF!</v>
      </c>
      <c r="I224" s="117" t="e" cm="1">
        <f t="array" ref="I224">IF(OR(INDEX(#REF!,ROW()+8)="START",INDEX(#REF!,ROW()+7)="",INDEX(#REF!,ROW()+7)="START",INDEX(#REF!,ROW()+7)="TBA",INDEX(#REF!,ROW()+7)="TBC"), IF(INDEX(#REF!,ROW()+7)="START",$C$3,""),IF(INDEX(#REF!,ROW()+7)="x",INDEX(#REF!,ROW()+7)+'Date Calculators'!$B$2+ICS4Master!$E222,""))</f>
        <v>#REF!</v>
      </c>
      <c r="J224" s="116" t="e" cm="1">
        <f t="array" ref="J224">IF(I224="","",INDEX(#REF!,ROW()+7))</f>
        <v>#REF!</v>
      </c>
      <c r="K224" s="120" t="e" cm="1">
        <f t="array" ref="K224">IF(I224="","",INDEX(#REF!,ROW()+7))</f>
        <v>#REF!</v>
      </c>
      <c r="L224" s="129" t="e" cm="1">
        <f t="array" ref="L224">IF(OR(I224="",INDEX(#REF!,ROW()+7)=""),"",INDEX(#REF!,ROW()+7))</f>
        <v>#REF!</v>
      </c>
    </row>
    <row r="225" spans="2:12" ht="15" customHeight="1">
      <c r="B225" s="121" t="str">
        <f t="shared" si="26"/>
        <v/>
      </c>
      <c r="C225" s="117" t="str">
        <f t="shared" si="27"/>
        <v/>
      </c>
      <c r="D225" s="116" t="str">
        <f t="shared" si="28"/>
        <v/>
      </c>
      <c r="E225" s="120" t="str">
        <f t="shared" si="29"/>
        <v/>
      </c>
      <c r="F225" s="123" t="str">
        <f t="shared" si="30"/>
        <v/>
      </c>
      <c r="G225" s="126" t="e">
        <f t="shared" si="31"/>
        <v>#REF!</v>
      </c>
      <c r="H225" s="116" t="e">
        <f t="shared" si="25"/>
        <v>#REF!</v>
      </c>
      <c r="I225" s="117" t="e" cm="1">
        <f t="array" ref="I225">IF(OR(INDEX(#REF!,ROW()+8)="START",INDEX(#REF!,ROW()+7)="",INDEX(#REF!,ROW()+7)="START",INDEX(#REF!,ROW()+7)="TBA",INDEX(#REF!,ROW()+7)="TBC"), IF(INDEX(#REF!,ROW()+7)="START",$C$3,""),IF(INDEX(#REF!,ROW()+7)="x",INDEX(#REF!,ROW()+7)+'Date Calculators'!$B$2+ICS4Master!$E223,""))</f>
        <v>#REF!</v>
      </c>
      <c r="J225" s="116" t="e" cm="1">
        <f t="array" ref="J225">IF(I225="","",INDEX(#REF!,ROW()+7))</f>
        <v>#REF!</v>
      </c>
      <c r="K225" s="120" t="e" cm="1">
        <f t="array" ref="K225">IF(I225="","",INDEX(#REF!,ROW()+7))</f>
        <v>#REF!</v>
      </c>
      <c r="L225" s="129" t="e" cm="1">
        <f t="array" ref="L225">IF(OR(I225="",INDEX(#REF!,ROW()+7)=""),"",INDEX(#REF!,ROW()+7))</f>
        <v>#REF!</v>
      </c>
    </row>
    <row r="226" spans="2:12" ht="15" customHeight="1">
      <c r="B226" s="121" t="str">
        <f t="shared" si="26"/>
        <v/>
      </c>
      <c r="C226" s="117" t="str">
        <f t="shared" si="27"/>
        <v/>
      </c>
      <c r="D226" s="116" t="str">
        <f t="shared" si="28"/>
        <v/>
      </c>
      <c r="E226" s="120" t="str">
        <f t="shared" si="29"/>
        <v/>
      </c>
      <c r="F226" s="123" t="str">
        <f t="shared" si="30"/>
        <v/>
      </c>
      <c r="G226" s="126" t="e">
        <f t="shared" si="31"/>
        <v>#REF!</v>
      </c>
      <c r="H226" s="116" t="e">
        <f t="shared" si="25"/>
        <v>#REF!</v>
      </c>
      <c r="I226" s="117" t="e" cm="1">
        <f t="array" ref="I226">IF(OR(INDEX(#REF!,ROW()+8)="START",INDEX(#REF!,ROW()+7)="",INDEX(#REF!,ROW()+7)="START",INDEX(#REF!,ROW()+7)="TBA",INDEX(#REF!,ROW()+7)="TBC"), IF(INDEX(#REF!,ROW()+7)="START",$C$3,""),IF(INDEX(#REF!,ROW()+7)="x",INDEX(#REF!,ROW()+7)+'Date Calculators'!$B$2+ICS4Master!$E224,""))</f>
        <v>#REF!</v>
      </c>
      <c r="J226" s="116" t="e" cm="1">
        <f t="array" ref="J226">IF(I226="","",INDEX(#REF!,ROW()+7))</f>
        <v>#REF!</v>
      </c>
      <c r="K226" s="120" t="e" cm="1">
        <f t="array" ref="K226">IF(I226="","",INDEX(#REF!,ROW()+7))</f>
        <v>#REF!</v>
      </c>
      <c r="L226" s="129" t="e" cm="1">
        <f t="array" ref="L226">IF(OR(I226="",INDEX(#REF!,ROW()+7)=""),"",INDEX(#REF!,ROW()+7))</f>
        <v>#REF!</v>
      </c>
    </row>
    <row r="227" spans="2:12" ht="15" customHeight="1">
      <c r="B227" s="121" t="str">
        <f t="shared" si="26"/>
        <v/>
      </c>
      <c r="C227" s="117" t="str">
        <f t="shared" si="27"/>
        <v/>
      </c>
      <c r="D227" s="116" t="str">
        <f t="shared" si="28"/>
        <v/>
      </c>
      <c r="E227" s="120" t="str">
        <f t="shared" si="29"/>
        <v/>
      </c>
      <c r="F227" s="123" t="str">
        <f t="shared" si="30"/>
        <v/>
      </c>
      <c r="G227" s="126" t="e">
        <f t="shared" si="31"/>
        <v>#REF!</v>
      </c>
      <c r="H227" s="116" t="e">
        <f t="shared" si="25"/>
        <v>#REF!</v>
      </c>
      <c r="I227" s="117" t="e" cm="1">
        <f t="array" ref="I227">IF(OR(INDEX(#REF!,ROW()+8)="START",INDEX(#REF!,ROW()+7)="",INDEX(#REF!,ROW()+7)="START",INDEX(#REF!,ROW()+7)="TBA",INDEX(#REF!,ROW()+7)="TBC"), IF(INDEX(#REF!,ROW()+7)="START",$C$3,""),IF(INDEX(#REF!,ROW()+7)="x",INDEX(#REF!,ROW()+7)+'Date Calculators'!$B$2+ICS4Master!$E225,""))</f>
        <v>#REF!</v>
      </c>
      <c r="J227" s="116" t="e" cm="1">
        <f t="array" ref="J227">IF(I227="","",INDEX(#REF!,ROW()+7))</f>
        <v>#REF!</v>
      </c>
      <c r="K227" s="120" t="e" cm="1">
        <f t="array" ref="K227">IF(I227="","",INDEX(#REF!,ROW()+7))</f>
        <v>#REF!</v>
      </c>
      <c r="L227" s="129" t="e" cm="1">
        <f t="array" ref="L227">IF(OR(I227="",INDEX(#REF!,ROW()+7)=""),"",INDEX(#REF!,ROW()+7))</f>
        <v>#REF!</v>
      </c>
    </row>
    <row r="228" spans="2:12" ht="15" customHeight="1">
      <c r="B228" s="121" t="str">
        <f t="shared" si="26"/>
        <v/>
      </c>
      <c r="C228" s="117" t="str">
        <f t="shared" si="27"/>
        <v/>
      </c>
      <c r="D228" s="116" t="str">
        <f t="shared" si="28"/>
        <v/>
      </c>
      <c r="E228" s="120" t="str">
        <f t="shared" si="29"/>
        <v/>
      </c>
      <c r="F228" s="123" t="str">
        <f t="shared" si="30"/>
        <v/>
      </c>
      <c r="G228" s="126" t="e">
        <f t="shared" si="31"/>
        <v>#REF!</v>
      </c>
      <c r="H228" s="116" t="e">
        <f t="shared" si="25"/>
        <v>#REF!</v>
      </c>
      <c r="I228" s="117" t="e" cm="1">
        <f t="array" ref="I228">IF(OR(INDEX(#REF!,ROW()+8)="START",INDEX(#REF!,ROW()+7)="",INDEX(#REF!,ROW()+7)="START",INDEX(#REF!,ROW()+7)="TBA",INDEX(#REF!,ROW()+7)="TBC"), IF(INDEX(#REF!,ROW()+7)="START",$C$3,""),IF(INDEX(#REF!,ROW()+7)="x",INDEX(#REF!,ROW()+7)+'Date Calculators'!$B$2+ICS4Master!$E226,""))</f>
        <v>#REF!</v>
      </c>
      <c r="J228" s="116" t="e" cm="1">
        <f t="array" ref="J228">IF(I228="","",INDEX(#REF!,ROW()+7))</f>
        <v>#REF!</v>
      </c>
      <c r="K228" s="120" t="e" cm="1">
        <f t="array" ref="K228">IF(I228="","",INDEX(#REF!,ROW()+7))</f>
        <v>#REF!</v>
      </c>
      <c r="L228" s="129" t="e" cm="1">
        <f t="array" ref="L228">IF(OR(I228="",INDEX(#REF!,ROW()+7)=""),"",INDEX(#REF!,ROW()+7))</f>
        <v>#REF!</v>
      </c>
    </row>
    <row r="229" spans="2:12" ht="15" customHeight="1">
      <c r="B229" s="121" t="str">
        <f t="shared" si="26"/>
        <v/>
      </c>
      <c r="C229" s="117" t="str">
        <f t="shared" si="27"/>
        <v/>
      </c>
      <c r="D229" s="116" t="str">
        <f t="shared" si="28"/>
        <v/>
      </c>
      <c r="E229" s="120" t="str">
        <f t="shared" si="29"/>
        <v/>
      </c>
      <c r="F229" s="123" t="str">
        <f t="shared" si="30"/>
        <v/>
      </c>
      <c r="G229" s="126" t="e">
        <f t="shared" si="31"/>
        <v>#REF!</v>
      </c>
      <c r="H229" s="116" t="e">
        <f t="shared" si="25"/>
        <v>#REF!</v>
      </c>
      <c r="I229" s="117" t="e" cm="1">
        <f t="array" ref="I229">IF(OR(INDEX(#REF!,ROW()+8)="START",INDEX(#REF!,ROW()+7)="",INDEX(#REF!,ROW()+7)="START",INDEX(#REF!,ROW()+7)="TBA",INDEX(#REF!,ROW()+7)="TBC"), IF(INDEX(#REF!,ROW()+7)="START",$C$3,""),IF(INDEX(#REF!,ROW()+7)="x",INDEX(#REF!,ROW()+7)+'Date Calculators'!$B$2+ICS4Master!$E227,""))</f>
        <v>#REF!</v>
      </c>
      <c r="J229" s="116" t="e" cm="1">
        <f t="array" ref="J229">IF(I229="","",INDEX(#REF!,ROW()+7))</f>
        <v>#REF!</v>
      </c>
      <c r="K229" s="120" t="e" cm="1">
        <f t="array" ref="K229">IF(I229="","",INDEX(#REF!,ROW()+7))</f>
        <v>#REF!</v>
      </c>
      <c r="L229" s="129" t="e" cm="1">
        <f t="array" ref="L229">IF(OR(I229="",INDEX(#REF!,ROW()+7)=""),"",INDEX(#REF!,ROW()+7))</f>
        <v>#REF!</v>
      </c>
    </row>
    <row r="230" spans="2:12" ht="15" customHeight="1">
      <c r="B230" s="121" t="str">
        <f t="shared" si="26"/>
        <v/>
      </c>
      <c r="C230" s="117" t="str">
        <f t="shared" si="27"/>
        <v/>
      </c>
      <c r="D230" s="116" t="str">
        <f t="shared" si="28"/>
        <v/>
      </c>
      <c r="E230" s="120" t="str">
        <f t="shared" si="29"/>
        <v/>
      </c>
      <c r="F230" s="123" t="str">
        <f t="shared" si="30"/>
        <v/>
      </c>
      <c r="G230" s="126" t="e">
        <f t="shared" si="31"/>
        <v>#REF!</v>
      </c>
      <c r="H230" s="116" t="e">
        <f t="shared" si="25"/>
        <v>#REF!</v>
      </c>
      <c r="I230" s="117" t="e" cm="1">
        <f t="array" ref="I230">IF(OR(INDEX(#REF!,ROW()+8)="START",INDEX(#REF!,ROW()+7)="",INDEX(#REF!,ROW()+7)="START",INDEX(#REF!,ROW()+7)="TBA",INDEX(#REF!,ROW()+7)="TBC"), IF(INDEX(#REF!,ROW()+7)="START",$C$3,""),IF(INDEX(#REF!,ROW()+7)="x",INDEX(#REF!,ROW()+7)+'Date Calculators'!$B$2+ICS4Master!$E228,""))</f>
        <v>#REF!</v>
      </c>
      <c r="J230" s="116" t="e" cm="1">
        <f t="array" ref="J230">IF(I230="","",INDEX(#REF!,ROW()+7))</f>
        <v>#REF!</v>
      </c>
      <c r="K230" s="120" t="e" cm="1">
        <f t="array" ref="K230">IF(I230="","",INDEX(#REF!,ROW()+7))</f>
        <v>#REF!</v>
      </c>
      <c r="L230" s="129" t="e" cm="1">
        <f t="array" ref="L230">IF(OR(I230="",INDEX(#REF!,ROW()+7)=""),"",INDEX(#REF!,ROW()+7))</f>
        <v>#REF!</v>
      </c>
    </row>
    <row r="231" spans="2:12" ht="15" customHeight="1">
      <c r="B231" s="121" t="str">
        <f t="shared" si="26"/>
        <v/>
      </c>
      <c r="C231" s="117" t="str">
        <f t="shared" si="27"/>
        <v/>
      </c>
      <c r="D231" s="116" t="str">
        <f t="shared" si="28"/>
        <v/>
      </c>
      <c r="E231" s="120" t="str">
        <f t="shared" si="29"/>
        <v/>
      </c>
      <c r="F231" s="123" t="str">
        <f t="shared" si="30"/>
        <v/>
      </c>
      <c r="G231" s="126" t="e">
        <f t="shared" si="31"/>
        <v>#REF!</v>
      </c>
      <c r="H231" s="116" t="e">
        <f t="shared" si="25"/>
        <v>#REF!</v>
      </c>
      <c r="I231" s="117" t="e" cm="1">
        <f t="array" ref="I231">IF(OR(INDEX(#REF!,ROW()+8)="START",INDEX(#REF!,ROW()+7)="",INDEX(#REF!,ROW()+7)="START",INDEX(#REF!,ROW()+7)="TBA",INDEX(#REF!,ROW()+7)="TBC"), IF(INDEX(#REF!,ROW()+7)="START",$C$3,""),IF(INDEX(#REF!,ROW()+7)="x",INDEX(#REF!,ROW()+7)+'Date Calculators'!$B$2+ICS4Master!$E229,""))</f>
        <v>#REF!</v>
      </c>
      <c r="J231" s="116" t="e" cm="1">
        <f t="array" ref="J231">IF(I231="","",INDEX(#REF!,ROW()+7))</f>
        <v>#REF!</v>
      </c>
      <c r="K231" s="120" t="e" cm="1">
        <f t="array" ref="K231">IF(I231="","",INDEX(#REF!,ROW()+7))</f>
        <v>#REF!</v>
      </c>
      <c r="L231" s="129" t="e" cm="1">
        <f t="array" ref="L231">IF(OR(I231="",INDEX(#REF!,ROW()+7)=""),"",INDEX(#REF!,ROW()+7))</f>
        <v>#REF!</v>
      </c>
    </row>
    <row r="232" spans="2:12" ht="15" customHeight="1">
      <c r="B232" s="121" t="str">
        <f t="shared" si="26"/>
        <v/>
      </c>
      <c r="C232" s="117" t="str">
        <f t="shared" si="27"/>
        <v/>
      </c>
      <c r="D232" s="116" t="str">
        <f t="shared" si="28"/>
        <v/>
      </c>
      <c r="E232" s="120" t="str">
        <f t="shared" si="29"/>
        <v/>
      </c>
      <c r="F232" s="123" t="str">
        <f t="shared" si="30"/>
        <v/>
      </c>
      <c r="G232" s="126" t="e">
        <f t="shared" si="31"/>
        <v>#REF!</v>
      </c>
      <c r="H232" s="116" t="e">
        <f t="shared" si="25"/>
        <v>#REF!</v>
      </c>
      <c r="I232" s="117" t="e" cm="1">
        <f t="array" ref="I232">IF(OR(INDEX(#REF!,ROW()+8)="START",INDEX(#REF!,ROW()+7)="",INDEX(#REF!,ROW()+7)="START",INDEX(#REF!,ROW()+7)="TBA",INDEX(#REF!,ROW()+7)="TBC"), IF(INDEX(#REF!,ROW()+7)="START",$C$3,""),IF(INDEX(#REF!,ROW()+7)="x",INDEX(#REF!,ROW()+7)+'Date Calculators'!$B$2+ICS4Master!$E230,""))</f>
        <v>#REF!</v>
      </c>
      <c r="J232" s="116" t="e" cm="1">
        <f t="array" ref="J232">IF(I232="","",INDEX(#REF!,ROW()+7))</f>
        <v>#REF!</v>
      </c>
      <c r="K232" s="120" t="e" cm="1">
        <f t="array" ref="K232">IF(I232="","",INDEX(#REF!,ROW()+7))</f>
        <v>#REF!</v>
      </c>
      <c r="L232" s="129" t="e" cm="1">
        <f t="array" ref="L232">IF(OR(I232="",INDEX(#REF!,ROW()+7)=""),"",INDEX(#REF!,ROW()+7))</f>
        <v>#REF!</v>
      </c>
    </row>
    <row r="233" spans="2:12" ht="15" customHeight="1">
      <c r="B233" s="121" t="str">
        <f t="shared" si="26"/>
        <v/>
      </c>
      <c r="C233" s="117" t="str">
        <f t="shared" si="27"/>
        <v/>
      </c>
      <c r="D233" s="116" t="str">
        <f t="shared" si="28"/>
        <v/>
      </c>
      <c r="E233" s="120" t="str">
        <f t="shared" si="29"/>
        <v/>
      </c>
      <c r="F233" s="123" t="str">
        <f t="shared" si="30"/>
        <v/>
      </c>
      <c r="G233" s="126" t="e">
        <f t="shared" si="31"/>
        <v>#REF!</v>
      </c>
      <c r="H233" s="116" t="e">
        <f t="shared" si="25"/>
        <v>#REF!</v>
      </c>
      <c r="I233" s="117" t="e" cm="1">
        <f t="array" ref="I233">IF(OR(INDEX(#REF!,ROW()+8)="START",INDEX(#REF!,ROW()+7)="",INDEX(#REF!,ROW()+7)="START",INDEX(#REF!,ROW()+7)="TBA",INDEX(#REF!,ROW()+7)="TBC"), IF(INDEX(#REF!,ROW()+7)="START",$C$3,""),IF(INDEX(#REF!,ROW()+7)="x",INDEX(#REF!,ROW()+7)+'Date Calculators'!$B$2+ICS4Master!$E231,""))</f>
        <v>#REF!</v>
      </c>
      <c r="J233" s="116" t="e" cm="1">
        <f t="array" ref="J233">IF(I233="","",INDEX(#REF!,ROW()+7))</f>
        <v>#REF!</v>
      </c>
      <c r="K233" s="120" t="e" cm="1">
        <f t="array" ref="K233">IF(I233="","",INDEX(#REF!,ROW()+7))</f>
        <v>#REF!</v>
      </c>
      <c r="L233" s="129" t="e" cm="1">
        <f t="array" ref="L233">IF(OR(I233="",INDEX(#REF!,ROW()+7)=""),"",INDEX(#REF!,ROW()+7))</f>
        <v>#REF!</v>
      </c>
    </row>
    <row r="234" spans="2:12" ht="15" customHeight="1">
      <c r="B234" s="121" t="str">
        <f t="shared" si="26"/>
        <v/>
      </c>
      <c r="C234" s="117" t="str">
        <f t="shared" si="27"/>
        <v/>
      </c>
      <c r="D234" s="116" t="str">
        <f t="shared" si="28"/>
        <v/>
      </c>
      <c r="E234" s="120" t="str">
        <f t="shared" si="29"/>
        <v/>
      </c>
      <c r="F234" s="123" t="str">
        <f t="shared" si="30"/>
        <v/>
      </c>
      <c r="G234" s="126" t="e">
        <f t="shared" si="31"/>
        <v>#REF!</v>
      </c>
      <c r="H234" s="116" t="e">
        <f t="shared" si="25"/>
        <v>#REF!</v>
      </c>
      <c r="I234" s="117" t="e" cm="1">
        <f t="array" ref="I234">IF(OR(INDEX(#REF!,ROW()+8)="START",INDEX(#REF!,ROW()+7)="",INDEX(#REF!,ROW()+7)="START",INDEX(#REF!,ROW()+7)="TBA",INDEX(#REF!,ROW()+7)="TBC"), IF(INDEX(#REF!,ROW()+7)="START",$C$3,""),IF(INDEX(#REF!,ROW()+7)="x",INDEX(#REF!,ROW()+7)+'Date Calculators'!$B$2+ICS4Master!$E232,""))</f>
        <v>#REF!</v>
      </c>
      <c r="J234" s="116" t="e" cm="1">
        <f t="array" ref="J234">IF(I234="","",INDEX(#REF!,ROW()+7))</f>
        <v>#REF!</v>
      </c>
      <c r="K234" s="120" t="e" cm="1">
        <f t="array" ref="K234">IF(I234="","",INDEX(#REF!,ROW()+7))</f>
        <v>#REF!</v>
      </c>
      <c r="L234" s="129" t="e" cm="1">
        <f t="array" ref="L234">IF(OR(I234="",INDEX(#REF!,ROW()+7)=""),"",INDEX(#REF!,ROW()+7))</f>
        <v>#REF!</v>
      </c>
    </row>
    <row r="235" spans="2:12" ht="15" customHeight="1">
      <c r="B235" s="121" t="str">
        <f t="shared" si="26"/>
        <v/>
      </c>
      <c r="C235" s="117" t="str">
        <f t="shared" si="27"/>
        <v/>
      </c>
      <c r="D235" s="116" t="str">
        <f t="shared" si="28"/>
        <v/>
      </c>
      <c r="E235" s="120" t="str">
        <f t="shared" si="29"/>
        <v/>
      </c>
      <c r="F235" s="123" t="str">
        <f t="shared" si="30"/>
        <v/>
      </c>
      <c r="G235" s="126" t="e">
        <f t="shared" si="31"/>
        <v>#REF!</v>
      </c>
      <c r="H235" s="116" t="e">
        <f t="shared" si="25"/>
        <v>#REF!</v>
      </c>
      <c r="I235" s="117" t="e" cm="1">
        <f t="array" ref="I235">IF(OR(INDEX(#REF!,ROW()+8)="START",INDEX(#REF!,ROW()+7)="",INDEX(#REF!,ROW()+7)="START",INDEX(#REF!,ROW()+7)="TBA",INDEX(#REF!,ROW()+7)="TBC"), IF(INDEX(#REF!,ROW()+7)="START",$C$3,""),IF(INDEX(#REF!,ROW()+7)="x",INDEX(#REF!,ROW()+7)+'Date Calculators'!$B$2+ICS4Master!$E233,""))</f>
        <v>#REF!</v>
      </c>
      <c r="J235" s="116" t="e" cm="1">
        <f t="array" ref="J235">IF(I235="","",INDEX(#REF!,ROW()+7))</f>
        <v>#REF!</v>
      </c>
      <c r="K235" s="120" t="e" cm="1">
        <f t="array" ref="K235">IF(I235="","",INDEX(#REF!,ROW()+7))</f>
        <v>#REF!</v>
      </c>
      <c r="L235" s="129" t="e" cm="1">
        <f t="array" ref="L235">IF(OR(I235="",INDEX(#REF!,ROW()+7)=""),"",INDEX(#REF!,ROW()+7))</f>
        <v>#REF!</v>
      </c>
    </row>
    <row r="236" spans="2:12" ht="15" customHeight="1">
      <c r="B236" s="121" t="str">
        <f t="shared" si="26"/>
        <v/>
      </c>
      <c r="C236" s="117" t="str">
        <f t="shared" si="27"/>
        <v/>
      </c>
      <c r="D236" s="116" t="str">
        <f t="shared" si="28"/>
        <v/>
      </c>
      <c r="E236" s="120" t="str">
        <f t="shared" si="29"/>
        <v/>
      </c>
      <c r="F236" s="123" t="str">
        <f t="shared" si="30"/>
        <v/>
      </c>
      <c r="G236" s="126" t="e">
        <f t="shared" si="31"/>
        <v>#REF!</v>
      </c>
      <c r="H236" s="116" t="e">
        <f t="shared" si="25"/>
        <v>#REF!</v>
      </c>
      <c r="I236" s="117" t="e" cm="1">
        <f t="array" ref="I236">IF(OR(INDEX(#REF!,ROW()+8)="START",INDEX(#REF!,ROW()+7)="",INDEX(#REF!,ROW()+7)="START",INDEX(#REF!,ROW()+7)="TBA",INDEX(#REF!,ROW()+7)="TBC"), IF(INDEX(#REF!,ROW()+7)="START",$C$3,""),IF(INDEX(#REF!,ROW()+7)="x",INDEX(#REF!,ROW()+7)+'Date Calculators'!$B$2+ICS4Master!$E234,""))</f>
        <v>#REF!</v>
      </c>
      <c r="J236" s="116" t="e" cm="1">
        <f t="array" ref="J236">IF(I236="","",INDEX(#REF!,ROW()+7))</f>
        <v>#REF!</v>
      </c>
      <c r="K236" s="120" t="e" cm="1">
        <f t="array" ref="K236">IF(I236="","",INDEX(#REF!,ROW()+7))</f>
        <v>#REF!</v>
      </c>
      <c r="L236" s="129" t="e" cm="1">
        <f t="array" ref="L236">IF(OR(I236="",INDEX(#REF!,ROW()+7)=""),"",INDEX(#REF!,ROW()+7))</f>
        <v>#REF!</v>
      </c>
    </row>
    <row r="237" spans="2:12" ht="15" customHeight="1">
      <c r="B237" s="121" t="str">
        <f t="shared" si="26"/>
        <v/>
      </c>
      <c r="C237" s="117" t="str">
        <f t="shared" si="27"/>
        <v/>
      </c>
      <c r="D237" s="116" t="str">
        <f t="shared" si="28"/>
        <v/>
      </c>
      <c r="E237" s="120" t="str">
        <f t="shared" si="29"/>
        <v/>
      </c>
      <c r="F237" s="123" t="str">
        <f t="shared" si="30"/>
        <v/>
      </c>
      <c r="G237" s="126" t="e">
        <f t="shared" si="31"/>
        <v>#REF!</v>
      </c>
      <c r="H237" s="116" t="e">
        <f t="shared" si="25"/>
        <v>#REF!</v>
      </c>
      <c r="I237" s="117" t="e" cm="1">
        <f t="array" ref="I237">IF(OR(INDEX(#REF!,ROW()+8)="START",INDEX(#REF!,ROW()+7)="",INDEX(#REF!,ROW()+7)="START",INDEX(#REF!,ROW()+7)="TBA",INDEX(#REF!,ROW()+7)="TBC"), IF(INDEX(#REF!,ROW()+7)="START",$C$3,""),IF(INDEX(#REF!,ROW()+7)="x",INDEX(#REF!,ROW()+7)+'Date Calculators'!$B$2+ICS4Master!$E235,""))</f>
        <v>#REF!</v>
      </c>
      <c r="J237" s="116" t="e" cm="1">
        <f t="array" ref="J237">IF(I237="","",INDEX(#REF!,ROW()+7))</f>
        <v>#REF!</v>
      </c>
      <c r="K237" s="120" t="e" cm="1">
        <f t="array" ref="K237">IF(I237="","",INDEX(#REF!,ROW()+7))</f>
        <v>#REF!</v>
      </c>
      <c r="L237" s="129" t="e" cm="1">
        <f t="array" ref="L237">IF(OR(I237="",INDEX(#REF!,ROW()+7)=""),"",INDEX(#REF!,ROW()+7))</f>
        <v>#REF!</v>
      </c>
    </row>
    <row r="238" spans="2:12" ht="15" customHeight="1">
      <c r="B238" s="121" t="str">
        <f t="shared" si="26"/>
        <v/>
      </c>
      <c r="C238" s="117" t="str">
        <f t="shared" si="27"/>
        <v/>
      </c>
      <c r="D238" s="116" t="str">
        <f t="shared" si="28"/>
        <v/>
      </c>
      <c r="E238" s="120" t="str">
        <f t="shared" si="29"/>
        <v/>
      </c>
      <c r="F238" s="123" t="str">
        <f t="shared" si="30"/>
        <v/>
      </c>
      <c r="G238" s="126" t="e">
        <f t="shared" si="31"/>
        <v>#REF!</v>
      </c>
      <c r="H238" s="116" t="e">
        <f t="shared" si="25"/>
        <v>#REF!</v>
      </c>
      <c r="I238" s="117" t="e" cm="1">
        <f t="array" ref="I238">IF(OR(INDEX(#REF!,ROW()+8)="START",INDEX(#REF!,ROW()+7)="",INDEX(#REF!,ROW()+7)="START",INDEX(#REF!,ROW()+7)="TBA",INDEX(#REF!,ROW()+7)="TBC"), IF(INDEX(#REF!,ROW()+7)="START",$C$3,""),IF(INDEX(#REF!,ROW()+7)="x",INDEX(#REF!,ROW()+7)+'Date Calculators'!$B$2+ICS4Master!$E236,""))</f>
        <v>#REF!</v>
      </c>
      <c r="J238" s="116" t="e" cm="1">
        <f t="array" ref="J238">IF(I238="","",INDEX(#REF!,ROW()+7))</f>
        <v>#REF!</v>
      </c>
      <c r="K238" s="120" t="e" cm="1">
        <f t="array" ref="K238">IF(I238="","",INDEX(#REF!,ROW()+7))</f>
        <v>#REF!</v>
      </c>
      <c r="L238" s="129" t="e" cm="1">
        <f t="array" ref="L238">IF(OR(I238="",INDEX(#REF!,ROW()+7)=""),"",INDEX(#REF!,ROW()+7))</f>
        <v>#REF!</v>
      </c>
    </row>
    <row r="239" spans="2:12" ht="15" customHeight="1">
      <c r="B239" s="121" t="str">
        <f t="shared" si="26"/>
        <v/>
      </c>
      <c r="C239" s="117" t="str">
        <f t="shared" si="27"/>
        <v/>
      </c>
      <c r="D239" s="116" t="str">
        <f t="shared" si="28"/>
        <v/>
      </c>
      <c r="E239" s="120" t="str">
        <f t="shared" si="29"/>
        <v/>
      </c>
      <c r="F239" s="123" t="str">
        <f t="shared" si="30"/>
        <v/>
      </c>
      <c r="G239" s="126" t="e">
        <f t="shared" si="31"/>
        <v>#REF!</v>
      </c>
      <c r="H239" s="116" t="e">
        <f t="shared" si="25"/>
        <v>#REF!</v>
      </c>
      <c r="I239" s="117" t="e" cm="1">
        <f t="array" ref="I239">IF(OR(INDEX(#REF!,ROW()+8)="START",INDEX(#REF!,ROW()+7)="",INDEX(#REF!,ROW()+7)="START",INDEX(#REF!,ROW()+7)="TBA",INDEX(#REF!,ROW()+7)="TBC"), IF(INDEX(#REF!,ROW()+7)="START",$C$3,""),IF(INDEX(#REF!,ROW()+7)="x",INDEX(#REF!,ROW()+7)+'Date Calculators'!$B$2+ICS4Master!$E237,""))</f>
        <v>#REF!</v>
      </c>
      <c r="J239" s="116" t="e" cm="1">
        <f t="array" ref="J239">IF(I239="","",INDEX(#REF!,ROW()+7))</f>
        <v>#REF!</v>
      </c>
      <c r="K239" s="120" t="e" cm="1">
        <f t="array" ref="K239">IF(I239="","",INDEX(#REF!,ROW()+7))</f>
        <v>#REF!</v>
      </c>
      <c r="L239" s="129" t="e" cm="1">
        <f t="array" ref="L239">IF(OR(I239="",INDEX(#REF!,ROW()+7)=""),"",INDEX(#REF!,ROW()+7))</f>
        <v>#REF!</v>
      </c>
    </row>
    <row r="240" spans="2:12" ht="15" customHeight="1">
      <c r="B240" s="121" t="str">
        <f t="shared" si="26"/>
        <v/>
      </c>
      <c r="C240" s="117" t="str">
        <f t="shared" si="27"/>
        <v/>
      </c>
      <c r="D240" s="116" t="str">
        <f t="shared" si="28"/>
        <v/>
      </c>
      <c r="E240" s="120" t="str">
        <f t="shared" si="29"/>
        <v/>
      </c>
      <c r="F240" s="123" t="str">
        <f t="shared" si="30"/>
        <v/>
      </c>
      <c r="G240" s="126" t="e">
        <f t="shared" si="31"/>
        <v>#REF!</v>
      </c>
      <c r="H240" s="116" t="e">
        <f t="shared" si="25"/>
        <v>#REF!</v>
      </c>
      <c r="I240" s="117" t="e" cm="1">
        <f t="array" ref="I240">IF(OR(INDEX(#REF!,ROW()+8)="START",INDEX(#REF!,ROW()+7)="",INDEX(#REF!,ROW()+7)="START",INDEX(#REF!,ROW()+7)="TBA",INDEX(#REF!,ROW()+7)="TBC"), IF(INDEX(#REF!,ROW()+7)="START",$C$3,""),IF(INDEX(#REF!,ROW()+7)="x",INDEX(#REF!,ROW()+7)+'Date Calculators'!$B$2+ICS4Master!$E238,""))</f>
        <v>#REF!</v>
      </c>
      <c r="J240" s="116" t="e" cm="1">
        <f t="array" ref="J240">IF(I240="","",INDEX(#REF!,ROW()+7))</f>
        <v>#REF!</v>
      </c>
      <c r="K240" s="120" t="e" cm="1">
        <f t="array" ref="K240">IF(I240="","",INDEX(#REF!,ROW()+7))</f>
        <v>#REF!</v>
      </c>
      <c r="L240" s="129" t="e" cm="1">
        <f t="array" ref="L240">IF(OR(I240="",INDEX(#REF!,ROW()+7)=""),"",INDEX(#REF!,ROW()+7))</f>
        <v>#REF!</v>
      </c>
    </row>
    <row r="241" spans="2:12" ht="15" customHeight="1">
      <c r="B241" s="121" t="str">
        <f t="shared" si="26"/>
        <v/>
      </c>
      <c r="C241" s="117" t="str">
        <f t="shared" si="27"/>
        <v/>
      </c>
      <c r="D241" s="116" t="str">
        <f t="shared" si="28"/>
        <v/>
      </c>
      <c r="E241" s="120" t="str">
        <f t="shared" si="29"/>
        <v/>
      </c>
      <c r="F241" s="123" t="str">
        <f t="shared" si="30"/>
        <v/>
      </c>
      <c r="G241" s="126" t="e">
        <f t="shared" si="31"/>
        <v>#REF!</v>
      </c>
      <c r="H241" s="116" t="e">
        <f t="shared" si="25"/>
        <v>#REF!</v>
      </c>
      <c r="I241" s="117" t="e" cm="1">
        <f t="array" ref="I241">IF(OR(INDEX(#REF!,ROW()+8)="START",INDEX(#REF!,ROW()+7)="",INDEX(#REF!,ROW()+7)="START",INDEX(#REF!,ROW()+7)="TBA",INDEX(#REF!,ROW()+7)="TBC"), IF(INDEX(#REF!,ROW()+7)="START",$C$3,""),IF(INDEX(#REF!,ROW()+7)="x",INDEX(#REF!,ROW()+7)+'Date Calculators'!$B$2+ICS4Master!$E239,""))</f>
        <v>#REF!</v>
      </c>
      <c r="J241" s="116" t="e" cm="1">
        <f t="array" ref="J241">IF(I241="","",INDEX(#REF!,ROW()+7))</f>
        <v>#REF!</v>
      </c>
      <c r="K241" s="120" t="e" cm="1">
        <f t="array" ref="K241">IF(I241="","",INDEX(#REF!,ROW()+7))</f>
        <v>#REF!</v>
      </c>
      <c r="L241" s="129" t="e" cm="1">
        <f t="array" ref="L241">IF(OR(I241="",INDEX(#REF!,ROW()+7)=""),"",INDEX(#REF!,ROW()+7))</f>
        <v>#REF!</v>
      </c>
    </row>
    <row r="242" spans="2:12" ht="15" customHeight="1">
      <c r="B242" s="121" t="str">
        <f t="shared" si="26"/>
        <v/>
      </c>
      <c r="C242" s="117" t="str">
        <f t="shared" si="27"/>
        <v/>
      </c>
      <c r="D242" s="116" t="str">
        <f t="shared" si="28"/>
        <v/>
      </c>
      <c r="E242" s="120" t="str">
        <f t="shared" si="29"/>
        <v/>
      </c>
      <c r="F242" s="123" t="str">
        <f t="shared" si="30"/>
        <v/>
      </c>
      <c r="G242" s="126" t="e">
        <f t="shared" si="31"/>
        <v>#REF!</v>
      </c>
      <c r="H242" s="116" t="e">
        <f t="shared" si="25"/>
        <v>#REF!</v>
      </c>
      <c r="I242" s="117" t="e" cm="1">
        <f t="array" ref="I242">IF(OR(INDEX(#REF!,ROW()+8)="START",INDEX(#REF!,ROW()+7)="",INDEX(#REF!,ROW()+7)="START",INDEX(#REF!,ROW()+7)="TBA",INDEX(#REF!,ROW()+7)="TBC"), IF(INDEX(#REF!,ROW()+7)="START",$C$3,""),IF(INDEX(#REF!,ROW()+7)="x",INDEX(#REF!,ROW()+7)+'Date Calculators'!$B$2+ICS4Master!$E240,""))</f>
        <v>#REF!</v>
      </c>
      <c r="J242" s="116" t="e" cm="1">
        <f t="array" ref="J242">IF(I242="","",INDEX(#REF!,ROW()+7))</f>
        <v>#REF!</v>
      </c>
      <c r="K242" s="120" t="e" cm="1">
        <f t="array" ref="K242">IF(I242="","",INDEX(#REF!,ROW()+7))</f>
        <v>#REF!</v>
      </c>
      <c r="L242" s="129" t="e" cm="1">
        <f t="array" ref="L242">IF(OR(I242="",INDEX(#REF!,ROW()+7)=""),"",INDEX(#REF!,ROW()+7))</f>
        <v>#REF!</v>
      </c>
    </row>
    <row r="243" spans="2:12" ht="15" customHeight="1">
      <c r="B243" s="121" t="str">
        <f t="shared" si="26"/>
        <v/>
      </c>
      <c r="C243" s="117" t="str">
        <f t="shared" si="27"/>
        <v/>
      </c>
      <c r="D243" s="116" t="str">
        <f t="shared" si="28"/>
        <v/>
      </c>
      <c r="E243" s="120" t="str">
        <f t="shared" si="29"/>
        <v/>
      </c>
      <c r="F243" s="123" t="str">
        <f t="shared" si="30"/>
        <v/>
      </c>
      <c r="G243" s="126" t="e">
        <f t="shared" si="31"/>
        <v>#REF!</v>
      </c>
      <c r="H243" s="116" t="e">
        <f t="shared" si="25"/>
        <v>#REF!</v>
      </c>
      <c r="I243" s="117" t="e" cm="1">
        <f t="array" ref="I243">IF(OR(INDEX(#REF!,ROW()+8)="START",INDEX(#REF!,ROW()+7)="",INDEX(#REF!,ROW()+7)="START",INDEX(#REF!,ROW()+7)="TBA",INDEX(#REF!,ROW()+7)="TBC"), IF(INDEX(#REF!,ROW()+7)="START",$C$3,""),IF(INDEX(#REF!,ROW()+7)="x",INDEX(#REF!,ROW()+7)+'Date Calculators'!$B$2+ICS4Master!$E241,""))</f>
        <v>#REF!</v>
      </c>
      <c r="J243" s="116" t="e" cm="1">
        <f t="array" ref="J243">IF(I243="","",INDEX(#REF!,ROW()+7))</f>
        <v>#REF!</v>
      </c>
      <c r="K243" s="120" t="e" cm="1">
        <f t="array" ref="K243">IF(I243="","",INDEX(#REF!,ROW()+7))</f>
        <v>#REF!</v>
      </c>
      <c r="L243" s="129" t="e" cm="1">
        <f t="array" ref="L243">IF(OR(I243="",INDEX(#REF!,ROW()+7)=""),"",INDEX(#REF!,ROW()+7))</f>
        <v>#REF!</v>
      </c>
    </row>
    <row r="244" spans="2:12" ht="15" customHeight="1">
      <c r="B244" s="121" t="str">
        <f t="shared" si="26"/>
        <v/>
      </c>
      <c r="C244" s="117" t="str">
        <f t="shared" si="27"/>
        <v/>
      </c>
      <c r="D244" s="116" t="str">
        <f t="shared" si="28"/>
        <v/>
      </c>
      <c r="E244" s="120" t="str">
        <f t="shared" si="29"/>
        <v/>
      </c>
      <c r="F244" s="123" t="str">
        <f t="shared" si="30"/>
        <v/>
      </c>
      <c r="G244" s="126" t="e">
        <f t="shared" si="31"/>
        <v>#REF!</v>
      </c>
      <c r="H244" s="116" t="e">
        <f t="shared" si="25"/>
        <v>#REF!</v>
      </c>
      <c r="I244" s="117" t="e" cm="1">
        <f t="array" ref="I244">IF(OR(INDEX(#REF!,ROW()+8)="START",INDEX(#REF!,ROW()+7)="",INDEX(#REF!,ROW()+7)="START",INDEX(#REF!,ROW()+7)="TBA",INDEX(#REF!,ROW()+7)="TBC"), IF(INDEX(#REF!,ROW()+7)="START",$C$3,""),IF(INDEX(#REF!,ROW()+7)="x",INDEX(#REF!,ROW()+7)+'Date Calculators'!$B$2+ICS4Master!$E242,""))</f>
        <v>#REF!</v>
      </c>
      <c r="J244" s="116" t="e" cm="1">
        <f t="array" ref="J244">IF(I244="","",INDEX(#REF!,ROW()+7))</f>
        <v>#REF!</v>
      </c>
      <c r="K244" s="120" t="e" cm="1">
        <f t="array" ref="K244">IF(I244="","",INDEX(#REF!,ROW()+7))</f>
        <v>#REF!</v>
      </c>
      <c r="L244" s="129" t="e" cm="1">
        <f t="array" ref="L244">IF(OR(I244="",INDEX(#REF!,ROW()+7)=""),"",INDEX(#REF!,ROW()+7))</f>
        <v>#REF!</v>
      </c>
    </row>
    <row r="245" spans="2:12" ht="15" customHeight="1">
      <c r="B245" s="121" t="str">
        <f t="shared" si="26"/>
        <v/>
      </c>
      <c r="C245" s="117" t="str">
        <f t="shared" si="27"/>
        <v/>
      </c>
      <c r="D245" s="116" t="str">
        <f t="shared" si="28"/>
        <v/>
      </c>
      <c r="E245" s="120" t="str">
        <f t="shared" si="29"/>
        <v/>
      </c>
      <c r="F245" s="123" t="str">
        <f t="shared" si="30"/>
        <v/>
      </c>
      <c r="G245" s="126" t="e">
        <f t="shared" si="31"/>
        <v>#REF!</v>
      </c>
      <c r="H245" s="116" t="e">
        <f t="shared" si="25"/>
        <v>#REF!</v>
      </c>
      <c r="I245" s="117" t="e" cm="1">
        <f t="array" ref="I245">IF(OR(INDEX(#REF!,ROW()+8)="START",INDEX(#REF!,ROW()+7)="",INDEX(#REF!,ROW()+7)="START",INDEX(#REF!,ROW()+7)="TBA",INDEX(#REF!,ROW()+7)="TBC"), IF(INDEX(#REF!,ROW()+7)="START",$C$3,""),IF(INDEX(#REF!,ROW()+7)="x",INDEX(#REF!,ROW()+7)+'Date Calculators'!$B$2+ICS4Master!$E243,""))</f>
        <v>#REF!</v>
      </c>
      <c r="J245" s="116" t="e" cm="1">
        <f t="array" ref="J245">IF(I245="","",INDEX(#REF!,ROW()+7))</f>
        <v>#REF!</v>
      </c>
      <c r="K245" s="120" t="e" cm="1">
        <f t="array" ref="K245">IF(I245="","",INDEX(#REF!,ROW()+7))</f>
        <v>#REF!</v>
      </c>
      <c r="L245" s="129" t="e" cm="1">
        <f t="array" ref="L245">IF(OR(I245="",INDEX(#REF!,ROW()+7)=""),"",INDEX(#REF!,ROW()+7))</f>
        <v>#REF!</v>
      </c>
    </row>
    <row r="246" spans="2:12" ht="15" customHeight="1">
      <c r="B246" s="121" t="str">
        <f t="shared" si="26"/>
        <v/>
      </c>
      <c r="C246" s="117" t="str">
        <f t="shared" si="27"/>
        <v/>
      </c>
      <c r="D246" s="116" t="str">
        <f t="shared" si="28"/>
        <v/>
      </c>
      <c r="E246" s="120" t="str">
        <f t="shared" si="29"/>
        <v/>
      </c>
      <c r="F246" s="123" t="str">
        <f t="shared" si="30"/>
        <v/>
      </c>
      <c r="G246" s="126" t="e">
        <f t="shared" si="31"/>
        <v>#REF!</v>
      </c>
      <c r="H246" s="116" t="e">
        <f t="shared" si="25"/>
        <v>#REF!</v>
      </c>
      <c r="I246" s="117" t="e" cm="1">
        <f t="array" ref="I246">IF(OR(INDEX(#REF!,ROW()+8)="START",INDEX(#REF!,ROW()+7)="",INDEX(#REF!,ROW()+7)="START",INDEX(#REF!,ROW()+7)="TBA",INDEX(#REF!,ROW()+7)="TBC"), IF(INDEX(#REF!,ROW()+7)="START",$C$3,""),IF(INDEX(#REF!,ROW()+7)="x",INDEX(#REF!,ROW()+7)+'Date Calculators'!$B$2+ICS4Master!$E244,""))</f>
        <v>#REF!</v>
      </c>
      <c r="J246" s="116" t="e" cm="1">
        <f t="array" ref="J246">IF(I246="","",INDEX(#REF!,ROW()+7))</f>
        <v>#REF!</v>
      </c>
      <c r="K246" s="120" t="e" cm="1">
        <f t="array" ref="K246">IF(I246="","",INDEX(#REF!,ROW()+7))</f>
        <v>#REF!</v>
      </c>
      <c r="L246" s="129" t="e" cm="1">
        <f t="array" ref="L246">IF(OR(I246="",INDEX(#REF!,ROW()+7)=""),"",INDEX(#REF!,ROW()+7))</f>
        <v>#REF!</v>
      </c>
    </row>
    <row r="247" spans="2:12" ht="15" customHeight="1">
      <c r="B247" s="121" t="str">
        <f t="shared" si="26"/>
        <v/>
      </c>
      <c r="C247" s="117" t="str">
        <f t="shared" si="27"/>
        <v/>
      </c>
      <c r="D247" s="116" t="str">
        <f t="shared" si="28"/>
        <v/>
      </c>
      <c r="E247" s="120" t="str">
        <f t="shared" si="29"/>
        <v/>
      </c>
      <c r="F247" s="123" t="str">
        <f t="shared" si="30"/>
        <v/>
      </c>
      <c r="G247" s="126" t="e">
        <f t="shared" si="31"/>
        <v>#REF!</v>
      </c>
      <c r="H247" s="116" t="e">
        <f t="shared" si="25"/>
        <v>#REF!</v>
      </c>
      <c r="I247" s="117" t="e" cm="1">
        <f t="array" ref="I247">IF(OR(INDEX(#REF!,ROW()+8)="START",INDEX(#REF!,ROW()+7)="",INDEX(#REF!,ROW()+7)="START",INDEX(#REF!,ROW()+7)="TBA",INDEX(#REF!,ROW()+7)="TBC"), IF(INDEX(#REF!,ROW()+7)="START",$C$3,""),IF(INDEX(#REF!,ROW()+7)="x",INDEX(#REF!,ROW()+7)+'Date Calculators'!$B$2+ICS4Master!$E245,""))</f>
        <v>#REF!</v>
      </c>
      <c r="J247" s="116" t="e" cm="1">
        <f t="array" ref="J247">IF(I247="","",INDEX(#REF!,ROW()+7))</f>
        <v>#REF!</v>
      </c>
      <c r="K247" s="120" t="e" cm="1">
        <f t="array" ref="K247">IF(I247="","",INDEX(#REF!,ROW()+7))</f>
        <v>#REF!</v>
      </c>
      <c r="L247" s="129" t="e" cm="1">
        <f t="array" ref="L247">IF(OR(I247="",INDEX(#REF!,ROW()+7)=""),"",INDEX(#REF!,ROW()+7))</f>
        <v>#REF!</v>
      </c>
    </row>
    <row r="248" spans="2:12" ht="15" customHeight="1">
      <c r="B248" s="121" t="str">
        <f t="shared" si="26"/>
        <v/>
      </c>
      <c r="C248" s="117" t="str">
        <f t="shared" si="27"/>
        <v/>
      </c>
      <c r="D248" s="116" t="str">
        <f t="shared" si="28"/>
        <v/>
      </c>
      <c r="E248" s="120" t="str">
        <f t="shared" si="29"/>
        <v/>
      </c>
      <c r="F248" s="123" t="str">
        <f t="shared" si="30"/>
        <v/>
      </c>
      <c r="G248" s="126" t="e">
        <f t="shared" si="31"/>
        <v>#REF!</v>
      </c>
      <c r="H248" s="116" t="e">
        <f t="shared" si="25"/>
        <v>#REF!</v>
      </c>
      <c r="I248" s="117" t="e" cm="1">
        <f t="array" ref="I248">IF(OR(INDEX(#REF!,ROW()+8)="START",INDEX(#REF!,ROW()+7)="",INDEX(#REF!,ROW()+7)="START",INDEX(#REF!,ROW()+7)="TBA",INDEX(#REF!,ROW()+7)="TBC"), IF(INDEX(#REF!,ROW()+7)="START",$C$3,""),IF(INDEX(#REF!,ROW()+7)="x",INDEX(#REF!,ROW()+7)+'Date Calculators'!$B$2+ICS4Master!$E246,""))</f>
        <v>#REF!</v>
      </c>
      <c r="J248" s="116" t="e" cm="1">
        <f t="array" ref="J248">IF(I248="","",INDEX(#REF!,ROW()+7))</f>
        <v>#REF!</v>
      </c>
      <c r="K248" s="120" t="e" cm="1">
        <f t="array" ref="K248">IF(I248="","",INDEX(#REF!,ROW()+7))</f>
        <v>#REF!</v>
      </c>
      <c r="L248" s="129" t="e" cm="1">
        <f t="array" ref="L248">IF(OR(I248="",INDEX(#REF!,ROW()+7)=""),"",INDEX(#REF!,ROW()+7))</f>
        <v>#REF!</v>
      </c>
    </row>
    <row r="249" spans="2:12" ht="15" customHeight="1">
      <c r="B249" s="121" t="str">
        <f t="shared" si="26"/>
        <v/>
      </c>
      <c r="C249" s="117" t="str">
        <f t="shared" si="27"/>
        <v/>
      </c>
      <c r="D249" s="116" t="str">
        <f t="shared" si="28"/>
        <v/>
      </c>
      <c r="E249" s="120" t="str">
        <f t="shared" si="29"/>
        <v/>
      </c>
      <c r="F249" s="123" t="str">
        <f t="shared" si="30"/>
        <v/>
      </c>
      <c r="G249" s="126" t="e">
        <f t="shared" si="31"/>
        <v>#REF!</v>
      </c>
      <c r="H249" s="116" t="e">
        <f t="shared" si="25"/>
        <v>#REF!</v>
      </c>
      <c r="I249" s="117" t="e" cm="1">
        <f t="array" ref="I249">IF(OR(INDEX(#REF!,ROW()+8)="START",INDEX(#REF!,ROW()+7)="",INDEX(#REF!,ROW()+7)="START",INDEX(#REF!,ROW()+7)="TBA",INDEX(#REF!,ROW()+7)="TBC"), IF(INDEX(#REF!,ROW()+7)="START",$C$3,""),IF(INDEX(#REF!,ROW()+7)="x",INDEX(#REF!,ROW()+7)+'Date Calculators'!$B$2+ICS4Master!$E247,""))</f>
        <v>#REF!</v>
      </c>
      <c r="J249" s="116" t="e" cm="1">
        <f t="array" ref="J249">IF(I249="","",INDEX(#REF!,ROW()+7))</f>
        <v>#REF!</v>
      </c>
      <c r="K249" s="120" t="e" cm="1">
        <f t="array" ref="K249">IF(I249="","",INDEX(#REF!,ROW()+7))</f>
        <v>#REF!</v>
      </c>
      <c r="L249" s="129" t="e" cm="1">
        <f t="array" ref="L249">IF(OR(I249="",INDEX(#REF!,ROW()+7)=""),"",INDEX(#REF!,ROW()+7))</f>
        <v>#REF!</v>
      </c>
    </row>
    <row r="250" spans="2:12" ht="15" customHeight="1">
      <c r="B250" s="121" t="str">
        <f t="shared" si="26"/>
        <v/>
      </c>
      <c r="C250" s="117" t="str">
        <f t="shared" si="27"/>
        <v/>
      </c>
      <c r="D250" s="116" t="str">
        <f t="shared" si="28"/>
        <v/>
      </c>
      <c r="E250" s="120" t="str">
        <f t="shared" si="29"/>
        <v/>
      </c>
      <c r="F250" s="123" t="str">
        <f t="shared" si="30"/>
        <v/>
      </c>
      <c r="G250" s="126" t="e">
        <f t="shared" si="31"/>
        <v>#REF!</v>
      </c>
      <c r="H250" s="116" t="e">
        <f t="shared" si="25"/>
        <v>#REF!</v>
      </c>
      <c r="I250" s="117" t="e" cm="1">
        <f t="array" ref="I250">IF(OR(INDEX(#REF!,ROW()+8)="START",INDEX(#REF!,ROW()+7)="",INDEX(#REF!,ROW()+7)="START",INDEX(#REF!,ROW()+7)="TBA",INDEX(#REF!,ROW()+7)="TBC"), IF(INDEX(#REF!,ROW()+7)="START",$C$3,""),IF(INDEX(#REF!,ROW()+7)="x",INDEX(#REF!,ROW()+7)+'Date Calculators'!$B$2+ICS4Master!$E248,""))</f>
        <v>#REF!</v>
      </c>
      <c r="J250" s="116" t="e" cm="1">
        <f t="array" ref="J250">IF(I250="","",INDEX(#REF!,ROW()+7))</f>
        <v>#REF!</v>
      </c>
      <c r="K250" s="120" t="e" cm="1">
        <f t="array" ref="K250">IF(I250="","",INDEX(#REF!,ROW()+7))</f>
        <v>#REF!</v>
      </c>
      <c r="L250" s="129" t="e" cm="1">
        <f t="array" ref="L250">IF(OR(I250="",INDEX(#REF!,ROW()+7)=""),"",INDEX(#REF!,ROW()+7))</f>
        <v>#REF!</v>
      </c>
    </row>
    <row r="251" spans="2:12" ht="15" customHeight="1">
      <c r="B251" s="121" t="str">
        <f t="shared" si="26"/>
        <v/>
      </c>
      <c r="C251" s="117" t="str">
        <f t="shared" si="27"/>
        <v/>
      </c>
      <c r="D251" s="116" t="str">
        <f t="shared" si="28"/>
        <v/>
      </c>
      <c r="E251" s="120" t="str">
        <f t="shared" si="29"/>
        <v/>
      </c>
      <c r="F251" s="123" t="str">
        <f t="shared" si="30"/>
        <v/>
      </c>
      <c r="G251" s="126" t="e">
        <f t="shared" si="31"/>
        <v>#REF!</v>
      </c>
      <c r="H251" s="116" t="e">
        <f t="shared" si="25"/>
        <v>#REF!</v>
      </c>
      <c r="I251" s="117" t="e" cm="1">
        <f t="array" ref="I251">IF(OR(INDEX(#REF!,ROW()+8)="START",INDEX(#REF!,ROW()+7)="",INDEX(#REF!,ROW()+7)="START",INDEX(#REF!,ROW()+7)="TBA",INDEX(#REF!,ROW()+7)="TBC"), IF(INDEX(#REF!,ROW()+7)="START",$C$3,""),IF(INDEX(#REF!,ROW()+7)="x",INDEX(#REF!,ROW()+7)+'Date Calculators'!$B$2+ICS4Master!$E249,""))</f>
        <v>#REF!</v>
      </c>
      <c r="J251" s="116" t="e" cm="1">
        <f t="array" ref="J251">IF(I251="","",INDEX(#REF!,ROW()+7))</f>
        <v>#REF!</v>
      </c>
      <c r="K251" s="120" t="e" cm="1">
        <f t="array" ref="K251">IF(I251="","",INDEX(#REF!,ROW()+7))</f>
        <v>#REF!</v>
      </c>
      <c r="L251" s="129" t="e" cm="1">
        <f t="array" ref="L251">IF(OR(I251="",INDEX(#REF!,ROW()+7)=""),"",INDEX(#REF!,ROW()+7))</f>
        <v>#REF!</v>
      </c>
    </row>
    <row r="252" spans="2:12" ht="15" customHeight="1">
      <c r="B252" s="121" t="str">
        <f t="shared" si="26"/>
        <v/>
      </c>
      <c r="C252" s="117" t="str">
        <f t="shared" si="27"/>
        <v/>
      </c>
      <c r="D252" s="116" t="str">
        <f t="shared" si="28"/>
        <v/>
      </c>
      <c r="E252" s="120" t="str">
        <f t="shared" si="29"/>
        <v/>
      </c>
      <c r="F252" s="123" t="str">
        <f t="shared" si="30"/>
        <v/>
      </c>
      <c r="G252" s="126" t="e">
        <f t="shared" si="31"/>
        <v>#REF!</v>
      </c>
      <c r="H252" s="116" t="e">
        <f t="shared" si="25"/>
        <v>#REF!</v>
      </c>
      <c r="I252" s="117" t="e" cm="1">
        <f t="array" ref="I252">IF(OR(INDEX(#REF!,ROW()+8)="START",INDEX(#REF!,ROW()+7)="",INDEX(#REF!,ROW()+7)="START",INDEX(#REF!,ROW()+7)="TBA",INDEX(#REF!,ROW()+7)="TBC"), IF(INDEX(#REF!,ROW()+7)="START",$C$3,""),IF(INDEX(#REF!,ROW()+7)="x",INDEX(#REF!,ROW()+7)+'Date Calculators'!$B$2+ICS4Master!$E250,""))</f>
        <v>#REF!</v>
      </c>
      <c r="J252" s="116" t="e" cm="1">
        <f t="array" ref="J252">IF(I252="","",INDEX(#REF!,ROW()+7))</f>
        <v>#REF!</v>
      </c>
      <c r="K252" s="120" t="e" cm="1">
        <f t="array" ref="K252">IF(I252="","",INDEX(#REF!,ROW()+7))</f>
        <v>#REF!</v>
      </c>
      <c r="L252" s="129" t="e" cm="1">
        <f t="array" ref="L252">IF(OR(I252="",INDEX(#REF!,ROW()+7)=""),"",INDEX(#REF!,ROW()+7))</f>
        <v>#REF!</v>
      </c>
    </row>
    <row r="253" spans="2:12" ht="15" customHeight="1">
      <c r="B253" s="121" t="str">
        <f t="shared" si="26"/>
        <v/>
      </c>
      <c r="C253" s="117" t="str">
        <f t="shared" si="27"/>
        <v/>
      </c>
      <c r="D253" s="116" t="str">
        <f t="shared" si="28"/>
        <v/>
      </c>
      <c r="E253" s="120" t="str">
        <f t="shared" si="29"/>
        <v/>
      </c>
      <c r="F253" s="123" t="str">
        <f t="shared" si="30"/>
        <v/>
      </c>
      <c r="G253" s="126" t="e">
        <f t="shared" si="31"/>
        <v>#REF!</v>
      </c>
      <c r="H253" s="116" t="e">
        <f t="shared" si="25"/>
        <v>#REF!</v>
      </c>
      <c r="I253" s="117" t="e" cm="1">
        <f t="array" ref="I253">IF(OR(INDEX(#REF!,ROW()+8)="START",INDEX(#REF!,ROW()+7)="",INDEX(#REF!,ROW()+7)="START",INDEX(#REF!,ROW()+7)="TBA",INDEX(#REF!,ROW()+7)="TBC"), IF(INDEX(#REF!,ROW()+7)="START",$C$3,""),IF(INDEX(#REF!,ROW()+7)="x",INDEX(#REF!,ROW()+7)+'Date Calculators'!$B$2+ICS4Master!$E251,""))</f>
        <v>#REF!</v>
      </c>
      <c r="J253" s="116" t="e" cm="1">
        <f t="array" ref="J253">IF(I253="","",INDEX(#REF!,ROW()+7))</f>
        <v>#REF!</v>
      </c>
      <c r="K253" s="120" t="e" cm="1">
        <f t="array" ref="K253">IF(I253="","",INDEX(#REF!,ROW()+7))</f>
        <v>#REF!</v>
      </c>
      <c r="L253" s="129" t="e" cm="1">
        <f t="array" ref="L253">IF(OR(I253="",INDEX(#REF!,ROW()+7)=""),"",INDEX(#REF!,ROW()+7))</f>
        <v>#REF!</v>
      </c>
    </row>
    <row r="254" spans="2:12" ht="15" customHeight="1">
      <c r="B254" s="121" t="str">
        <f t="shared" si="26"/>
        <v/>
      </c>
      <c r="C254" s="117" t="str">
        <f t="shared" si="27"/>
        <v/>
      </c>
      <c r="D254" s="116" t="str">
        <f t="shared" si="28"/>
        <v/>
      </c>
      <c r="E254" s="120" t="str">
        <f t="shared" si="29"/>
        <v/>
      </c>
      <c r="F254" s="123" t="str">
        <f t="shared" si="30"/>
        <v/>
      </c>
      <c r="G254" s="126" t="e">
        <f t="shared" si="31"/>
        <v>#REF!</v>
      </c>
      <c r="H254" s="116" t="e">
        <f t="shared" si="25"/>
        <v>#REF!</v>
      </c>
      <c r="I254" s="117" t="e" cm="1">
        <f t="array" ref="I254">IF(OR(INDEX(#REF!,ROW()+8)="START",INDEX(#REF!,ROW()+7)="",INDEX(#REF!,ROW()+7)="START",INDEX(#REF!,ROW()+7)="TBA",INDEX(#REF!,ROW()+7)="TBC"), IF(INDEX(#REF!,ROW()+7)="START",$C$3,""),IF(INDEX(#REF!,ROW()+7)="x",INDEX(#REF!,ROW()+7)+'Date Calculators'!$B$2+ICS4Master!$E252,""))</f>
        <v>#REF!</v>
      </c>
      <c r="J254" s="116" t="e" cm="1">
        <f t="array" ref="J254">IF(I254="","",INDEX(#REF!,ROW()+7))</f>
        <v>#REF!</v>
      </c>
      <c r="K254" s="120" t="e" cm="1">
        <f t="array" ref="K254">IF(I254="","",INDEX(#REF!,ROW()+7))</f>
        <v>#REF!</v>
      </c>
      <c r="L254" s="129" t="e" cm="1">
        <f t="array" ref="L254">IF(OR(I254="",INDEX(#REF!,ROW()+7)=""),"",INDEX(#REF!,ROW()+7))</f>
        <v>#REF!</v>
      </c>
    </row>
    <row r="255" spans="2:12" ht="15" customHeight="1">
      <c r="B255" s="121" t="str">
        <f t="shared" si="26"/>
        <v/>
      </c>
      <c r="C255" s="117" t="str">
        <f t="shared" si="27"/>
        <v/>
      </c>
      <c r="D255" s="116" t="str">
        <f t="shared" si="28"/>
        <v/>
      </c>
      <c r="E255" s="120" t="str">
        <f t="shared" si="29"/>
        <v/>
      </c>
      <c r="F255" s="123" t="str">
        <f t="shared" si="30"/>
        <v/>
      </c>
      <c r="G255" s="126" t="e">
        <f t="shared" si="31"/>
        <v>#REF!</v>
      </c>
      <c r="H255" s="116" t="e">
        <f t="shared" si="25"/>
        <v>#REF!</v>
      </c>
      <c r="I255" s="117" t="e" cm="1">
        <f t="array" ref="I255">IF(OR(INDEX(#REF!,ROW()+8)="START",INDEX(#REF!,ROW()+7)="",INDEX(#REF!,ROW()+7)="START",INDEX(#REF!,ROW()+7)="TBA",INDEX(#REF!,ROW()+7)="TBC"), IF(INDEX(#REF!,ROW()+7)="START",$C$3,""),IF(INDEX(#REF!,ROW()+7)="x",INDEX(#REF!,ROW()+7)+'Date Calculators'!$B$2+ICS4Master!$E253,""))</f>
        <v>#REF!</v>
      </c>
      <c r="J255" s="116" t="e" cm="1">
        <f t="array" ref="J255">IF(I255="","",INDEX(#REF!,ROW()+7))</f>
        <v>#REF!</v>
      </c>
      <c r="K255" s="120" t="e" cm="1">
        <f t="array" ref="K255">IF(I255="","",INDEX(#REF!,ROW()+7))</f>
        <v>#REF!</v>
      </c>
      <c r="L255" s="129" t="e" cm="1">
        <f t="array" ref="L255">IF(OR(I255="",INDEX(#REF!,ROW()+7)=""),"",INDEX(#REF!,ROW()+7))</f>
        <v>#REF!</v>
      </c>
    </row>
    <row r="256" spans="2:12" ht="15" customHeight="1">
      <c r="B256" s="121" t="str">
        <f t="shared" si="26"/>
        <v/>
      </c>
      <c r="C256" s="117" t="str">
        <f t="shared" si="27"/>
        <v/>
      </c>
      <c r="D256" s="116" t="str">
        <f t="shared" si="28"/>
        <v/>
      </c>
      <c r="E256" s="120" t="str">
        <f t="shared" si="29"/>
        <v/>
      </c>
      <c r="F256" s="123" t="str">
        <f t="shared" si="30"/>
        <v/>
      </c>
      <c r="G256" s="126" t="e">
        <f t="shared" si="31"/>
        <v>#REF!</v>
      </c>
      <c r="H256" s="116" t="e">
        <f t="shared" si="25"/>
        <v>#REF!</v>
      </c>
      <c r="I256" s="117" t="e" cm="1">
        <f t="array" ref="I256">IF(OR(INDEX(#REF!,ROW()+8)="START",INDEX(#REF!,ROW()+7)="",INDEX(#REF!,ROW()+7)="START",INDEX(#REF!,ROW()+7)="TBA",INDEX(#REF!,ROW()+7)="TBC"), IF(INDEX(#REF!,ROW()+7)="START",$C$3,""),IF(INDEX(#REF!,ROW()+7)="x",INDEX(#REF!,ROW()+7)+'Date Calculators'!$B$2+ICS4Master!$E254,""))</f>
        <v>#REF!</v>
      </c>
      <c r="J256" s="116" t="e" cm="1">
        <f t="array" ref="J256">IF(I256="","",INDEX(#REF!,ROW()+7))</f>
        <v>#REF!</v>
      </c>
      <c r="K256" s="120" t="e" cm="1">
        <f t="array" ref="K256">IF(I256="","",INDEX(#REF!,ROW()+7))</f>
        <v>#REF!</v>
      </c>
      <c r="L256" s="129" t="e" cm="1">
        <f t="array" ref="L256">IF(OR(I256="",INDEX(#REF!,ROW()+7)=""),"",INDEX(#REF!,ROW()+7))</f>
        <v>#REF!</v>
      </c>
    </row>
    <row r="257" spans="2:12" ht="15" customHeight="1">
      <c r="B257" s="121" t="str">
        <f t="shared" si="26"/>
        <v/>
      </c>
      <c r="C257" s="117" t="str">
        <f t="shared" si="27"/>
        <v/>
      </c>
      <c r="D257" s="116" t="str">
        <f t="shared" si="28"/>
        <v/>
      </c>
      <c r="E257" s="120" t="str">
        <f t="shared" si="29"/>
        <v/>
      </c>
      <c r="F257" s="123" t="str">
        <f t="shared" si="30"/>
        <v/>
      </c>
      <c r="G257" s="126" t="e">
        <f t="shared" si="31"/>
        <v>#REF!</v>
      </c>
      <c r="H257" s="116" t="e">
        <f t="shared" si="25"/>
        <v>#REF!</v>
      </c>
      <c r="I257" s="117" t="e" cm="1">
        <f t="array" ref="I257">IF(OR(INDEX(#REF!,ROW()+8)="START",INDEX(#REF!,ROW()+7)="",INDEX(#REF!,ROW()+7)="START",INDEX(#REF!,ROW()+7)="TBA",INDEX(#REF!,ROW()+7)="TBC"), IF(INDEX(#REF!,ROW()+7)="START",$C$3,""),IF(INDEX(#REF!,ROW()+7)="x",INDEX(#REF!,ROW()+7)+'Date Calculators'!$B$2+ICS4Master!$E255,""))</f>
        <v>#REF!</v>
      </c>
      <c r="J257" s="116" t="e" cm="1">
        <f t="array" ref="J257">IF(I257="","",INDEX(#REF!,ROW()+7))</f>
        <v>#REF!</v>
      </c>
      <c r="K257" s="120" t="e" cm="1">
        <f t="array" ref="K257">IF(I257="","",INDEX(#REF!,ROW()+7))</f>
        <v>#REF!</v>
      </c>
      <c r="L257" s="129" t="e" cm="1">
        <f t="array" ref="L257">IF(OR(I257="",INDEX(#REF!,ROW()+7)=""),"",INDEX(#REF!,ROW()+7))</f>
        <v>#REF!</v>
      </c>
    </row>
    <row r="258" spans="2:12" ht="15" customHeight="1">
      <c r="B258" s="121" t="str">
        <f t="shared" si="26"/>
        <v/>
      </c>
      <c r="C258" s="117" t="str">
        <f t="shared" si="27"/>
        <v/>
      </c>
      <c r="D258" s="116" t="str">
        <f t="shared" si="28"/>
        <v/>
      </c>
      <c r="E258" s="120" t="str">
        <f t="shared" si="29"/>
        <v/>
      </c>
      <c r="F258" s="123" t="str">
        <f t="shared" si="30"/>
        <v/>
      </c>
      <c r="G258" s="126" t="e">
        <f t="shared" si="31"/>
        <v>#REF!</v>
      </c>
      <c r="H258" s="116" t="e">
        <f t="shared" si="25"/>
        <v>#REF!</v>
      </c>
      <c r="I258" s="117" t="e" cm="1">
        <f t="array" ref="I258">IF(OR(INDEX(#REF!,ROW()+8)="START",INDEX(#REF!,ROW()+7)="",INDEX(#REF!,ROW()+7)="START",INDEX(#REF!,ROW()+7)="TBA",INDEX(#REF!,ROW()+7)="TBC"), IF(INDEX(#REF!,ROW()+7)="START",$C$3,""),IF(INDEX(#REF!,ROW()+7)="x",INDEX(#REF!,ROW()+7)+'Date Calculators'!$B$2+ICS4Master!$E256,""))</f>
        <v>#REF!</v>
      </c>
      <c r="J258" s="116" t="e" cm="1">
        <f t="array" ref="J258">IF(I258="","",INDEX(#REF!,ROW()+7))</f>
        <v>#REF!</v>
      </c>
      <c r="K258" s="120" t="e" cm="1">
        <f t="array" ref="K258">IF(I258="","",INDEX(#REF!,ROW()+7))</f>
        <v>#REF!</v>
      </c>
      <c r="L258" s="129" t="e" cm="1">
        <f t="array" ref="L258">IF(OR(I258="",INDEX(#REF!,ROW()+7)=""),"",INDEX(#REF!,ROW()+7))</f>
        <v>#REF!</v>
      </c>
    </row>
    <row r="259" spans="2:12" ht="15" customHeight="1">
      <c r="B259" s="121" t="str">
        <f t="shared" si="26"/>
        <v/>
      </c>
      <c r="C259" s="117" t="str">
        <f t="shared" si="27"/>
        <v/>
      </c>
      <c r="D259" s="116" t="str">
        <f t="shared" si="28"/>
        <v/>
      </c>
      <c r="E259" s="120" t="str">
        <f t="shared" si="29"/>
        <v/>
      </c>
      <c r="F259" s="123" t="str">
        <f t="shared" si="30"/>
        <v/>
      </c>
      <c r="G259" s="126" t="e">
        <f t="shared" si="31"/>
        <v>#REF!</v>
      </c>
      <c r="H259" s="116" t="e">
        <f t="shared" si="25"/>
        <v>#REF!</v>
      </c>
      <c r="I259" s="117" t="e" cm="1">
        <f t="array" ref="I259">IF(OR(INDEX(#REF!,ROW()+8)="START",INDEX(#REF!,ROW()+7)="",INDEX(#REF!,ROW()+7)="START",INDEX(#REF!,ROW()+7)="TBA",INDEX(#REF!,ROW()+7)="TBC"), IF(INDEX(#REF!,ROW()+7)="START",$C$3,""),IF(INDEX(#REF!,ROW()+7)="x",INDEX(#REF!,ROW()+7)+'Date Calculators'!$B$2+ICS4Master!$E257,""))</f>
        <v>#REF!</v>
      </c>
      <c r="J259" s="116" t="e" cm="1">
        <f t="array" ref="J259">IF(I259="","",INDEX(#REF!,ROW()+7))</f>
        <v>#REF!</v>
      </c>
      <c r="K259" s="120" t="e" cm="1">
        <f t="array" ref="K259">IF(I259="","",INDEX(#REF!,ROW()+7))</f>
        <v>#REF!</v>
      </c>
      <c r="L259" s="129" t="e" cm="1">
        <f t="array" ref="L259">IF(OR(I259="",INDEX(#REF!,ROW()+7)=""),"",INDEX(#REF!,ROW()+7))</f>
        <v>#REF!</v>
      </c>
    </row>
    <row r="260" spans="2:12" ht="15" customHeight="1">
      <c r="B260" s="121" t="str">
        <f t="shared" si="26"/>
        <v/>
      </c>
      <c r="C260" s="117" t="str">
        <f t="shared" si="27"/>
        <v/>
      </c>
      <c r="D260" s="116" t="str">
        <f t="shared" si="28"/>
        <v/>
      </c>
      <c r="E260" s="120" t="str">
        <f t="shared" si="29"/>
        <v/>
      </c>
      <c r="F260" s="123" t="str">
        <f t="shared" si="30"/>
        <v/>
      </c>
      <c r="G260" s="126" t="e">
        <f t="shared" si="31"/>
        <v>#REF!</v>
      </c>
      <c r="H260" s="116" t="e">
        <f t="shared" ref="H260:H323" si="32">IF(I260="","",IF(I260="END","START",IF(OR(I259="END",I259=I260,I259=""),I260-$U$3,IFERROR(IF(I259&gt;I260,I260-$U$3,I259),I259))))</f>
        <v>#REF!</v>
      </c>
      <c r="I260" s="117" t="e" cm="1">
        <f t="array" ref="I260">IF(OR(INDEX(#REF!,ROW()+8)="START",INDEX(#REF!,ROW()+7)="",INDEX(#REF!,ROW()+7)="START",INDEX(#REF!,ROW()+7)="TBA",INDEX(#REF!,ROW()+7)="TBC"), IF(INDEX(#REF!,ROW()+7)="START",$C$3,""),IF(INDEX(#REF!,ROW()+7)="x",INDEX(#REF!,ROW()+7)+'Date Calculators'!$B$2+ICS4Master!$E258,""))</f>
        <v>#REF!</v>
      </c>
      <c r="J260" s="116" t="e" cm="1">
        <f t="array" ref="J260">IF(I260="","",INDEX(#REF!,ROW()+7))</f>
        <v>#REF!</v>
      </c>
      <c r="K260" s="120" t="e" cm="1">
        <f t="array" ref="K260">IF(I260="","",INDEX(#REF!,ROW()+7))</f>
        <v>#REF!</v>
      </c>
      <c r="L260" s="129" t="e" cm="1">
        <f t="array" ref="L260">IF(OR(I260="",INDEX(#REF!,ROW()+7)=""),"",INDEX(#REF!,ROW()+7))</f>
        <v>#REF!</v>
      </c>
    </row>
    <row r="261" spans="2:12" ht="15" customHeight="1">
      <c r="B261" s="121" t="str">
        <f t="shared" ref="B261:B324" si="33">IFERROR(IF(AND(INDEX($H$4:$H$500,MATCH(ROW()-3,$G$4:$G$500,0))&gt;C260,INDEX($I$4:$I$500,MATCH(ROW()-3,$G$4:$G$500,0))&lt;&gt;"END"),C260,INDEX($H$4:$H$500,MATCH(ROW()-3,$G$4:$G$500,0))),"")</f>
        <v/>
      </c>
      <c r="C261" s="117" t="str">
        <f t="shared" ref="C261:C324" si="34">IFERROR(INDEX($I$4:$I$500,MATCH(ROW()-3,$G$4:$G$500,0)),"")</f>
        <v/>
      </c>
      <c r="D261" s="116" t="str">
        <f t="shared" ref="D261:D324" si="35">IFERROR(INDEX($J$4:$J$500,MATCH(ROW()-3,$G$4:$G$500,0)),"")</f>
        <v/>
      </c>
      <c r="E261" s="120" t="str">
        <f t="shared" ref="E261:E324" si="36">IFERROR(INDEX($K$4:$K$500,MATCH(ROW()-3,$G$4:$G$500,0)),"")</f>
        <v/>
      </c>
      <c r="F261" s="123" t="str">
        <f t="shared" ref="F261:F324" si="37">IFERROR(INDEX($L$4:$L$500,MATCH(ROW()-3,$G$4:$G$500,0)),"")</f>
        <v/>
      </c>
      <c r="G261" s="126" t="e">
        <f t="shared" ref="G261:G324" si="38">G260+IF(I261&lt;&gt;"",1,0)</f>
        <v>#REF!</v>
      </c>
      <c r="H261" s="116" t="e">
        <f t="shared" si="32"/>
        <v>#REF!</v>
      </c>
      <c r="I261" s="117" t="e" cm="1">
        <f t="array" ref="I261">IF(OR(INDEX(#REF!,ROW()+8)="START",INDEX(#REF!,ROW()+7)="",INDEX(#REF!,ROW()+7)="START",INDEX(#REF!,ROW()+7)="TBA",INDEX(#REF!,ROW()+7)="TBC"), IF(INDEX(#REF!,ROW()+7)="START",$C$3,""),IF(INDEX(#REF!,ROW()+7)="x",INDEX(#REF!,ROW()+7)+'Date Calculators'!$B$2+ICS4Master!$E259,""))</f>
        <v>#REF!</v>
      </c>
      <c r="J261" s="116" t="e" cm="1">
        <f t="array" ref="J261">IF(I261="","",INDEX(#REF!,ROW()+7))</f>
        <v>#REF!</v>
      </c>
      <c r="K261" s="120" t="e" cm="1">
        <f t="array" ref="K261">IF(I261="","",INDEX(#REF!,ROW()+7))</f>
        <v>#REF!</v>
      </c>
      <c r="L261" s="129" t="e" cm="1">
        <f t="array" ref="L261">IF(OR(I261="",INDEX(#REF!,ROW()+7)=""),"",INDEX(#REF!,ROW()+7))</f>
        <v>#REF!</v>
      </c>
    </row>
    <row r="262" spans="2:12" ht="15" customHeight="1">
      <c r="B262" s="121" t="str">
        <f t="shared" si="33"/>
        <v/>
      </c>
      <c r="C262" s="117" t="str">
        <f t="shared" si="34"/>
        <v/>
      </c>
      <c r="D262" s="116" t="str">
        <f t="shared" si="35"/>
        <v/>
      </c>
      <c r="E262" s="120" t="str">
        <f t="shared" si="36"/>
        <v/>
      </c>
      <c r="F262" s="123" t="str">
        <f t="shared" si="37"/>
        <v/>
      </c>
      <c r="G262" s="126" t="e">
        <f t="shared" si="38"/>
        <v>#REF!</v>
      </c>
      <c r="H262" s="116" t="e">
        <f t="shared" si="32"/>
        <v>#REF!</v>
      </c>
      <c r="I262" s="117" t="e" cm="1">
        <f t="array" ref="I262">IF(OR(INDEX(#REF!,ROW()+8)="START",INDEX(#REF!,ROW()+7)="",INDEX(#REF!,ROW()+7)="START",INDEX(#REF!,ROW()+7)="TBA",INDEX(#REF!,ROW()+7)="TBC"), IF(INDEX(#REF!,ROW()+7)="START",$C$3,""),IF(INDEX(#REF!,ROW()+7)="x",INDEX(#REF!,ROW()+7)+'Date Calculators'!$B$2+ICS4Master!$E260,""))</f>
        <v>#REF!</v>
      </c>
      <c r="J262" s="116" t="e" cm="1">
        <f t="array" ref="J262">IF(I262="","",INDEX(#REF!,ROW()+7))</f>
        <v>#REF!</v>
      </c>
      <c r="K262" s="120" t="e" cm="1">
        <f t="array" ref="K262">IF(I262="","",INDEX(#REF!,ROW()+7))</f>
        <v>#REF!</v>
      </c>
      <c r="L262" s="129" t="e" cm="1">
        <f t="array" ref="L262">IF(OR(I262="",INDEX(#REF!,ROW()+7)=""),"",INDEX(#REF!,ROW()+7))</f>
        <v>#REF!</v>
      </c>
    </row>
    <row r="263" spans="2:12" ht="15" customHeight="1">
      <c r="B263" s="121" t="str">
        <f t="shared" si="33"/>
        <v/>
      </c>
      <c r="C263" s="117" t="str">
        <f t="shared" si="34"/>
        <v/>
      </c>
      <c r="D263" s="116" t="str">
        <f t="shared" si="35"/>
        <v/>
      </c>
      <c r="E263" s="120" t="str">
        <f t="shared" si="36"/>
        <v/>
      </c>
      <c r="F263" s="123" t="str">
        <f t="shared" si="37"/>
        <v/>
      </c>
      <c r="G263" s="126" t="e">
        <f t="shared" si="38"/>
        <v>#REF!</v>
      </c>
      <c r="H263" s="116" t="e">
        <f t="shared" si="32"/>
        <v>#REF!</v>
      </c>
      <c r="I263" s="117" t="e" cm="1">
        <f t="array" ref="I263">IF(OR(INDEX(#REF!,ROW()+8)="START",INDEX(#REF!,ROW()+7)="",INDEX(#REF!,ROW()+7)="START",INDEX(#REF!,ROW()+7)="TBA",INDEX(#REF!,ROW()+7)="TBC"), IF(INDEX(#REF!,ROW()+7)="START",$C$3,""),IF(INDEX(#REF!,ROW()+7)="x",INDEX(#REF!,ROW()+7)+'Date Calculators'!$B$2+ICS4Master!$E261,""))</f>
        <v>#REF!</v>
      </c>
      <c r="J263" s="116" t="e" cm="1">
        <f t="array" ref="J263">IF(I263="","",INDEX(#REF!,ROW()+7))</f>
        <v>#REF!</v>
      </c>
      <c r="K263" s="120" t="e" cm="1">
        <f t="array" ref="K263">IF(I263="","",INDEX(#REF!,ROW()+7))</f>
        <v>#REF!</v>
      </c>
      <c r="L263" s="129" t="e" cm="1">
        <f t="array" ref="L263">IF(OR(I263="",INDEX(#REF!,ROW()+7)=""),"",INDEX(#REF!,ROW()+7))</f>
        <v>#REF!</v>
      </c>
    </row>
    <row r="264" spans="2:12" ht="15" customHeight="1">
      <c r="B264" s="121" t="str">
        <f t="shared" si="33"/>
        <v/>
      </c>
      <c r="C264" s="117" t="str">
        <f t="shared" si="34"/>
        <v/>
      </c>
      <c r="D264" s="116" t="str">
        <f t="shared" si="35"/>
        <v/>
      </c>
      <c r="E264" s="120" t="str">
        <f t="shared" si="36"/>
        <v/>
      </c>
      <c r="F264" s="123" t="str">
        <f t="shared" si="37"/>
        <v/>
      </c>
      <c r="G264" s="126" t="e">
        <f t="shared" si="38"/>
        <v>#REF!</v>
      </c>
      <c r="H264" s="116" t="e">
        <f t="shared" si="32"/>
        <v>#REF!</v>
      </c>
      <c r="I264" s="117" t="e" cm="1">
        <f t="array" ref="I264">IF(OR(INDEX(#REF!,ROW()+8)="START",INDEX(#REF!,ROW()+7)="",INDEX(#REF!,ROW()+7)="START",INDEX(#REF!,ROW()+7)="TBA",INDEX(#REF!,ROW()+7)="TBC"), IF(INDEX(#REF!,ROW()+7)="START",$C$3,""),IF(INDEX(#REF!,ROW()+7)="x",INDEX(#REF!,ROW()+7)+'Date Calculators'!$B$2+ICS4Master!$E262,""))</f>
        <v>#REF!</v>
      </c>
      <c r="J264" s="116" t="e" cm="1">
        <f t="array" ref="J264">IF(I264="","",INDEX(#REF!,ROW()+7))</f>
        <v>#REF!</v>
      </c>
      <c r="K264" s="120" t="e" cm="1">
        <f t="array" ref="K264">IF(I264="","",INDEX(#REF!,ROW()+7))</f>
        <v>#REF!</v>
      </c>
      <c r="L264" s="129" t="e" cm="1">
        <f t="array" ref="L264">IF(OR(I264="",INDEX(#REF!,ROW()+7)=""),"",INDEX(#REF!,ROW()+7))</f>
        <v>#REF!</v>
      </c>
    </row>
    <row r="265" spans="2:12" ht="15" customHeight="1">
      <c r="B265" s="121" t="str">
        <f t="shared" si="33"/>
        <v/>
      </c>
      <c r="C265" s="117" t="str">
        <f t="shared" si="34"/>
        <v/>
      </c>
      <c r="D265" s="116" t="str">
        <f t="shared" si="35"/>
        <v/>
      </c>
      <c r="E265" s="120" t="str">
        <f t="shared" si="36"/>
        <v/>
      </c>
      <c r="F265" s="123" t="str">
        <f t="shared" si="37"/>
        <v/>
      </c>
      <c r="G265" s="126" t="e">
        <f t="shared" si="38"/>
        <v>#REF!</v>
      </c>
      <c r="H265" s="116" t="e">
        <f t="shared" si="32"/>
        <v>#REF!</v>
      </c>
      <c r="I265" s="117" t="e" cm="1">
        <f t="array" ref="I265">IF(OR(INDEX(#REF!,ROW()+8)="START",INDEX(#REF!,ROW()+7)="",INDEX(#REF!,ROW()+7)="START",INDEX(#REF!,ROW()+7)="TBA",INDEX(#REF!,ROW()+7)="TBC"), IF(INDEX(#REF!,ROW()+7)="START",$C$3,""),IF(INDEX(#REF!,ROW()+7)="x",INDEX(#REF!,ROW()+7)+'Date Calculators'!$B$2+ICS4Master!$E263,""))</f>
        <v>#REF!</v>
      </c>
      <c r="J265" s="116" t="e" cm="1">
        <f t="array" ref="J265">IF(I265="","",INDEX(#REF!,ROW()+7))</f>
        <v>#REF!</v>
      </c>
      <c r="K265" s="120" t="e" cm="1">
        <f t="array" ref="K265">IF(I265="","",INDEX(#REF!,ROW()+7))</f>
        <v>#REF!</v>
      </c>
      <c r="L265" s="129" t="e" cm="1">
        <f t="array" ref="L265">IF(OR(I265="",INDEX(#REF!,ROW()+7)=""),"",INDEX(#REF!,ROW()+7))</f>
        <v>#REF!</v>
      </c>
    </row>
    <row r="266" spans="2:12" ht="15" customHeight="1">
      <c r="B266" s="121" t="str">
        <f t="shared" si="33"/>
        <v/>
      </c>
      <c r="C266" s="117" t="str">
        <f t="shared" si="34"/>
        <v/>
      </c>
      <c r="D266" s="116" t="str">
        <f t="shared" si="35"/>
        <v/>
      </c>
      <c r="E266" s="120" t="str">
        <f t="shared" si="36"/>
        <v/>
      </c>
      <c r="F266" s="123" t="str">
        <f t="shared" si="37"/>
        <v/>
      </c>
      <c r="G266" s="126" t="e">
        <f t="shared" si="38"/>
        <v>#REF!</v>
      </c>
      <c r="H266" s="116" t="e">
        <f t="shared" si="32"/>
        <v>#REF!</v>
      </c>
      <c r="I266" s="117" t="e" cm="1">
        <f t="array" ref="I266">IF(OR(INDEX(#REF!,ROW()+8)="START",INDEX(#REF!,ROW()+7)="",INDEX(#REF!,ROW()+7)="START",INDEX(#REF!,ROW()+7)="TBA",INDEX(#REF!,ROW()+7)="TBC"), IF(INDEX(#REF!,ROW()+7)="START",$C$3,""),IF(INDEX(#REF!,ROW()+7)="x",INDEX(#REF!,ROW()+7)+'Date Calculators'!$B$2+ICS4Master!$E264,""))</f>
        <v>#REF!</v>
      </c>
      <c r="J266" s="116" t="e" cm="1">
        <f t="array" ref="J266">IF(I266="","",INDEX(#REF!,ROW()+7))</f>
        <v>#REF!</v>
      </c>
      <c r="K266" s="120" t="e" cm="1">
        <f t="array" ref="K266">IF(I266="","",INDEX(#REF!,ROW()+7))</f>
        <v>#REF!</v>
      </c>
      <c r="L266" s="129" t="e" cm="1">
        <f t="array" ref="L266">IF(OR(I266="",INDEX(#REF!,ROW()+7)=""),"",INDEX(#REF!,ROW()+7))</f>
        <v>#REF!</v>
      </c>
    </row>
    <row r="267" spans="2:12" ht="15" customHeight="1">
      <c r="B267" s="121" t="str">
        <f t="shared" si="33"/>
        <v/>
      </c>
      <c r="C267" s="117" t="str">
        <f t="shared" si="34"/>
        <v/>
      </c>
      <c r="D267" s="116" t="str">
        <f t="shared" si="35"/>
        <v/>
      </c>
      <c r="E267" s="120" t="str">
        <f t="shared" si="36"/>
        <v/>
      </c>
      <c r="F267" s="123" t="str">
        <f t="shared" si="37"/>
        <v/>
      </c>
      <c r="G267" s="126" t="e">
        <f t="shared" si="38"/>
        <v>#REF!</v>
      </c>
      <c r="H267" s="116" t="e">
        <f t="shared" si="32"/>
        <v>#REF!</v>
      </c>
      <c r="I267" s="117" t="e" cm="1">
        <f t="array" ref="I267">IF(OR(INDEX(#REF!,ROW()+8)="START",INDEX(#REF!,ROW()+7)="",INDEX(#REF!,ROW()+7)="START",INDEX(#REF!,ROW()+7)="TBA",INDEX(#REF!,ROW()+7)="TBC"), IF(INDEX(#REF!,ROW()+7)="START",$C$3,""),IF(INDEX(#REF!,ROW()+7)="x",INDEX(#REF!,ROW()+7)+'Date Calculators'!$B$2+ICS4Master!$E265,""))</f>
        <v>#REF!</v>
      </c>
      <c r="J267" s="116" t="e" cm="1">
        <f t="array" ref="J267">IF(I267="","",INDEX(#REF!,ROW()+7))</f>
        <v>#REF!</v>
      </c>
      <c r="K267" s="120" t="e" cm="1">
        <f t="array" ref="K267">IF(I267="","",INDEX(#REF!,ROW()+7))</f>
        <v>#REF!</v>
      </c>
      <c r="L267" s="129" t="e" cm="1">
        <f t="array" ref="L267">IF(OR(I267="",INDEX(#REF!,ROW()+7)=""),"",INDEX(#REF!,ROW()+7))</f>
        <v>#REF!</v>
      </c>
    </row>
    <row r="268" spans="2:12" ht="15" customHeight="1">
      <c r="B268" s="121" t="str">
        <f t="shared" si="33"/>
        <v/>
      </c>
      <c r="C268" s="117" t="str">
        <f t="shared" si="34"/>
        <v/>
      </c>
      <c r="D268" s="116" t="str">
        <f t="shared" si="35"/>
        <v/>
      </c>
      <c r="E268" s="120" t="str">
        <f t="shared" si="36"/>
        <v/>
      </c>
      <c r="F268" s="123" t="str">
        <f t="shared" si="37"/>
        <v/>
      </c>
      <c r="G268" s="126" t="e">
        <f t="shared" si="38"/>
        <v>#REF!</v>
      </c>
      <c r="H268" s="116" t="e">
        <f t="shared" si="32"/>
        <v>#REF!</v>
      </c>
      <c r="I268" s="117" t="e" cm="1">
        <f t="array" ref="I268">IF(OR(INDEX(#REF!,ROW()+8)="START",INDEX(#REF!,ROW()+7)="",INDEX(#REF!,ROW()+7)="START",INDEX(#REF!,ROW()+7)="TBA",INDEX(#REF!,ROW()+7)="TBC"), IF(INDEX(#REF!,ROW()+7)="START",$C$3,""),IF(INDEX(#REF!,ROW()+7)="x",INDEX(#REF!,ROW()+7)+'Date Calculators'!$B$2+ICS4Master!$E266,""))</f>
        <v>#REF!</v>
      </c>
      <c r="J268" s="116" t="e" cm="1">
        <f t="array" ref="J268">IF(I268="","",INDEX(#REF!,ROW()+7))</f>
        <v>#REF!</v>
      </c>
      <c r="K268" s="120" t="e" cm="1">
        <f t="array" ref="K268">IF(I268="","",INDEX(#REF!,ROW()+7))</f>
        <v>#REF!</v>
      </c>
      <c r="L268" s="129" t="e" cm="1">
        <f t="array" ref="L268">IF(OR(I268="",INDEX(#REF!,ROW()+7)=""),"",INDEX(#REF!,ROW()+7))</f>
        <v>#REF!</v>
      </c>
    </row>
    <row r="269" spans="2:12" ht="15" customHeight="1">
      <c r="B269" s="121" t="str">
        <f t="shared" si="33"/>
        <v/>
      </c>
      <c r="C269" s="117" t="str">
        <f t="shared" si="34"/>
        <v/>
      </c>
      <c r="D269" s="116" t="str">
        <f t="shared" si="35"/>
        <v/>
      </c>
      <c r="E269" s="120" t="str">
        <f t="shared" si="36"/>
        <v/>
      </c>
      <c r="F269" s="123" t="str">
        <f t="shared" si="37"/>
        <v/>
      </c>
      <c r="G269" s="126" t="e">
        <f t="shared" si="38"/>
        <v>#REF!</v>
      </c>
      <c r="H269" s="116" t="e">
        <f t="shared" si="32"/>
        <v>#REF!</v>
      </c>
      <c r="I269" s="117" t="e" cm="1">
        <f t="array" ref="I269">IF(OR(INDEX(#REF!,ROW()+8)="START",INDEX(#REF!,ROW()+7)="",INDEX(#REF!,ROW()+7)="START",INDEX(#REF!,ROW()+7)="TBA",INDEX(#REF!,ROW()+7)="TBC"), IF(INDEX(#REF!,ROW()+7)="START",$C$3,""),IF(INDEX(#REF!,ROW()+7)="x",INDEX(#REF!,ROW()+7)+'Date Calculators'!$B$2+ICS4Master!$E267,""))</f>
        <v>#REF!</v>
      </c>
      <c r="J269" s="116" t="e" cm="1">
        <f t="array" ref="J269">IF(I269="","",INDEX(#REF!,ROW()+7))</f>
        <v>#REF!</v>
      </c>
      <c r="K269" s="120" t="e" cm="1">
        <f t="array" ref="K269">IF(I269="","",INDEX(#REF!,ROW()+7))</f>
        <v>#REF!</v>
      </c>
      <c r="L269" s="129" t="e" cm="1">
        <f t="array" ref="L269">IF(OR(I269="",INDEX(#REF!,ROW()+7)=""),"",INDEX(#REF!,ROW()+7))</f>
        <v>#REF!</v>
      </c>
    </row>
    <row r="270" spans="2:12" ht="15" customHeight="1">
      <c r="B270" s="121" t="str">
        <f t="shared" si="33"/>
        <v/>
      </c>
      <c r="C270" s="117" t="str">
        <f t="shared" si="34"/>
        <v/>
      </c>
      <c r="D270" s="116" t="str">
        <f t="shared" si="35"/>
        <v/>
      </c>
      <c r="E270" s="120" t="str">
        <f t="shared" si="36"/>
        <v/>
      </c>
      <c r="F270" s="123" t="str">
        <f t="shared" si="37"/>
        <v/>
      </c>
      <c r="G270" s="126" t="e">
        <f t="shared" si="38"/>
        <v>#REF!</v>
      </c>
      <c r="H270" s="116" t="e">
        <f t="shared" si="32"/>
        <v>#REF!</v>
      </c>
      <c r="I270" s="117" t="e" cm="1">
        <f t="array" ref="I270">IF(OR(INDEX(#REF!,ROW()+8)="START",INDEX(#REF!,ROW()+7)="",INDEX(#REF!,ROW()+7)="START",INDEX(#REF!,ROW()+7)="TBA",INDEX(#REF!,ROW()+7)="TBC"), IF(INDEX(#REF!,ROW()+7)="START",$C$3,""),IF(INDEX(#REF!,ROW()+7)="x",INDEX(#REF!,ROW()+7)+'Date Calculators'!$B$2+ICS4Master!$E268,""))</f>
        <v>#REF!</v>
      </c>
      <c r="J270" s="116" t="e" cm="1">
        <f t="array" ref="J270">IF(I270="","",INDEX(#REF!,ROW()+7))</f>
        <v>#REF!</v>
      </c>
      <c r="K270" s="120" t="e" cm="1">
        <f t="array" ref="K270">IF(I270="","",INDEX(#REF!,ROW()+7))</f>
        <v>#REF!</v>
      </c>
      <c r="L270" s="129" t="e" cm="1">
        <f t="array" ref="L270">IF(OR(I270="",INDEX(#REF!,ROW()+7)=""),"",INDEX(#REF!,ROW()+7))</f>
        <v>#REF!</v>
      </c>
    </row>
    <row r="271" spans="2:12" ht="15" customHeight="1">
      <c r="B271" s="121" t="str">
        <f t="shared" si="33"/>
        <v/>
      </c>
      <c r="C271" s="117" t="str">
        <f t="shared" si="34"/>
        <v/>
      </c>
      <c r="D271" s="116" t="str">
        <f t="shared" si="35"/>
        <v/>
      </c>
      <c r="E271" s="120" t="str">
        <f t="shared" si="36"/>
        <v/>
      </c>
      <c r="F271" s="123" t="str">
        <f t="shared" si="37"/>
        <v/>
      </c>
      <c r="G271" s="126" t="e">
        <f t="shared" si="38"/>
        <v>#REF!</v>
      </c>
      <c r="H271" s="116" t="e">
        <f t="shared" si="32"/>
        <v>#REF!</v>
      </c>
      <c r="I271" s="117" t="e" cm="1">
        <f t="array" ref="I271">IF(OR(INDEX(#REF!,ROW()+8)="START",INDEX(#REF!,ROW()+7)="",INDEX(#REF!,ROW()+7)="START",INDEX(#REF!,ROW()+7)="TBA",INDEX(#REF!,ROW()+7)="TBC"), IF(INDEX(#REF!,ROW()+7)="START",$C$3,""),IF(INDEX(#REF!,ROW()+7)="x",INDEX(#REF!,ROW()+7)+'Date Calculators'!$B$2+ICS4Master!$E269,""))</f>
        <v>#REF!</v>
      </c>
      <c r="J271" s="116" t="e" cm="1">
        <f t="array" ref="J271">IF(I271="","",INDEX(#REF!,ROW()+7))</f>
        <v>#REF!</v>
      </c>
      <c r="K271" s="120" t="e" cm="1">
        <f t="array" ref="K271">IF(I271="","",INDEX(#REF!,ROW()+7))</f>
        <v>#REF!</v>
      </c>
      <c r="L271" s="129" t="e" cm="1">
        <f t="array" ref="L271">IF(OR(I271="",INDEX(#REF!,ROW()+7)=""),"",INDEX(#REF!,ROW()+7))</f>
        <v>#REF!</v>
      </c>
    </row>
    <row r="272" spans="2:12" ht="15" customHeight="1">
      <c r="B272" s="121" t="str">
        <f t="shared" si="33"/>
        <v/>
      </c>
      <c r="C272" s="117" t="str">
        <f t="shared" si="34"/>
        <v/>
      </c>
      <c r="D272" s="116" t="str">
        <f t="shared" si="35"/>
        <v/>
      </c>
      <c r="E272" s="120" t="str">
        <f t="shared" si="36"/>
        <v/>
      </c>
      <c r="F272" s="123" t="str">
        <f t="shared" si="37"/>
        <v/>
      </c>
      <c r="G272" s="126" t="e">
        <f t="shared" si="38"/>
        <v>#REF!</v>
      </c>
      <c r="H272" s="116" t="e">
        <f t="shared" si="32"/>
        <v>#REF!</v>
      </c>
      <c r="I272" s="117" t="e" cm="1">
        <f t="array" ref="I272">IF(OR(INDEX(#REF!,ROW()+8)="START",INDEX(#REF!,ROW()+7)="",INDEX(#REF!,ROW()+7)="START",INDEX(#REF!,ROW()+7)="TBA",INDEX(#REF!,ROW()+7)="TBC"), IF(INDEX(#REF!,ROW()+7)="START",$C$3,""),IF(INDEX(#REF!,ROW()+7)="x",INDEX(#REF!,ROW()+7)+'Date Calculators'!$B$2+ICS4Master!$E270,""))</f>
        <v>#REF!</v>
      </c>
      <c r="J272" s="116" t="e" cm="1">
        <f t="array" ref="J272">IF(I272="","",INDEX(#REF!,ROW()+7))</f>
        <v>#REF!</v>
      </c>
      <c r="K272" s="120" t="e" cm="1">
        <f t="array" ref="K272">IF(I272="","",INDEX(#REF!,ROW()+7))</f>
        <v>#REF!</v>
      </c>
      <c r="L272" s="129" t="e" cm="1">
        <f t="array" ref="L272">IF(OR(I272="",INDEX(#REF!,ROW()+7)=""),"",INDEX(#REF!,ROW()+7))</f>
        <v>#REF!</v>
      </c>
    </row>
    <row r="273" spans="2:12" ht="15" customHeight="1">
      <c r="B273" s="121" t="str">
        <f t="shared" si="33"/>
        <v/>
      </c>
      <c r="C273" s="117" t="str">
        <f t="shared" si="34"/>
        <v/>
      </c>
      <c r="D273" s="116" t="str">
        <f t="shared" si="35"/>
        <v/>
      </c>
      <c r="E273" s="120" t="str">
        <f t="shared" si="36"/>
        <v/>
      </c>
      <c r="F273" s="123" t="str">
        <f t="shared" si="37"/>
        <v/>
      </c>
      <c r="G273" s="126" t="e">
        <f t="shared" si="38"/>
        <v>#REF!</v>
      </c>
      <c r="H273" s="116" t="e">
        <f t="shared" si="32"/>
        <v>#REF!</v>
      </c>
      <c r="I273" s="117" t="e" cm="1">
        <f t="array" ref="I273">IF(OR(INDEX(#REF!,ROW()+8)="START",INDEX(#REF!,ROW()+7)="",INDEX(#REF!,ROW()+7)="START",INDEX(#REF!,ROW()+7)="TBA",INDEX(#REF!,ROW()+7)="TBC"), IF(INDEX(#REF!,ROW()+7)="START",$C$3,""),IF(INDEX(#REF!,ROW()+7)="x",INDEX(#REF!,ROW()+7)+'Date Calculators'!$B$2+ICS4Master!$E271,""))</f>
        <v>#REF!</v>
      </c>
      <c r="J273" s="116" t="e" cm="1">
        <f t="array" ref="J273">IF(I273="","",INDEX(#REF!,ROW()+7))</f>
        <v>#REF!</v>
      </c>
      <c r="K273" s="120" t="e" cm="1">
        <f t="array" ref="K273">IF(I273="","",INDEX(#REF!,ROW()+7))</f>
        <v>#REF!</v>
      </c>
      <c r="L273" s="129" t="e" cm="1">
        <f t="array" ref="L273">IF(OR(I273="",INDEX(#REF!,ROW()+7)=""),"",INDEX(#REF!,ROW()+7))</f>
        <v>#REF!</v>
      </c>
    </row>
    <row r="274" spans="2:12" ht="15" customHeight="1">
      <c r="B274" s="121" t="str">
        <f t="shared" si="33"/>
        <v/>
      </c>
      <c r="C274" s="117" t="str">
        <f t="shared" si="34"/>
        <v/>
      </c>
      <c r="D274" s="116" t="str">
        <f t="shared" si="35"/>
        <v/>
      </c>
      <c r="E274" s="120" t="str">
        <f t="shared" si="36"/>
        <v/>
      </c>
      <c r="F274" s="123" t="str">
        <f t="shared" si="37"/>
        <v/>
      </c>
      <c r="G274" s="126" t="e">
        <f t="shared" si="38"/>
        <v>#REF!</v>
      </c>
      <c r="H274" s="116" t="e">
        <f t="shared" si="32"/>
        <v>#REF!</v>
      </c>
      <c r="I274" s="117" t="e" cm="1">
        <f t="array" ref="I274">IF(OR(INDEX(#REF!,ROW()+8)="START",INDEX(#REF!,ROW()+7)="",INDEX(#REF!,ROW()+7)="START",INDEX(#REF!,ROW()+7)="TBA",INDEX(#REF!,ROW()+7)="TBC"), IF(INDEX(#REF!,ROW()+7)="START",$C$3,""),IF(INDEX(#REF!,ROW()+7)="x",INDEX(#REF!,ROW()+7)+'Date Calculators'!$B$2+ICS4Master!$E272,""))</f>
        <v>#REF!</v>
      </c>
      <c r="J274" s="116" t="e" cm="1">
        <f t="array" ref="J274">IF(I274="","",INDEX(#REF!,ROW()+7))</f>
        <v>#REF!</v>
      </c>
      <c r="K274" s="120" t="e" cm="1">
        <f t="array" ref="K274">IF(I274="","",INDEX(#REF!,ROW()+7))</f>
        <v>#REF!</v>
      </c>
      <c r="L274" s="129" t="e" cm="1">
        <f t="array" ref="L274">IF(OR(I274="",INDEX(#REF!,ROW()+7)=""),"",INDEX(#REF!,ROW()+7))</f>
        <v>#REF!</v>
      </c>
    </row>
    <row r="275" spans="2:12" ht="15" customHeight="1">
      <c r="B275" s="121" t="str">
        <f t="shared" si="33"/>
        <v/>
      </c>
      <c r="C275" s="117" t="str">
        <f t="shared" si="34"/>
        <v/>
      </c>
      <c r="D275" s="116" t="str">
        <f t="shared" si="35"/>
        <v/>
      </c>
      <c r="E275" s="120" t="str">
        <f t="shared" si="36"/>
        <v/>
      </c>
      <c r="F275" s="123" t="str">
        <f t="shared" si="37"/>
        <v/>
      </c>
      <c r="G275" s="126" t="e">
        <f t="shared" si="38"/>
        <v>#REF!</v>
      </c>
      <c r="H275" s="116" t="e">
        <f t="shared" si="32"/>
        <v>#REF!</v>
      </c>
      <c r="I275" s="117" t="e" cm="1">
        <f t="array" ref="I275">IF(OR(INDEX(#REF!,ROW()+8)="START",INDEX(#REF!,ROW()+7)="",INDEX(#REF!,ROW()+7)="START",INDEX(#REF!,ROW()+7)="TBA",INDEX(#REF!,ROW()+7)="TBC"), IF(INDEX(#REF!,ROW()+7)="START",$C$3,""),IF(INDEX(#REF!,ROW()+7)="x",INDEX(#REF!,ROW()+7)+'Date Calculators'!$B$2+ICS4Master!$E273,""))</f>
        <v>#REF!</v>
      </c>
      <c r="J275" s="116" t="e" cm="1">
        <f t="array" ref="J275">IF(I275="","",INDEX(#REF!,ROW()+7))</f>
        <v>#REF!</v>
      </c>
      <c r="K275" s="120" t="e" cm="1">
        <f t="array" ref="K275">IF(I275="","",INDEX(#REF!,ROW()+7))</f>
        <v>#REF!</v>
      </c>
      <c r="L275" s="129" t="e" cm="1">
        <f t="array" ref="L275">IF(OR(I275="",INDEX(#REF!,ROW()+7)=""),"",INDEX(#REF!,ROW()+7))</f>
        <v>#REF!</v>
      </c>
    </row>
    <row r="276" spans="2:12" ht="15" customHeight="1">
      <c r="B276" s="121" t="str">
        <f t="shared" si="33"/>
        <v/>
      </c>
      <c r="C276" s="117" t="str">
        <f t="shared" si="34"/>
        <v/>
      </c>
      <c r="D276" s="116" t="str">
        <f t="shared" si="35"/>
        <v/>
      </c>
      <c r="E276" s="120" t="str">
        <f t="shared" si="36"/>
        <v/>
      </c>
      <c r="F276" s="123" t="str">
        <f t="shared" si="37"/>
        <v/>
      </c>
      <c r="G276" s="126" t="e">
        <f t="shared" si="38"/>
        <v>#REF!</v>
      </c>
      <c r="H276" s="116" t="e">
        <f t="shared" si="32"/>
        <v>#REF!</v>
      </c>
      <c r="I276" s="117" t="e" cm="1">
        <f t="array" ref="I276">IF(OR(INDEX(#REF!,ROW()+8)="START",INDEX(#REF!,ROW()+7)="",INDEX(#REF!,ROW()+7)="START",INDEX(#REF!,ROW()+7)="TBA",INDEX(#REF!,ROW()+7)="TBC"), IF(INDEX(#REF!,ROW()+7)="START",$C$3,""),IF(INDEX(#REF!,ROW()+7)="x",INDEX(#REF!,ROW()+7)+'Date Calculators'!$B$2+ICS4Master!$E274,""))</f>
        <v>#REF!</v>
      </c>
      <c r="J276" s="116" t="e" cm="1">
        <f t="array" ref="J276">IF(I276="","",INDEX(#REF!,ROW()+7))</f>
        <v>#REF!</v>
      </c>
      <c r="K276" s="120" t="e" cm="1">
        <f t="array" ref="K276">IF(I276="","",INDEX(#REF!,ROW()+7))</f>
        <v>#REF!</v>
      </c>
      <c r="L276" s="129" t="e" cm="1">
        <f t="array" ref="L276">IF(OR(I276="",INDEX(#REF!,ROW()+7)=""),"",INDEX(#REF!,ROW()+7))</f>
        <v>#REF!</v>
      </c>
    </row>
    <row r="277" spans="2:12" ht="15" customHeight="1">
      <c r="B277" s="121" t="str">
        <f t="shared" si="33"/>
        <v/>
      </c>
      <c r="C277" s="117" t="str">
        <f t="shared" si="34"/>
        <v/>
      </c>
      <c r="D277" s="116" t="str">
        <f t="shared" si="35"/>
        <v/>
      </c>
      <c r="E277" s="120" t="str">
        <f t="shared" si="36"/>
        <v/>
      </c>
      <c r="F277" s="123" t="str">
        <f t="shared" si="37"/>
        <v/>
      </c>
      <c r="G277" s="126" t="e">
        <f t="shared" si="38"/>
        <v>#REF!</v>
      </c>
      <c r="H277" s="116" t="e">
        <f t="shared" si="32"/>
        <v>#REF!</v>
      </c>
      <c r="I277" s="117" t="e" cm="1">
        <f t="array" ref="I277">IF(OR(INDEX(#REF!,ROW()+8)="START",INDEX(#REF!,ROW()+7)="",INDEX(#REF!,ROW()+7)="START",INDEX(#REF!,ROW()+7)="TBA",INDEX(#REF!,ROW()+7)="TBC"), IF(INDEX(#REF!,ROW()+7)="START",$C$3,""),IF(INDEX(#REF!,ROW()+7)="x",INDEX(#REF!,ROW()+7)+'Date Calculators'!$B$2+ICS4Master!$E275,""))</f>
        <v>#REF!</v>
      </c>
      <c r="J277" s="116" t="e" cm="1">
        <f t="array" ref="J277">IF(I277="","",INDEX(#REF!,ROW()+7))</f>
        <v>#REF!</v>
      </c>
      <c r="K277" s="120" t="e" cm="1">
        <f t="array" ref="K277">IF(I277="","",INDEX(#REF!,ROW()+7))</f>
        <v>#REF!</v>
      </c>
      <c r="L277" s="129" t="e" cm="1">
        <f t="array" ref="L277">IF(OR(I277="",INDEX(#REF!,ROW()+7)=""),"",INDEX(#REF!,ROW()+7))</f>
        <v>#REF!</v>
      </c>
    </row>
    <row r="278" spans="2:12" ht="15" customHeight="1">
      <c r="B278" s="121" t="str">
        <f t="shared" si="33"/>
        <v/>
      </c>
      <c r="C278" s="117" t="str">
        <f t="shared" si="34"/>
        <v/>
      </c>
      <c r="D278" s="116" t="str">
        <f t="shared" si="35"/>
        <v/>
      </c>
      <c r="E278" s="120" t="str">
        <f t="shared" si="36"/>
        <v/>
      </c>
      <c r="F278" s="123" t="str">
        <f t="shared" si="37"/>
        <v/>
      </c>
      <c r="G278" s="126" t="e">
        <f t="shared" si="38"/>
        <v>#REF!</v>
      </c>
      <c r="H278" s="116" t="e">
        <f t="shared" si="32"/>
        <v>#REF!</v>
      </c>
      <c r="I278" s="117" t="e" cm="1">
        <f t="array" ref="I278">IF(OR(INDEX(#REF!,ROW()+8)="START",INDEX(#REF!,ROW()+7)="",INDEX(#REF!,ROW()+7)="START",INDEX(#REF!,ROW()+7)="TBA",INDEX(#REF!,ROW()+7)="TBC"), IF(INDEX(#REF!,ROW()+7)="START",$C$3,""),IF(INDEX(#REF!,ROW()+7)="x",INDEX(#REF!,ROW()+7)+'Date Calculators'!$B$2+ICS4Master!$E276,""))</f>
        <v>#REF!</v>
      </c>
      <c r="J278" s="116" t="e" cm="1">
        <f t="array" ref="J278">IF(I278="","",INDEX(#REF!,ROW()+7))</f>
        <v>#REF!</v>
      </c>
      <c r="K278" s="120" t="e" cm="1">
        <f t="array" ref="K278">IF(I278="","",INDEX(#REF!,ROW()+7))</f>
        <v>#REF!</v>
      </c>
      <c r="L278" s="129" t="e" cm="1">
        <f t="array" ref="L278">IF(OR(I278="",INDEX(#REF!,ROW()+7)=""),"",INDEX(#REF!,ROW()+7))</f>
        <v>#REF!</v>
      </c>
    </row>
    <row r="279" spans="2:12" ht="15" customHeight="1">
      <c r="B279" s="121" t="str">
        <f t="shared" si="33"/>
        <v/>
      </c>
      <c r="C279" s="117" t="str">
        <f t="shared" si="34"/>
        <v/>
      </c>
      <c r="D279" s="116" t="str">
        <f t="shared" si="35"/>
        <v/>
      </c>
      <c r="E279" s="120" t="str">
        <f t="shared" si="36"/>
        <v/>
      </c>
      <c r="F279" s="123" t="str">
        <f t="shared" si="37"/>
        <v/>
      </c>
      <c r="G279" s="126" t="e">
        <f t="shared" si="38"/>
        <v>#REF!</v>
      </c>
      <c r="H279" s="116" t="e">
        <f t="shared" si="32"/>
        <v>#REF!</v>
      </c>
      <c r="I279" s="117" t="e" cm="1">
        <f t="array" ref="I279">IF(OR(INDEX(#REF!,ROW()+8)="START",INDEX(#REF!,ROW()+7)="",INDEX(#REF!,ROW()+7)="START",INDEX(#REF!,ROW()+7)="TBA",INDEX(#REF!,ROW()+7)="TBC"), IF(INDEX(#REF!,ROW()+7)="START",$C$3,""),IF(INDEX(#REF!,ROW()+7)="x",INDEX(#REF!,ROW()+7)+'Date Calculators'!$B$2+ICS4Master!$E277,""))</f>
        <v>#REF!</v>
      </c>
      <c r="J279" s="116" t="e" cm="1">
        <f t="array" ref="J279">IF(I279="","",INDEX(#REF!,ROW()+7))</f>
        <v>#REF!</v>
      </c>
      <c r="K279" s="120" t="e" cm="1">
        <f t="array" ref="K279">IF(I279="","",INDEX(#REF!,ROW()+7))</f>
        <v>#REF!</v>
      </c>
      <c r="L279" s="129" t="e" cm="1">
        <f t="array" ref="L279">IF(OR(I279="",INDEX(#REF!,ROW()+7)=""),"",INDEX(#REF!,ROW()+7))</f>
        <v>#REF!</v>
      </c>
    </row>
    <row r="280" spans="2:12" ht="15" customHeight="1">
      <c r="B280" s="121" t="str">
        <f t="shared" si="33"/>
        <v/>
      </c>
      <c r="C280" s="117" t="str">
        <f t="shared" si="34"/>
        <v/>
      </c>
      <c r="D280" s="116" t="str">
        <f t="shared" si="35"/>
        <v/>
      </c>
      <c r="E280" s="120" t="str">
        <f t="shared" si="36"/>
        <v/>
      </c>
      <c r="F280" s="123" t="str">
        <f t="shared" si="37"/>
        <v/>
      </c>
      <c r="G280" s="126" t="e">
        <f t="shared" si="38"/>
        <v>#REF!</v>
      </c>
      <c r="H280" s="116" t="e">
        <f t="shared" si="32"/>
        <v>#REF!</v>
      </c>
      <c r="I280" s="117" t="e" cm="1">
        <f t="array" ref="I280">IF(OR(INDEX(#REF!,ROW()+8)="START",INDEX(#REF!,ROW()+7)="",INDEX(#REF!,ROW()+7)="START",INDEX(#REF!,ROW()+7)="TBA",INDEX(#REF!,ROW()+7)="TBC"), IF(INDEX(#REF!,ROW()+7)="START",$C$3,""),IF(INDEX(#REF!,ROW()+7)="x",INDEX(#REF!,ROW()+7)+'Date Calculators'!$B$2+ICS4Master!$E278,""))</f>
        <v>#REF!</v>
      </c>
      <c r="J280" s="116" t="e" cm="1">
        <f t="array" ref="J280">IF(I280="","",INDEX(#REF!,ROW()+7))</f>
        <v>#REF!</v>
      </c>
      <c r="K280" s="120" t="e" cm="1">
        <f t="array" ref="K280">IF(I280="","",INDEX(#REF!,ROW()+7))</f>
        <v>#REF!</v>
      </c>
      <c r="L280" s="129" t="e" cm="1">
        <f t="array" ref="L280">IF(OR(I280="",INDEX(#REF!,ROW()+7)=""),"",INDEX(#REF!,ROW()+7))</f>
        <v>#REF!</v>
      </c>
    </row>
    <row r="281" spans="2:12" ht="15" customHeight="1">
      <c r="B281" s="121" t="str">
        <f t="shared" si="33"/>
        <v/>
      </c>
      <c r="C281" s="117" t="str">
        <f t="shared" si="34"/>
        <v/>
      </c>
      <c r="D281" s="116" t="str">
        <f t="shared" si="35"/>
        <v/>
      </c>
      <c r="E281" s="120" t="str">
        <f t="shared" si="36"/>
        <v/>
      </c>
      <c r="F281" s="123" t="str">
        <f t="shared" si="37"/>
        <v/>
      </c>
      <c r="G281" s="126" t="e">
        <f t="shared" si="38"/>
        <v>#REF!</v>
      </c>
      <c r="H281" s="116" t="e">
        <f t="shared" si="32"/>
        <v>#REF!</v>
      </c>
      <c r="I281" s="117" t="e" cm="1">
        <f t="array" ref="I281">IF(OR(INDEX(#REF!,ROW()+8)="START",INDEX(#REF!,ROW()+7)="",INDEX(#REF!,ROW()+7)="START",INDEX(#REF!,ROW()+7)="TBA",INDEX(#REF!,ROW()+7)="TBC"), IF(INDEX(#REF!,ROW()+7)="START",$C$3,""),IF(INDEX(#REF!,ROW()+7)="x",INDEX(#REF!,ROW()+7)+'Date Calculators'!$B$2+ICS4Master!$E279,""))</f>
        <v>#REF!</v>
      </c>
      <c r="J281" s="116" t="e" cm="1">
        <f t="array" ref="J281">IF(I281="","",INDEX(#REF!,ROW()+7))</f>
        <v>#REF!</v>
      </c>
      <c r="K281" s="120" t="e" cm="1">
        <f t="array" ref="K281">IF(I281="","",INDEX(#REF!,ROW()+7))</f>
        <v>#REF!</v>
      </c>
      <c r="L281" s="129" t="e" cm="1">
        <f t="array" ref="L281">IF(OR(I281="",INDEX(#REF!,ROW()+7)=""),"",INDEX(#REF!,ROW()+7))</f>
        <v>#REF!</v>
      </c>
    </row>
    <row r="282" spans="2:12" ht="15" customHeight="1">
      <c r="B282" s="121" t="str">
        <f t="shared" si="33"/>
        <v/>
      </c>
      <c r="C282" s="117" t="str">
        <f t="shared" si="34"/>
        <v/>
      </c>
      <c r="D282" s="116" t="str">
        <f t="shared" si="35"/>
        <v/>
      </c>
      <c r="E282" s="120" t="str">
        <f t="shared" si="36"/>
        <v/>
      </c>
      <c r="F282" s="123" t="str">
        <f t="shared" si="37"/>
        <v/>
      </c>
      <c r="G282" s="126" t="e">
        <f t="shared" si="38"/>
        <v>#REF!</v>
      </c>
      <c r="H282" s="116" t="e">
        <f t="shared" si="32"/>
        <v>#REF!</v>
      </c>
      <c r="I282" s="117" t="e" cm="1">
        <f t="array" ref="I282">IF(OR(INDEX(#REF!,ROW()+8)="START",INDEX(#REF!,ROW()+7)="",INDEX(#REF!,ROW()+7)="START",INDEX(#REF!,ROW()+7)="TBA",INDEX(#REF!,ROW()+7)="TBC"), IF(INDEX(#REF!,ROW()+7)="START",$C$3,""),IF(INDEX(#REF!,ROW()+7)="x",INDEX(#REF!,ROW()+7)+'Date Calculators'!$B$2+ICS4Master!$E280,""))</f>
        <v>#REF!</v>
      </c>
      <c r="J282" s="116" t="e" cm="1">
        <f t="array" ref="J282">IF(I282="","",INDEX(#REF!,ROW()+7))</f>
        <v>#REF!</v>
      </c>
      <c r="K282" s="120" t="e" cm="1">
        <f t="array" ref="K282">IF(I282="","",INDEX(#REF!,ROW()+7))</f>
        <v>#REF!</v>
      </c>
      <c r="L282" s="129" t="e" cm="1">
        <f t="array" ref="L282">IF(OR(I282="",INDEX(#REF!,ROW()+7)=""),"",INDEX(#REF!,ROW()+7))</f>
        <v>#REF!</v>
      </c>
    </row>
    <row r="283" spans="2:12" ht="15" customHeight="1">
      <c r="B283" s="121" t="str">
        <f t="shared" si="33"/>
        <v/>
      </c>
      <c r="C283" s="117" t="str">
        <f t="shared" si="34"/>
        <v/>
      </c>
      <c r="D283" s="116" t="str">
        <f t="shared" si="35"/>
        <v/>
      </c>
      <c r="E283" s="120" t="str">
        <f t="shared" si="36"/>
        <v/>
      </c>
      <c r="F283" s="123" t="str">
        <f t="shared" si="37"/>
        <v/>
      </c>
      <c r="G283" s="126" t="e">
        <f t="shared" si="38"/>
        <v>#REF!</v>
      </c>
      <c r="H283" s="116" t="e">
        <f t="shared" si="32"/>
        <v>#REF!</v>
      </c>
      <c r="I283" s="117" t="e" cm="1">
        <f t="array" ref="I283">IF(OR(INDEX(#REF!,ROW()+8)="START",INDEX(#REF!,ROW()+7)="",INDEX(#REF!,ROW()+7)="START",INDEX(#REF!,ROW()+7)="TBA",INDEX(#REF!,ROW()+7)="TBC"), IF(INDEX(#REF!,ROW()+7)="START",$C$3,""),IF(INDEX(#REF!,ROW()+7)="x",INDEX(#REF!,ROW()+7)+'Date Calculators'!$B$2+ICS4Master!$E281,""))</f>
        <v>#REF!</v>
      </c>
      <c r="J283" s="116" t="e" cm="1">
        <f t="array" ref="J283">IF(I283="","",INDEX(#REF!,ROW()+7))</f>
        <v>#REF!</v>
      </c>
      <c r="K283" s="120" t="e" cm="1">
        <f t="array" ref="K283">IF(I283="","",INDEX(#REF!,ROW()+7))</f>
        <v>#REF!</v>
      </c>
      <c r="L283" s="129" t="e" cm="1">
        <f t="array" ref="L283">IF(OR(I283="",INDEX(#REF!,ROW()+7)=""),"",INDEX(#REF!,ROW()+7))</f>
        <v>#REF!</v>
      </c>
    </row>
    <row r="284" spans="2:12" ht="15" customHeight="1">
      <c r="B284" s="121" t="str">
        <f t="shared" si="33"/>
        <v/>
      </c>
      <c r="C284" s="117" t="str">
        <f t="shared" si="34"/>
        <v/>
      </c>
      <c r="D284" s="116" t="str">
        <f t="shared" si="35"/>
        <v/>
      </c>
      <c r="E284" s="120" t="str">
        <f t="shared" si="36"/>
        <v/>
      </c>
      <c r="F284" s="123" t="str">
        <f t="shared" si="37"/>
        <v/>
      </c>
      <c r="G284" s="126" t="e">
        <f t="shared" si="38"/>
        <v>#REF!</v>
      </c>
      <c r="H284" s="116" t="e">
        <f t="shared" si="32"/>
        <v>#REF!</v>
      </c>
      <c r="I284" s="117" t="e" cm="1">
        <f t="array" ref="I284">IF(OR(INDEX(#REF!,ROW()+8)="START",INDEX(#REF!,ROW()+7)="",INDEX(#REF!,ROW()+7)="START",INDEX(#REF!,ROW()+7)="TBA",INDEX(#REF!,ROW()+7)="TBC"), IF(INDEX(#REF!,ROW()+7)="START",$C$3,""),IF(INDEX(#REF!,ROW()+7)="x",INDEX(#REF!,ROW()+7)+'Date Calculators'!$B$2+ICS4Master!$E282,""))</f>
        <v>#REF!</v>
      </c>
      <c r="J284" s="116" t="e" cm="1">
        <f t="array" ref="J284">IF(I284="","",INDEX(#REF!,ROW()+7))</f>
        <v>#REF!</v>
      </c>
      <c r="K284" s="120" t="e" cm="1">
        <f t="array" ref="K284">IF(I284="","",INDEX(#REF!,ROW()+7))</f>
        <v>#REF!</v>
      </c>
      <c r="L284" s="129" t="e" cm="1">
        <f t="array" ref="L284">IF(OR(I284="",INDEX(#REF!,ROW()+7)=""),"",INDEX(#REF!,ROW()+7))</f>
        <v>#REF!</v>
      </c>
    </row>
    <row r="285" spans="2:12" ht="15" customHeight="1">
      <c r="B285" s="121" t="str">
        <f t="shared" si="33"/>
        <v/>
      </c>
      <c r="C285" s="117" t="str">
        <f t="shared" si="34"/>
        <v/>
      </c>
      <c r="D285" s="116" t="str">
        <f t="shared" si="35"/>
        <v/>
      </c>
      <c r="E285" s="120" t="str">
        <f t="shared" si="36"/>
        <v/>
      </c>
      <c r="F285" s="123" t="str">
        <f t="shared" si="37"/>
        <v/>
      </c>
      <c r="G285" s="126" t="e">
        <f t="shared" si="38"/>
        <v>#REF!</v>
      </c>
      <c r="H285" s="116" t="e">
        <f t="shared" si="32"/>
        <v>#REF!</v>
      </c>
      <c r="I285" s="117" t="e" cm="1">
        <f t="array" ref="I285">IF(OR(INDEX(#REF!,ROW()+8)="START",INDEX(#REF!,ROW()+7)="",INDEX(#REF!,ROW()+7)="START",INDEX(#REF!,ROW()+7)="TBA",INDEX(#REF!,ROW()+7)="TBC"), IF(INDEX(#REF!,ROW()+7)="START",$C$3,""),IF(INDEX(#REF!,ROW()+7)="x",INDEX(#REF!,ROW()+7)+'Date Calculators'!$B$2+ICS4Master!$E283,""))</f>
        <v>#REF!</v>
      </c>
      <c r="J285" s="116" t="e" cm="1">
        <f t="array" ref="J285">IF(I285="","",INDEX(#REF!,ROW()+7))</f>
        <v>#REF!</v>
      </c>
      <c r="K285" s="120" t="e" cm="1">
        <f t="array" ref="K285">IF(I285="","",INDEX(#REF!,ROW()+7))</f>
        <v>#REF!</v>
      </c>
      <c r="L285" s="129" t="e" cm="1">
        <f t="array" ref="L285">IF(OR(I285="",INDEX(#REF!,ROW()+7)=""),"",INDEX(#REF!,ROW()+7))</f>
        <v>#REF!</v>
      </c>
    </row>
    <row r="286" spans="2:12" ht="15" customHeight="1">
      <c r="B286" s="121" t="str">
        <f t="shared" si="33"/>
        <v/>
      </c>
      <c r="C286" s="117" t="str">
        <f t="shared" si="34"/>
        <v/>
      </c>
      <c r="D286" s="116" t="str">
        <f t="shared" si="35"/>
        <v/>
      </c>
      <c r="E286" s="120" t="str">
        <f t="shared" si="36"/>
        <v/>
      </c>
      <c r="F286" s="123" t="str">
        <f t="shared" si="37"/>
        <v/>
      </c>
      <c r="G286" s="126" t="e">
        <f t="shared" si="38"/>
        <v>#REF!</v>
      </c>
      <c r="H286" s="116" t="e">
        <f t="shared" si="32"/>
        <v>#REF!</v>
      </c>
      <c r="I286" s="117" t="e" cm="1">
        <f t="array" ref="I286">IF(OR(INDEX(#REF!,ROW()+8)="START",INDEX(#REF!,ROW()+7)="",INDEX(#REF!,ROW()+7)="START",INDEX(#REF!,ROW()+7)="TBA",INDEX(#REF!,ROW()+7)="TBC"), IF(INDEX(#REF!,ROW()+7)="START",$C$3,""),IF(INDEX(#REF!,ROW()+7)="x",INDEX(#REF!,ROW()+7)+'Date Calculators'!$B$2+ICS4Master!$E284,""))</f>
        <v>#REF!</v>
      </c>
      <c r="J286" s="116" t="e" cm="1">
        <f t="array" ref="J286">IF(I286="","",INDEX(#REF!,ROW()+7))</f>
        <v>#REF!</v>
      </c>
      <c r="K286" s="120" t="e" cm="1">
        <f t="array" ref="K286">IF(I286="","",INDEX(#REF!,ROW()+7))</f>
        <v>#REF!</v>
      </c>
      <c r="L286" s="129" t="e" cm="1">
        <f t="array" ref="L286">IF(OR(I286="",INDEX(#REF!,ROW()+7)=""),"",INDEX(#REF!,ROW()+7))</f>
        <v>#REF!</v>
      </c>
    </row>
    <row r="287" spans="2:12" ht="15" customHeight="1">
      <c r="B287" s="121" t="str">
        <f t="shared" si="33"/>
        <v/>
      </c>
      <c r="C287" s="117" t="str">
        <f t="shared" si="34"/>
        <v/>
      </c>
      <c r="D287" s="116" t="str">
        <f t="shared" si="35"/>
        <v/>
      </c>
      <c r="E287" s="120" t="str">
        <f t="shared" si="36"/>
        <v/>
      </c>
      <c r="F287" s="123" t="str">
        <f t="shared" si="37"/>
        <v/>
      </c>
      <c r="G287" s="126" t="e">
        <f t="shared" si="38"/>
        <v>#REF!</v>
      </c>
      <c r="H287" s="116" t="e">
        <f t="shared" si="32"/>
        <v>#REF!</v>
      </c>
      <c r="I287" s="117" t="e" cm="1">
        <f t="array" ref="I287">IF(OR(INDEX(#REF!,ROW()+8)="START",INDEX(#REF!,ROW()+7)="",INDEX(#REF!,ROW()+7)="START",INDEX(#REF!,ROW()+7)="TBA",INDEX(#REF!,ROW()+7)="TBC"), IF(INDEX(#REF!,ROW()+7)="START",$C$3,""),IF(INDEX(#REF!,ROW()+7)="x",INDEX(#REF!,ROW()+7)+'Date Calculators'!$B$2+ICS4Master!$E285,""))</f>
        <v>#REF!</v>
      </c>
      <c r="J287" s="116" t="e" cm="1">
        <f t="array" ref="J287">IF(I287="","",INDEX(#REF!,ROW()+7))</f>
        <v>#REF!</v>
      </c>
      <c r="K287" s="120" t="e" cm="1">
        <f t="array" ref="K287">IF(I287="","",INDEX(#REF!,ROW()+7))</f>
        <v>#REF!</v>
      </c>
      <c r="L287" s="129" t="e" cm="1">
        <f t="array" ref="L287">IF(OR(I287="",INDEX(#REF!,ROW()+7)=""),"",INDEX(#REF!,ROW()+7))</f>
        <v>#REF!</v>
      </c>
    </row>
    <row r="288" spans="2:12" ht="15" customHeight="1">
      <c r="B288" s="121" t="str">
        <f t="shared" si="33"/>
        <v/>
      </c>
      <c r="C288" s="117" t="str">
        <f t="shared" si="34"/>
        <v/>
      </c>
      <c r="D288" s="116" t="str">
        <f t="shared" si="35"/>
        <v/>
      </c>
      <c r="E288" s="120" t="str">
        <f t="shared" si="36"/>
        <v/>
      </c>
      <c r="F288" s="123" t="str">
        <f t="shared" si="37"/>
        <v/>
      </c>
      <c r="G288" s="126" t="e">
        <f t="shared" si="38"/>
        <v>#REF!</v>
      </c>
      <c r="H288" s="116" t="e">
        <f t="shared" si="32"/>
        <v>#REF!</v>
      </c>
      <c r="I288" s="117" t="e" cm="1">
        <f t="array" ref="I288">IF(OR(INDEX(#REF!,ROW()+8)="START",INDEX(#REF!,ROW()+7)="",INDEX(#REF!,ROW()+7)="START",INDEX(#REF!,ROW()+7)="TBA",INDEX(#REF!,ROW()+7)="TBC"), IF(INDEX(#REF!,ROW()+7)="START",$C$3,""),IF(INDEX(#REF!,ROW()+7)="x",INDEX(#REF!,ROW()+7)+'Date Calculators'!$B$2+ICS4Master!$E286,""))</f>
        <v>#REF!</v>
      </c>
      <c r="J288" s="116" t="e" cm="1">
        <f t="array" ref="J288">IF(I288="","",INDEX(#REF!,ROW()+7))</f>
        <v>#REF!</v>
      </c>
      <c r="K288" s="120" t="e" cm="1">
        <f t="array" ref="K288">IF(I288="","",INDEX(#REF!,ROW()+7))</f>
        <v>#REF!</v>
      </c>
      <c r="L288" s="129" t="e" cm="1">
        <f t="array" ref="L288">IF(OR(I288="",INDEX(#REF!,ROW()+7)=""),"",INDEX(#REF!,ROW()+7))</f>
        <v>#REF!</v>
      </c>
    </row>
    <row r="289" spans="2:12" ht="15" customHeight="1">
      <c r="B289" s="121" t="str">
        <f t="shared" si="33"/>
        <v/>
      </c>
      <c r="C289" s="117" t="str">
        <f t="shared" si="34"/>
        <v/>
      </c>
      <c r="D289" s="116" t="str">
        <f t="shared" si="35"/>
        <v/>
      </c>
      <c r="E289" s="120" t="str">
        <f t="shared" si="36"/>
        <v/>
      </c>
      <c r="F289" s="123" t="str">
        <f t="shared" si="37"/>
        <v/>
      </c>
      <c r="G289" s="126" t="e">
        <f t="shared" si="38"/>
        <v>#REF!</v>
      </c>
      <c r="H289" s="116" t="e">
        <f t="shared" si="32"/>
        <v>#REF!</v>
      </c>
      <c r="I289" s="117" t="e" cm="1">
        <f t="array" ref="I289">IF(OR(INDEX(#REF!,ROW()+8)="START",INDEX(#REF!,ROW()+7)="",INDEX(#REF!,ROW()+7)="START",INDEX(#REF!,ROW()+7)="TBA",INDEX(#REF!,ROW()+7)="TBC"), IF(INDEX(#REF!,ROW()+7)="START",$C$3,""),IF(INDEX(#REF!,ROW()+7)="x",INDEX(#REF!,ROW()+7)+'Date Calculators'!$B$2+ICS4Master!$E287,""))</f>
        <v>#REF!</v>
      </c>
      <c r="J289" s="116" t="e" cm="1">
        <f t="array" ref="J289">IF(I289="","",INDEX(#REF!,ROW()+7))</f>
        <v>#REF!</v>
      </c>
      <c r="K289" s="120" t="e" cm="1">
        <f t="array" ref="K289">IF(I289="","",INDEX(#REF!,ROW()+7))</f>
        <v>#REF!</v>
      </c>
      <c r="L289" s="129" t="e" cm="1">
        <f t="array" ref="L289">IF(OR(I289="",INDEX(#REF!,ROW()+7)=""),"",INDEX(#REF!,ROW()+7))</f>
        <v>#REF!</v>
      </c>
    </row>
    <row r="290" spans="2:12" ht="15" customHeight="1">
      <c r="B290" s="121" t="str">
        <f t="shared" si="33"/>
        <v/>
      </c>
      <c r="C290" s="117" t="str">
        <f t="shared" si="34"/>
        <v/>
      </c>
      <c r="D290" s="116" t="str">
        <f t="shared" si="35"/>
        <v/>
      </c>
      <c r="E290" s="120" t="str">
        <f t="shared" si="36"/>
        <v/>
      </c>
      <c r="F290" s="123" t="str">
        <f t="shared" si="37"/>
        <v/>
      </c>
      <c r="G290" s="126" t="e">
        <f t="shared" si="38"/>
        <v>#REF!</v>
      </c>
      <c r="H290" s="116" t="e">
        <f t="shared" si="32"/>
        <v>#REF!</v>
      </c>
      <c r="I290" s="117" t="e" cm="1">
        <f t="array" ref="I290">IF(OR(INDEX(#REF!,ROW()+8)="START",INDEX(#REF!,ROW()+7)="",INDEX(#REF!,ROW()+7)="START",INDEX(#REF!,ROW()+7)="TBA",INDEX(#REF!,ROW()+7)="TBC"), IF(INDEX(#REF!,ROW()+7)="START",$C$3,""),IF(INDEX(#REF!,ROW()+7)="x",INDEX(#REF!,ROW()+7)+'Date Calculators'!$B$2+ICS4Master!$E288,""))</f>
        <v>#REF!</v>
      </c>
      <c r="J290" s="116" t="e" cm="1">
        <f t="array" ref="J290">IF(I290="","",INDEX(#REF!,ROW()+7))</f>
        <v>#REF!</v>
      </c>
      <c r="K290" s="120" t="e" cm="1">
        <f t="array" ref="K290">IF(I290="","",INDEX(#REF!,ROW()+7))</f>
        <v>#REF!</v>
      </c>
      <c r="L290" s="129" t="e" cm="1">
        <f t="array" ref="L290">IF(OR(I290="",INDEX(#REF!,ROW()+7)=""),"",INDEX(#REF!,ROW()+7))</f>
        <v>#REF!</v>
      </c>
    </row>
    <row r="291" spans="2:12" ht="15" customHeight="1">
      <c r="B291" s="121" t="str">
        <f t="shared" si="33"/>
        <v/>
      </c>
      <c r="C291" s="117" t="str">
        <f t="shared" si="34"/>
        <v/>
      </c>
      <c r="D291" s="116" t="str">
        <f t="shared" si="35"/>
        <v/>
      </c>
      <c r="E291" s="120" t="str">
        <f t="shared" si="36"/>
        <v/>
      </c>
      <c r="F291" s="123" t="str">
        <f t="shared" si="37"/>
        <v/>
      </c>
      <c r="G291" s="126" t="e">
        <f t="shared" si="38"/>
        <v>#REF!</v>
      </c>
      <c r="H291" s="116" t="e">
        <f t="shared" si="32"/>
        <v>#REF!</v>
      </c>
      <c r="I291" s="117" t="e" cm="1">
        <f t="array" ref="I291">IF(OR(INDEX(#REF!,ROW()+8)="START",INDEX(#REF!,ROW()+7)="",INDEX(#REF!,ROW()+7)="START",INDEX(#REF!,ROW()+7)="TBA",INDEX(#REF!,ROW()+7)="TBC"), IF(INDEX(#REF!,ROW()+7)="START",$C$3,""),IF(INDEX(#REF!,ROW()+7)="x",INDEX(#REF!,ROW()+7)+'Date Calculators'!$B$2+ICS4Master!$E289,""))</f>
        <v>#REF!</v>
      </c>
      <c r="J291" s="116" t="e" cm="1">
        <f t="array" ref="J291">IF(I291="","",INDEX(#REF!,ROW()+7))</f>
        <v>#REF!</v>
      </c>
      <c r="K291" s="120" t="e" cm="1">
        <f t="array" ref="K291">IF(I291="","",INDEX(#REF!,ROW()+7))</f>
        <v>#REF!</v>
      </c>
      <c r="L291" s="129" t="e" cm="1">
        <f t="array" ref="L291">IF(OR(I291="",INDEX(#REF!,ROW()+7)=""),"",INDEX(#REF!,ROW()+7))</f>
        <v>#REF!</v>
      </c>
    </row>
    <row r="292" spans="2:12" ht="15" customHeight="1">
      <c r="B292" s="121" t="str">
        <f t="shared" si="33"/>
        <v/>
      </c>
      <c r="C292" s="117" t="str">
        <f t="shared" si="34"/>
        <v/>
      </c>
      <c r="D292" s="116" t="str">
        <f t="shared" si="35"/>
        <v/>
      </c>
      <c r="E292" s="120" t="str">
        <f t="shared" si="36"/>
        <v/>
      </c>
      <c r="F292" s="123" t="str">
        <f t="shared" si="37"/>
        <v/>
      </c>
      <c r="G292" s="126" t="e">
        <f t="shared" si="38"/>
        <v>#REF!</v>
      </c>
      <c r="H292" s="116" t="e">
        <f t="shared" si="32"/>
        <v>#REF!</v>
      </c>
      <c r="I292" s="117" t="e" cm="1">
        <f t="array" ref="I292">IF(OR(INDEX(#REF!,ROW()+8)="START",INDEX(#REF!,ROW()+7)="",INDEX(#REF!,ROW()+7)="START",INDEX(#REF!,ROW()+7)="TBA",INDEX(#REF!,ROW()+7)="TBC"), IF(INDEX(#REF!,ROW()+7)="START",$C$3,""),IF(INDEX(#REF!,ROW()+7)="x",INDEX(#REF!,ROW()+7)+'Date Calculators'!$B$2+ICS4Master!$E290,""))</f>
        <v>#REF!</v>
      </c>
      <c r="J292" s="116" t="e" cm="1">
        <f t="array" ref="J292">IF(I292="","",INDEX(#REF!,ROW()+7))</f>
        <v>#REF!</v>
      </c>
      <c r="K292" s="120" t="e" cm="1">
        <f t="array" ref="K292">IF(I292="","",INDEX(#REF!,ROW()+7))</f>
        <v>#REF!</v>
      </c>
      <c r="L292" s="129" t="e" cm="1">
        <f t="array" ref="L292">IF(OR(I292="",INDEX(#REF!,ROW()+7)=""),"",INDEX(#REF!,ROW()+7))</f>
        <v>#REF!</v>
      </c>
    </row>
    <row r="293" spans="2:12" ht="15" customHeight="1">
      <c r="B293" s="121" t="str">
        <f t="shared" si="33"/>
        <v/>
      </c>
      <c r="C293" s="117" t="str">
        <f t="shared" si="34"/>
        <v/>
      </c>
      <c r="D293" s="116" t="str">
        <f t="shared" si="35"/>
        <v/>
      </c>
      <c r="E293" s="120" t="str">
        <f t="shared" si="36"/>
        <v/>
      </c>
      <c r="F293" s="123" t="str">
        <f t="shared" si="37"/>
        <v/>
      </c>
      <c r="G293" s="126" t="e">
        <f t="shared" si="38"/>
        <v>#REF!</v>
      </c>
      <c r="H293" s="116" t="e">
        <f t="shared" si="32"/>
        <v>#REF!</v>
      </c>
      <c r="I293" s="117" t="e" cm="1">
        <f t="array" ref="I293">IF(OR(INDEX(#REF!,ROW()+8)="START",INDEX(#REF!,ROW()+7)="",INDEX(#REF!,ROW()+7)="START",INDEX(#REF!,ROW()+7)="TBA",INDEX(#REF!,ROW()+7)="TBC"), IF(INDEX(#REF!,ROW()+7)="START",$C$3,""),IF(INDEX(#REF!,ROW()+7)="x",INDEX(#REF!,ROW()+7)+'Date Calculators'!$B$2+ICS4Master!$E291,""))</f>
        <v>#REF!</v>
      </c>
      <c r="J293" s="116" t="e" cm="1">
        <f t="array" ref="J293">IF(I293="","",INDEX(#REF!,ROW()+7))</f>
        <v>#REF!</v>
      </c>
      <c r="K293" s="120" t="e" cm="1">
        <f t="array" ref="K293">IF(I293="","",INDEX(#REF!,ROW()+7))</f>
        <v>#REF!</v>
      </c>
      <c r="L293" s="129" t="e" cm="1">
        <f t="array" ref="L293">IF(OR(I293="",INDEX(#REF!,ROW()+7)=""),"",INDEX(#REF!,ROW()+7))</f>
        <v>#REF!</v>
      </c>
    </row>
    <row r="294" spans="2:12" ht="15" customHeight="1">
      <c r="B294" s="121" t="str">
        <f t="shared" si="33"/>
        <v/>
      </c>
      <c r="C294" s="117" t="str">
        <f t="shared" si="34"/>
        <v/>
      </c>
      <c r="D294" s="116" t="str">
        <f t="shared" si="35"/>
        <v/>
      </c>
      <c r="E294" s="120" t="str">
        <f t="shared" si="36"/>
        <v/>
      </c>
      <c r="F294" s="123" t="str">
        <f t="shared" si="37"/>
        <v/>
      </c>
      <c r="G294" s="126" t="e">
        <f t="shared" si="38"/>
        <v>#REF!</v>
      </c>
      <c r="H294" s="116" t="e">
        <f t="shared" si="32"/>
        <v>#REF!</v>
      </c>
      <c r="I294" s="117" t="e" cm="1">
        <f t="array" ref="I294">IF(OR(INDEX(#REF!,ROW()+8)="START",INDEX(#REF!,ROW()+7)="",INDEX(#REF!,ROW()+7)="START",INDEX(#REF!,ROW()+7)="TBA",INDEX(#REF!,ROW()+7)="TBC"), IF(INDEX(#REF!,ROW()+7)="START",$C$3,""),IF(INDEX(#REF!,ROW()+7)="x",INDEX(#REF!,ROW()+7)+'Date Calculators'!$B$2+ICS4Master!$E292,""))</f>
        <v>#REF!</v>
      </c>
      <c r="J294" s="116" t="e" cm="1">
        <f t="array" ref="J294">IF(I294="","",INDEX(#REF!,ROW()+7))</f>
        <v>#REF!</v>
      </c>
      <c r="K294" s="120" t="e" cm="1">
        <f t="array" ref="K294">IF(I294="","",INDEX(#REF!,ROW()+7))</f>
        <v>#REF!</v>
      </c>
      <c r="L294" s="129" t="e" cm="1">
        <f t="array" ref="L294">IF(OR(I294="",INDEX(#REF!,ROW()+7)=""),"",INDEX(#REF!,ROW()+7))</f>
        <v>#REF!</v>
      </c>
    </row>
    <row r="295" spans="2:12" ht="15" customHeight="1">
      <c r="B295" s="121" t="str">
        <f t="shared" si="33"/>
        <v/>
      </c>
      <c r="C295" s="117" t="str">
        <f t="shared" si="34"/>
        <v/>
      </c>
      <c r="D295" s="116" t="str">
        <f t="shared" si="35"/>
        <v/>
      </c>
      <c r="E295" s="120" t="str">
        <f t="shared" si="36"/>
        <v/>
      </c>
      <c r="F295" s="123" t="str">
        <f t="shared" si="37"/>
        <v/>
      </c>
      <c r="G295" s="126" t="e">
        <f t="shared" si="38"/>
        <v>#REF!</v>
      </c>
      <c r="H295" s="116" t="e">
        <f t="shared" si="32"/>
        <v>#REF!</v>
      </c>
      <c r="I295" s="117" t="e" cm="1">
        <f t="array" ref="I295">IF(OR(INDEX(#REF!,ROW()+8)="START",INDEX(#REF!,ROW()+7)="",INDEX(#REF!,ROW()+7)="START",INDEX(#REF!,ROW()+7)="TBA",INDEX(#REF!,ROW()+7)="TBC"), IF(INDEX(#REF!,ROW()+7)="START",$C$3,""),IF(INDEX(#REF!,ROW()+7)="x",INDEX(#REF!,ROW()+7)+'Date Calculators'!$B$2+ICS4Master!$E293,""))</f>
        <v>#REF!</v>
      </c>
      <c r="J295" s="116" t="e" cm="1">
        <f t="array" ref="J295">IF(I295="","",INDEX(#REF!,ROW()+7))</f>
        <v>#REF!</v>
      </c>
      <c r="K295" s="120" t="e" cm="1">
        <f t="array" ref="K295">IF(I295="","",INDEX(#REF!,ROW()+7))</f>
        <v>#REF!</v>
      </c>
      <c r="L295" s="129" t="e" cm="1">
        <f t="array" ref="L295">IF(OR(I295="",INDEX(#REF!,ROW()+7)=""),"",INDEX(#REF!,ROW()+7))</f>
        <v>#REF!</v>
      </c>
    </row>
    <row r="296" spans="2:12" ht="15" customHeight="1">
      <c r="B296" s="121" t="str">
        <f t="shared" si="33"/>
        <v/>
      </c>
      <c r="C296" s="117" t="str">
        <f t="shared" si="34"/>
        <v/>
      </c>
      <c r="D296" s="116" t="str">
        <f t="shared" si="35"/>
        <v/>
      </c>
      <c r="E296" s="120" t="str">
        <f t="shared" si="36"/>
        <v/>
      </c>
      <c r="F296" s="123" t="str">
        <f t="shared" si="37"/>
        <v/>
      </c>
      <c r="G296" s="126" t="e">
        <f t="shared" si="38"/>
        <v>#REF!</v>
      </c>
      <c r="H296" s="116" t="e">
        <f t="shared" si="32"/>
        <v>#REF!</v>
      </c>
      <c r="I296" s="117" t="e" cm="1">
        <f t="array" ref="I296">IF(OR(INDEX(#REF!,ROW()+8)="START",INDEX(#REF!,ROW()+7)="",INDEX(#REF!,ROW()+7)="START",INDEX(#REF!,ROW()+7)="TBA",INDEX(#REF!,ROW()+7)="TBC"), IF(INDEX(#REF!,ROW()+7)="START",$C$3,""),IF(INDEX(#REF!,ROW()+7)="x",INDEX(#REF!,ROW()+7)+'Date Calculators'!$B$2+ICS4Master!$E294,""))</f>
        <v>#REF!</v>
      </c>
      <c r="J296" s="116" t="e" cm="1">
        <f t="array" ref="J296">IF(I296="","",INDEX(#REF!,ROW()+7))</f>
        <v>#REF!</v>
      </c>
      <c r="K296" s="120" t="e" cm="1">
        <f t="array" ref="K296">IF(I296="","",INDEX(#REF!,ROW()+7))</f>
        <v>#REF!</v>
      </c>
      <c r="L296" s="129" t="e" cm="1">
        <f t="array" ref="L296">IF(OR(I296="",INDEX(#REF!,ROW()+7)=""),"",INDEX(#REF!,ROW()+7))</f>
        <v>#REF!</v>
      </c>
    </row>
    <row r="297" spans="2:12" ht="15" customHeight="1">
      <c r="B297" s="121" t="str">
        <f t="shared" si="33"/>
        <v/>
      </c>
      <c r="C297" s="117" t="str">
        <f t="shared" si="34"/>
        <v/>
      </c>
      <c r="D297" s="116" t="str">
        <f t="shared" si="35"/>
        <v/>
      </c>
      <c r="E297" s="120" t="str">
        <f t="shared" si="36"/>
        <v/>
      </c>
      <c r="F297" s="123" t="str">
        <f t="shared" si="37"/>
        <v/>
      </c>
      <c r="G297" s="126" t="e">
        <f t="shared" si="38"/>
        <v>#REF!</v>
      </c>
      <c r="H297" s="116" t="e">
        <f t="shared" si="32"/>
        <v>#REF!</v>
      </c>
      <c r="I297" s="117" t="e" cm="1">
        <f t="array" ref="I297">IF(OR(INDEX(#REF!,ROW()+8)="START",INDEX(#REF!,ROW()+7)="",INDEX(#REF!,ROW()+7)="START",INDEX(#REF!,ROW()+7)="TBA",INDEX(#REF!,ROW()+7)="TBC"), IF(INDEX(#REF!,ROW()+7)="START",$C$3,""),IF(INDEX(#REF!,ROW()+7)="x",INDEX(#REF!,ROW()+7)+'Date Calculators'!$B$2+ICS4Master!$E295,""))</f>
        <v>#REF!</v>
      </c>
      <c r="J297" s="116" t="e" cm="1">
        <f t="array" ref="J297">IF(I297="","",INDEX(#REF!,ROW()+7))</f>
        <v>#REF!</v>
      </c>
      <c r="K297" s="120" t="e" cm="1">
        <f t="array" ref="K297">IF(I297="","",INDEX(#REF!,ROW()+7))</f>
        <v>#REF!</v>
      </c>
      <c r="L297" s="129" t="e" cm="1">
        <f t="array" ref="L297">IF(OR(I297="",INDEX(#REF!,ROW()+7)=""),"",INDEX(#REF!,ROW()+7))</f>
        <v>#REF!</v>
      </c>
    </row>
    <row r="298" spans="2:12" ht="15" customHeight="1">
      <c r="B298" s="121" t="str">
        <f t="shared" si="33"/>
        <v/>
      </c>
      <c r="C298" s="117" t="str">
        <f t="shared" si="34"/>
        <v/>
      </c>
      <c r="D298" s="116" t="str">
        <f t="shared" si="35"/>
        <v/>
      </c>
      <c r="E298" s="120" t="str">
        <f t="shared" si="36"/>
        <v/>
      </c>
      <c r="F298" s="123" t="str">
        <f t="shared" si="37"/>
        <v/>
      </c>
      <c r="G298" s="126" t="e">
        <f t="shared" si="38"/>
        <v>#REF!</v>
      </c>
      <c r="H298" s="116" t="e">
        <f t="shared" si="32"/>
        <v>#REF!</v>
      </c>
      <c r="I298" s="117" t="e" cm="1">
        <f t="array" ref="I298">IF(OR(INDEX(#REF!,ROW()+8)="START",INDEX(#REF!,ROW()+7)="",INDEX(#REF!,ROW()+7)="START",INDEX(#REF!,ROW()+7)="TBA",INDEX(#REF!,ROW()+7)="TBC"), IF(INDEX(#REF!,ROW()+7)="START",$C$3,""),IF(INDEX(#REF!,ROW()+7)="x",INDEX(#REF!,ROW()+7)+'Date Calculators'!$B$2+ICS4Master!$E296,""))</f>
        <v>#REF!</v>
      </c>
      <c r="J298" s="116" t="e" cm="1">
        <f t="array" ref="J298">IF(I298="","",INDEX(#REF!,ROW()+7))</f>
        <v>#REF!</v>
      </c>
      <c r="K298" s="120" t="e" cm="1">
        <f t="array" ref="K298">IF(I298="","",INDEX(#REF!,ROW()+7))</f>
        <v>#REF!</v>
      </c>
      <c r="L298" s="129" t="e" cm="1">
        <f t="array" ref="L298">IF(OR(I298="",INDEX(#REF!,ROW()+7)=""),"",INDEX(#REF!,ROW()+7))</f>
        <v>#REF!</v>
      </c>
    </row>
    <row r="299" spans="2:12" ht="15" customHeight="1">
      <c r="B299" s="121" t="str">
        <f t="shared" si="33"/>
        <v/>
      </c>
      <c r="C299" s="117" t="str">
        <f t="shared" si="34"/>
        <v/>
      </c>
      <c r="D299" s="116" t="str">
        <f t="shared" si="35"/>
        <v/>
      </c>
      <c r="E299" s="120" t="str">
        <f t="shared" si="36"/>
        <v/>
      </c>
      <c r="F299" s="123" t="str">
        <f t="shared" si="37"/>
        <v/>
      </c>
      <c r="G299" s="126" t="e">
        <f t="shared" si="38"/>
        <v>#REF!</v>
      </c>
      <c r="H299" s="116" t="e">
        <f t="shared" si="32"/>
        <v>#REF!</v>
      </c>
      <c r="I299" s="117" t="e" cm="1">
        <f t="array" ref="I299">IF(OR(INDEX(#REF!,ROW()+8)="START",INDEX(#REF!,ROW()+7)="",INDEX(#REF!,ROW()+7)="START",INDEX(#REF!,ROW()+7)="TBA",INDEX(#REF!,ROW()+7)="TBC"), IF(INDEX(#REF!,ROW()+7)="START",$C$3,""),IF(INDEX(#REF!,ROW()+7)="x",INDEX(#REF!,ROW()+7)+'Date Calculators'!$B$2+ICS4Master!$E297,""))</f>
        <v>#REF!</v>
      </c>
      <c r="J299" s="116" t="e" cm="1">
        <f t="array" ref="J299">IF(I299="","",INDEX(#REF!,ROW()+7))</f>
        <v>#REF!</v>
      </c>
      <c r="K299" s="120" t="e" cm="1">
        <f t="array" ref="K299">IF(I299="","",INDEX(#REF!,ROW()+7))</f>
        <v>#REF!</v>
      </c>
      <c r="L299" s="129" t="e" cm="1">
        <f t="array" ref="L299">IF(OR(I299="",INDEX(#REF!,ROW()+7)=""),"",INDEX(#REF!,ROW()+7))</f>
        <v>#REF!</v>
      </c>
    </row>
    <row r="300" spans="2:12" ht="15" customHeight="1">
      <c r="B300" s="121" t="str">
        <f t="shared" si="33"/>
        <v/>
      </c>
      <c r="C300" s="117" t="str">
        <f t="shared" si="34"/>
        <v/>
      </c>
      <c r="D300" s="116" t="str">
        <f t="shared" si="35"/>
        <v/>
      </c>
      <c r="E300" s="120" t="str">
        <f t="shared" si="36"/>
        <v/>
      </c>
      <c r="F300" s="123" t="str">
        <f t="shared" si="37"/>
        <v/>
      </c>
      <c r="G300" s="126" t="e">
        <f t="shared" si="38"/>
        <v>#REF!</v>
      </c>
      <c r="H300" s="116" t="e">
        <f t="shared" si="32"/>
        <v>#REF!</v>
      </c>
      <c r="I300" s="117" t="e" cm="1">
        <f t="array" ref="I300">IF(OR(INDEX(#REF!,ROW()+8)="START",INDEX(#REF!,ROW()+7)="",INDEX(#REF!,ROW()+7)="START",INDEX(#REF!,ROW()+7)="TBA",INDEX(#REF!,ROW()+7)="TBC"), IF(INDEX(#REF!,ROW()+7)="START",$C$3,""),IF(INDEX(#REF!,ROW()+7)="x",INDEX(#REF!,ROW()+7)+'Date Calculators'!$B$2+ICS4Master!$E298,""))</f>
        <v>#REF!</v>
      </c>
      <c r="J300" s="116" t="e" cm="1">
        <f t="array" ref="J300">IF(I300="","",INDEX(#REF!,ROW()+7))</f>
        <v>#REF!</v>
      </c>
      <c r="K300" s="120" t="e" cm="1">
        <f t="array" ref="K300">IF(I300="","",INDEX(#REF!,ROW()+7))</f>
        <v>#REF!</v>
      </c>
      <c r="L300" s="129" t="e" cm="1">
        <f t="array" ref="L300">IF(OR(I300="",INDEX(#REF!,ROW()+7)=""),"",INDEX(#REF!,ROW()+7))</f>
        <v>#REF!</v>
      </c>
    </row>
    <row r="301" spans="2:12" ht="15" customHeight="1">
      <c r="B301" s="121" t="str">
        <f t="shared" si="33"/>
        <v/>
      </c>
      <c r="C301" s="117" t="str">
        <f t="shared" si="34"/>
        <v/>
      </c>
      <c r="D301" s="116" t="str">
        <f t="shared" si="35"/>
        <v/>
      </c>
      <c r="E301" s="120" t="str">
        <f t="shared" si="36"/>
        <v/>
      </c>
      <c r="F301" s="123" t="str">
        <f t="shared" si="37"/>
        <v/>
      </c>
      <c r="G301" s="126" t="e">
        <f t="shared" si="38"/>
        <v>#REF!</v>
      </c>
      <c r="H301" s="116" t="e">
        <f t="shared" si="32"/>
        <v>#REF!</v>
      </c>
      <c r="I301" s="117" t="e" cm="1">
        <f t="array" ref="I301">IF(OR(INDEX(#REF!,ROW()+8)="START",INDEX(#REF!,ROW()+7)="",INDEX(#REF!,ROW()+7)="START",INDEX(#REF!,ROW()+7)="TBA",INDEX(#REF!,ROW()+7)="TBC"), IF(INDEX(#REF!,ROW()+7)="START",$C$3,""),IF(INDEX(#REF!,ROW()+7)="x",INDEX(#REF!,ROW()+7)+'Date Calculators'!$B$2+ICS4Master!$E299,""))</f>
        <v>#REF!</v>
      </c>
      <c r="J301" s="116" t="e" cm="1">
        <f t="array" ref="J301">IF(I301="","",INDEX(#REF!,ROW()+7))</f>
        <v>#REF!</v>
      </c>
      <c r="K301" s="120" t="e" cm="1">
        <f t="array" ref="K301">IF(I301="","",INDEX(#REF!,ROW()+7))</f>
        <v>#REF!</v>
      </c>
      <c r="L301" s="129" t="e" cm="1">
        <f t="array" ref="L301">IF(OR(I301="",INDEX(#REF!,ROW()+7)=""),"",INDEX(#REF!,ROW()+7))</f>
        <v>#REF!</v>
      </c>
    </row>
    <row r="302" spans="2:12" ht="15" customHeight="1">
      <c r="B302" s="121" t="str">
        <f t="shared" si="33"/>
        <v/>
      </c>
      <c r="C302" s="117" t="str">
        <f t="shared" si="34"/>
        <v/>
      </c>
      <c r="D302" s="116" t="str">
        <f t="shared" si="35"/>
        <v/>
      </c>
      <c r="E302" s="120" t="str">
        <f t="shared" si="36"/>
        <v/>
      </c>
      <c r="F302" s="123" t="str">
        <f t="shared" si="37"/>
        <v/>
      </c>
      <c r="G302" s="126" t="e">
        <f t="shared" si="38"/>
        <v>#REF!</v>
      </c>
      <c r="H302" s="116" t="e">
        <f t="shared" si="32"/>
        <v>#REF!</v>
      </c>
      <c r="I302" s="117" t="e" cm="1">
        <f t="array" ref="I302">IF(OR(INDEX(#REF!,ROW()+8)="START",INDEX(#REF!,ROW()+7)="",INDEX(#REF!,ROW()+7)="START",INDEX(#REF!,ROW()+7)="TBA",INDEX(#REF!,ROW()+7)="TBC"), IF(INDEX(#REF!,ROW()+7)="START",$C$3,""),IF(INDEX(#REF!,ROW()+7)="x",INDEX(#REF!,ROW()+7)+'Date Calculators'!$B$2+ICS4Master!$E300,""))</f>
        <v>#REF!</v>
      </c>
      <c r="J302" s="116" t="e" cm="1">
        <f t="array" ref="J302">IF(I302="","",INDEX(#REF!,ROW()+7))</f>
        <v>#REF!</v>
      </c>
      <c r="K302" s="120" t="e" cm="1">
        <f t="array" ref="K302">IF(I302="","",INDEX(#REF!,ROW()+7))</f>
        <v>#REF!</v>
      </c>
      <c r="L302" s="129" t="e" cm="1">
        <f t="array" ref="L302">IF(OR(I302="",INDEX(#REF!,ROW()+7)=""),"",INDEX(#REF!,ROW()+7))</f>
        <v>#REF!</v>
      </c>
    </row>
    <row r="303" spans="2:12" ht="15" customHeight="1">
      <c r="B303" s="121" t="str">
        <f t="shared" si="33"/>
        <v/>
      </c>
      <c r="C303" s="117" t="str">
        <f t="shared" si="34"/>
        <v/>
      </c>
      <c r="D303" s="116" t="str">
        <f t="shared" si="35"/>
        <v/>
      </c>
      <c r="E303" s="120" t="str">
        <f t="shared" si="36"/>
        <v/>
      </c>
      <c r="F303" s="123" t="str">
        <f t="shared" si="37"/>
        <v/>
      </c>
      <c r="G303" s="126" t="e">
        <f t="shared" si="38"/>
        <v>#REF!</v>
      </c>
      <c r="H303" s="116" t="e">
        <f t="shared" si="32"/>
        <v>#REF!</v>
      </c>
      <c r="I303" s="117" t="e" cm="1">
        <f t="array" ref="I303">IF(OR(INDEX(#REF!,ROW()+8)="START",INDEX(#REF!,ROW()+7)="",INDEX(#REF!,ROW()+7)="START",INDEX(#REF!,ROW()+7)="TBA",INDEX(#REF!,ROW()+7)="TBC"), IF(INDEX(#REF!,ROW()+7)="START",$C$3,""),IF(INDEX(#REF!,ROW()+7)="x",INDEX(#REF!,ROW()+7)+'Date Calculators'!$B$2+ICS4Master!$E301,""))</f>
        <v>#REF!</v>
      </c>
      <c r="J303" s="116" t="e" cm="1">
        <f t="array" ref="J303">IF(I303="","",INDEX(#REF!,ROW()+7))</f>
        <v>#REF!</v>
      </c>
      <c r="K303" s="120" t="e" cm="1">
        <f t="array" ref="K303">IF(I303="","",INDEX(#REF!,ROW()+7))</f>
        <v>#REF!</v>
      </c>
      <c r="L303" s="129" t="e" cm="1">
        <f t="array" ref="L303">IF(OR(I303="",INDEX(#REF!,ROW()+7)=""),"",INDEX(#REF!,ROW()+7))</f>
        <v>#REF!</v>
      </c>
    </row>
    <row r="304" spans="2:12" ht="15" customHeight="1">
      <c r="B304" s="121" t="str">
        <f t="shared" si="33"/>
        <v/>
      </c>
      <c r="C304" s="117" t="str">
        <f t="shared" si="34"/>
        <v/>
      </c>
      <c r="D304" s="116" t="str">
        <f t="shared" si="35"/>
        <v/>
      </c>
      <c r="E304" s="120" t="str">
        <f t="shared" si="36"/>
        <v/>
      </c>
      <c r="F304" s="123" t="str">
        <f t="shared" si="37"/>
        <v/>
      </c>
      <c r="G304" s="126" t="e">
        <f t="shared" si="38"/>
        <v>#REF!</v>
      </c>
      <c r="H304" s="116" t="e">
        <f t="shared" si="32"/>
        <v>#REF!</v>
      </c>
      <c r="I304" s="117" t="e" cm="1">
        <f t="array" ref="I304">IF(OR(INDEX(#REF!,ROW()+8)="START",INDEX(#REF!,ROW()+7)="",INDEX(#REF!,ROW()+7)="START",INDEX(#REF!,ROW()+7)="TBA",INDEX(#REF!,ROW()+7)="TBC"), IF(INDEX(#REF!,ROW()+7)="START",$C$3,""),IF(INDEX(#REF!,ROW()+7)="x",INDEX(#REF!,ROW()+7)+'Date Calculators'!$B$2+ICS4Master!$E302,""))</f>
        <v>#REF!</v>
      </c>
      <c r="J304" s="116" t="e" cm="1">
        <f t="array" ref="J304">IF(I304="","",INDEX(#REF!,ROW()+7))</f>
        <v>#REF!</v>
      </c>
      <c r="K304" s="120" t="e" cm="1">
        <f t="array" ref="K304">IF(I304="","",INDEX(#REF!,ROW()+7))</f>
        <v>#REF!</v>
      </c>
      <c r="L304" s="129" t="e" cm="1">
        <f t="array" ref="L304">IF(OR(I304="",INDEX(#REF!,ROW()+7)=""),"",INDEX(#REF!,ROW()+7))</f>
        <v>#REF!</v>
      </c>
    </row>
    <row r="305" spans="2:12" ht="15" customHeight="1">
      <c r="B305" s="121" t="str">
        <f t="shared" si="33"/>
        <v/>
      </c>
      <c r="C305" s="117" t="str">
        <f t="shared" si="34"/>
        <v/>
      </c>
      <c r="D305" s="116" t="str">
        <f t="shared" si="35"/>
        <v/>
      </c>
      <c r="E305" s="120" t="str">
        <f t="shared" si="36"/>
        <v/>
      </c>
      <c r="F305" s="123" t="str">
        <f t="shared" si="37"/>
        <v/>
      </c>
      <c r="G305" s="126" t="e">
        <f t="shared" si="38"/>
        <v>#REF!</v>
      </c>
      <c r="H305" s="116" t="e">
        <f t="shared" si="32"/>
        <v>#REF!</v>
      </c>
      <c r="I305" s="117" t="e" cm="1">
        <f t="array" ref="I305">IF(OR(INDEX(#REF!,ROW()+8)="START",INDEX(#REF!,ROW()+7)="",INDEX(#REF!,ROW()+7)="START",INDEX(#REF!,ROW()+7)="TBA",INDEX(#REF!,ROW()+7)="TBC"), IF(INDEX(#REF!,ROW()+7)="START",$C$3,""),IF(INDEX(#REF!,ROW()+7)="x",INDEX(#REF!,ROW()+7)+'Date Calculators'!$B$2+ICS4Master!$E303,""))</f>
        <v>#REF!</v>
      </c>
      <c r="J305" s="116" t="e" cm="1">
        <f t="array" ref="J305">IF(I305="","",INDEX(#REF!,ROW()+7))</f>
        <v>#REF!</v>
      </c>
      <c r="K305" s="120" t="e" cm="1">
        <f t="array" ref="K305">IF(I305="","",INDEX(#REF!,ROW()+7))</f>
        <v>#REF!</v>
      </c>
      <c r="L305" s="129" t="e" cm="1">
        <f t="array" ref="L305">IF(OR(I305="",INDEX(#REF!,ROW()+7)=""),"",INDEX(#REF!,ROW()+7))</f>
        <v>#REF!</v>
      </c>
    </row>
    <row r="306" spans="2:12" ht="15" customHeight="1">
      <c r="B306" s="121" t="str">
        <f t="shared" si="33"/>
        <v/>
      </c>
      <c r="C306" s="117" t="str">
        <f t="shared" si="34"/>
        <v/>
      </c>
      <c r="D306" s="116" t="str">
        <f t="shared" si="35"/>
        <v/>
      </c>
      <c r="E306" s="120" t="str">
        <f t="shared" si="36"/>
        <v/>
      </c>
      <c r="F306" s="123" t="str">
        <f t="shared" si="37"/>
        <v/>
      </c>
      <c r="G306" s="126" t="e">
        <f t="shared" si="38"/>
        <v>#REF!</v>
      </c>
      <c r="H306" s="116" t="e">
        <f t="shared" si="32"/>
        <v>#REF!</v>
      </c>
      <c r="I306" s="117" t="e" cm="1">
        <f t="array" ref="I306">IF(OR(INDEX(#REF!,ROW()+8)="START",INDEX(#REF!,ROW()+7)="",INDEX(#REF!,ROW()+7)="START",INDEX(#REF!,ROW()+7)="TBA",INDEX(#REF!,ROW()+7)="TBC"), IF(INDEX(#REF!,ROW()+7)="START",$C$3,""),IF(INDEX(#REF!,ROW()+7)="x",INDEX(#REF!,ROW()+7)+'Date Calculators'!$B$2+ICS4Master!$E304,""))</f>
        <v>#REF!</v>
      </c>
      <c r="J306" s="116" t="e" cm="1">
        <f t="array" ref="J306">IF(I306="","",INDEX(#REF!,ROW()+7))</f>
        <v>#REF!</v>
      </c>
      <c r="K306" s="120" t="e" cm="1">
        <f t="array" ref="K306">IF(I306="","",INDEX(#REF!,ROW()+7))</f>
        <v>#REF!</v>
      </c>
      <c r="L306" s="129" t="e" cm="1">
        <f t="array" ref="L306">IF(OR(I306="",INDEX(#REF!,ROW()+7)=""),"",INDEX(#REF!,ROW()+7))</f>
        <v>#REF!</v>
      </c>
    </row>
    <row r="307" spans="2:12" ht="15" customHeight="1">
      <c r="B307" s="121" t="str">
        <f t="shared" si="33"/>
        <v/>
      </c>
      <c r="C307" s="117" t="str">
        <f t="shared" si="34"/>
        <v/>
      </c>
      <c r="D307" s="116" t="str">
        <f t="shared" si="35"/>
        <v/>
      </c>
      <c r="E307" s="120" t="str">
        <f t="shared" si="36"/>
        <v/>
      </c>
      <c r="F307" s="123" t="str">
        <f t="shared" si="37"/>
        <v/>
      </c>
      <c r="G307" s="126" t="e">
        <f t="shared" si="38"/>
        <v>#REF!</v>
      </c>
      <c r="H307" s="116" t="e">
        <f t="shared" si="32"/>
        <v>#REF!</v>
      </c>
      <c r="I307" s="117" t="e" cm="1">
        <f t="array" ref="I307">IF(OR(INDEX(#REF!,ROW()+8)="START",INDEX(#REF!,ROW()+7)="",INDEX(#REF!,ROW()+7)="START",INDEX(#REF!,ROW()+7)="TBA",INDEX(#REF!,ROW()+7)="TBC"), IF(INDEX(#REF!,ROW()+7)="START",$C$3,""),IF(INDEX(#REF!,ROW()+7)="x",INDEX(#REF!,ROW()+7)+'Date Calculators'!$B$2+ICS4Master!$E305,""))</f>
        <v>#REF!</v>
      </c>
      <c r="J307" s="116" t="e" cm="1">
        <f t="array" ref="J307">IF(I307="","",INDEX(#REF!,ROW()+7))</f>
        <v>#REF!</v>
      </c>
      <c r="K307" s="120" t="e" cm="1">
        <f t="array" ref="K307">IF(I307="","",INDEX(#REF!,ROW()+7))</f>
        <v>#REF!</v>
      </c>
      <c r="L307" s="129" t="e" cm="1">
        <f t="array" ref="L307">IF(OR(I307="",INDEX(#REF!,ROW()+7)=""),"",INDEX(#REF!,ROW()+7))</f>
        <v>#REF!</v>
      </c>
    </row>
    <row r="308" spans="2:12" ht="15" customHeight="1">
      <c r="B308" s="121" t="str">
        <f t="shared" si="33"/>
        <v/>
      </c>
      <c r="C308" s="117" t="str">
        <f t="shared" si="34"/>
        <v/>
      </c>
      <c r="D308" s="116" t="str">
        <f t="shared" si="35"/>
        <v/>
      </c>
      <c r="E308" s="120" t="str">
        <f t="shared" si="36"/>
        <v/>
      </c>
      <c r="F308" s="123" t="str">
        <f t="shared" si="37"/>
        <v/>
      </c>
      <c r="G308" s="126" t="e">
        <f t="shared" si="38"/>
        <v>#REF!</v>
      </c>
      <c r="H308" s="116" t="e">
        <f t="shared" si="32"/>
        <v>#REF!</v>
      </c>
      <c r="I308" s="117" t="e" cm="1">
        <f t="array" ref="I308">IF(OR(INDEX(#REF!,ROW()+8)="START",INDEX(#REF!,ROW()+7)="",INDEX(#REF!,ROW()+7)="START",INDEX(#REF!,ROW()+7)="TBA",INDEX(#REF!,ROW()+7)="TBC"), IF(INDEX(#REF!,ROW()+7)="START",$C$3,""),IF(INDEX(#REF!,ROW()+7)="x",INDEX(#REF!,ROW()+7)+'Date Calculators'!$B$2+ICS4Master!$E306,""))</f>
        <v>#REF!</v>
      </c>
      <c r="J308" s="116" t="e" cm="1">
        <f t="array" ref="J308">IF(I308="","",INDEX(#REF!,ROW()+7))</f>
        <v>#REF!</v>
      </c>
      <c r="K308" s="120" t="e" cm="1">
        <f t="array" ref="K308">IF(I308="","",INDEX(#REF!,ROW()+7))</f>
        <v>#REF!</v>
      </c>
      <c r="L308" s="129" t="e" cm="1">
        <f t="array" ref="L308">IF(OR(I308="",INDEX(#REF!,ROW()+7)=""),"",INDEX(#REF!,ROW()+7))</f>
        <v>#REF!</v>
      </c>
    </row>
    <row r="309" spans="2:12" ht="15" customHeight="1">
      <c r="B309" s="121" t="str">
        <f t="shared" si="33"/>
        <v/>
      </c>
      <c r="C309" s="117" t="str">
        <f t="shared" si="34"/>
        <v/>
      </c>
      <c r="D309" s="116" t="str">
        <f t="shared" si="35"/>
        <v/>
      </c>
      <c r="E309" s="120" t="str">
        <f t="shared" si="36"/>
        <v/>
      </c>
      <c r="F309" s="123" t="str">
        <f t="shared" si="37"/>
        <v/>
      </c>
      <c r="G309" s="126" t="e">
        <f t="shared" si="38"/>
        <v>#REF!</v>
      </c>
      <c r="H309" s="116" t="e">
        <f t="shared" si="32"/>
        <v>#REF!</v>
      </c>
      <c r="I309" s="117" t="e" cm="1">
        <f t="array" ref="I309">IF(OR(INDEX(#REF!,ROW()+8)="START",INDEX(#REF!,ROW()+7)="",INDEX(#REF!,ROW()+7)="START",INDEX(#REF!,ROW()+7)="TBA",INDEX(#REF!,ROW()+7)="TBC"), IF(INDEX(#REF!,ROW()+7)="START",$C$3,""),IF(INDEX(#REF!,ROW()+7)="x",INDEX(#REF!,ROW()+7)+'Date Calculators'!$B$2+ICS4Master!$E307,""))</f>
        <v>#REF!</v>
      </c>
      <c r="J309" s="116" t="e" cm="1">
        <f t="array" ref="J309">IF(I309="","",INDEX(#REF!,ROW()+7))</f>
        <v>#REF!</v>
      </c>
      <c r="K309" s="120" t="e" cm="1">
        <f t="array" ref="K309">IF(I309="","",INDEX(#REF!,ROW()+7))</f>
        <v>#REF!</v>
      </c>
      <c r="L309" s="129" t="e" cm="1">
        <f t="array" ref="L309">IF(OR(I309="",INDEX(#REF!,ROW()+7)=""),"",INDEX(#REF!,ROW()+7))</f>
        <v>#REF!</v>
      </c>
    </row>
    <row r="310" spans="2:12" ht="15" customHeight="1">
      <c r="B310" s="121" t="str">
        <f t="shared" si="33"/>
        <v/>
      </c>
      <c r="C310" s="117" t="str">
        <f t="shared" si="34"/>
        <v/>
      </c>
      <c r="D310" s="116" t="str">
        <f t="shared" si="35"/>
        <v/>
      </c>
      <c r="E310" s="120" t="str">
        <f t="shared" si="36"/>
        <v/>
      </c>
      <c r="F310" s="123" t="str">
        <f t="shared" si="37"/>
        <v/>
      </c>
      <c r="G310" s="126" t="e">
        <f t="shared" si="38"/>
        <v>#REF!</v>
      </c>
      <c r="H310" s="116" t="e">
        <f t="shared" si="32"/>
        <v>#REF!</v>
      </c>
      <c r="I310" s="117" t="e" cm="1">
        <f t="array" ref="I310">IF(OR(INDEX(#REF!,ROW()+8)="START",INDEX(#REF!,ROW()+7)="",INDEX(#REF!,ROW()+7)="START",INDEX(#REF!,ROW()+7)="TBA",INDEX(#REF!,ROW()+7)="TBC"), IF(INDEX(#REF!,ROW()+7)="START",$C$3,""),IF(INDEX(#REF!,ROW()+7)="x",INDEX(#REF!,ROW()+7)+'Date Calculators'!$B$2+ICS4Master!$E308,""))</f>
        <v>#REF!</v>
      </c>
      <c r="J310" s="116" t="e" cm="1">
        <f t="array" ref="J310">IF(I310="","",INDEX(#REF!,ROW()+7))</f>
        <v>#REF!</v>
      </c>
      <c r="K310" s="120" t="e" cm="1">
        <f t="array" ref="K310">IF(I310="","",INDEX(#REF!,ROW()+7))</f>
        <v>#REF!</v>
      </c>
      <c r="L310" s="129" t="e" cm="1">
        <f t="array" ref="L310">IF(OR(I310="",INDEX(#REF!,ROW()+7)=""),"",INDEX(#REF!,ROW()+7))</f>
        <v>#REF!</v>
      </c>
    </row>
    <row r="311" spans="2:12" ht="15" customHeight="1">
      <c r="B311" s="121" t="str">
        <f t="shared" si="33"/>
        <v/>
      </c>
      <c r="C311" s="117" t="str">
        <f t="shared" si="34"/>
        <v/>
      </c>
      <c r="D311" s="116" t="str">
        <f t="shared" si="35"/>
        <v/>
      </c>
      <c r="E311" s="120" t="str">
        <f t="shared" si="36"/>
        <v/>
      </c>
      <c r="F311" s="123" t="str">
        <f t="shared" si="37"/>
        <v/>
      </c>
      <c r="G311" s="126" t="e">
        <f t="shared" si="38"/>
        <v>#REF!</v>
      </c>
      <c r="H311" s="116" t="e">
        <f t="shared" si="32"/>
        <v>#REF!</v>
      </c>
      <c r="I311" s="117" t="e" cm="1">
        <f t="array" ref="I311">IF(OR(INDEX(#REF!,ROW()+8)="START",INDEX(#REF!,ROW()+7)="",INDEX(#REF!,ROW()+7)="START",INDEX(#REF!,ROW()+7)="TBA",INDEX(#REF!,ROW()+7)="TBC"), IF(INDEX(#REF!,ROW()+7)="START",$C$3,""),IF(INDEX(#REF!,ROW()+7)="x",INDEX(#REF!,ROW()+7)+'Date Calculators'!$B$2+ICS4Master!$E309,""))</f>
        <v>#REF!</v>
      </c>
      <c r="J311" s="116" t="e" cm="1">
        <f t="array" ref="J311">IF(I311="","",INDEX(#REF!,ROW()+7))</f>
        <v>#REF!</v>
      </c>
      <c r="K311" s="120" t="e" cm="1">
        <f t="array" ref="K311">IF(I311="","",INDEX(#REF!,ROW()+7))</f>
        <v>#REF!</v>
      </c>
      <c r="L311" s="129" t="e" cm="1">
        <f t="array" ref="L311">IF(OR(I311="",INDEX(#REF!,ROW()+7)=""),"",INDEX(#REF!,ROW()+7))</f>
        <v>#REF!</v>
      </c>
    </row>
    <row r="312" spans="2:12" ht="15" customHeight="1">
      <c r="B312" s="121" t="str">
        <f t="shared" si="33"/>
        <v/>
      </c>
      <c r="C312" s="117" t="str">
        <f t="shared" si="34"/>
        <v/>
      </c>
      <c r="D312" s="116" t="str">
        <f t="shared" si="35"/>
        <v/>
      </c>
      <c r="E312" s="120" t="str">
        <f t="shared" si="36"/>
        <v/>
      </c>
      <c r="F312" s="123" t="str">
        <f t="shared" si="37"/>
        <v/>
      </c>
      <c r="G312" s="126" t="e">
        <f t="shared" si="38"/>
        <v>#REF!</v>
      </c>
      <c r="H312" s="116" t="e">
        <f t="shared" si="32"/>
        <v>#REF!</v>
      </c>
      <c r="I312" s="117" t="e" cm="1">
        <f t="array" ref="I312">IF(OR(INDEX(#REF!,ROW()+8)="START",INDEX(#REF!,ROW()+7)="",INDEX(#REF!,ROW()+7)="START",INDEX(#REF!,ROW()+7)="TBA",INDEX(#REF!,ROW()+7)="TBC"), IF(INDEX(#REF!,ROW()+7)="START",$C$3,""),IF(INDEX(#REF!,ROW()+7)="x",INDEX(#REF!,ROW()+7)+'Date Calculators'!$B$2+ICS4Master!$E310,""))</f>
        <v>#REF!</v>
      </c>
      <c r="J312" s="116" t="e" cm="1">
        <f t="array" ref="J312">IF(I312="","",INDEX(#REF!,ROW()+7))</f>
        <v>#REF!</v>
      </c>
      <c r="K312" s="120" t="e" cm="1">
        <f t="array" ref="K312">IF(I312="","",INDEX(#REF!,ROW()+7))</f>
        <v>#REF!</v>
      </c>
      <c r="L312" s="129" t="e" cm="1">
        <f t="array" ref="L312">IF(OR(I312="",INDEX(#REF!,ROW()+7)=""),"",INDEX(#REF!,ROW()+7))</f>
        <v>#REF!</v>
      </c>
    </row>
    <row r="313" spans="2:12" ht="15" customHeight="1">
      <c r="B313" s="121" t="str">
        <f t="shared" si="33"/>
        <v/>
      </c>
      <c r="C313" s="117" t="str">
        <f t="shared" si="34"/>
        <v/>
      </c>
      <c r="D313" s="116" t="str">
        <f t="shared" si="35"/>
        <v/>
      </c>
      <c r="E313" s="120" t="str">
        <f t="shared" si="36"/>
        <v/>
      </c>
      <c r="F313" s="123" t="str">
        <f t="shared" si="37"/>
        <v/>
      </c>
      <c r="G313" s="126" t="e">
        <f t="shared" si="38"/>
        <v>#REF!</v>
      </c>
      <c r="H313" s="116" t="e">
        <f t="shared" si="32"/>
        <v>#REF!</v>
      </c>
      <c r="I313" s="117" t="e" cm="1">
        <f t="array" ref="I313">IF(OR(INDEX(#REF!,ROW()+8)="START",INDEX(#REF!,ROW()+7)="",INDEX(#REF!,ROW()+7)="START",INDEX(#REF!,ROW()+7)="TBA",INDEX(#REF!,ROW()+7)="TBC"), IF(INDEX(#REF!,ROW()+7)="START",$C$3,""),IF(INDEX(#REF!,ROW()+7)="x",INDEX(#REF!,ROW()+7)+'Date Calculators'!$B$2+ICS4Master!$E311,""))</f>
        <v>#REF!</v>
      </c>
      <c r="J313" s="116" t="e" cm="1">
        <f t="array" ref="J313">IF(I313="","",INDEX(#REF!,ROW()+7))</f>
        <v>#REF!</v>
      </c>
      <c r="K313" s="120" t="e" cm="1">
        <f t="array" ref="K313">IF(I313="","",INDEX(#REF!,ROW()+7))</f>
        <v>#REF!</v>
      </c>
      <c r="L313" s="129" t="e" cm="1">
        <f t="array" ref="L313">IF(OR(I313="",INDEX(#REF!,ROW()+7)=""),"",INDEX(#REF!,ROW()+7))</f>
        <v>#REF!</v>
      </c>
    </row>
    <row r="314" spans="2:12" ht="15" customHeight="1">
      <c r="B314" s="121" t="str">
        <f t="shared" si="33"/>
        <v/>
      </c>
      <c r="C314" s="117" t="str">
        <f t="shared" si="34"/>
        <v/>
      </c>
      <c r="D314" s="116" t="str">
        <f t="shared" si="35"/>
        <v/>
      </c>
      <c r="E314" s="120" t="str">
        <f t="shared" si="36"/>
        <v/>
      </c>
      <c r="F314" s="123" t="str">
        <f t="shared" si="37"/>
        <v/>
      </c>
      <c r="G314" s="126" t="e">
        <f t="shared" si="38"/>
        <v>#REF!</v>
      </c>
      <c r="H314" s="116" t="e">
        <f t="shared" si="32"/>
        <v>#REF!</v>
      </c>
      <c r="I314" s="117" t="e" cm="1">
        <f t="array" ref="I314">IF(OR(INDEX(#REF!,ROW()+8)="START",INDEX(#REF!,ROW()+7)="",INDEX(#REF!,ROW()+7)="START",INDEX(#REF!,ROW()+7)="TBA",INDEX(#REF!,ROW()+7)="TBC"), IF(INDEX(#REF!,ROW()+7)="START",$C$3,""),IF(INDEX(#REF!,ROW()+7)="x",INDEX(#REF!,ROW()+7)+'Date Calculators'!$B$2+ICS4Master!$E312,""))</f>
        <v>#REF!</v>
      </c>
      <c r="J314" s="116" t="e" cm="1">
        <f t="array" ref="J314">IF(I314="","",INDEX(#REF!,ROW()+7))</f>
        <v>#REF!</v>
      </c>
      <c r="K314" s="120" t="e" cm="1">
        <f t="array" ref="K314">IF(I314="","",INDEX(#REF!,ROW()+7))</f>
        <v>#REF!</v>
      </c>
      <c r="L314" s="129" t="e" cm="1">
        <f t="array" ref="L314">IF(OR(I314="",INDEX(#REF!,ROW()+7)=""),"",INDEX(#REF!,ROW()+7))</f>
        <v>#REF!</v>
      </c>
    </row>
    <row r="315" spans="2:12" ht="15" customHeight="1">
      <c r="B315" s="121" t="str">
        <f t="shared" si="33"/>
        <v/>
      </c>
      <c r="C315" s="117" t="str">
        <f t="shared" si="34"/>
        <v/>
      </c>
      <c r="D315" s="116" t="str">
        <f t="shared" si="35"/>
        <v/>
      </c>
      <c r="E315" s="120" t="str">
        <f t="shared" si="36"/>
        <v/>
      </c>
      <c r="F315" s="123" t="str">
        <f t="shared" si="37"/>
        <v/>
      </c>
      <c r="G315" s="126" t="e">
        <f t="shared" si="38"/>
        <v>#REF!</v>
      </c>
      <c r="H315" s="116" t="e">
        <f t="shared" si="32"/>
        <v>#REF!</v>
      </c>
      <c r="I315" s="117" t="e" cm="1">
        <f t="array" ref="I315">IF(OR(INDEX(#REF!,ROW()+8)="START",INDEX(#REF!,ROW()+7)="",INDEX(#REF!,ROW()+7)="START",INDEX(#REF!,ROW()+7)="TBA",INDEX(#REF!,ROW()+7)="TBC"), IF(INDEX(#REF!,ROW()+7)="START",$C$3,""),IF(INDEX(#REF!,ROW()+7)="x",INDEX(#REF!,ROW()+7)+'Date Calculators'!$B$2+ICS4Master!$E313,""))</f>
        <v>#REF!</v>
      </c>
      <c r="J315" s="116" t="e" cm="1">
        <f t="array" ref="J315">IF(I315="","",INDEX(#REF!,ROW()+7))</f>
        <v>#REF!</v>
      </c>
      <c r="K315" s="120" t="e" cm="1">
        <f t="array" ref="K315">IF(I315="","",INDEX(#REF!,ROW()+7))</f>
        <v>#REF!</v>
      </c>
      <c r="L315" s="129" t="e" cm="1">
        <f t="array" ref="L315">IF(OR(I315="",INDEX(#REF!,ROW()+7)=""),"",INDEX(#REF!,ROW()+7))</f>
        <v>#REF!</v>
      </c>
    </row>
    <row r="316" spans="2:12" ht="15" customHeight="1">
      <c r="B316" s="121" t="str">
        <f t="shared" si="33"/>
        <v/>
      </c>
      <c r="C316" s="117" t="str">
        <f t="shared" si="34"/>
        <v/>
      </c>
      <c r="D316" s="116" t="str">
        <f t="shared" si="35"/>
        <v/>
      </c>
      <c r="E316" s="120" t="str">
        <f t="shared" si="36"/>
        <v/>
      </c>
      <c r="F316" s="123" t="str">
        <f t="shared" si="37"/>
        <v/>
      </c>
      <c r="G316" s="126" t="e">
        <f t="shared" si="38"/>
        <v>#REF!</v>
      </c>
      <c r="H316" s="116" t="e">
        <f t="shared" si="32"/>
        <v>#REF!</v>
      </c>
      <c r="I316" s="117" t="e" cm="1">
        <f t="array" ref="I316">IF(OR(INDEX(#REF!,ROW()+8)="START",INDEX(#REF!,ROW()+7)="",INDEX(#REF!,ROW()+7)="START",INDEX(#REF!,ROW()+7)="TBA",INDEX(#REF!,ROW()+7)="TBC"), IF(INDEX(#REF!,ROW()+7)="START",$C$3,""),IF(INDEX(#REF!,ROW()+7)="x",INDEX(#REF!,ROW()+7)+'Date Calculators'!$B$2+ICS4Master!$E314,""))</f>
        <v>#REF!</v>
      </c>
      <c r="J316" s="116" t="e" cm="1">
        <f t="array" ref="J316">IF(I316="","",INDEX(#REF!,ROW()+7))</f>
        <v>#REF!</v>
      </c>
      <c r="K316" s="120" t="e" cm="1">
        <f t="array" ref="K316">IF(I316="","",INDEX(#REF!,ROW()+7))</f>
        <v>#REF!</v>
      </c>
      <c r="L316" s="129" t="e" cm="1">
        <f t="array" ref="L316">IF(OR(I316="",INDEX(#REF!,ROW()+7)=""),"",INDEX(#REF!,ROW()+7))</f>
        <v>#REF!</v>
      </c>
    </row>
    <row r="317" spans="2:12" ht="15" customHeight="1">
      <c r="B317" s="121" t="str">
        <f t="shared" si="33"/>
        <v/>
      </c>
      <c r="C317" s="117" t="str">
        <f t="shared" si="34"/>
        <v/>
      </c>
      <c r="D317" s="116" t="str">
        <f t="shared" si="35"/>
        <v/>
      </c>
      <c r="E317" s="120" t="str">
        <f t="shared" si="36"/>
        <v/>
      </c>
      <c r="F317" s="123" t="str">
        <f t="shared" si="37"/>
        <v/>
      </c>
      <c r="G317" s="126" t="e">
        <f t="shared" si="38"/>
        <v>#REF!</v>
      </c>
      <c r="H317" s="116" t="e">
        <f t="shared" si="32"/>
        <v>#REF!</v>
      </c>
      <c r="I317" s="117" t="e" cm="1">
        <f t="array" ref="I317">IF(OR(INDEX(#REF!,ROW()+8)="START",INDEX(#REF!,ROW()+7)="",INDEX(#REF!,ROW()+7)="START",INDEX(#REF!,ROW()+7)="TBA",INDEX(#REF!,ROW()+7)="TBC"), IF(INDEX(#REF!,ROW()+7)="START",$C$3,""),IF(INDEX(#REF!,ROW()+7)="x",INDEX(#REF!,ROW()+7)+'Date Calculators'!$B$2+ICS4Master!$E315,""))</f>
        <v>#REF!</v>
      </c>
      <c r="J317" s="116" t="e" cm="1">
        <f t="array" ref="J317">IF(I317="","",INDEX(#REF!,ROW()+7))</f>
        <v>#REF!</v>
      </c>
      <c r="K317" s="120" t="e" cm="1">
        <f t="array" ref="K317">IF(I317="","",INDEX(#REF!,ROW()+7))</f>
        <v>#REF!</v>
      </c>
      <c r="L317" s="129" t="e" cm="1">
        <f t="array" ref="L317">IF(OR(I317="",INDEX(#REF!,ROW()+7)=""),"",INDEX(#REF!,ROW()+7))</f>
        <v>#REF!</v>
      </c>
    </row>
    <row r="318" spans="2:12" ht="15" customHeight="1">
      <c r="B318" s="121" t="str">
        <f t="shared" si="33"/>
        <v/>
      </c>
      <c r="C318" s="117" t="str">
        <f t="shared" si="34"/>
        <v/>
      </c>
      <c r="D318" s="116" t="str">
        <f t="shared" si="35"/>
        <v/>
      </c>
      <c r="E318" s="120" t="str">
        <f t="shared" si="36"/>
        <v/>
      </c>
      <c r="F318" s="123" t="str">
        <f t="shared" si="37"/>
        <v/>
      </c>
      <c r="G318" s="126" t="e">
        <f t="shared" si="38"/>
        <v>#REF!</v>
      </c>
      <c r="H318" s="116" t="e">
        <f t="shared" si="32"/>
        <v>#REF!</v>
      </c>
      <c r="I318" s="117" t="e" cm="1">
        <f t="array" ref="I318">IF(OR(INDEX(#REF!,ROW()+8)="START",INDEX(#REF!,ROW()+7)="",INDEX(#REF!,ROW()+7)="START",INDEX(#REF!,ROW()+7)="TBA",INDEX(#REF!,ROW()+7)="TBC"), IF(INDEX(#REF!,ROW()+7)="START",$C$3,""),IF(INDEX(#REF!,ROW()+7)="x",INDEX(#REF!,ROW()+7)+'Date Calculators'!$B$2+ICS4Master!$E316,""))</f>
        <v>#REF!</v>
      </c>
      <c r="J318" s="116" t="e" cm="1">
        <f t="array" ref="J318">IF(I318="","",INDEX(#REF!,ROW()+7))</f>
        <v>#REF!</v>
      </c>
      <c r="K318" s="120" t="e" cm="1">
        <f t="array" ref="K318">IF(I318="","",INDEX(#REF!,ROW()+7))</f>
        <v>#REF!</v>
      </c>
      <c r="L318" s="129" t="e" cm="1">
        <f t="array" ref="L318">IF(OR(I318="",INDEX(#REF!,ROW()+7)=""),"",INDEX(#REF!,ROW()+7))</f>
        <v>#REF!</v>
      </c>
    </row>
    <row r="319" spans="2:12" ht="15" customHeight="1">
      <c r="B319" s="121" t="str">
        <f t="shared" si="33"/>
        <v/>
      </c>
      <c r="C319" s="117" t="str">
        <f t="shared" si="34"/>
        <v/>
      </c>
      <c r="D319" s="116" t="str">
        <f t="shared" si="35"/>
        <v/>
      </c>
      <c r="E319" s="120" t="str">
        <f t="shared" si="36"/>
        <v/>
      </c>
      <c r="F319" s="123" t="str">
        <f t="shared" si="37"/>
        <v/>
      </c>
      <c r="G319" s="126" t="e">
        <f t="shared" si="38"/>
        <v>#REF!</v>
      </c>
      <c r="H319" s="116" t="e">
        <f t="shared" si="32"/>
        <v>#REF!</v>
      </c>
      <c r="I319" s="117" t="e" cm="1">
        <f t="array" ref="I319">IF(OR(INDEX(#REF!,ROW()+8)="START",INDEX(#REF!,ROW()+7)="",INDEX(#REF!,ROW()+7)="START",INDEX(#REF!,ROW()+7)="TBA",INDEX(#REF!,ROW()+7)="TBC"), IF(INDEX(#REF!,ROW()+7)="START",$C$3,""),IF(INDEX(#REF!,ROW()+7)="x",INDEX(#REF!,ROW()+7)+'Date Calculators'!$B$2+ICS4Master!$E317,""))</f>
        <v>#REF!</v>
      </c>
      <c r="J319" s="116" t="e" cm="1">
        <f t="array" ref="J319">IF(I319="","",INDEX(#REF!,ROW()+7))</f>
        <v>#REF!</v>
      </c>
      <c r="K319" s="120" t="e" cm="1">
        <f t="array" ref="K319">IF(I319="","",INDEX(#REF!,ROW()+7))</f>
        <v>#REF!</v>
      </c>
      <c r="L319" s="129" t="e" cm="1">
        <f t="array" ref="L319">IF(OR(I319="",INDEX(#REF!,ROW()+7)=""),"",INDEX(#REF!,ROW()+7))</f>
        <v>#REF!</v>
      </c>
    </row>
    <row r="320" spans="2:12" ht="15" customHeight="1">
      <c r="B320" s="121" t="str">
        <f t="shared" si="33"/>
        <v/>
      </c>
      <c r="C320" s="117" t="str">
        <f t="shared" si="34"/>
        <v/>
      </c>
      <c r="D320" s="116" t="str">
        <f t="shared" si="35"/>
        <v/>
      </c>
      <c r="E320" s="120" t="str">
        <f t="shared" si="36"/>
        <v/>
      </c>
      <c r="F320" s="123" t="str">
        <f t="shared" si="37"/>
        <v/>
      </c>
      <c r="G320" s="126" t="e">
        <f t="shared" si="38"/>
        <v>#REF!</v>
      </c>
      <c r="H320" s="116" t="e">
        <f t="shared" si="32"/>
        <v>#REF!</v>
      </c>
      <c r="I320" s="117" t="e" cm="1">
        <f t="array" ref="I320">IF(OR(INDEX(#REF!,ROW()+8)="START",INDEX(#REF!,ROW()+7)="",INDEX(#REF!,ROW()+7)="START",INDEX(#REF!,ROW()+7)="TBA",INDEX(#REF!,ROW()+7)="TBC"), IF(INDEX(#REF!,ROW()+7)="START",$C$3,""),IF(INDEX(#REF!,ROW()+7)="x",INDEX(#REF!,ROW()+7)+'Date Calculators'!$B$2+ICS4Master!$E318,""))</f>
        <v>#REF!</v>
      </c>
      <c r="J320" s="116" t="e" cm="1">
        <f t="array" ref="J320">IF(I320="","",INDEX(#REF!,ROW()+7))</f>
        <v>#REF!</v>
      </c>
      <c r="K320" s="120" t="e" cm="1">
        <f t="array" ref="K320">IF(I320="","",INDEX(#REF!,ROW()+7))</f>
        <v>#REF!</v>
      </c>
      <c r="L320" s="129" t="e" cm="1">
        <f t="array" ref="L320">IF(OR(I320="",INDEX(#REF!,ROW()+7)=""),"",INDEX(#REF!,ROW()+7))</f>
        <v>#REF!</v>
      </c>
    </row>
    <row r="321" spans="2:12" ht="15" customHeight="1">
      <c r="B321" s="121" t="str">
        <f t="shared" si="33"/>
        <v/>
      </c>
      <c r="C321" s="117" t="str">
        <f t="shared" si="34"/>
        <v/>
      </c>
      <c r="D321" s="116" t="str">
        <f t="shared" si="35"/>
        <v/>
      </c>
      <c r="E321" s="120" t="str">
        <f t="shared" si="36"/>
        <v/>
      </c>
      <c r="F321" s="123" t="str">
        <f t="shared" si="37"/>
        <v/>
      </c>
      <c r="G321" s="126" t="e">
        <f t="shared" si="38"/>
        <v>#REF!</v>
      </c>
      <c r="H321" s="116" t="e">
        <f t="shared" si="32"/>
        <v>#REF!</v>
      </c>
      <c r="I321" s="117" t="e" cm="1">
        <f t="array" ref="I321">IF(OR(INDEX(#REF!,ROW()+8)="START",INDEX(#REF!,ROW()+7)="",INDEX(#REF!,ROW()+7)="START",INDEX(#REF!,ROW()+7)="TBA",INDEX(#REF!,ROW()+7)="TBC"), IF(INDEX(#REF!,ROW()+7)="START",$C$3,""),IF(INDEX(#REF!,ROW()+7)="x",INDEX(#REF!,ROW()+7)+'Date Calculators'!$B$2+ICS4Master!$E319,""))</f>
        <v>#REF!</v>
      </c>
      <c r="J321" s="116" t="e" cm="1">
        <f t="array" ref="J321">IF(I321="","",INDEX(#REF!,ROW()+7))</f>
        <v>#REF!</v>
      </c>
      <c r="K321" s="120" t="e" cm="1">
        <f t="array" ref="K321">IF(I321="","",INDEX(#REF!,ROW()+7))</f>
        <v>#REF!</v>
      </c>
      <c r="L321" s="129" t="e" cm="1">
        <f t="array" ref="L321">IF(OR(I321="",INDEX(#REF!,ROW()+7)=""),"",INDEX(#REF!,ROW()+7))</f>
        <v>#REF!</v>
      </c>
    </row>
    <row r="322" spans="2:12" ht="15" customHeight="1">
      <c r="B322" s="121" t="str">
        <f t="shared" si="33"/>
        <v/>
      </c>
      <c r="C322" s="117" t="str">
        <f t="shared" si="34"/>
        <v/>
      </c>
      <c r="D322" s="116" t="str">
        <f t="shared" si="35"/>
        <v/>
      </c>
      <c r="E322" s="120" t="str">
        <f t="shared" si="36"/>
        <v/>
      </c>
      <c r="F322" s="123" t="str">
        <f t="shared" si="37"/>
        <v/>
      </c>
      <c r="G322" s="126" t="e">
        <f t="shared" si="38"/>
        <v>#REF!</v>
      </c>
      <c r="H322" s="116" t="e">
        <f t="shared" si="32"/>
        <v>#REF!</v>
      </c>
      <c r="I322" s="117" t="e" cm="1">
        <f t="array" ref="I322">IF(OR(INDEX(#REF!,ROW()+8)="START",INDEX(#REF!,ROW()+7)="",INDEX(#REF!,ROW()+7)="START",INDEX(#REF!,ROW()+7)="TBA",INDEX(#REF!,ROW()+7)="TBC"), IF(INDEX(#REF!,ROW()+7)="START",$C$3,""),IF(INDEX(#REF!,ROW()+7)="x",INDEX(#REF!,ROW()+7)+'Date Calculators'!$B$2+ICS4Master!$E320,""))</f>
        <v>#REF!</v>
      </c>
      <c r="J322" s="116" t="e" cm="1">
        <f t="array" ref="J322">IF(I322="","",INDEX(#REF!,ROW()+7))</f>
        <v>#REF!</v>
      </c>
      <c r="K322" s="120" t="e" cm="1">
        <f t="array" ref="K322">IF(I322="","",INDEX(#REF!,ROW()+7))</f>
        <v>#REF!</v>
      </c>
      <c r="L322" s="129" t="e" cm="1">
        <f t="array" ref="L322">IF(OR(I322="",INDEX(#REF!,ROW()+7)=""),"",INDEX(#REF!,ROW()+7))</f>
        <v>#REF!</v>
      </c>
    </row>
    <row r="323" spans="2:12" ht="15" customHeight="1">
      <c r="B323" s="121" t="str">
        <f t="shared" si="33"/>
        <v/>
      </c>
      <c r="C323" s="117" t="str">
        <f t="shared" si="34"/>
        <v/>
      </c>
      <c r="D323" s="116" t="str">
        <f t="shared" si="35"/>
        <v/>
      </c>
      <c r="E323" s="120" t="str">
        <f t="shared" si="36"/>
        <v/>
      </c>
      <c r="F323" s="123" t="str">
        <f t="shared" si="37"/>
        <v/>
      </c>
      <c r="G323" s="126" t="e">
        <f t="shared" si="38"/>
        <v>#REF!</v>
      </c>
      <c r="H323" s="116" t="e">
        <f t="shared" si="32"/>
        <v>#REF!</v>
      </c>
      <c r="I323" s="117" t="e" cm="1">
        <f t="array" ref="I323">IF(OR(INDEX(#REF!,ROW()+8)="START",INDEX(#REF!,ROW()+7)="",INDEX(#REF!,ROW()+7)="START",INDEX(#REF!,ROW()+7)="TBA",INDEX(#REF!,ROW()+7)="TBC"), IF(INDEX(#REF!,ROW()+7)="START",$C$3,""),IF(INDEX(#REF!,ROW()+7)="x",INDEX(#REF!,ROW()+7)+'Date Calculators'!$B$2+ICS4Master!$E321,""))</f>
        <v>#REF!</v>
      </c>
      <c r="J323" s="116" t="e" cm="1">
        <f t="array" ref="J323">IF(I323="","",INDEX(#REF!,ROW()+7))</f>
        <v>#REF!</v>
      </c>
      <c r="K323" s="120" t="e" cm="1">
        <f t="array" ref="K323">IF(I323="","",INDEX(#REF!,ROW()+7))</f>
        <v>#REF!</v>
      </c>
      <c r="L323" s="129" t="e" cm="1">
        <f t="array" ref="L323">IF(OR(I323="",INDEX(#REF!,ROW()+7)=""),"",INDEX(#REF!,ROW()+7))</f>
        <v>#REF!</v>
      </c>
    </row>
    <row r="324" spans="2:12" ht="15" customHeight="1">
      <c r="B324" s="121" t="str">
        <f t="shared" si="33"/>
        <v/>
      </c>
      <c r="C324" s="117" t="str">
        <f t="shared" si="34"/>
        <v/>
      </c>
      <c r="D324" s="116" t="str">
        <f t="shared" si="35"/>
        <v/>
      </c>
      <c r="E324" s="120" t="str">
        <f t="shared" si="36"/>
        <v/>
      </c>
      <c r="F324" s="123" t="str">
        <f t="shared" si="37"/>
        <v/>
      </c>
      <c r="G324" s="126" t="e">
        <f t="shared" si="38"/>
        <v>#REF!</v>
      </c>
      <c r="H324" s="116" t="e">
        <f t="shared" ref="H324:H387" si="39">IF(I324="","",IF(I324="END","START",IF(OR(I323="END",I323=I324,I323=""),I324-$U$3,IFERROR(IF(I323&gt;I324,I324-$U$3,I323),I323))))</f>
        <v>#REF!</v>
      </c>
      <c r="I324" s="117" t="e" cm="1">
        <f t="array" ref="I324">IF(OR(INDEX(#REF!,ROW()+8)="START",INDEX(#REF!,ROW()+7)="",INDEX(#REF!,ROW()+7)="START",INDEX(#REF!,ROW()+7)="TBA",INDEX(#REF!,ROW()+7)="TBC"), IF(INDEX(#REF!,ROW()+7)="START",$C$3,""),IF(INDEX(#REF!,ROW()+7)="x",INDEX(#REF!,ROW()+7)+'Date Calculators'!$B$2+ICS4Master!$E322,""))</f>
        <v>#REF!</v>
      </c>
      <c r="J324" s="116" t="e" cm="1">
        <f t="array" ref="J324">IF(I324="","",INDEX(#REF!,ROW()+7))</f>
        <v>#REF!</v>
      </c>
      <c r="K324" s="120" t="e" cm="1">
        <f t="array" ref="K324">IF(I324="","",INDEX(#REF!,ROW()+7))</f>
        <v>#REF!</v>
      </c>
      <c r="L324" s="129" t="e" cm="1">
        <f t="array" ref="L324">IF(OR(I324="",INDEX(#REF!,ROW()+7)=""),"",INDEX(#REF!,ROW()+7))</f>
        <v>#REF!</v>
      </c>
    </row>
    <row r="325" spans="2:12" ht="15" customHeight="1">
      <c r="B325" s="121" t="str">
        <f t="shared" ref="B325:B388" si="40">IFERROR(IF(AND(INDEX($H$4:$H$500,MATCH(ROW()-3,$G$4:$G$500,0))&gt;C324,INDEX($I$4:$I$500,MATCH(ROW()-3,$G$4:$G$500,0))&lt;&gt;"END"),C324,INDEX($H$4:$H$500,MATCH(ROW()-3,$G$4:$G$500,0))),"")</f>
        <v/>
      </c>
      <c r="C325" s="117" t="str">
        <f t="shared" ref="C325:C388" si="41">IFERROR(INDEX($I$4:$I$500,MATCH(ROW()-3,$G$4:$G$500,0)),"")</f>
        <v/>
      </c>
      <c r="D325" s="116" t="str">
        <f t="shared" ref="D325:D388" si="42">IFERROR(INDEX($J$4:$J$500,MATCH(ROW()-3,$G$4:$G$500,0)),"")</f>
        <v/>
      </c>
      <c r="E325" s="120" t="str">
        <f t="shared" ref="E325:E388" si="43">IFERROR(INDEX($K$4:$K$500,MATCH(ROW()-3,$G$4:$G$500,0)),"")</f>
        <v/>
      </c>
      <c r="F325" s="123" t="str">
        <f t="shared" ref="F325:F388" si="44">IFERROR(INDEX($L$4:$L$500,MATCH(ROW()-3,$G$4:$G$500,0)),"")</f>
        <v/>
      </c>
      <c r="G325" s="126" t="e">
        <f t="shared" ref="G325:G388" si="45">G324+IF(I325&lt;&gt;"",1,0)</f>
        <v>#REF!</v>
      </c>
      <c r="H325" s="116" t="e">
        <f t="shared" si="39"/>
        <v>#REF!</v>
      </c>
      <c r="I325" s="117" t="e" cm="1">
        <f t="array" ref="I325">IF(OR(INDEX(#REF!,ROW()+8)="START",INDEX(#REF!,ROW()+7)="",INDEX(#REF!,ROW()+7)="START",INDEX(#REF!,ROW()+7)="TBA",INDEX(#REF!,ROW()+7)="TBC"), IF(INDEX(#REF!,ROW()+7)="START",$C$3,""),IF(INDEX(#REF!,ROW()+7)="x",INDEX(#REF!,ROW()+7)+'Date Calculators'!$B$2+ICS4Master!$E323,""))</f>
        <v>#REF!</v>
      </c>
      <c r="J325" s="116" t="e" cm="1">
        <f t="array" ref="J325">IF(I325="","",INDEX(#REF!,ROW()+7))</f>
        <v>#REF!</v>
      </c>
      <c r="K325" s="120" t="e" cm="1">
        <f t="array" ref="K325">IF(I325="","",INDEX(#REF!,ROW()+7))</f>
        <v>#REF!</v>
      </c>
      <c r="L325" s="129" t="e" cm="1">
        <f t="array" ref="L325">IF(OR(I325="",INDEX(#REF!,ROW()+7)=""),"",INDEX(#REF!,ROW()+7))</f>
        <v>#REF!</v>
      </c>
    </row>
    <row r="326" spans="2:12" ht="15" customHeight="1">
      <c r="B326" s="121" t="str">
        <f t="shared" si="40"/>
        <v/>
      </c>
      <c r="C326" s="117" t="str">
        <f t="shared" si="41"/>
        <v/>
      </c>
      <c r="D326" s="116" t="str">
        <f t="shared" si="42"/>
        <v/>
      </c>
      <c r="E326" s="120" t="str">
        <f t="shared" si="43"/>
        <v/>
      </c>
      <c r="F326" s="123" t="str">
        <f t="shared" si="44"/>
        <v/>
      </c>
      <c r="G326" s="126" t="e">
        <f t="shared" si="45"/>
        <v>#REF!</v>
      </c>
      <c r="H326" s="116" t="e">
        <f t="shared" si="39"/>
        <v>#REF!</v>
      </c>
      <c r="I326" s="117" t="e" cm="1">
        <f t="array" ref="I326">IF(OR(INDEX(#REF!,ROW()+8)="START",INDEX(#REF!,ROW()+7)="",INDEX(#REF!,ROW()+7)="START",INDEX(#REF!,ROW()+7)="TBA",INDEX(#REF!,ROW()+7)="TBC"), IF(INDEX(#REF!,ROW()+7)="START",$C$3,""),IF(INDEX(#REF!,ROW()+7)="x",INDEX(#REF!,ROW()+7)+'Date Calculators'!$B$2+ICS4Master!$E324,""))</f>
        <v>#REF!</v>
      </c>
      <c r="J326" s="116" t="e" cm="1">
        <f t="array" ref="J326">IF(I326="","",INDEX(#REF!,ROW()+7))</f>
        <v>#REF!</v>
      </c>
      <c r="K326" s="120" t="e" cm="1">
        <f t="array" ref="K326">IF(I326="","",INDEX(#REF!,ROW()+7))</f>
        <v>#REF!</v>
      </c>
      <c r="L326" s="129" t="e" cm="1">
        <f t="array" ref="L326">IF(OR(I326="",INDEX(#REF!,ROW()+7)=""),"",INDEX(#REF!,ROW()+7))</f>
        <v>#REF!</v>
      </c>
    </row>
    <row r="327" spans="2:12" ht="15" customHeight="1">
      <c r="B327" s="121" t="str">
        <f t="shared" si="40"/>
        <v/>
      </c>
      <c r="C327" s="117" t="str">
        <f t="shared" si="41"/>
        <v/>
      </c>
      <c r="D327" s="116" t="str">
        <f t="shared" si="42"/>
        <v/>
      </c>
      <c r="E327" s="120" t="str">
        <f t="shared" si="43"/>
        <v/>
      </c>
      <c r="F327" s="123" t="str">
        <f t="shared" si="44"/>
        <v/>
      </c>
      <c r="G327" s="126" t="e">
        <f t="shared" si="45"/>
        <v>#REF!</v>
      </c>
      <c r="H327" s="116" t="e">
        <f t="shared" si="39"/>
        <v>#REF!</v>
      </c>
      <c r="I327" s="117" t="e" cm="1">
        <f t="array" ref="I327">IF(OR(INDEX(#REF!,ROW()+8)="START",INDEX(#REF!,ROW()+7)="",INDEX(#REF!,ROW()+7)="START",INDEX(#REF!,ROW()+7)="TBA",INDEX(#REF!,ROW()+7)="TBC"), IF(INDEX(#REF!,ROW()+7)="START",$C$3,""),IF(INDEX(#REF!,ROW()+7)="x",INDEX(#REF!,ROW()+7)+'Date Calculators'!$B$2+ICS4Master!$E325,""))</f>
        <v>#REF!</v>
      </c>
      <c r="J327" s="116" t="e" cm="1">
        <f t="array" ref="J327">IF(I327="","",INDEX(#REF!,ROW()+7))</f>
        <v>#REF!</v>
      </c>
      <c r="K327" s="120" t="e" cm="1">
        <f t="array" ref="K327">IF(I327="","",INDEX(#REF!,ROW()+7))</f>
        <v>#REF!</v>
      </c>
      <c r="L327" s="129" t="e" cm="1">
        <f t="array" ref="L327">IF(OR(I327="",INDEX(#REF!,ROW()+7)=""),"",INDEX(#REF!,ROW()+7))</f>
        <v>#REF!</v>
      </c>
    </row>
    <row r="328" spans="2:12" ht="15" customHeight="1">
      <c r="B328" s="121" t="str">
        <f t="shared" si="40"/>
        <v/>
      </c>
      <c r="C328" s="117" t="str">
        <f t="shared" si="41"/>
        <v/>
      </c>
      <c r="D328" s="116" t="str">
        <f t="shared" si="42"/>
        <v/>
      </c>
      <c r="E328" s="120" t="str">
        <f t="shared" si="43"/>
        <v/>
      </c>
      <c r="F328" s="123" t="str">
        <f t="shared" si="44"/>
        <v/>
      </c>
      <c r="G328" s="126" t="e">
        <f t="shared" si="45"/>
        <v>#REF!</v>
      </c>
      <c r="H328" s="116" t="e">
        <f t="shared" si="39"/>
        <v>#REF!</v>
      </c>
      <c r="I328" s="117" t="e" cm="1">
        <f t="array" ref="I328">IF(OR(INDEX(#REF!,ROW()+8)="START",INDEX(#REF!,ROW()+7)="",INDEX(#REF!,ROW()+7)="START",INDEX(#REF!,ROW()+7)="TBA",INDEX(#REF!,ROW()+7)="TBC"), IF(INDEX(#REF!,ROW()+7)="START",$C$3,""),IF(INDEX(#REF!,ROW()+7)="x",INDEX(#REF!,ROW()+7)+'Date Calculators'!$B$2+ICS4Master!$E326,""))</f>
        <v>#REF!</v>
      </c>
      <c r="J328" s="116" t="e" cm="1">
        <f t="array" ref="J328">IF(I328="","",INDEX(#REF!,ROW()+7))</f>
        <v>#REF!</v>
      </c>
      <c r="K328" s="120" t="e" cm="1">
        <f t="array" ref="K328">IF(I328="","",INDEX(#REF!,ROW()+7))</f>
        <v>#REF!</v>
      </c>
      <c r="L328" s="129" t="e" cm="1">
        <f t="array" ref="L328">IF(OR(I328="",INDEX(#REF!,ROW()+7)=""),"",INDEX(#REF!,ROW()+7))</f>
        <v>#REF!</v>
      </c>
    </row>
    <row r="329" spans="2:12" ht="15" customHeight="1">
      <c r="B329" s="121" t="str">
        <f t="shared" si="40"/>
        <v/>
      </c>
      <c r="C329" s="117" t="str">
        <f t="shared" si="41"/>
        <v/>
      </c>
      <c r="D329" s="116" t="str">
        <f t="shared" si="42"/>
        <v/>
      </c>
      <c r="E329" s="120" t="str">
        <f t="shared" si="43"/>
        <v/>
      </c>
      <c r="F329" s="123" t="str">
        <f t="shared" si="44"/>
        <v/>
      </c>
      <c r="G329" s="126" t="e">
        <f t="shared" si="45"/>
        <v>#REF!</v>
      </c>
      <c r="H329" s="116" t="e">
        <f t="shared" si="39"/>
        <v>#REF!</v>
      </c>
      <c r="I329" s="117" t="e" cm="1">
        <f t="array" ref="I329">IF(OR(INDEX(#REF!,ROW()+8)="START",INDEX(#REF!,ROW()+7)="",INDEX(#REF!,ROW()+7)="START",INDEX(#REF!,ROW()+7)="TBA",INDEX(#REF!,ROW()+7)="TBC"), IF(INDEX(#REF!,ROW()+7)="START",$C$3,""),IF(INDEX(#REF!,ROW()+7)="x",INDEX(#REF!,ROW()+7)+'Date Calculators'!$B$2+ICS4Master!$E327,""))</f>
        <v>#REF!</v>
      </c>
      <c r="J329" s="116" t="e" cm="1">
        <f t="array" ref="J329">IF(I329="","",INDEX(#REF!,ROW()+7))</f>
        <v>#REF!</v>
      </c>
      <c r="K329" s="120" t="e" cm="1">
        <f t="array" ref="K329">IF(I329="","",INDEX(#REF!,ROW()+7))</f>
        <v>#REF!</v>
      </c>
      <c r="L329" s="129" t="e" cm="1">
        <f t="array" ref="L329">IF(OR(I329="",INDEX(#REF!,ROW()+7)=""),"",INDEX(#REF!,ROW()+7))</f>
        <v>#REF!</v>
      </c>
    </row>
    <row r="330" spans="2:12" ht="15" customHeight="1">
      <c r="B330" s="121" t="str">
        <f t="shared" si="40"/>
        <v/>
      </c>
      <c r="C330" s="117" t="str">
        <f t="shared" si="41"/>
        <v/>
      </c>
      <c r="D330" s="116" t="str">
        <f t="shared" si="42"/>
        <v/>
      </c>
      <c r="E330" s="120" t="str">
        <f t="shared" si="43"/>
        <v/>
      </c>
      <c r="F330" s="123" t="str">
        <f t="shared" si="44"/>
        <v/>
      </c>
      <c r="G330" s="126" t="e">
        <f t="shared" si="45"/>
        <v>#REF!</v>
      </c>
      <c r="H330" s="116" t="e">
        <f t="shared" si="39"/>
        <v>#REF!</v>
      </c>
      <c r="I330" s="117" t="e" cm="1">
        <f t="array" ref="I330">IF(OR(INDEX(#REF!,ROW()+8)="START",INDEX(#REF!,ROW()+7)="",INDEX(#REF!,ROW()+7)="START",INDEX(#REF!,ROW()+7)="TBA",INDEX(#REF!,ROW()+7)="TBC"), IF(INDEX(#REF!,ROW()+7)="START",$C$3,""),IF(INDEX(#REF!,ROW()+7)="x",INDEX(#REF!,ROW()+7)+'Date Calculators'!$B$2+ICS4Master!$E328,""))</f>
        <v>#REF!</v>
      </c>
      <c r="J330" s="116" t="e" cm="1">
        <f t="array" ref="J330">IF(I330="","",INDEX(#REF!,ROW()+7))</f>
        <v>#REF!</v>
      </c>
      <c r="K330" s="120" t="e" cm="1">
        <f t="array" ref="K330">IF(I330="","",INDEX(#REF!,ROW()+7))</f>
        <v>#REF!</v>
      </c>
      <c r="L330" s="129" t="e" cm="1">
        <f t="array" ref="L330">IF(OR(I330="",INDEX(#REF!,ROW()+7)=""),"",INDEX(#REF!,ROW()+7))</f>
        <v>#REF!</v>
      </c>
    </row>
    <row r="331" spans="2:12" ht="15" customHeight="1">
      <c r="B331" s="121" t="str">
        <f t="shared" si="40"/>
        <v/>
      </c>
      <c r="C331" s="117" t="str">
        <f t="shared" si="41"/>
        <v/>
      </c>
      <c r="D331" s="116" t="str">
        <f t="shared" si="42"/>
        <v/>
      </c>
      <c r="E331" s="120" t="str">
        <f t="shared" si="43"/>
        <v/>
      </c>
      <c r="F331" s="123" t="str">
        <f t="shared" si="44"/>
        <v/>
      </c>
      <c r="G331" s="126" t="e">
        <f t="shared" si="45"/>
        <v>#REF!</v>
      </c>
      <c r="H331" s="116" t="e">
        <f t="shared" si="39"/>
        <v>#REF!</v>
      </c>
      <c r="I331" s="117" t="e" cm="1">
        <f t="array" ref="I331">IF(OR(INDEX(#REF!,ROW()+8)="START",INDEX(#REF!,ROW()+7)="",INDEX(#REF!,ROW()+7)="START",INDEX(#REF!,ROW()+7)="TBA",INDEX(#REF!,ROW()+7)="TBC"), IF(INDEX(#REF!,ROW()+7)="START",$C$3,""),IF(INDEX(#REF!,ROW()+7)="x",INDEX(#REF!,ROW()+7)+'Date Calculators'!$B$2+ICS4Master!$E329,""))</f>
        <v>#REF!</v>
      </c>
      <c r="J331" s="116" t="e" cm="1">
        <f t="array" ref="J331">IF(I331="","",INDEX(#REF!,ROW()+7))</f>
        <v>#REF!</v>
      </c>
      <c r="K331" s="120" t="e" cm="1">
        <f t="array" ref="K331">IF(I331="","",INDEX(#REF!,ROW()+7))</f>
        <v>#REF!</v>
      </c>
      <c r="L331" s="129" t="e" cm="1">
        <f t="array" ref="L331">IF(OR(I331="",INDEX(#REF!,ROW()+7)=""),"",INDEX(#REF!,ROW()+7))</f>
        <v>#REF!</v>
      </c>
    </row>
    <row r="332" spans="2:12" ht="15" customHeight="1">
      <c r="B332" s="121" t="str">
        <f t="shared" si="40"/>
        <v/>
      </c>
      <c r="C332" s="117" t="str">
        <f t="shared" si="41"/>
        <v/>
      </c>
      <c r="D332" s="116" t="str">
        <f t="shared" si="42"/>
        <v/>
      </c>
      <c r="E332" s="120" t="str">
        <f t="shared" si="43"/>
        <v/>
      </c>
      <c r="F332" s="123" t="str">
        <f t="shared" si="44"/>
        <v/>
      </c>
      <c r="G332" s="126" t="e">
        <f t="shared" si="45"/>
        <v>#REF!</v>
      </c>
      <c r="H332" s="116" t="e">
        <f t="shared" si="39"/>
        <v>#REF!</v>
      </c>
      <c r="I332" s="117" t="e" cm="1">
        <f t="array" ref="I332">IF(OR(INDEX(#REF!,ROW()+8)="START",INDEX(#REF!,ROW()+7)="",INDEX(#REF!,ROW()+7)="START",INDEX(#REF!,ROW()+7)="TBA",INDEX(#REF!,ROW()+7)="TBC"), IF(INDEX(#REF!,ROW()+7)="START",$C$3,""),IF(INDEX(#REF!,ROW()+7)="x",INDEX(#REF!,ROW()+7)+'Date Calculators'!$B$2+ICS4Master!$E330,""))</f>
        <v>#REF!</v>
      </c>
      <c r="J332" s="116" t="e" cm="1">
        <f t="array" ref="J332">IF(I332="","",INDEX(#REF!,ROW()+7))</f>
        <v>#REF!</v>
      </c>
      <c r="K332" s="120" t="e" cm="1">
        <f t="array" ref="K332">IF(I332="","",INDEX(#REF!,ROW()+7))</f>
        <v>#REF!</v>
      </c>
      <c r="L332" s="129" t="e" cm="1">
        <f t="array" ref="L332">IF(OR(I332="",INDEX(#REF!,ROW()+7)=""),"",INDEX(#REF!,ROW()+7))</f>
        <v>#REF!</v>
      </c>
    </row>
    <row r="333" spans="2:12" ht="15" customHeight="1">
      <c r="B333" s="121" t="str">
        <f t="shared" si="40"/>
        <v/>
      </c>
      <c r="C333" s="117" t="str">
        <f t="shared" si="41"/>
        <v/>
      </c>
      <c r="D333" s="116" t="str">
        <f t="shared" si="42"/>
        <v/>
      </c>
      <c r="E333" s="120" t="str">
        <f t="shared" si="43"/>
        <v/>
      </c>
      <c r="F333" s="123" t="str">
        <f t="shared" si="44"/>
        <v/>
      </c>
      <c r="G333" s="126" t="e">
        <f t="shared" si="45"/>
        <v>#REF!</v>
      </c>
      <c r="H333" s="116" t="e">
        <f t="shared" si="39"/>
        <v>#REF!</v>
      </c>
      <c r="I333" s="117" t="e" cm="1">
        <f t="array" ref="I333">IF(OR(INDEX(#REF!,ROW()+8)="START",INDEX(#REF!,ROW()+7)="",INDEX(#REF!,ROW()+7)="START",INDEX(#REF!,ROW()+7)="TBA",INDEX(#REF!,ROW()+7)="TBC"), IF(INDEX(#REF!,ROW()+7)="START",$C$3,""),IF(INDEX(#REF!,ROW()+7)="x",INDEX(#REF!,ROW()+7)+'Date Calculators'!$B$2+ICS4Master!$E331,""))</f>
        <v>#REF!</v>
      </c>
      <c r="J333" s="116" t="e" cm="1">
        <f t="array" ref="J333">IF(I333="","",INDEX(#REF!,ROW()+7))</f>
        <v>#REF!</v>
      </c>
      <c r="K333" s="120" t="e" cm="1">
        <f t="array" ref="K333">IF(I333="","",INDEX(#REF!,ROW()+7))</f>
        <v>#REF!</v>
      </c>
      <c r="L333" s="129" t="e" cm="1">
        <f t="array" ref="L333">IF(OR(I333="",INDEX(#REF!,ROW()+7)=""),"",INDEX(#REF!,ROW()+7))</f>
        <v>#REF!</v>
      </c>
    </row>
    <row r="334" spans="2:12" ht="15" customHeight="1">
      <c r="B334" s="121" t="str">
        <f t="shared" si="40"/>
        <v/>
      </c>
      <c r="C334" s="117" t="str">
        <f t="shared" si="41"/>
        <v/>
      </c>
      <c r="D334" s="116" t="str">
        <f t="shared" si="42"/>
        <v/>
      </c>
      <c r="E334" s="120" t="str">
        <f t="shared" si="43"/>
        <v/>
      </c>
      <c r="F334" s="123" t="str">
        <f t="shared" si="44"/>
        <v/>
      </c>
      <c r="G334" s="126" t="e">
        <f t="shared" si="45"/>
        <v>#REF!</v>
      </c>
      <c r="H334" s="116" t="e">
        <f t="shared" si="39"/>
        <v>#REF!</v>
      </c>
      <c r="I334" s="117" t="e" cm="1">
        <f t="array" ref="I334">IF(OR(INDEX(#REF!,ROW()+8)="START",INDEX(#REF!,ROW()+7)="",INDEX(#REF!,ROW()+7)="START",INDEX(#REF!,ROW()+7)="TBA",INDEX(#REF!,ROW()+7)="TBC"), IF(INDEX(#REF!,ROW()+7)="START",$C$3,""),IF(INDEX(#REF!,ROW()+7)="x",INDEX(#REF!,ROW()+7)+'Date Calculators'!$B$2+ICS4Master!$E332,""))</f>
        <v>#REF!</v>
      </c>
      <c r="J334" s="116" t="e" cm="1">
        <f t="array" ref="J334">IF(I334="","",INDEX(#REF!,ROW()+7))</f>
        <v>#REF!</v>
      </c>
      <c r="K334" s="120" t="e" cm="1">
        <f t="array" ref="K334">IF(I334="","",INDEX(#REF!,ROW()+7))</f>
        <v>#REF!</v>
      </c>
      <c r="L334" s="129" t="e" cm="1">
        <f t="array" ref="L334">IF(OR(I334="",INDEX(#REF!,ROW()+7)=""),"",INDEX(#REF!,ROW()+7))</f>
        <v>#REF!</v>
      </c>
    </row>
    <row r="335" spans="2:12" ht="15" customHeight="1">
      <c r="B335" s="121" t="str">
        <f t="shared" si="40"/>
        <v/>
      </c>
      <c r="C335" s="117" t="str">
        <f t="shared" si="41"/>
        <v/>
      </c>
      <c r="D335" s="116" t="str">
        <f t="shared" si="42"/>
        <v/>
      </c>
      <c r="E335" s="120" t="str">
        <f t="shared" si="43"/>
        <v/>
      </c>
      <c r="F335" s="123" t="str">
        <f t="shared" si="44"/>
        <v/>
      </c>
      <c r="G335" s="126" t="e">
        <f t="shared" si="45"/>
        <v>#REF!</v>
      </c>
      <c r="H335" s="116" t="e">
        <f t="shared" si="39"/>
        <v>#REF!</v>
      </c>
      <c r="I335" s="117" t="e" cm="1">
        <f t="array" ref="I335">IF(OR(INDEX(#REF!,ROW()+8)="START",INDEX(#REF!,ROW()+7)="",INDEX(#REF!,ROW()+7)="START",INDEX(#REF!,ROW()+7)="TBA",INDEX(#REF!,ROW()+7)="TBC"), IF(INDEX(#REF!,ROW()+7)="START",$C$3,""),IF(INDEX(#REF!,ROW()+7)="x",INDEX(#REF!,ROW()+7)+'Date Calculators'!$B$2+ICS4Master!$E333,""))</f>
        <v>#REF!</v>
      </c>
      <c r="J335" s="116" t="e" cm="1">
        <f t="array" ref="J335">IF(I335="","",INDEX(#REF!,ROW()+7))</f>
        <v>#REF!</v>
      </c>
      <c r="K335" s="120" t="e" cm="1">
        <f t="array" ref="K335">IF(I335="","",INDEX(#REF!,ROW()+7))</f>
        <v>#REF!</v>
      </c>
      <c r="L335" s="129" t="e" cm="1">
        <f t="array" ref="L335">IF(OR(I335="",INDEX(#REF!,ROW()+7)=""),"",INDEX(#REF!,ROW()+7))</f>
        <v>#REF!</v>
      </c>
    </row>
    <row r="336" spans="2:12" ht="15" customHeight="1">
      <c r="B336" s="121" t="str">
        <f t="shared" si="40"/>
        <v/>
      </c>
      <c r="C336" s="117" t="str">
        <f t="shared" si="41"/>
        <v/>
      </c>
      <c r="D336" s="116" t="str">
        <f t="shared" si="42"/>
        <v/>
      </c>
      <c r="E336" s="120" t="str">
        <f t="shared" si="43"/>
        <v/>
      </c>
      <c r="F336" s="123" t="str">
        <f t="shared" si="44"/>
        <v/>
      </c>
      <c r="G336" s="126" t="e">
        <f t="shared" si="45"/>
        <v>#REF!</v>
      </c>
      <c r="H336" s="116" t="e">
        <f t="shared" si="39"/>
        <v>#REF!</v>
      </c>
      <c r="I336" s="117" t="e" cm="1">
        <f t="array" ref="I336">IF(OR(INDEX(#REF!,ROW()+8)="START",INDEX(#REF!,ROW()+7)="",INDEX(#REF!,ROW()+7)="START",INDEX(#REF!,ROW()+7)="TBA",INDEX(#REF!,ROW()+7)="TBC"), IF(INDEX(#REF!,ROW()+7)="START",$C$3,""),IF(INDEX(#REF!,ROW()+7)="x",INDEX(#REF!,ROW()+7)+'Date Calculators'!$B$2+ICS4Master!$E334,""))</f>
        <v>#REF!</v>
      </c>
      <c r="J336" s="116" t="e" cm="1">
        <f t="array" ref="J336">IF(I336="","",INDEX(#REF!,ROW()+7))</f>
        <v>#REF!</v>
      </c>
      <c r="K336" s="120" t="e" cm="1">
        <f t="array" ref="K336">IF(I336="","",INDEX(#REF!,ROW()+7))</f>
        <v>#REF!</v>
      </c>
      <c r="L336" s="129" t="e" cm="1">
        <f t="array" ref="L336">IF(OR(I336="",INDEX(#REF!,ROW()+7)=""),"",INDEX(#REF!,ROW()+7))</f>
        <v>#REF!</v>
      </c>
    </row>
    <row r="337" spans="2:12" ht="15" customHeight="1">
      <c r="B337" s="121" t="str">
        <f t="shared" si="40"/>
        <v/>
      </c>
      <c r="C337" s="117" t="str">
        <f t="shared" si="41"/>
        <v/>
      </c>
      <c r="D337" s="116" t="str">
        <f t="shared" si="42"/>
        <v/>
      </c>
      <c r="E337" s="120" t="str">
        <f t="shared" si="43"/>
        <v/>
      </c>
      <c r="F337" s="123" t="str">
        <f t="shared" si="44"/>
        <v/>
      </c>
      <c r="G337" s="126" t="e">
        <f t="shared" si="45"/>
        <v>#REF!</v>
      </c>
      <c r="H337" s="116" t="e">
        <f t="shared" si="39"/>
        <v>#REF!</v>
      </c>
      <c r="I337" s="117" t="e" cm="1">
        <f t="array" ref="I337">IF(OR(INDEX(#REF!,ROW()+8)="START",INDEX(#REF!,ROW()+7)="",INDEX(#REF!,ROW()+7)="START",INDEX(#REF!,ROW()+7)="TBA",INDEX(#REF!,ROW()+7)="TBC"), IF(INDEX(#REF!,ROW()+7)="START",$C$3,""),IF(INDEX(#REF!,ROW()+7)="x",INDEX(#REF!,ROW()+7)+'Date Calculators'!$B$2+ICS4Master!$E335,""))</f>
        <v>#REF!</v>
      </c>
      <c r="J337" s="116" t="e" cm="1">
        <f t="array" ref="J337">IF(I337="","",INDEX(#REF!,ROW()+7))</f>
        <v>#REF!</v>
      </c>
      <c r="K337" s="120" t="e" cm="1">
        <f t="array" ref="K337">IF(I337="","",INDEX(#REF!,ROW()+7))</f>
        <v>#REF!</v>
      </c>
      <c r="L337" s="129" t="e" cm="1">
        <f t="array" ref="L337">IF(OR(I337="",INDEX(#REF!,ROW()+7)=""),"",INDEX(#REF!,ROW()+7))</f>
        <v>#REF!</v>
      </c>
    </row>
    <row r="338" spans="2:12" ht="15" customHeight="1">
      <c r="B338" s="121" t="str">
        <f t="shared" si="40"/>
        <v/>
      </c>
      <c r="C338" s="117" t="str">
        <f t="shared" si="41"/>
        <v/>
      </c>
      <c r="D338" s="116" t="str">
        <f t="shared" si="42"/>
        <v/>
      </c>
      <c r="E338" s="120" t="str">
        <f t="shared" si="43"/>
        <v/>
      </c>
      <c r="F338" s="123" t="str">
        <f t="shared" si="44"/>
        <v/>
      </c>
      <c r="G338" s="126" t="e">
        <f t="shared" si="45"/>
        <v>#REF!</v>
      </c>
      <c r="H338" s="116" t="e">
        <f t="shared" si="39"/>
        <v>#REF!</v>
      </c>
      <c r="I338" s="117" t="e" cm="1">
        <f t="array" ref="I338">IF(OR(INDEX(#REF!,ROW()+8)="START",INDEX(#REF!,ROW()+7)="",INDEX(#REF!,ROW()+7)="START",INDEX(#REF!,ROW()+7)="TBA",INDEX(#REF!,ROW()+7)="TBC"), IF(INDEX(#REF!,ROW()+7)="START",$C$3,""),IF(INDEX(#REF!,ROW()+7)="x",INDEX(#REF!,ROW()+7)+'Date Calculators'!$B$2+ICS4Master!$E336,""))</f>
        <v>#REF!</v>
      </c>
      <c r="J338" s="116" t="e" cm="1">
        <f t="array" ref="J338">IF(I338="","",INDEX(#REF!,ROW()+7))</f>
        <v>#REF!</v>
      </c>
      <c r="K338" s="120" t="e" cm="1">
        <f t="array" ref="K338">IF(I338="","",INDEX(#REF!,ROW()+7))</f>
        <v>#REF!</v>
      </c>
      <c r="L338" s="129" t="e" cm="1">
        <f t="array" ref="L338">IF(OR(I338="",INDEX(#REF!,ROW()+7)=""),"",INDEX(#REF!,ROW()+7))</f>
        <v>#REF!</v>
      </c>
    </row>
    <row r="339" spans="2:12" ht="15" customHeight="1">
      <c r="B339" s="121" t="str">
        <f t="shared" si="40"/>
        <v/>
      </c>
      <c r="C339" s="117" t="str">
        <f t="shared" si="41"/>
        <v/>
      </c>
      <c r="D339" s="116" t="str">
        <f t="shared" si="42"/>
        <v/>
      </c>
      <c r="E339" s="120" t="str">
        <f t="shared" si="43"/>
        <v/>
      </c>
      <c r="F339" s="123" t="str">
        <f t="shared" si="44"/>
        <v/>
      </c>
      <c r="G339" s="126" t="e">
        <f t="shared" si="45"/>
        <v>#REF!</v>
      </c>
      <c r="H339" s="116" t="e">
        <f t="shared" si="39"/>
        <v>#REF!</v>
      </c>
      <c r="I339" s="117" t="e" cm="1">
        <f t="array" ref="I339">IF(OR(INDEX(#REF!,ROW()+8)="START",INDEX(#REF!,ROW()+7)="",INDEX(#REF!,ROW()+7)="START",INDEX(#REF!,ROW()+7)="TBA",INDEX(#REF!,ROW()+7)="TBC"), IF(INDEX(#REF!,ROW()+7)="START",$C$3,""),IF(INDEX(#REF!,ROW()+7)="x",INDEX(#REF!,ROW()+7)+'Date Calculators'!$B$2+ICS4Master!$E337,""))</f>
        <v>#REF!</v>
      </c>
      <c r="J339" s="116" t="e" cm="1">
        <f t="array" ref="J339">IF(I339="","",INDEX(#REF!,ROW()+7))</f>
        <v>#REF!</v>
      </c>
      <c r="K339" s="120" t="e" cm="1">
        <f t="array" ref="K339">IF(I339="","",INDEX(#REF!,ROW()+7))</f>
        <v>#REF!</v>
      </c>
      <c r="L339" s="129" t="e" cm="1">
        <f t="array" ref="L339">IF(OR(I339="",INDEX(#REF!,ROW()+7)=""),"",INDEX(#REF!,ROW()+7))</f>
        <v>#REF!</v>
      </c>
    </row>
    <row r="340" spans="2:12" ht="15" customHeight="1">
      <c r="B340" s="121" t="str">
        <f t="shared" si="40"/>
        <v/>
      </c>
      <c r="C340" s="117" t="str">
        <f t="shared" si="41"/>
        <v/>
      </c>
      <c r="D340" s="116" t="str">
        <f t="shared" si="42"/>
        <v/>
      </c>
      <c r="E340" s="120" t="str">
        <f t="shared" si="43"/>
        <v/>
      </c>
      <c r="F340" s="123" t="str">
        <f t="shared" si="44"/>
        <v/>
      </c>
      <c r="G340" s="126" t="e">
        <f t="shared" si="45"/>
        <v>#REF!</v>
      </c>
      <c r="H340" s="116" t="e">
        <f t="shared" si="39"/>
        <v>#REF!</v>
      </c>
      <c r="I340" s="117" t="e" cm="1">
        <f t="array" ref="I340">IF(OR(INDEX(#REF!,ROW()+8)="START",INDEX(#REF!,ROW()+7)="",INDEX(#REF!,ROW()+7)="START",INDEX(#REF!,ROW()+7)="TBA",INDEX(#REF!,ROW()+7)="TBC"), IF(INDEX(#REF!,ROW()+7)="START",$C$3,""),IF(INDEX(#REF!,ROW()+7)="x",INDEX(#REF!,ROW()+7)+'Date Calculators'!$B$2+ICS4Master!$E338,""))</f>
        <v>#REF!</v>
      </c>
      <c r="J340" s="116" t="e" cm="1">
        <f t="array" ref="J340">IF(I340="","",INDEX(#REF!,ROW()+7))</f>
        <v>#REF!</v>
      </c>
      <c r="K340" s="120" t="e" cm="1">
        <f t="array" ref="K340">IF(I340="","",INDEX(#REF!,ROW()+7))</f>
        <v>#REF!</v>
      </c>
      <c r="L340" s="129" t="e" cm="1">
        <f t="array" ref="L340">IF(OR(I340="",INDEX(#REF!,ROW()+7)=""),"",INDEX(#REF!,ROW()+7))</f>
        <v>#REF!</v>
      </c>
    </row>
    <row r="341" spans="2:12" ht="15" customHeight="1">
      <c r="B341" s="121" t="str">
        <f t="shared" si="40"/>
        <v/>
      </c>
      <c r="C341" s="117" t="str">
        <f t="shared" si="41"/>
        <v/>
      </c>
      <c r="D341" s="116" t="str">
        <f t="shared" si="42"/>
        <v/>
      </c>
      <c r="E341" s="120" t="str">
        <f t="shared" si="43"/>
        <v/>
      </c>
      <c r="F341" s="123" t="str">
        <f t="shared" si="44"/>
        <v/>
      </c>
      <c r="G341" s="126" t="e">
        <f t="shared" si="45"/>
        <v>#REF!</v>
      </c>
      <c r="H341" s="116" t="e">
        <f t="shared" si="39"/>
        <v>#REF!</v>
      </c>
      <c r="I341" s="117" t="e" cm="1">
        <f t="array" ref="I341">IF(OR(INDEX(#REF!,ROW()+8)="START",INDEX(#REF!,ROW()+7)="",INDEX(#REF!,ROW()+7)="START",INDEX(#REF!,ROW()+7)="TBA",INDEX(#REF!,ROW()+7)="TBC"), IF(INDEX(#REF!,ROW()+7)="START",$C$3,""),IF(INDEX(#REF!,ROW()+7)="x",INDEX(#REF!,ROW()+7)+'Date Calculators'!$B$2+ICS4Master!$E339,""))</f>
        <v>#REF!</v>
      </c>
      <c r="J341" s="116" t="e" cm="1">
        <f t="array" ref="J341">IF(I341="","",INDEX(#REF!,ROW()+7))</f>
        <v>#REF!</v>
      </c>
      <c r="K341" s="120" t="e" cm="1">
        <f t="array" ref="K341">IF(I341="","",INDEX(#REF!,ROW()+7))</f>
        <v>#REF!</v>
      </c>
      <c r="L341" s="129" t="e" cm="1">
        <f t="array" ref="L341">IF(OR(I341="",INDEX(#REF!,ROW()+7)=""),"",INDEX(#REF!,ROW()+7))</f>
        <v>#REF!</v>
      </c>
    </row>
    <row r="342" spans="2:12" ht="15" customHeight="1">
      <c r="B342" s="121" t="str">
        <f t="shared" si="40"/>
        <v/>
      </c>
      <c r="C342" s="117" t="str">
        <f t="shared" si="41"/>
        <v/>
      </c>
      <c r="D342" s="116" t="str">
        <f t="shared" si="42"/>
        <v/>
      </c>
      <c r="E342" s="120" t="str">
        <f t="shared" si="43"/>
        <v/>
      </c>
      <c r="F342" s="123" t="str">
        <f t="shared" si="44"/>
        <v/>
      </c>
      <c r="G342" s="126" t="e">
        <f t="shared" si="45"/>
        <v>#REF!</v>
      </c>
      <c r="H342" s="116" t="e">
        <f t="shared" si="39"/>
        <v>#REF!</v>
      </c>
      <c r="I342" s="117" t="e" cm="1">
        <f t="array" ref="I342">IF(OR(INDEX(#REF!,ROW()+8)="START",INDEX(#REF!,ROW()+7)="",INDEX(#REF!,ROW()+7)="START",INDEX(#REF!,ROW()+7)="TBA",INDEX(#REF!,ROW()+7)="TBC"), IF(INDEX(#REF!,ROW()+7)="START",$C$3,""),IF(INDEX(#REF!,ROW()+7)="x",INDEX(#REF!,ROW()+7)+'Date Calculators'!$B$2+ICS4Master!$E340,""))</f>
        <v>#REF!</v>
      </c>
      <c r="J342" s="116" t="e" cm="1">
        <f t="array" ref="J342">IF(I342="","",INDEX(#REF!,ROW()+7))</f>
        <v>#REF!</v>
      </c>
      <c r="K342" s="120" t="e" cm="1">
        <f t="array" ref="K342">IF(I342="","",INDEX(#REF!,ROW()+7))</f>
        <v>#REF!</v>
      </c>
      <c r="L342" s="129" t="e" cm="1">
        <f t="array" ref="L342">IF(OR(I342="",INDEX(#REF!,ROW()+7)=""),"",INDEX(#REF!,ROW()+7))</f>
        <v>#REF!</v>
      </c>
    </row>
    <row r="343" spans="2:12" ht="15" customHeight="1">
      <c r="B343" s="121" t="str">
        <f t="shared" si="40"/>
        <v/>
      </c>
      <c r="C343" s="117" t="str">
        <f t="shared" si="41"/>
        <v/>
      </c>
      <c r="D343" s="116" t="str">
        <f t="shared" si="42"/>
        <v/>
      </c>
      <c r="E343" s="120" t="str">
        <f t="shared" si="43"/>
        <v/>
      </c>
      <c r="F343" s="123" t="str">
        <f t="shared" si="44"/>
        <v/>
      </c>
      <c r="G343" s="126" t="e">
        <f t="shared" si="45"/>
        <v>#REF!</v>
      </c>
      <c r="H343" s="116" t="e">
        <f t="shared" si="39"/>
        <v>#REF!</v>
      </c>
      <c r="I343" s="117" t="e" cm="1">
        <f t="array" ref="I343">IF(OR(INDEX(#REF!,ROW()+8)="START",INDEX(#REF!,ROW()+7)="",INDEX(#REF!,ROW()+7)="START",INDEX(#REF!,ROW()+7)="TBA",INDEX(#REF!,ROW()+7)="TBC"), IF(INDEX(#REF!,ROW()+7)="START",$C$3,""),IF(INDEX(#REF!,ROW()+7)="x",INDEX(#REF!,ROW()+7)+'Date Calculators'!$B$2+ICS4Master!$E341,""))</f>
        <v>#REF!</v>
      </c>
      <c r="J343" s="116" t="e" cm="1">
        <f t="array" ref="J343">IF(I343="","",INDEX(#REF!,ROW()+7))</f>
        <v>#REF!</v>
      </c>
      <c r="K343" s="120" t="e" cm="1">
        <f t="array" ref="K343">IF(I343="","",INDEX(#REF!,ROW()+7))</f>
        <v>#REF!</v>
      </c>
      <c r="L343" s="129" t="e" cm="1">
        <f t="array" ref="L343">IF(OR(I343="",INDEX(#REF!,ROW()+7)=""),"",INDEX(#REF!,ROW()+7))</f>
        <v>#REF!</v>
      </c>
    </row>
    <row r="344" spans="2:12" ht="15" customHeight="1">
      <c r="B344" s="121" t="str">
        <f t="shared" si="40"/>
        <v/>
      </c>
      <c r="C344" s="117" t="str">
        <f t="shared" si="41"/>
        <v/>
      </c>
      <c r="D344" s="116" t="str">
        <f t="shared" si="42"/>
        <v/>
      </c>
      <c r="E344" s="120" t="str">
        <f t="shared" si="43"/>
        <v/>
      </c>
      <c r="F344" s="123" t="str">
        <f t="shared" si="44"/>
        <v/>
      </c>
      <c r="G344" s="126" t="e">
        <f t="shared" si="45"/>
        <v>#REF!</v>
      </c>
      <c r="H344" s="116" t="e">
        <f t="shared" si="39"/>
        <v>#REF!</v>
      </c>
      <c r="I344" s="117" t="e" cm="1">
        <f t="array" ref="I344">IF(OR(INDEX(#REF!,ROW()+8)="START",INDEX(#REF!,ROW()+7)="",INDEX(#REF!,ROW()+7)="START",INDEX(#REF!,ROW()+7)="TBA",INDEX(#REF!,ROW()+7)="TBC"), IF(INDEX(#REF!,ROW()+7)="START",$C$3,""),IF(INDEX(#REF!,ROW()+7)="x",INDEX(#REF!,ROW()+7)+'Date Calculators'!$B$2+ICS4Master!$E342,""))</f>
        <v>#REF!</v>
      </c>
      <c r="J344" s="116" t="e" cm="1">
        <f t="array" ref="J344">IF(I344="","",INDEX(#REF!,ROW()+7))</f>
        <v>#REF!</v>
      </c>
      <c r="K344" s="120" t="e" cm="1">
        <f t="array" ref="K344">IF(I344="","",INDEX(#REF!,ROW()+7))</f>
        <v>#REF!</v>
      </c>
      <c r="L344" s="129" t="e" cm="1">
        <f t="array" ref="L344">IF(OR(I344="",INDEX(#REF!,ROW()+7)=""),"",INDEX(#REF!,ROW()+7))</f>
        <v>#REF!</v>
      </c>
    </row>
    <row r="345" spans="2:12" ht="15" customHeight="1">
      <c r="B345" s="121" t="str">
        <f t="shared" si="40"/>
        <v/>
      </c>
      <c r="C345" s="117" t="str">
        <f t="shared" si="41"/>
        <v/>
      </c>
      <c r="D345" s="116" t="str">
        <f t="shared" si="42"/>
        <v/>
      </c>
      <c r="E345" s="120" t="str">
        <f t="shared" si="43"/>
        <v/>
      </c>
      <c r="F345" s="123" t="str">
        <f t="shared" si="44"/>
        <v/>
      </c>
      <c r="G345" s="126" t="e">
        <f t="shared" si="45"/>
        <v>#REF!</v>
      </c>
      <c r="H345" s="116" t="e">
        <f t="shared" si="39"/>
        <v>#REF!</v>
      </c>
      <c r="I345" s="117" t="e" cm="1">
        <f t="array" ref="I345">IF(OR(INDEX(#REF!,ROW()+8)="START",INDEX(#REF!,ROW()+7)="",INDEX(#REF!,ROW()+7)="START",INDEX(#REF!,ROW()+7)="TBA",INDEX(#REF!,ROW()+7)="TBC"), IF(INDEX(#REF!,ROW()+7)="START",$C$3,""),IF(INDEX(#REF!,ROW()+7)="x",INDEX(#REF!,ROW()+7)+'Date Calculators'!$B$2+ICS4Master!$E343,""))</f>
        <v>#REF!</v>
      </c>
      <c r="J345" s="116" t="e" cm="1">
        <f t="array" ref="J345">IF(I345="","",INDEX(#REF!,ROW()+7))</f>
        <v>#REF!</v>
      </c>
      <c r="K345" s="120" t="e" cm="1">
        <f t="array" ref="K345">IF(I345="","",INDEX(#REF!,ROW()+7))</f>
        <v>#REF!</v>
      </c>
      <c r="L345" s="129" t="e" cm="1">
        <f t="array" ref="L345">IF(OR(I345="",INDEX(#REF!,ROW()+7)=""),"",INDEX(#REF!,ROW()+7))</f>
        <v>#REF!</v>
      </c>
    </row>
    <row r="346" spans="2:12" ht="15" customHeight="1">
      <c r="B346" s="121" t="str">
        <f t="shared" si="40"/>
        <v/>
      </c>
      <c r="C346" s="117" t="str">
        <f t="shared" si="41"/>
        <v/>
      </c>
      <c r="D346" s="116" t="str">
        <f t="shared" si="42"/>
        <v/>
      </c>
      <c r="E346" s="120" t="str">
        <f t="shared" si="43"/>
        <v/>
      </c>
      <c r="F346" s="123" t="str">
        <f t="shared" si="44"/>
        <v/>
      </c>
      <c r="G346" s="126" t="e">
        <f t="shared" si="45"/>
        <v>#REF!</v>
      </c>
      <c r="H346" s="116" t="e">
        <f t="shared" si="39"/>
        <v>#REF!</v>
      </c>
      <c r="I346" s="117" t="e" cm="1">
        <f t="array" ref="I346">IF(OR(INDEX(#REF!,ROW()+8)="START",INDEX(#REF!,ROW()+7)="",INDEX(#REF!,ROW()+7)="START",INDEX(#REF!,ROW()+7)="TBA",INDEX(#REF!,ROW()+7)="TBC"), IF(INDEX(#REF!,ROW()+7)="START",$C$3,""),IF(INDEX(#REF!,ROW()+7)="x",INDEX(#REF!,ROW()+7)+'Date Calculators'!$B$2+ICS4Master!$E344,""))</f>
        <v>#REF!</v>
      </c>
      <c r="J346" s="116" t="e" cm="1">
        <f t="array" ref="J346">IF(I346="","",INDEX(#REF!,ROW()+7))</f>
        <v>#REF!</v>
      </c>
      <c r="K346" s="120" t="e" cm="1">
        <f t="array" ref="K346">IF(I346="","",INDEX(#REF!,ROW()+7))</f>
        <v>#REF!</v>
      </c>
      <c r="L346" s="129" t="e" cm="1">
        <f t="array" ref="L346">IF(OR(I346="",INDEX(#REF!,ROW()+7)=""),"",INDEX(#REF!,ROW()+7))</f>
        <v>#REF!</v>
      </c>
    </row>
    <row r="347" spans="2:12" ht="15" customHeight="1">
      <c r="B347" s="121" t="str">
        <f t="shared" si="40"/>
        <v/>
      </c>
      <c r="C347" s="117" t="str">
        <f t="shared" si="41"/>
        <v/>
      </c>
      <c r="D347" s="116" t="str">
        <f t="shared" si="42"/>
        <v/>
      </c>
      <c r="E347" s="120" t="str">
        <f t="shared" si="43"/>
        <v/>
      </c>
      <c r="F347" s="123" t="str">
        <f t="shared" si="44"/>
        <v/>
      </c>
      <c r="G347" s="126" t="e">
        <f t="shared" si="45"/>
        <v>#REF!</v>
      </c>
      <c r="H347" s="116" t="e">
        <f t="shared" si="39"/>
        <v>#REF!</v>
      </c>
      <c r="I347" s="117" t="e" cm="1">
        <f t="array" ref="I347">IF(OR(INDEX(#REF!,ROW()+8)="START",INDEX(#REF!,ROW()+7)="",INDEX(#REF!,ROW()+7)="START",INDEX(#REF!,ROW()+7)="TBA",INDEX(#REF!,ROW()+7)="TBC"), IF(INDEX(#REF!,ROW()+7)="START",$C$3,""),IF(INDEX(#REF!,ROW()+7)="x",INDEX(#REF!,ROW()+7)+'Date Calculators'!$B$2+ICS4Master!$E345,""))</f>
        <v>#REF!</v>
      </c>
      <c r="J347" s="116" t="e" cm="1">
        <f t="array" ref="J347">IF(I347="","",INDEX(#REF!,ROW()+7))</f>
        <v>#REF!</v>
      </c>
      <c r="K347" s="120" t="e" cm="1">
        <f t="array" ref="K347">IF(I347="","",INDEX(#REF!,ROW()+7))</f>
        <v>#REF!</v>
      </c>
      <c r="L347" s="129" t="e" cm="1">
        <f t="array" ref="L347">IF(OR(I347="",INDEX(#REF!,ROW()+7)=""),"",INDEX(#REF!,ROW()+7))</f>
        <v>#REF!</v>
      </c>
    </row>
    <row r="348" spans="2:12" ht="15" customHeight="1">
      <c r="B348" s="121" t="str">
        <f t="shared" si="40"/>
        <v/>
      </c>
      <c r="C348" s="117" t="str">
        <f t="shared" si="41"/>
        <v/>
      </c>
      <c r="D348" s="116" t="str">
        <f t="shared" si="42"/>
        <v/>
      </c>
      <c r="E348" s="120" t="str">
        <f t="shared" si="43"/>
        <v/>
      </c>
      <c r="F348" s="123" t="str">
        <f t="shared" si="44"/>
        <v/>
      </c>
      <c r="G348" s="126" t="e">
        <f t="shared" si="45"/>
        <v>#REF!</v>
      </c>
      <c r="H348" s="116" t="e">
        <f t="shared" si="39"/>
        <v>#REF!</v>
      </c>
      <c r="I348" s="117" t="e" cm="1">
        <f t="array" ref="I348">IF(OR(INDEX(#REF!,ROW()+8)="START",INDEX(#REF!,ROW()+7)="",INDEX(#REF!,ROW()+7)="START",INDEX(#REF!,ROW()+7)="TBA",INDEX(#REF!,ROW()+7)="TBC"), IF(INDEX(#REF!,ROW()+7)="START",$C$3,""),IF(INDEX(#REF!,ROW()+7)="x",INDEX(#REF!,ROW()+7)+'Date Calculators'!$B$2+ICS4Master!$E346,""))</f>
        <v>#REF!</v>
      </c>
      <c r="J348" s="116" t="e" cm="1">
        <f t="array" ref="J348">IF(I348="","",INDEX(#REF!,ROW()+7))</f>
        <v>#REF!</v>
      </c>
      <c r="K348" s="120" t="e" cm="1">
        <f t="array" ref="K348">IF(I348="","",INDEX(#REF!,ROW()+7))</f>
        <v>#REF!</v>
      </c>
      <c r="L348" s="129" t="e" cm="1">
        <f t="array" ref="L348">IF(OR(I348="",INDEX(#REF!,ROW()+7)=""),"",INDEX(#REF!,ROW()+7))</f>
        <v>#REF!</v>
      </c>
    </row>
    <row r="349" spans="2:12" ht="15" customHeight="1">
      <c r="B349" s="121" t="str">
        <f t="shared" si="40"/>
        <v/>
      </c>
      <c r="C349" s="117" t="str">
        <f t="shared" si="41"/>
        <v/>
      </c>
      <c r="D349" s="116" t="str">
        <f t="shared" si="42"/>
        <v/>
      </c>
      <c r="E349" s="120" t="str">
        <f t="shared" si="43"/>
        <v/>
      </c>
      <c r="F349" s="123" t="str">
        <f t="shared" si="44"/>
        <v/>
      </c>
      <c r="G349" s="126" t="e">
        <f t="shared" si="45"/>
        <v>#REF!</v>
      </c>
      <c r="H349" s="116" t="e">
        <f t="shared" si="39"/>
        <v>#REF!</v>
      </c>
      <c r="I349" s="117" t="e" cm="1">
        <f t="array" ref="I349">IF(OR(INDEX(#REF!,ROW()+8)="START",INDEX(#REF!,ROW()+7)="",INDEX(#REF!,ROW()+7)="START",INDEX(#REF!,ROW()+7)="TBA",INDEX(#REF!,ROW()+7)="TBC"), IF(INDEX(#REF!,ROW()+7)="START",$C$3,""),IF(INDEX(#REF!,ROW()+7)="x",INDEX(#REF!,ROW()+7)+'Date Calculators'!$B$2+ICS4Master!$E347,""))</f>
        <v>#REF!</v>
      </c>
      <c r="J349" s="116" t="e" cm="1">
        <f t="array" ref="J349">IF(I349="","",INDEX(#REF!,ROW()+7))</f>
        <v>#REF!</v>
      </c>
      <c r="K349" s="120" t="e" cm="1">
        <f t="array" ref="K349">IF(I349="","",INDEX(#REF!,ROW()+7))</f>
        <v>#REF!</v>
      </c>
      <c r="L349" s="129" t="e" cm="1">
        <f t="array" ref="L349">IF(OR(I349="",INDEX(#REF!,ROW()+7)=""),"",INDEX(#REF!,ROW()+7))</f>
        <v>#REF!</v>
      </c>
    </row>
    <row r="350" spans="2:12" ht="15" customHeight="1">
      <c r="B350" s="121" t="str">
        <f t="shared" si="40"/>
        <v/>
      </c>
      <c r="C350" s="117" t="str">
        <f t="shared" si="41"/>
        <v/>
      </c>
      <c r="D350" s="116" t="str">
        <f t="shared" si="42"/>
        <v/>
      </c>
      <c r="E350" s="120" t="str">
        <f t="shared" si="43"/>
        <v/>
      </c>
      <c r="F350" s="123" t="str">
        <f t="shared" si="44"/>
        <v/>
      </c>
      <c r="G350" s="126" t="e">
        <f t="shared" si="45"/>
        <v>#REF!</v>
      </c>
      <c r="H350" s="116" t="e">
        <f t="shared" si="39"/>
        <v>#REF!</v>
      </c>
      <c r="I350" s="117" t="e" cm="1">
        <f t="array" ref="I350">IF(OR(INDEX(#REF!,ROW()+8)="START",INDEX(#REF!,ROW()+7)="",INDEX(#REF!,ROW()+7)="START",INDEX(#REF!,ROW()+7)="TBA",INDEX(#REF!,ROW()+7)="TBC"), IF(INDEX(#REF!,ROW()+7)="START",$C$3,""),IF(INDEX(#REF!,ROW()+7)="x",INDEX(#REF!,ROW()+7)+'Date Calculators'!$B$2+ICS4Master!$E348,""))</f>
        <v>#REF!</v>
      </c>
      <c r="J350" s="116" t="e" cm="1">
        <f t="array" ref="J350">IF(I350="","",INDEX(#REF!,ROW()+7))</f>
        <v>#REF!</v>
      </c>
      <c r="K350" s="120" t="e" cm="1">
        <f t="array" ref="K350">IF(I350="","",INDEX(#REF!,ROW()+7))</f>
        <v>#REF!</v>
      </c>
      <c r="L350" s="129" t="e" cm="1">
        <f t="array" ref="L350">IF(OR(I350="",INDEX(#REF!,ROW()+7)=""),"",INDEX(#REF!,ROW()+7))</f>
        <v>#REF!</v>
      </c>
    </row>
    <row r="351" spans="2:12" ht="15" customHeight="1">
      <c r="B351" s="121" t="str">
        <f t="shared" si="40"/>
        <v/>
      </c>
      <c r="C351" s="117" t="str">
        <f t="shared" si="41"/>
        <v/>
      </c>
      <c r="D351" s="116" t="str">
        <f t="shared" si="42"/>
        <v/>
      </c>
      <c r="E351" s="120" t="str">
        <f t="shared" si="43"/>
        <v/>
      </c>
      <c r="F351" s="123" t="str">
        <f t="shared" si="44"/>
        <v/>
      </c>
      <c r="G351" s="126" t="e">
        <f t="shared" si="45"/>
        <v>#REF!</v>
      </c>
      <c r="H351" s="116" t="e">
        <f t="shared" si="39"/>
        <v>#REF!</v>
      </c>
      <c r="I351" s="117" t="e" cm="1">
        <f t="array" ref="I351">IF(OR(INDEX(#REF!,ROW()+8)="START",INDEX(#REF!,ROW()+7)="",INDEX(#REF!,ROW()+7)="START",INDEX(#REF!,ROW()+7)="TBA",INDEX(#REF!,ROW()+7)="TBC"), IF(INDEX(#REF!,ROW()+7)="START",$C$3,""),IF(INDEX(#REF!,ROW()+7)="x",INDEX(#REF!,ROW()+7)+'Date Calculators'!$B$2+ICS4Master!$E349,""))</f>
        <v>#REF!</v>
      </c>
      <c r="J351" s="116" t="e" cm="1">
        <f t="array" ref="J351">IF(I351="","",INDEX(#REF!,ROW()+7))</f>
        <v>#REF!</v>
      </c>
      <c r="K351" s="120" t="e" cm="1">
        <f t="array" ref="K351">IF(I351="","",INDEX(#REF!,ROW()+7))</f>
        <v>#REF!</v>
      </c>
      <c r="L351" s="129" t="e" cm="1">
        <f t="array" ref="L351">IF(OR(I351="",INDEX(#REF!,ROW()+7)=""),"",INDEX(#REF!,ROW()+7))</f>
        <v>#REF!</v>
      </c>
    </row>
    <row r="352" spans="2:12" ht="15" customHeight="1">
      <c r="B352" s="121" t="str">
        <f t="shared" si="40"/>
        <v/>
      </c>
      <c r="C352" s="117" t="str">
        <f t="shared" si="41"/>
        <v/>
      </c>
      <c r="D352" s="116" t="str">
        <f t="shared" si="42"/>
        <v/>
      </c>
      <c r="E352" s="120" t="str">
        <f t="shared" si="43"/>
        <v/>
      </c>
      <c r="F352" s="123" t="str">
        <f t="shared" si="44"/>
        <v/>
      </c>
      <c r="G352" s="126" t="e">
        <f t="shared" si="45"/>
        <v>#REF!</v>
      </c>
      <c r="H352" s="116" t="e">
        <f t="shared" si="39"/>
        <v>#REF!</v>
      </c>
      <c r="I352" s="117" t="e" cm="1">
        <f t="array" ref="I352">IF(OR(INDEX(#REF!,ROW()+8)="START",INDEX(#REF!,ROW()+7)="",INDEX(#REF!,ROW()+7)="START",INDEX(#REF!,ROW()+7)="TBA",INDEX(#REF!,ROW()+7)="TBC"), IF(INDEX(#REF!,ROW()+7)="START",$C$3,""),IF(INDEX(#REF!,ROW()+7)="x",INDEX(#REF!,ROW()+7)+'Date Calculators'!$B$2+ICS4Master!$E350,""))</f>
        <v>#REF!</v>
      </c>
      <c r="J352" s="116" t="e" cm="1">
        <f t="array" ref="J352">IF(I352="","",INDEX(#REF!,ROW()+7))</f>
        <v>#REF!</v>
      </c>
      <c r="K352" s="120" t="e" cm="1">
        <f t="array" ref="K352">IF(I352="","",INDEX(#REF!,ROW()+7))</f>
        <v>#REF!</v>
      </c>
      <c r="L352" s="129" t="e" cm="1">
        <f t="array" ref="L352">IF(OR(I352="",INDEX(#REF!,ROW()+7)=""),"",INDEX(#REF!,ROW()+7))</f>
        <v>#REF!</v>
      </c>
    </row>
    <row r="353" spans="2:12" ht="15" customHeight="1">
      <c r="B353" s="121" t="str">
        <f t="shared" si="40"/>
        <v/>
      </c>
      <c r="C353" s="117" t="str">
        <f t="shared" si="41"/>
        <v/>
      </c>
      <c r="D353" s="116" t="str">
        <f t="shared" si="42"/>
        <v/>
      </c>
      <c r="E353" s="120" t="str">
        <f t="shared" si="43"/>
        <v/>
      </c>
      <c r="F353" s="123" t="str">
        <f t="shared" si="44"/>
        <v/>
      </c>
      <c r="G353" s="126" t="e">
        <f t="shared" si="45"/>
        <v>#REF!</v>
      </c>
      <c r="H353" s="116" t="e">
        <f t="shared" si="39"/>
        <v>#REF!</v>
      </c>
      <c r="I353" s="117" t="e" cm="1">
        <f t="array" ref="I353">IF(OR(INDEX(#REF!,ROW()+8)="START",INDEX(#REF!,ROW()+7)="",INDEX(#REF!,ROW()+7)="START",INDEX(#REF!,ROW()+7)="TBA",INDEX(#REF!,ROW()+7)="TBC"), IF(INDEX(#REF!,ROW()+7)="START",$C$3,""),IF(INDEX(#REF!,ROW()+7)="x",INDEX(#REF!,ROW()+7)+'Date Calculators'!$B$2+ICS4Master!$E351,""))</f>
        <v>#REF!</v>
      </c>
      <c r="J353" s="116" t="e" cm="1">
        <f t="array" ref="J353">IF(I353="","",INDEX(#REF!,ROW()+7))</f>
        <v>#REF!</v>
      </c>
      <c r="K353" s="120" t="e" cm="1">
        <f t="array" ref="K353">IF(I353="","",INDEX(#REF!,ROW()+7))</f>
        <v>#REF!</v>
      </c>
      <c r="L353" s="129" t="e" cm="1">
        <f t="array" ref="L353">IF(OR(I353="",INDEX(#REF!,ROW()+7)=""),"",INDEX(#REF!,ROW()+7))</f>
        <v>#REF!</v>
      </c>
    </row>
    <row r="354" spans="2:12" ht="15" customHeight="1">
      <c r="B354" s="121" t="str">
        <f t="shared" si="40"/>
        <v/>
      </c>
      <c r="C354" s="117" t="str">
        <f t="shared" si="41"/>
        <v/>
      </c>
      <c r="D354" s="116" t="str">
        <f t="shared" si="42"/>
        <v/>
      </c>
      <c r="E354" s="120" t="str">
        <f t="shared" si="43"/>
        <v/>
      </c>
      <c r="F354" s="123" t="str">
        <f t="shared" si="44"/>
        <v/>
      </c>
      <c r="G354" s="126" t="e">
        <f t="shared" si="45"/>
        <v>#REF!</v>
      </c>
      <c r="H354" s="116" t="e">
        <f t="shared" si="39"/>
        <v>#REF!</v>
      </c>
      <c r="I354" s="117" t="e" cm="1">
        <f t="array" ref="I354">IF(OR(INDEX(#REF!,ROW()+8)="START",INDEX(#REF!,ROW()+7)="",INDEX(#REF!,ROW()+7)="START",INDEX(#REF!,ROW()+7)="TBA",INDEX(#REF!,ROW()+7)="TBC"), IF(INDEX(#REF!,ROW()+7)="START",$C$3,""),IF(INDEX(#REF!,ROW()+7)="x",INDEX(#REF!,ROW()+7)+'Date Calculators'!$B$2+ICS4Master!$E352,""))</f>
        <v>#REF!</v>
      </c>
      <c r="J354" s="116" t="e" cm="1">
        <f t="array" ref="J354">IF(I354="","",INDEX(#REF!,ROW()+7))</f>
        <v>#REF!</v>
      </c>
      <c r="K354" s="120" t="e" cm="1">
        <f t="array" ref="K354">IF(I354="","",INDEX(#REF!,ROW()+7))</f>
        <v>#REF!</v>
      </c>
      <c r="L354" s="129" t="e" cm="1">
        <f t="array" ref="L354">IF(OR(I354="",INDEX(#REF!,ROW()+7)=""),"",INDEX(#REF!,ROW()+7))</f>
        <v>#REF!</v>
      </c>
    </row>
    <row r="355" spans="2:12" ht="15" customHeight="1">
      <c r="B355" s="121" t="str">
        <f t="shared" si="40"/>
        <v/>
      </c>
      <c r="C355" s="117" t="str">
        <f t="shared" si="41"/>
        <v/>
      </c>
      <c r="D355" s="116" t="str">
        <f t="shared" si="42"/>
        <v/>
      </c>
      <c r="E355" s="120" t="str">
        <f t="shared" si="43"/>
        <v/>
      </c>
      <c r="F355" s="123" t="str">
        <f t="shared" si="44"/>
        <v/>
      </c>
      <c r="G355" s="126" t="e">
        <f t="shared" si="45"/>
        <v>#REF!</v>
      </c>
      <c r="H355" s="116" t="e">
        <f t="shared" si="39"/>
        <v>#REF!</v>
      </c>
      <c r="I355" s="117" t="e" cm="1">
        <f t="array" ref="I355">IF(OR(INDEX(#REF!,ROW()+8)="START",INDEX(#REF!,ROW()+7)="",INDEX(#REF!,ROW()+7)="START",INDEX(#REF!,ROW()+7)="TBA",INDEX(#REF!,ROW()+7)="TBC"), IF(INDEX(#REF!,ROW()+7)="START",$C$3,""),IF(INDEX(#REF!,ROW()+7)="x",INDEX(#REF!,ROW()+7)+'Date Calculators'!$B$2+ICS4Master!$E353,""))</f>
        <v>#REF!</v>
      </c>
      <c r="J355" s="116" t="e" cm="1">
        <f t="array" ref="J355">IF(I355="","",INDEX(#REF!,ROW()+7))</f>
        <v>#REF!</v>
      </c>
      <c r="K355" s="120" t="e" cm="1">
        <f t="array" ref="K355">IF(I355="","",INDEX(#REF!,ROW()+7))</f>
        <v>#REF!</v>
      </c>
      <c r="L355" s="129" t="e" cm="1">
        <f t="array" ref="L355">IF(OR(I355="",INDEX(#REF!,ROW()+7)=""),"",INDEX(#REF!,ROW()+7))</f>
        <v>#REF!</v>
      </c>
    </row>
    <row r="356" spans="2:12" ht="15" customHeight="1">
      <c r="B356" s="121" t="str">
        <f t="shared" si="40"/>
        <v/>
      </c>
      <c r="C356" s="117" t="str">
        <f t="shared" si="41"/>
        <v/>
      </c>
      <c r="D356" s="116" t="str">
        <f t="shared" si="42"/>
        <v/>
      </c>
      <c r="E356" s="120" t="str">
        <f t="shared" si="43"/>
        <v/>
      </c>
      <c r="F356" s="123" t="str">
        <f t="shared" si="44"/>
        <v/>
      </c>
      <c r="G356" s="126" t="e">
        <f t="shared" si="45"/>
        <v>#REF!</v>
      </c>
      <c r="H356" s="116" t="e">
        <f t="shared" si="39"/>
        <v>#REF!</v>
      </c>
      <c r="I356" s="117" t="e" cm="1">
        <f t="array" ref="I356">IF(OR(INDEX(#REF!,ROW()+8)="START",INDEX(#REF!,ROW()+7)="",INDEX(#REF!,ROW()+7)="START",INDEX(#REF!,ROW()+7)="TBA",INDEX(#REF!,ROW()+7)="TBC"), IF(INDEX(#REF!,ROW()+7)="START",$C$3,""),IF(INDEX(#REF!,ROW()+7)="x",INDEX(#REF!,ROW()+7)+'Date Calculators'!$B$2+ICS4Master!$E354,""))</f>
        <v>#REF!</v>
      </c>
      <c r="J356" s="116" t="e" cm="1">
        <f t="array" ref="J356">IF(I356="","",INDEX(#REF!,ROW()+7))</f>
        <v>#REF!</v>
      </c>
      <c r="K356" s="120" t="e" cm="1">
        <f t="array" ref="K356">IF(I356="","",INDEX(#REF!,ROW()+7))</f>
        <v>#REF!</v>
      </c>
      <c r="L356" s="129" t="e" cm="1">
        <f t="array" ref="L356">IF(OR(I356="",INDEX(#REF!,ROW()+7)=""),"",INDEX(#REF!,ROW()+7))</f>
        <v>#REF!</v>
      </c>
    </row>
    <row r="357" spans="2:12" ht="15" customHeight="1">
      <c r="B357" s="121" t="str">
        <f t="shared" si="40"/>
        <v/>
      </c>
      <c r="C357" s="117" t="str">
        <f t="shared" si="41"/>
        <v/>
      </c>
      <c r="D357" s="116" t="str">
        <f t="shared" si="42"/>
        <v/>
      </c>
      <c r="E357" s="120" t="str">
        <f t="shared" si="43"/>
        <v/>
      </c>
      <c r="F357" s="123" t="str">
        <f t="shared" si="44"/>
        <v/>
      </c>
      <c r="G357" s="126" t="e">
        <f t="shared" si="45"/>
        <v>#REF!</v>
      </c>
      <c r="H357" s="116" t="e">
        <f t="shared" si="39"/>
        <v>#REF!</v>
      </c>
      <c r="I357" s="117" t="e" cm="1">
        <f t="array" ref="I357">IF(OR(INDEX(#REF!,ROW()+8)="START",INDEX(#REF!,ROW()+7)="",INDEX(#REF!,ROW()+7)="START",INDEX(#REF!,ROW()+7)="TBA",INDEX(#REF!,ROW()+7)="TBC"), IF(INDEX(#REF!,ROW()+7)="START",$C$3,""),IF(INDEX(#REF!,ROW()+7)="x",INDEX(#REF!,ROW()+7)+'Date Calculators'!$B$2+ICS4Master!$E355,""))</f>
        <v>#REF!</v>
      </c>
      <c r="J357" s="116" t="e" cm="1">
        <f t="array" ref="J357">IF(I357="","",INDEX(#REF!,ROW()+7))</f>
        <v>#REF!</v>
      </c>
      <c r="K357" s="120" t="e" cm="1">
        <f t="array" ref="K357">IF(I357="","",INDEX(#REF!,ROW()+7))</f>
        <v>#REF!</v>
      </c>
      <c r="L357" s="129" t="e" cm="1">
        <f t="array" ref="L357">IF(OR(I357="",INDEX(#REF!,ROW()+7)=""),"",INDEX(#REF!,ROW()+7))</f>
        <v>#REF!</v>
      </c>
    </row>
    <row r="358" spans="2:12" ht="15" customHeight="1">
      <c r="B358" s="121" t="str">
        <f t="shared" si="40"/>
        <v/>
      </c>
      <c r="C358" s="117" t="str">
        <f t="shared" si="41"/>
        <v/>
      </c>
      <c r="D358" s="116" t="str">
        <f t="shared" si="42"/>
        <v/>
      </c>
      <c r="E358" s="120" t="str">
        <f t="shared" si="43"/>
        <v/>
      </c>
      <c r="F358" s="123" t="str">
        <f t="shared" si="44"/>
        <v/>
      </c>
      <c r="G358" s="126" t="e">
        <f t="shared" si="45"/>
        <v>#REF!</v>
      </c>
      <c r="H358" s="116" t="e">
        <f t="shared" si="39"/>
        <v>#REF!</v>
      </c>
      <c r="I358" s="117" t="e" cm="1">
        <f t="array" ref="I358">IF(OR(INDEX(#REF!,ROW()+8)="START",INDEX(#REF!,ROW()+7)="",INDEX(#REF!,ROW()+7)="START",INDEX(#REF!,ROW()+7)="TBA",INDEX(#REF!,ROW()+7)="TBC"), IF(INDEX(#REF!,ROW()+7)="START",$C$3,""),IF(INDEX(#REF!,ROW()+7)="x",INDEX(#REF!,ROW()+7)+'Date Calculators'!$B$2+ICS4Master!$E356,""))</f>
        <v>#REF!</v>
      </c>
      <c r="J358" s="116" t="e" cm="1">
        <f t="array" ref="J358">IF(I358="","",INDEX(#REF!,ROW()+7))</f>
        <v>#REF!</v>
      </c>
      <c r="K358" s="120" t="e" cm="1">
        <f t="array" ref="K358">IF(I358="","",INDEX(#REF!,ROW()+7))</f>
        <v>#REF!</v>
      </c>
      <c r="L358" s="129" t="e" cm="1">
        <f t="array" ref="L358">IF(OR(I358="",INDEX(#REF!,ROW()+7)=""),"",INDEX(#REF!,ROW()+7))</f>
        <v>#REF!</v>
      </c>
    </row>
    <row r="359" spans="2:12" ht="15" customHeight="1">
      <c r="B359" s="121" t="str">
        <f t="shared" si="40"/>
        <v/>
      </c>
      <c r="C359" s="117" t="str">
        <f t="shared" si="41"/>
        <v/>
      </c>
      <c r="D359" s="116" t="str">
        <f t="shared" si="42"/>
        <v/>
      </c>
      <c r="E359" s="120" t="str">
        <f t="shared" si="43"/>
        <v/>
      </c>
      <c r="F359" s="123" t="str">
        <f t="shared" si="44"/>
        <v/>
      </c>
      <c r="G359" s="126" t="e">
        <f t="shared" si="45"/>
        <v>#REF!</v>
      </c>
      <c r="H359" s="116" t="e">
        <f t="shared" si="39"/>
        <v>#REF!</v>
      </c>
      <c r="I359" s="117" t="e" cm="1">
        <f t="array" ref="I359">IF(OR(INDEX(#REF!,ROW()+8)="START",INDEX(#REF!,ROW()+7)="",INDEX(#REF!,ROW()+7)="START",INDEX(#REF!,ROW()+7)="TBA",INDEX(#REF!,ROW()+7)="TBC"), IF(INDEX(#REF!,ROW()+7)="START",$C$3,""),IF(INDEX(#REF!,ROW()+7)="x",INDEX(#REF!,ROW()+7)+'Date Calculators'!$B$2+ICS4Master!$E357,""))</f>
        <v>#REF!</v>
      </c>
      <c r="J359" s="116" t="e" cm="1">
        <f t="array" ref="J359">IF(I359="","",INDEX(#REF!,ROW()+7))</f>
        <v>#REF!</v>
      </c>
      <c r="K359" s="120" t="e" cm="1">
        <f t="array" ref="K359">IF(I359="","",INDEX(#REF!,ROW()+7))</f>
        <v>#REF!</v>
      </c>
      <c r="L359" s="129" t="e" cm="1">
        <f t="array" ref="L359">IF(OR(I359="",INDEX(#REF!,ROW()+7)=""),"",INDEX(#REF!,ROW()+7))</f>
        <v>#REF!</v>
      </c>
    </row>
    <row r="360" spans="2:12" ht="15" customHeight="1">
      <c r="B360" s="121" t="str">
        <f t="shared" si="40"/>
        <v/>
      </c>
      <c r="C360" s="117" t="str">
        <f t="shared" si="41"/>
        <v/>
      </c>
      <c r="D360" s="116" t="str">
        <f t="shared" si="42"/>
        <v/>
      </c>
      <c r="E360" s="120" t="str">
        <f t="shared" si="43"/>
        <v/>
      </c>
      <c r="F360" s="123" t="str">
        <f t="shared" si="44"/>
        <v/>
      </c>
      <c r="G360" s="126" t="e">
        <f t="shared" si="45"/>
        <v>#REF!</v>
      </c>
      <c r="H360" s="116" t="e">
        <f t="shared" si="39"/>
        <v>#REF!</v>
      </c>
      <c r="I360" s="117" t="e" cm="1">
        <f t="array" ref="I360">IF(OR(INDEX(#REF!,ROW()+8)="START",INDEX(#REF!,ROW()+7)="",INDEX(#REF!,ROW()+7)="START",INDEX(#REF!,ROW()+7)="TBA",INDEX(#REF!,ROW()+7)="TBC"), IF(INDEX(#REF!,ROW()+7)="START",$C$3,""),IF(INDEX(#REF!,ROW()+7)="x",INDEX(#REF!,ROW()+7)+'Date Calculators'!$B$2+ICS4Master!$E358,""))</f>
        <v>#REF!</v>
      </c>
      <c r="J360" s="116" t="e" cm="1">
        <f t="array" ref="J360">IF(I360="","",INDEX(#REF!,ROW()+7))</f>
        <v>#REF!</v>
      </c>
      <c r="K360" s="120" t="e" cm="1">
        <f t="array" ref="K360">IF(I360="","",INDEX(#REF!,ROW()+7))</f>
        <v>#REF!</v>
      </c>
      <c r="L360" s="129" t="e" cm="1">
        <f t="array" ref="L360">IF(OR(I360="",INDEX(#REF!,ROW()+7)=""),"",INDEX(#REF!,ROW()+7))</f>
        <v>#REF!</v>
      </c>
    </row>
    <row r="361" spans="2:12" ht="15" customHeight="1">
      <c r="B361" s="121" t="str">
        <f t="shared" si="40"/>
        <v/>
      </c>
      <c r="C361" s="117" t="str">
        <f t="shared" si="41"/>
        <v/>
      </c>
      <c r="D361" s="116" t="str">
        <f t="shared" si="42"/>
        <v/>
      </c>
      <c r="E361" s="120" t="str">
        <f t="shared" si="43"/>
        <v/>
      </c>
      <c r="F361" s="123" t="str">
        <f t="shared" si="44"/>
        <v/>
      </c>
      <c r="G361" s="126" t="e">
        <f t="shared" si="45"/>
        <v>#REF!</v>
      </c>
      <c r="H361" s="116" t="e">
        <f t="shared" si="39"/>
        <v>#REF!</v>
      </c>
      <c r="I361" s="117" t="e" cm="1">
        <f t="array" ref="I361">IF(OR(INDEX(#REF!,ROW()+8)="START",INDEX(#REF!,ROW()+7)="",INDEX(#REF!,ROW()+7)="START",INDEX(#REF!,ROW()+7)="TBA",INDEX(#REF!,ROW()+7)="TBC"), IF(INDEX(#REF!,ROW()+7)="START",$C$3,""),IF(INDEX(#REF!,ROW()+7)="x",INDEX(#REF!,ROW()+7)+'Date Calculators'!$B$2+ICS4Master!$E359,""))</f>
        <v>#REF!</v>
      </c>
      <c r="J361" s="116" t="e" cm="1">
        <f t="array" ref="J361">IF(I361="","",INDEX(#REF!,ROW()+7))</f>
        <v>#REF!</v>
      </c>
      <c r="K361" s="120" t="e" cm="1">
        <f t="array" ref="K361">IF(I361="","",INDEX(#REF!,ROW()+7))</f>
        <v>#REF!</v>
      </c>
      <c r="L361" s="129" t="e" cm="1">
        <f t="array" ref="L361">IF(OR(I361="",INDEX(#REF!,ROW()+7)=""),"",INDEX(#REF!,ROW()+7))</f>
        <v>#REF!</v>
      </c>
    </row>
    <row r="362" spans="2:12" ht="15" customHeight="1">
      <c r="B362" s="121" t="str">
        <f t="shared" si="40"/>
        <v/>
      </c>
      <c r="C362" s="117" t="str">
        <f t="shared" si="41"/>
        <v/>
      </c>
      <c r="D362" s="116" t="str">
        <f t="shared" si="42"/>
        <v/>
      </c>
      <c r="E362" s="120" t="str">
        <f t="shared" si="43"/>
        <v/>
      </c>
      <c r="F362" s="123" t="str">
        <f t="shared" si="44"/>
        <v/>
      </c>
      <c r="G362" s="126" t="e">
        <f t="shared" si="45"/>
        <v>#REF!</v>
      </c>
      <c r="H362" s="116" t="e">
        <f t="shared" si="39"/>
        <v>#REF!</v>
      </c>
      <c r="I362" s="117" t="e" cm="1">
        <f t="array" ref="I362">IF(OR(INDEX(#REF!,ROW()+8)="START",INDEX(#REF!,ROW()+7)="",INDEX(#REF!,ROW()+7)="START",INDEX(#REF!,ROW()+7)="TBA",INDEX(#REF!,ROW()+7)="TBC"), IF(INDEX(#REF!,ROW()+7)="START",$C$3,""),IF(INDEX(#REF!,ROW()+7)="x",INDEX(#REF!,ROW()+7)+'Date Calculators'!$B$2+ICS4Master!$E360,""))</f>
        <v>#REF!</v>
      </c>
      <c r="J362" s="116" t="e" cm="1">
        <f t="array" ref="J362">IF(I362="","",INDEX(#REF!,ROW()+7))</f>
        <v>#REF!</v>
      </c>
      <c r="K362" s="120" t="e" cm="1">
        <f t="array" ref="K362">IF(I362="","",INDEX(#REF!,ROW()+7))</f>
        <v>#REF!</v>
      </c>
      <c r="L362" s="129" t="e" cm="1">
        <f t="array" ref="L362">IF(OR(I362="",INDEX(#REF!,ROW()+7)=""),"",INDEX(#REF!,ROW()+7))</f>
        <v>#REF!</v>
      </c>
    </row>
    <row r="363" spans="2:12" ht="15" customHeight="1">
      <c r="B363" s="121" t="str">
        <f t="shared" si="40"/>
        <v/>
      </c>
      <c r="C363" s="117" t="str">
        <f t="shared" si="41"/>
        <v/>
      </c>
      <c r="D363" s="116" t="str">
        <f t="shared" si="42"/>
        <v/>
      </c>
      <c r="E363" s="120" t="str">
        <f t="shared" si="43"/>
        <v/>
      </c>
      <c r="F363" s="123" t="str">
        <f t="shared" si="44"/>
        <v/>
      </c>
      <c r="G363" s="126" t="e">
        <f t="shared" si="45"/>
        <v>#REF!</v>
      </c>
      <c r="H363" s="116" t="e">
        <f t="shared" si="39"/>
        <v>#REF!</v>
      </c>
      <c r="I363" s="117" t="e" cm="1">
        <f t="array" ref="I363">IF(OR(INDEX(#REF!,ROW()+8)="START",INDEX(#REF!,ROW()+7)="",INDEX(#REF!,ROW()+7)="START",INDEX(#REF!,ROW()+7)="TBA",INDEX(#REF!,ROW()+7)="TBC"), IF(INDEX(#REF!,ROW()+7)="START",$C$3,""),IF(INDEX(#REF!,ROW()+7)="x",INDEX(#REF!,ROW()+7)+'Date Calculators'!$B$2+ICS4Master!$E361,""))</f>
        <v>#REF!</v>
      </c>
      <c r="J363" s="116" t="e" cm="1">
        <f t="array" ref="J363">IF(I363="","",INDEX(#REF!,ROW()+7))</f>
        <v>#REF!</v>
      </c>
      <c r="K363" s="120" t="e" cm="1">
        <f t="array" ref="K363">IF(I363="","",INDEX(#REF!,ROW()+7))</f>
        <v>#REF!</v>
      </c>
      <c r="L363" s="129" t="e" cm="1">
        <f t="array" ref="L363">IF(OR(I363="",INDEX(#REF!,ROW()+7)=""),"",INDEX(#REF!,ROW()+7))</f>
        <v>#REF!</v>
      </c>
    </row>
    <row r="364" spans="2:12" ht="15" customHeight="1">
      <c r="B364" s="121" t="str">
        <f t="shared" si="40"/>
        <v/>
      </c>
      <c r="C364" s="117" t="str">
        <f t="shared" si="41"/>
        <v/>
      </c>
      <c r="D364" s="116" t="str">
        <f t="shared" si="42"/>
        <v/>
      </c>
      <c r="E364" s="120" t="str">
        <f t="shared" si="43"/>
        <v/>
      </c>
      <c r="F364" s="123" t="str">
        <f t="shared" si="44"/>
        <v/>
      </c>
      <c r="G364" s="126" t="e">
        <f t="shared" si="45"/>
        <v>#REF!</v>
      </c>
      <c r="H364" s="116" t="e">
        <f t="shared" si="39"/>
        <v>#REF!</v>
      </c>
      <c r="I364" s="117" t="e" cm="1">
        <f t="array" ref="I364">IF(OR(INDEX(#REF!,ROW()+8)="START",INDEX(#REF!,ROW()+7)="",INDEX(#REF!,ROW()+7)="START",INDEX(#REF!,ROW()+7)="TBA",INDEX(#REF!,ROW()+7)="TBC"), IF(INDEX(#REF!,ROW()+7)="START",$C$3,""),IF(INDEX(#REF!,ROW()+7)="x",INDEX(#REF!,ROW()+7)+'Date Calculators'!$B$2+ICS4Master!$E362,""))</f>
        <v>#REF!</v>
      </c>
      <c r="J364" s="116" t="e" cm="1">
        <f t="array" ref="J364">IF(I364="","",INDEX(#REF!,ROW()+7))</f>
        <v>#REF!</v>
      </c>
      <c r="K364" s="120" t="e" cm="1">
        <f t="array" ref="K364">IF(I364="","",INDEX(#REF!,ROW()+7))</f>
        <v>#REF!</v>
      </c>
      <c r="L364" s="129" t="e" cm="1">
        <f t="array" ref="L364">IF(OR(I364="",INDEX(#REF!,ROW()+7)=""),"",INDEX(#REF!,ROW()+7))</f>
        <v>#REF!</v>
      </c>
    </row>
    <row r="365" spans="2:12" ht="15" customHeight="1">
      <c r="B365" s="121" t="str">
        <f t="shared" si="40"/>
        <v/>
      </c>
      <c r="C365" s="117" t="str">
        <f t="shared" si="41"/>
        <v/>
      </c>
      <c r="D365" s="116" t="str">
        <f t="shared" si="42"/>
        <v/>
      </c>
      <c r="E365" s="120" t="str">
        <f t="shared" si="43"/>
        <v/>
      </c>
      <c r="F365" s="123" t="str">
        <f t="shared" si="44"/>
        <v/>
      </c>
      <c r="G365" s="126" t="e">
        <f t="shared" si="45"/>
        <v>#REF!</v>
      </c>
      <c r="H365" s="116" t="e">
        <f t="shared" si="39"/>
        <v>#REF!</v>
      </c>
      <c r="I365" s="117" t="e" cm="1">
        <f t="array" ref="I365">IF(OR(INDEX(#REF!,ROW()+8)="START",INDEX(#REF!,ROW()+7)="",INDEX(#REF!,ROW()+7)="START",INDEX(#REF!,ROW()+7)="TBA",INDEX(#REF!,ROW()+7)="TBC"), IF(INDEX(#REF!,ROW()+7)="START",$C$3,""),IF(INDEX(#REF!,ROW()+7)="x",INDEX(#REF!,ROW()+7)+'Date Calculators'!$B$2+ICS4Master!$E363,""))</f>
        <v>#REF!</v>
      </c>
      <c r="J365" s="116" t="e" cm="1">
        <f t="array" ref="J365">IF(I365="","",INDEX(#REF!,ROW()+7))</f>
        <v>#REF!</v>
      </c>
      <c r="K365" s="120" t="e" cm="1">
        <f t="array" ref="K365">IF(I365="","",INDEX(#REF!,ROW()+7))</f>
        <v>#REF!</v>
      </c>
      <c r="L365" s="129" t="e" cm="1">
        <f t="array" ref="L365">IF(OR(I365="",INDEX(#REF!,ROW()+7)=""),"",INDEX(#REF!,ROW()+7))</f>
        <v>#REF!</v>
      </c>
    </row>
    <row r="366" spans="2:12" ht="15" customHeight="1">
      <c r="B366" s="121" t="str">
        <f t="shared" si="40"/>
        <v/>
      </c>
      <c r="C366" s="117" t="str">
        <f t="shared" si="41"/>
        <v/>
      </c>
      <c r="D366" s="116" t="str">
        <f t="shared" si="42"/>
        <v/>
      </c>
      <c r="E366" s="120" t="str">
        <f t="shared" si="43"/>
        <v/>
      </c>
      <c r="F366" s="123" t="str">
        <f t="shared" si="44"/>
        <v/>
      </c>
      <c r="G366" s="126" t="e">
        <f t="shared" si="45"/>
        <v>#REF!</v>
      </c>
      <c r="H366" s="116" t="e">
        <f t="shared" si="39"/>
        <v>#REF!</v>
      </c>
      <c r="I366" s="117" t="e" cm="1">
        <f t="array" ref="I366">IF(OR(INDEX(#REF!,ROW()+8)="START",INDEX(#REF!,ROW()+7)="",INDEX(#REF!,ROW()+7)="START",INDEX(#REF!,ROW()+7)="TBA",INDEX(#REF!,ROW()+7)="TBC"), IF(INDEX(#REF!,ROW()+7)="START",$C$3,""),IF(INDEX(#REF!,ROW()+7)="x",INDEX(#REF!,ROW()+7)+'Date Calculators'!$B$2+ICS4Master!$E364,""))</f>
        <v>#REF!</v>
      </c>
      <c r="J366" s="116" t="e" cm="1">
        <f t="array" ref="J366">IF(I366="","",INDEX(#REF!,ROW()+7))</f>
        <v>#REF!</v>
      </c>
      <c r="K366" s="120" t="e" cm="1">
        <f t="array" ref="K366">IF(I366="","",INDEX(#REF!,ROW()+7))</f>
        <v>#REF!</v>
      </c>
      <c r="L366" s="129" t="e" cm="1">
        <f t="array" ref="L366">IF(OR(I366="",INDEX(#REF!,ROW()+7)=""),"",INDEX(#REF!,ROW()+7))</f>
        <v>#REF!</v>
      </c>
    </row>
    <row r="367" spans="2:12" ht="15" customHeight="1">
      <c r="B367" s="121" t="str">
        <f t="shared" si="40"/>
        <v/>
      </c>
      <c r="C367" s="117" t="str">
        <f t="shared" si="41"/>
        <v/>
      </c>
      <c r="D367" s="116" t="str">
        <f t="shared" si="42"/>
        <v/>
      </c>
      <c r="E367" s="120" t="str">
        <f t="shared" si="43"/>
        <v/>
      </c>
      <c r="F367" s="123" t="str">
        <f t="shared" si="44"/>
        <v/>
      </c>
      <c r="G367" s="126" t="e">
        <f t="shared" si="45"/>
        <v>#REF!</v>
      </c>
      <c r="H367" s="116" t="e">
        <f t="shared" si="39"/>
        <v>#REF!</v>
      </c>
      <c r="I367" s="117" t="e" cm="1">
        <f t="array" ref="I367">IF(OR(INDEX(#REF!,ROW()+8)="START",INDEX(#REF!,ROW()+7)="",INDEX(#REF!,ROW()+7)="START",INDEX(#REF!,ROW()+7)="TBA",INDEX(#REF!,ROW()+7)="TBC"), IF(INDEX(#REF!,ROW()+7)="START",$C$3,""),IF(INDEX(#REF!,ROW()+7)="x",INDEX(#REF!,ROW()+7)+'Date Calculators'!$B$2+ICS4Master!$E365,""))</f>
        <v>#REF!</v>
      </c>
      <c r="J367" s="116" t="e" cm="1">
        <f t="array" ref="J367">IF(I367="","",INDEX(#REF!,ROW()+7))</f>
        <v>#REF!</v>
      </c>
      <c r="K367" s="120" t="e" cm="1">
        <f t="array" ref="K367">IF(I367="","",INDEX(#REF!,ROW()+7))</f>
        <v>#REF!</v>
      </c>
      <c r="L367" s="129" t="e" cm="1">
        <f t="array" ref="L367">IF(OR(I367="",INDEX(#REF!,ROW()+7)=""),"",INDEX(#REF!,ROW()+7))</f>
        <v>#REF!</v>
      </c>
    </row>
    <row r="368" spans="2:12" ht="15" customHeight="1">
      <c r="B368" s="121" t="str">
        <f t="shared" si="40"/>
        <v/>
      </c>
      <c r="C368" s="117" t="str">
        <f t="shared" si="41"/>
        <v/>
      </c>
      <c r="D368" s="116" t="str">
        <f t="shared" si="42"/>
        <v/>
      </c>
      <c r="E368" s="120" t="str">
        <f t="shared" si="43"/>
        <v/>
      </c>
      <c r="F368" s="123" t="str">
        <f t="shared" si="44"/>
        <v/>
      </c>
      <c r="G368" s="126" t="e">
        <f t="shared" si="45"/>
        <v>#REF!</v>
      </c>
      <c r="H368" s="116" t="e">
        <f t="shared" si="39"/>
        <v>#REF!</v>
      </c>
      <c r="I368" s="117" t="e" cm="1">
        <f t="array" ref="I368">IF(OR(INDEX(#REF!,ROW()+8)="START",INDEX(#REF!,ROW()+7)="",INDEX(#REF!,ROW()+7)="START",INDEX(#REF!,ROW()+7)="TBA",INDEX(#REF!,ROW()+7)="TBC"), IF(INDEX(#REF!,ROW()+7)="START",$C$3,""),IF(INDEX(#REF!,ROW()+7)="x",INDEX(#REF!,ROW()+7)+'Date Calculators'!$B$2+ICS4Master!$E366,""))</f>
        <v>#REF!</v>
      </c>
      <c r="J368" s="116" t="e" cm="1">
        <f t="array" ref="J368">IF(I368="","",INDEX(#REF!,ROW()+7))</f>
        <v>#REF!</v>
      </c>
      <c r="K368" s="120" t="e" cm="1">
        <f t="array" ref="K368">IF(I368="","",INDEX(#REF!,ROW()+7))</f>
        <v>#REF!</v>
      </c>
      <c r="L368" s="129" t="e" cm="1">
        <f t="array" ref="L368">IF(OR(I368="",INDEX(#REF!,ROW()+7)=""),"",INDEX(#REF!,ROW()+7))</f>
        <v>#REF!</v>
      </c>
    </row>
    <row r="369" spans="2:12" ht="15" customHeight="1">
      <c r="B369" s="121" t="str">
        <f t="shared" si="40"/>
        <v/>
      </c>
      <c r="C369" s="117" t="str">
        <f t="shared" si="41"/>
        <v/>
      </c>
      <c r="D369" s="116" t="str">
        <f t="shared" si="42"/>
        <v/>
      </c>
      <c r="E369" s="120" t="str">
        <f t="shared" si="43"/>
        <v/>
      </c>
      <c r="F369" s="123" t="str">
        <f t="shared" si="44"/>
        <v/>
      </c>
      <c r="G369" s="126" t="e">
        <f t="shared" si="45"/>
        <v>#REF!</v>
      </c>
      <c r="H369" s="116" t="e">
        <f t="shared" si="39"/>
        <v>#REF!</v>
      </c>
      <c r="I369" s="117" t="e" cm="1">
        <f t="array" ref="I369">IF(OR(INDEX(#REF!,ROW()+8)="START",INDEX(#REF!,ROW()+7)="",INDEX(#REF!,ROW()+7)="START",INDEX(#REF!,ROW()+7)="TBA",INDEX(#REF!,ROW()+7)="TBC"), IF(INDEX(#REF!,ROW()+7)="START",$C$3,""),IF(INDEX(#REF!,ROW()+7)="x",INDEX(#REF!,ROW()+7)+'Date Calculators'!$B$2+ICS4Master!$E367,""))</f>
        <v>#REF!</v>
      </c>
      <c r="J369" s="116" t="e" cm="1">
        <f t="array" ref="J369">IF(I369="","",INDEX(#REF!,ROW()+7))</f>
        <v>#REF!</v>
      </c>
      <c r="K369" s="120" t="e" cm="1">
        <f t="array" ref="K369">IF(I369="","",INDEX(#REF!,ROW()+7))</f>
        <v>#REF!</v>
      </c>
      <c r="L369" s="129" t="e" cm="1">
        <f t="array" ref="L369">IF(OR(I369="",INDEX(#REF!,ROW()+7)=""),"",INDEX(#REF!,ROW()+7))</f>
        <v>#REF!</v>
      </c>
    </row>
    <row r="370" spans="2:12" ht="15" customHeight="1">
      <c r="B370" s="121" t="str">
        <f t="shared" si="40"/>
        <v/>
      </c>
      <c r="C370" s="117" t="str">
        <f t="shared" si="41"/>
        <v/>
      </c>
      <c r="D370" s="116" t="str">
        <f t="shared" si="42"/>
        <v/>
      </c>
      <c r="E370" s="120" t="str">
        <f t="shared" si="43"/>
        <v/>
      </c>
      <c r="F370" s="123" t="str">
        <f t="shared" si="44"/>
        <v/>
      </c>
      <c r="G370" s="126" t="e">
        <f t="shared" si="45"/>
        <v>#REF!</v>
      </c>
      <c r="H370" s="116" t="e">
        <f t="shared" si="39"/>
        <v>#REF!</v>
      </c>
      <c r="I370" s="117" t="e" cm="1">
        <f t="array" ref="I370">IF(OR(INDEX(#REF!,ROW()+8)="START",INDEX(#REF!,ROW()+7)="",INDEX(#REF!,ROW()+7)="START",INDEX(#REF!,ROW()+7)="TBA",INDEX(#REF!,ROW()+7)="TBC"), IF(INDEX(#REF!,ROW()+7)="START",$C$3,""),IF(INDEX(#REF!,ROW()+7)="x",INDEX(#REF!,ROW()+7)+'Date Calculators'!$B$2+ICS4Master!$E368,""))</f>
        <v>#REF!</v>
      </c>
      <c r="J370" s="116" t="e" cm="1">
        <f t="array" ref="J370">IF(I370="","",INDEX(#REF!,ROW()+7))</f>
        <v>#REF!</v>
      </c>
      <c r="K370" s="120" t="e" cm="1">
        <f t="array" ref="K370">IF(I370="","",INDEX(#REF!,ROW()+7))</f>
        <v>#REF!</v>
      </c>
      <c r="L370" s="129" t="e" cm="1">
        <f t="array" ref="L370">IF(OR(I370="",INDEX(#REF!,ROW()+7)=""),"",INDEX(#REF!,ROW()+7))</f>
        <v>#REF!</v>
      </c>
    </row>
    <row r="371" spans="2:12" ht="15" customHeight="1">
      <c r="B371" s="121" t="str">
        <f t="shared" si="40"/>
        <v/>
      </c>
      <c r="C371" s="117" t="str">
        <f t="shared" si="41"/>
        <v/>
      </c>
      <c r="D371" s="116" t="str">
        <f t="shared" si="42"/>
        <v/>
      </c>
      <c r="E371" s="120" t="str">
        <f t="shared" si="43"/>
        <v/>
      </c>
      <c r="F371" s="123" t="str">
        <f t="shared" si="44"/>
        <v/>
      </c>
      <c r="G371" s="126" t="e">
        <f t="shared" si="45"/>
        <v>#REF!</v>
      </c>
      <c r="H371" s="116" t="e">
        <f t="shared" si="39"/>
        <v>#REF!</v>
      </c>
      <c r="I371" s="117" t="e" cm="1">
        <f t="array" ref="I371">IF(OR(INDEX(#REF!,ROW()+8)="START",INDEX(#REF!,ROW()+7)="",INDEX(#REF!,ROW()+7)="START",INDEX(#REF!,ROW()+7)="TBA",INDEX(#REF!,ROW()+7)="TBC"), IF(INDEX(#REF!,ROW()+7)="START",$C$3,""),IF(INDEX(#REF!,ROW()+7)="x",INDEX(#REF!,ROW()+7)+'Date Calculators'!$B$2+ICS4Master!$E369,""))</f>
        <v>#REF!</v>
      </c>
      <c r="J371" s="116" t="e" cm="1">
        <f t="array" ref="J371">IF(I371="","",INDEX(#REF!,ROW()+7))</f>
        <v>#REF!</v>
      </c>
      <c r="K371" s="120" t="e" cm="1">
        <f t="array" ref="K371">IF(I371="","",INDEX(#REF!,ROW()+7))</f>
        <v>#REF!</v>
      </c>
      <c r="L371" s="129" t="e" cm="1">
        <f t="array" ref="L371">IF(OR(I371="",INDEX(#REF!,ROW()+7)=""),"",INDEX(#REF!,ROW()+7))</f>
        <v>#REF!</v>
      </c>
    </row>
    <row r="372" spans="2:12" ht="15" customHeight="1">
      <c r="B372" s="121" t="str">
        <f t="shared" si="40"/>
        <v/>
      </c>
      <c r="C372" s="117" t="str">
        <f t="shared" si="41"/>
        <v/>
      </c>
      <c r="D372" s="116" t="str">
        <f t="shared" si="42"/>
        <v/>
      </c>
      <c r="E372" s="120" t="str">
        <f t="shared" si="43"/>
        <v/>
      </c>
      <c r="F372" s="123" t="str">
        <f t="shared" si="44"/>
        <v/>
      </c>
      <c r="G372" s="126" t="e">
        <f t="shared" si="45"/>
        <v>#REF!</v>
      </c>
      <c r="H372" s="116" t="e">
        <f t="shared" si="39"/>
        <v>#REF!</v>
      </c>
      <c r="I372" s="117" t="e" cm="1">
        <f t="array" ref="I372">IF(OR(INDEX(#REF!,ROW()+8)="START",INDEX(#REF!,ROW()+7)="",INDEX(#REF!,ROW()+7)="START",INDEX(#REF!,ROW()+7)="TBA",INDEX(#REF!,ROW()+7)="TBC"), IF(INDEX(#REF!,ROW()+7)="START",$C$3,""),IF(INDEX(#REF!,ROW()+7)="x",INDEX(#REF!,ROW()+7)+'Date Calculators'!$B$2+ICS4Master!$E370,""))</f>
        <v>#REF!</v>
      </c>
      <c r="J372" s="116" t="e" cm="1">
        <f t="array" ref="J372">IF(I372="","",INDEX(#REF!,ROW()+7))</f>
        <v>#REF!</v>
      </c>
      <c r="K372" s="120" t="e" cm="1">
        <f t="array" ref="K372">IF(I372="","",INDEX(#REF!,ROW()+7))</f>
        <v>#REF!</v>
      </c>
      <c r="L372" s="129" t="e" cm="1">
        <f t="array" ref="L372">IF(OR(I372="",INDEX(#REF!,ROW()+7)=""),"",INDEX(#REF!,ROW()+7))</f>
        <v>#REF!</v>
      </c>
    </row>
    <row r="373" spans="2:12" ht="15" customHeight="1">
      <c r="B373" s="121" t="str">
        <f t="shared" si="40"/>
        <v/>
      </c>
      <c r="C373" s="117" t="str">
        <f t="shared" si="41"/>
        <v/>
      </c>
      <c r="D373" s="116" t="str">
        <f t="shared" si="42"/>
        <v/>
      </c>
      <c r="E373" s="120" t="str">
        <f t="shared" si="43"/>
        <v/>
      </c>
      <c r="F373" s="123" t="str">
        <f t="shared" si="44"/>
        <v/>
      </c>
      <c r="G373" s="126" t="e">
        <f t="shared" si="45"/>
        <v>#REF!</v>
      </c>
      <c r="H373" s="116" t="e">
        <f t="shared" si="39"/>
        <v>#REF!</v>
      </c>
      <c r="I373" s="117" t="e" cm="1">
        <f t="array" ref="I373">IF(OR(INDEX(#REF!,ROW()+8)="START",INDEX(#REF!,ROW()+7)="",INDEX(#REF!,ROW()+7)="START",INDEX(#REF!,ROW()+7)="TBA",INDEX(#REF!,ROW()+7)="TBC"), IF(INDEX(#REF!,ROW()+7)="START",$C$3,""),IF(INDEX(#REF!,ROW()+7)="x",INDEX(#REF!,ROW()+7)+'Date Calculators'!$B$2+ICS4Master!$E371,""))</f>
        <v>#REF!</v>
      </c>
      <c r="J373" s="116" t="e" cm="1">
        <f t="array" ref="J373">IF(I373="","",INDEX(#REF!,ROW()+7))</f>
        <v>#REF!</v>
      </c>
      <c r="K373" s="120" t="e" cm="1">
        <f t="array" ref="K373">IF(I373="","",INDEX(#REF!,ROW()+7))</f>
        <v>#REF!</v>
      </c>
      <c r="L373" s="129" t="e" cm="1">
        <f t="array" ref="L373">IF(OR(I373="",INDEX(#REF!,ROW()+7)=""),"",INDEX(#REF!,ROW()+7))</f>
        <v>#REF!</v>
      </c>
    </row>
    <row r="374" spans="2:12" ht="15" customHeight="1">
      <c r="B374" s="121" t="str">
        <f t="shared" si="40"/>
        <v/>
      </c>
      <c r="C374" s="117" t="str">
        <f t="shared" si="41"/>
        <v/>
      </c>
      <c r="D374" s="116" t="str">
        <f t="shared" si="42"/>
        <v/>
      </c>
      <c r="E374" s="120" t="str">
        <f t="shared" si="43"/>
        <v/>
      </c>
      <c r="F374" s="123" t="str">
        <f t="shared" si="44"/>
        <v/>
      </c>
      <c r="G374" s="126" t="e">
        <f t="shared" si="45"/>
        <v>#REF!</v>
      </c>
      <c r="H374" s="116" t="e">
        <f t="shared" si="39"/>
        <v>#REF!</v>
      </c>
      <c r="I374" s="117" t="e" cm="1">
        <f t="array" ref="I374">IF(OR(INDEX(#REF!,ROW()+8)="START",INDEX(#REF!,ROW()+7)="",INDEX(#REF!,ROW()+7)="START",INDEX(#REF!,ROW()+7)="TBA",INDEX(#REF!,ROW()+7)="TBC"), IF(INDEX(#REF!,ROW()+7)="START",$C$3,""),IF(INDEX(#REF!,ROW()+7)="x",INDEX(#REF!,ROW()+7)+'Date Calculators'!$B$2+ICS4Master!$E372,""))</f>
        <v>#REF!</v>
      </c>
      <c r="J374" s="116" t="e" cm="1">
        <f t="array" ref="J374">IF(I374="","",INDEX(#REF!,ROW()+7))</f>
        <v>#REF!</v>
      </c>
      <c r="K374" s="120" t="e" cm="1">
        <f t="array" ref="K374">IF(I374="","",INDEX(#REF!,ROW()+7))</f>
        <v>#REF!</v>
      </c>
      <c r="L374" s="129" t="e" cm="1">
        <f t="array" ref="L374">IF(OR(I374="",INDEX(#REF!,ROW()+7)=""),"",INDEX(#REF!,ROW()+7))</f>
        <v>#REF!</v>
      </c>
    </row>
    <row r="375" spans="2:12" ht="15" customHeight="1">
      <c r="B375" s="121" t="str">
        <f t="shared" si="40"/>
        <v/>
      </c>
      <c r="C375" s="117" t="str">
        <f t="shared" si="41"/>
        <v/>
      </c>
      <c r="D375" s="116" t="str">
        <f t="shared" si="42"/>
        <v/>
      </c>
      <c r="E375" s="120" t="str">
        <f t="shared" si="43"/>
        <v/>
      </c>
      <c r="F375" s="123" t="str">
        <f t="shared" si="44"/>
        <v/>
      </c>
      <c r="G375" s="126" t="e">
        <f t="shared" si="45"/>
        <v>#REF!</v>
      </c>
      <c r="H375" s="116" t="e">
        <f t="shared" si="39"/>
        <v>#REF!</v>
      </c>
      <c r="I375" s="117" t="e" cm="1">
        <f t="array" ref="I375">IF(OR(INDEX(#REF!,ROW()+8)="START",INDEX(#REF!,ROW()+7)="",INDEX(#REF!,ROW()+7)="START",INDEX(#REF!,ROW()+7)="TBA",INDEX(#REF!,ROW()+7)="TBC"), IF(INDEX(#REF!,ROW()+7)="START",$C$3,""),IF(INDEX(#REF!,ROW()+7)="x",INDEX(#REF!,ROW()+7)+'Date Calculators'!$B$2+ICS4Master!$E373,""))</f>
        <v>#REF!</v>
      </c>
      <c r="J375" s="116" t="e" cm="1">
        <f t="array" ref="J375">IF(I375="","",INDEX(#REF!,ROW()+7))</f>
        <v>#REF!</v>
      </c>
      <c r="K375" s="120" t="e" cm="1">
        <f t="array" ref="K375">IF(I375="","",INDEX(#REF!,ROW()+7))</f>
        <v>#REF!</v>
      </c>
      <c r="L375" s="129" t="e" cm="1">
        <f t="array" ref="L375">IF(OR(I375="",INDEX(#REF!,ROW()+7)=""),"",INDEX(#REF!,ROW()+7))</f>
        <v>#REF!</v>
      </c>
    </row>
    <row r="376" spans="2:12" ht="15" customHeight="1">
      <c r="B376" s="121" t="str">
        <f t="shared" si="40"/>
        <v/>
      </c>
      <c r="C376" s="117" t="str">
        <f t="shared" si="41"/>
        <v/>
      </c>
      <c r="D376" s="116" t="str">
        <f t="shared" si="42"/>
        <v/>
      </c>
      <c r="E376" s="120" t="str">
        <f t="shared" si="43"/>
        <v/>
      </c>
      <c r="F376" s="123" t="str">
        <f t="shared" si="44"/>
        <v/>
      </c>
      <c r="G376" s="126" t="e">
        <f t="shared" si="45"/>
        <v>#REF!</v>
      </c>
      <c r="H376" s="116" t="e">
        <f t="shared" si="39"/>
        <v>#REF!</v>
      </c>
      <c r="I376" s="117" t="e" cm="1">
        <f t="array" ref="I376">IF(OR(INDEX(#REF!,ROW()+8)="START",INDEX(#REF!,ROW()+7)="",INDEX(#REF!,ROW()+7)="START",INDEX(#REF!,ROW()+7)="TBA",INDEX(#REF!,ROW()+7)="TBC"), IF(INDEX(#REF!,ROW()+7)="START",$C$3,""),IF(INDEX(#REF!,ROW()+7)="x",INDEX(#REF!,ROW()+7)+'Date Calculators'!$B$2+ICS4Master!$E374,""))</f>
        <v>#REF!</v>
      </c>
      <c r="J376" s="116" t="e" cm="1">
        <f t="array" ref="J376">IF(I376="","",INDEX(#REF!,ROW()+7))</f>
        <v>#REF!</v>
      </c>
      <c r="K376" s="120" t="e" cm="1">
        <f t="array" ref="K376">IF(I376="","",INDEX(#REF!,ROW()+7))</f>
        <v>#REF!</v>
      </c>
      <c r="L376" s="129" t="e" cm="1">
        <f t="array" ref="L376">IF(OR(I376="",INDEX(#REF!,ROW()+7)=""),"",INDEX(#REF!,ROW()+7))</f>
        <v>#REF!</v>
      </c>
    </row>
    <row r="377" spans="2:12" ht="15" customHeight="1">
      <c r="B377" s="121" t="str">
        <f t="shared" si="40"/>
        <v/>
      </c>
      <c r="C377" s="117" t="str">
        <f t="shared" si="41"/>
        <v/>
      </c>
      <c r="D377" s="116" t="str">
        <f t="shared" si="42"/>
        <v/>
      </c>
      <c r="E377" s="120" t="str">
        <f t="shared" si="43"/>
        <v/>
      </c>
      <c r="F377" s="123" t="str">
        <f t="shared" si="44"/>
        <v/>
      </c>
      <c r="G377" s="126" t="e">
        <f t="shared" si="45"/>
        <v>#REF!</v>
      </c>
      <c r="H377" s="116" t="e">
        <f t="shared" si="39"/>
        <v>#REF!</v>
      </c>
      <c r="I377" s="117" t="e" cm="1">
        <f t="array" ref="I377">IF(OR(INDEX(#REF!,ROW()+8)="START",INDEX(#REF!,ROW()+7)="",INDEX(#REF!,ROW()+7)="START",INDEX(#REF!,ROW()+7)="TBA",INDEX(#REF!,ROW()+7)="TBC"), IF(INDEX(#REF!,ROW()+7)="START",$C$3,""),IF(INDEX(#REF!,ROW()+7)="x",INDEX(#REF!,ROW()+7)+'Date Calculators'!$B$2+ICS4Master!$E375,""))</f>
        <v>#REF!</v>
      </c>
      <c r="J377" s="116" t="e" cm="1">
        <f t="array" ref="J377">IF(I377="","",INDEX(#REF!,ROW()+7))</f>
        <v>#REF!</v>
      </c>
      <c r="K377" s="120" t="e" cm="1">
        <f t="array" ref="K377">IF(I377="","",INDEX(#REF!,ROW()+7))</f>
        <v>#REF!</v>
      </c>
      <c r="L377" s="129" t="e" cm="1">
        <f t="array" ref="L377">IF(OR(I377="",INDEX(#REF!,ROW()+7)=""),"",INDEX(#REF!,ROW()+7))</f>
        <v>#REF!</v>
      </c>
    </row>
    <row r="378" spans="2:12" ht="15" customHeight="1">
      <c r="B378" s="121" t="str">
        <f t="shared" si="40"/>
        <v/>
      </c>
      <c r="C378" s="117" t="str">
        <f t="shared" si="41"/>
        <v/>
      </c>
      <c r="D378" s="116" t="str">
        <f t="shared" si="42"/>
        <v/>
      </c>
      <c r="E378" s="120" t="str">
        <f t="shared" si="43"/>
        <v/>
      </c>
      <c r="F378" s="123" t="str">
        <f t="shared" si="44"/>
        <v/>
      </c>
      <c r="G378" s="126" t="e">
        <f t="shared" si="45"/>
        <v>#REF!</v>
      </c>
      <c r="H378" s="116" t="e">
        <f t="shared" si="39"/>
        <v>#REF!</v>
      </c>
      <c r="I378" s="117" t="e" cm="1">
        <f t="array" ref="I378">IF(OR(INDEX(#REF!,ROW()+8)="START",INDEX(#REF!,ROW()+7)="",INDEX(#REF!,ROW()+7)="START",INDEX(#REF!,ROW()+7)="TBA",INDEX(#REF!,ROW()+7)="TBC"), IF(INDEX(#REF!,ROW()+7)="START",$C$3,""),IF(INDEX(#REF!,ROW()+7)="x",INDEX(#REF!,ROW()+7)+'Date Calculators'!$B$2+ICS4Master!$E376,""))</f>
        <v>#REF!</v>
      </c>
      <c r="J378" s="116" t="e" cm="1">
        <f t="array" ref="J378">IF(I378="","",INDEX(#REF!,ROW()+7))</f>
        <v>#REF!</v>
      </c>
      <c r="K378" s="120" t="e" cm="1">
        <f t="array" ref="K378">IF(I378="","",INDEX(#REF!,ROW()+7))</f>
        <v>#REF!</v>
      </c>
      <c r="L378" s="129" t="e" cm="1">
        <f t="array" ref="L378">IF(OR(I378="",INDEX(#REF!,ROW()+7)=""),"",INDEX(#REF!,ROW()+7))</f>
        <v>#REF!</v>
      </c>
    </row>
    <row r="379" spans="2:12" ht="15" customHeight="1">
      <c r="B379" s="121" t="str">
        <f t="shared" si="40"/>
        <v/>
      </c>
      <c r="C379" s="117" t="str">
        <f t="shared" si="41"/>
        <v/>
      </c>
      <c r="D379" s="116" t="str">
        <f t="shared" si="42"/>
        <v/>
      </c>
      <c r="E379" s="120" t="str">
        <f t="shared" si="43"/>
        <v/>
      </c>
      <c r="F379" s="123" t="str">
        <f t="shared" si="44"/>
        <v/>
      </c>
      <c r="G379" s="126" t="e">
        <f t="shared" si="45"/>
        <v>#REF!</v>
      </c>
      <c r="H379" s="116" t="e">
        <f t="shared" si="39"/>
        <v>#REF!</v>
      </c>
      <c r="I379" s="117" t="e" cm="1">
        <f t="array" ref="I379">IF(OR(INDEX(#REF!,ROW()+8)="START",INDEX(#REF!,ROW()+7)="",INDEX(#REF!,ROW()+7)="START",INDEX(#REF!,ROW()+7)="TBA",INDEX(#REF!,ROW()+7)="TBC"), IF(INDEX(#REF!,ROW()+7)="START",$C$3,""),IF(INDEX(#REF!,ROW()+7)="x",INDEX(#REF!,ROW()+7)+'Date Calculators'!$B$2+ICS4Master!$E377,""))</f>
        <v>#REF!</v>
      </c>
      <c r="J379" s="116" t="e" cm="1">
        <f t="array" ref="J379">IF(I379="","",INDEX(#REF!,ROW()+7))</f>
        <v>#REF!</v>
      </c>
      <c r="K379" s="120" t="e" cm="1">
        <f t="array" ref="K379">IF(I379="","",INDEX(#REF!,ROW()+7))</f>
        <v>#REF!</v>
      </c>
      <c r="L379" s="129" t="e" cm="1">
        <f t="array" ref="L379">IF(OR(I379="",INDEX(#REF!,ROW()+7)=""),"",INDEX(#REF!,ROW()+7))</f>
        <v>#REF!</v>
      </c>
    </row>
    <row r="380" spans="2:12" ht="15" customHeight="1">
      <c r="B380" s="121" t="str">
        <f t="shared" si="40"/>
        <v/>
      </c>
      <c r="C380" s="117" t="str">
        <f t="shared" si="41"/>
        <v/>
      </c>
      <c r="D380" s="116" t="str">
        <f t="shared" si="42"/>
        <v/>
      </c>
      <c r="E380" s="120" t="str">
        <f t="shared" si="43"/>
        <v/>
      </c>
      <c r="F380" s="123" t="str">
        <f t="shared" si="44"/>
        <v/>
      </c>
      <c r="G380" s="126" t="e">
        <f t="shared" si="45"/>
        <v>#REF!</v>
      </c>
      <c r="H380" s="116" t="e">
        <f t="shared" si="39"/>
        <v>#REF!</v>
      </c>
      <c r="I380" s="117" t="e" cm="1">
        <f t="array" ref="I380">IF(OR(INDEX(#REF!,ROW()+8)="START",INDEX(#REF!,ROW()+7)="",INDEX(#REF!,ROW()+7)="START",INDEX(#REF!,ROW()+7)="TBA",INDEX(#REF!,ROW()+7)="TBC"), IF(INDEX(#REF!,ROW()+7)="START",$C$3,""),IF(INDEX(#REF!,ROW()+7)="x",INDEX(#REF!,ROW()+7)+'Date Calculators'!$B$2+ICS4Master!$E378,""))</f>
        <v>#REF!</v>
      </c>
      <c r="J380" s="116" t="e" cm="1">
        <f t="array" ref="J380">IF(I380="","",INDEX(#REF!,ROW()+7))</f>
        <v>#REF!</v>
      </c>
      <c r="K380" s="120" t="e" cm="1">
        <f t="array" ref="K380">IF(I380="","",INDEX(#REF!,ROW()+7))</f>
        <v>#REF!</v>
      </c>
      <c r="L380" s="129" t="e" cm="1">
        <f t="array" ref="L380">IF(OR(I380="",INDEX(#REF!,ROW()+7)=""),"",INDEX(#REF!,ROW()+7))</f>
        <v>#REF!</v>
      </c>
    </row>
    <row r="381" spans="2:12" ht="15" customHeight="1">
      <c r="B381" s="121" t="str">
        <f t="shared" si="40"/>
        <v/>
      </c>
      <c r="C381" s="117" t="str">
        <f t="shared" si="41"/>
        <v/>
      </c>
      <c r="D381" s="116" t="str">
        <f t="shared" si="42"/>
        <v/>
      </c>
      <c r="E381" s="120" t="str">
        <f t="shared" si="43"/>
        <v/>
      </c>
      <c r="F381" s="123" t="str">
        <f t="shared" si="44"/>
        <v/>
      </c>
      <c r="G381" s="126" t="e">
        <f t="shared" si="45"/>
        <v>#REF!</v>
      </c>
      <c r="H381" s="116" t="e">
        <f t="shared" si="39"/>
        <v>#REF!</v>
      </c>
      <c r="I381" s="117" t="e" cm="1">
        <f t="array" ref="I381">IF(OR(INDEX(#REF!,ROW()+8)="START",INDEX(#REF!,ROW()+7)="",INDEX(#REF!,ROW()+7)="START",INDEX(#REF!,ROW()+7)="TBA",INDEX(#REF!,ROW()+7)="TBC"), IF(INDEX(#REF!,ROW()+7)="START",$C$3,""),IF(INDEX(#REF!,ROW()+7)="x",INDEX(#REF!,ROW()+7)+'Date Calculators'!$B$2+ICS4Master!$E379,""))</f>
        <v>#REF!</v>
      </c>
      <c r="J381" s="116" t="e" cm="1">
        <f t="array" ref="J381">IF(I381="","",INDEX(#REF!,ROW()+7))</f>
        <v>#REF!</v>
      </c>
      <c r="K381" s="120" t="e" cm="1">
        <f t="array" ref="K381">IF(I381="","",INDEX(#REF!,ROW()+7))</f>
        <v>#REF!</v>
      </c>
      <c r="L381" s="129" t="e" cm="1">
        <f t="array" ref="L381">IF(OR(I381="",INDEX(#REF!,ROW()+7)=""),"",INDEX(#REF!,ROW()+7))</f>
        <v>#REF!</v>
      </c>
    </row>
    <row r="382" spans="2:12" ht="15" customHeight="1">
      <c r="B382" s="121" t="str">
        <f t="shared" si="40"/>
        <v/>
      </c>
      <c r="C382" s="117" t="str">
        <f t="shared" si="41"/>
        <v/>
      </c>
      <c r="D382" s="116" t="str">
        <f t="shared" si="42"/>
        <v/>
      </c>
      <c r="E382" s="120" t="str">
        <f t="shared" si="43"/>
        <v/>
      </c>
      <c r="F382" s="123" t="str">
        <f t="shared" si="44"/>
        <v/>
      </c>
      <c r="G382" s="126" t="e">
        <f t="shared" si="45"/>
        <v>#REF!</v>
      </c>
      <c r="H382" s="116" t="e">
        <f t="shared" si="39"/>
        <v>#REF!</v>
      </c>
      <c r="I382" s="117" t="e" cm="1">
        <f t="array" ref="I382">IF(OR(INDEX(#REF!,ROW()+8)="START",INDEX(#REF!,ROW()+7)="",INDEX(#REF!,ROW()+7)="START",INDEX(#REF!,ROW()+7)="TBA",INDEX(#REF!,ROW()+7)="TBC"), IF(INDEX(#REF!,ROW()+7)="START",$C$3,""),IF(INDEX(#REF!,ROW()+7)="x",INDEX(#REF!,ROW()+7)+'Date Calculators'!$B$2+ICS4Master!$E380,""))</f>
        <v>#REF!</v>
      </c>
      <c r="J382" s="116" t="e" cm="1">
        <f t="array" ref="J382">IF(I382="","",INDEX(#REF!,ROW()+7))</f>
        <v>#REF!</v>
      </c>
      <c r="K382" s="120" t="e" cm="1">
        <f t="array" ref="K382">IF(I382="","",INDEX(#REF!,ROW()+7))</f>
        <v>#REF!</v>
      </c>
      <c r="L382" s="129" t="e" cm="1">
        <f t="array" ref="L382">IF(OR(I382="",INDEX(#REF!,ROW()+7)=""),"",INDEX(#REF!,ROW()+7))</f>
        <v>#REF!</v>
      </c>
    </row>
    <row r="383" spans="2:12" ht="15" customHeight="1">
      <c r="B383" s="121" t="str">
        <f t="shared" si="40"/>
        <v/>
      </c>
      <c r="C383" s="117" t="str">
        <f t="shared" si="41"/>
        <v/>
      </c>
      <c r="D383" s="116" t="str">
        <f t="shared" si="42"/>
        <v/>
      </c>
      <c r="E383" s="120" t="str">
        <f t="shared" si="43"/>
        <v/>
      </c>
      <c r="F383" s="123" t="str">
        <f t="shared" si="44"/>
        <v/>
      </c>
      <c r="G383" s="126" t="e">
        <f t="shared" si="45"/>
        <v>#REF!</v>
      </c>
      <c r="H383" s="116" t="e">
        <f t="shared" si="39"/>
        <v>#REF!</v>
      </c>
      <c r="I383" s="117" t="e" cm="1">
        <f t="array" ref="I383">IF(OR(INDEX(#REF!,ROW()+8)="START",INDEX(#REF!,ROW()+7)="",INDEX(#REF!,ROW()+7)="START",INDEX(#REF!,ROW()+7)="TBA",INDEX(#REF!,ROW()+7)="TBC"), IF(INDEX(#REF!,ROW()+7)="START",$C$3,""),IF(INDEX(#REF!,ROW()+7)="x",INDEX(#REF!,ROW()+7)+'Date Calculators'!$B$2+ICS4Master!$E381,""))</f>
        <v>#REF!</v>
      </c>
      <c r="J383" s="116" t="e" cm="1">
        <f t="array" ref="J383">IF(I383="","",INDEX(#REF!,ROW()+7))</f>
        <v>#REF!</v>
      </c>
      <c r="K383" s="120" t="e" cm="1">
        <f t="array" ref="K383">IF(I383="","",INDEX(#REF!,ROW()+7))</f>
        <v>#REF!</v>
      </c>
      <c r="L383" s="129" t="e" cm="1">
        <f t="array" ref="L383">IF(OR(I383="",INDEX(#REF!,ROW()+7)=""),"",INDEX(#REF!,ROW()+7))</f>
        <v>#REF!</v>
      </c>
    </row>
    <row r="384" spans="2:12" ht="15" customHeight="1">
      <c r="B384" s="121" t="str">
        <f t="shared" si="40"/>
        <v/>
      </c>
      <c r="C384" s="117" t="str">
        <f t="shared" si="41"/>
        <v/>
      </c>
      <c r="D384" s="116" t="str">
        <f t="shared" si="42"/>
        <v/>
      </c>
      <c r="E384" s="120" t="str">
        <f t="shared" si="43"/>
        <v/>
      </c>
      <c r="F384" s="123" t="str">
        <f t="shared" si="44"/>
        <v/>
      </c>
      <c r="G384" s="126" t="e">
        <f t="shared" si="45"/>
        <v>#REF!</v>
      </c>
      <c r="H384" s="116" t="e">
        <f t="shared" si="39"/>
        <v>#REF!</v>
      </c>
      <c r="I384" s="117" t="e" cm="1">
        <f t="array" ref="I384">IF(OR(INDEX(#REF!,ROW()+8)="START",INDEX(#REF!,ROW()+7)="",INDEX(#REF!,ROW()+7)="START",INDEX(#REF!,ROW()+7)="TBA",INDEX(#REF!,ROW()+7)="TBC"), IF(INDEX(#REF!,ROW()+7)="START",$C$3,""),IF(INDEX(#REF!,ROW()+7)="x",INDEX(#REF!,ROW()+7)+'Date Calculators'!$B$2+ICS4Master!$E382,""))</f>
        <v>#REF!</v>
      </c>
      <c r="J384" s="116" t="e" cm="1">
        <f t="array" ref="J384">IF(I384="","",INDEX(#REF!,ROW()+7))</f>
        <v>#REF!</v>
      </c>
      <c r="K384" s="120" t="e" cm="1">
        <f t="array" ref="K384">IF(I384="","",INDEX(#REF!,ROW()+7))</f>
        <v>#REF!</v>
      </c>
      <c r="L384" s="129" t="e" cm="1">
        <f t="array" ref="L384">IF(OR(I384="",INDEX(#REF!,ROW()+7)=""),"",INDEX(#REF!,ROW()+7))</f>
        <v>#REF!</v>
      </c>
    </row>
    <row r="385" spans="2:12" ht="15" customHeight="1">
      <c r="B385" s="121" t="str">
        <f t="shared" si="40"/>
        <v/>
      </c>
      <c r="C385" s="117" t="str">
        <f t="shared" si="41"/>
        <v/>
      </c>
      <c r="D385" s="116" t="str">
        <f t="shared" si="42"/>
        <v/>
      </c>
      <c r="E385" s="120" t="str">
        <f t="shared" si="43"/>
        <v/>
      </c>
      <c r="F385" s="123" t="str">
        <f t="shared" si="44"/>
        <v/>
      </c>
      <c r="G385" s="126" t="e">
        <f t="shared" si="45"/>
        <v>#REF!</v>
      </c>
      <c r="H385" s="116" t="e">
        <f t="shared" si="39"/>
        <v>#REF!</v>
      </c>
      <c r="I385" s="117" t="e" cm="1">
        <f t="array" ref="I385">IF(OR(INDEX(#REF!,ROW()+8)="START",INDEX(#REF!,ROW()+7)="",INDEX(#REF!,ROW()+7)="START",INDEX(#REF!,ROW()+7)="TBA",INDEX(#REF!,ROW()+7)="TBC"), IF(INDEX(#REF!,ROW()+7)="START",$C$3,""),IF(INDEX(#REF!,ROW()+7)="x",INDEX(#REF!,ROW()+7)+'Date Calculators'!$B$2+ICS4Master!$E383,""))</f>
        <v>#REF!</v>
      </c>
      <c r="J385" s="116" t="e" cm="1">
        <f t="array" ref="J385">IF(I385="","",INDEX(#REF!,ROW()+7))</f>
        <v>#REF!</v>
      </c>
      <c r="K385" s="120" t="e" cm="1">
        <f t="array" ref="K385">IF(I385="","",INDEX(#REF!,ROW()+7))</f>
        <v>#REF!</v>
      </c>
      <c r="L385" s="129" t="e" cm="1">
        <f t="array" ref="L385">IF(OR(I385="",INDEX(#REF!,ROW()+7)=""),"",INDEX(#REF!,ROW()+7))</f>
        <v>#REF!</v>
      </c>
    </row>
    <row r="386" spans="2:12" ht="15" customHeight="1">
      <c r="B386" s="121" t="str">
        <f t="shared" si="40"/>
        <v/>
      </c>
      <c r="C386" s="117" t="str">
        <f t="shared" si="41"/>
        <v/>
      </c>
      <c r="D386" s="116" t="str">
        <f t="shared" si="42"/>
        <v/>
      </c>
      <c r="E386" s="120" t="str">
        <f t="shared" si="43"/>
        <v/>
      </c>
      <c r="F386" s="123" t="str">
        <f t="shared" si="44"/>
        <v/>
      </c>
      <c r="G386" s="126" t="e">
        <f t="shared" si="45"/>
        <v>#REF!</v>
      </c>
      <c r="H386" s="116" t="e">
        <f t="shared" si="39"/>
        <v>#REF!</v>
      </c>
      <c r="I386" s="117" t="e" cm="1">
        <f t="array" ref="I386">IF(OR(INDEX(#REF!,ROW()+8)="START",INDEX(#REF!,ROW()+7)="",INDEX(#REF!,ROW()+7)="START",INDEX(#REF!,ROW()+7)="TBA",INDEX(#REF!,ROW()+7)="TBC"), IF(INDEX(#REF!,ROW()+7)="START",$C$3,""),IF(INDEX(#REF!,ROW()+7)="x",INDEX(#REF!,ROW()+7)+'Date Calculators'!$B$2+ICS4Master!$E384,""))</f>
        <v>#REF!</v>
      </c>
      <c r="J386" s="116" t="e" cm="1">
        <f t="array" ref="J386">IF(I386="","",INDEX(#REF!,ROW()+7))</f>
        <v>#REF!</v>
      </c>
      <c r="K386" s="120" t="e" cm="1">
        <f t="array" ref="K386">IF(I386="","",INDEX(#REF!,ROW()+7))</f>
        <v>#REF!</v>
      </c>
      <c r="L386" s="129" t="e" cm="1">
        <f t="array" ref="L386">IF(OR(I386="",INDEX(#REF!,ROW()+7)=""),"",INDEX(#REF!,ROW()+7))</f>
        <v>#REF!</v>
      </c>
    </row>
    <row r="387" spans="2:12" ht="15" customHeight="1">
      <c r="B387" s="121" t="str">
        <f t="shared" si="40"/>
        <v/>
      </c>
      <c r="C387" s="117" t="str">
        <f t="shared" si="41"/>
        <v/>
      </c>
      <c r="D387" s="116" t="str">
        <f t="shared" si="42"/>
        <v/>
      </c>
      <c r="E387" s="120" t="str">
        <f t="shared" si="43"/>
        <v/>
      </c>
      <c r="F387" s="123" t="str">
        <f t="shared" si="44"/>
        <v/>
      </c>
      <c r="G387" s="126" t="e">
        <f t="shared" si="45"/>
        <v>#REF!</v>
      </c>
      <c r="H387" s="116" t="e">
        <f t="shared" si="39"/>
        <v>#REF!</v>
      </c>
      <c r="I387" s="117" t="e" cm="1">
        <f t="array" ref="I387">IF(OR(INDEX(#REF!,ROW()+8)="START",INDEX(#REF!,ROW()+7)="",INDEX(#REF!,ROW()+7)="START",INDEX(#REF!,ROW()+7)="TBA",INDEX(#REF!,ROW()+7)="TBC"), IF(INDEX(#REF!,ROW()+7)="START",$C$3,""),IF(INDEX(#REF!,ROW()+7)="x",INDEX(#REF!,ROW()+7)+'Date Calculators'!$B$2+ICS4Master!$E385,""))</f>
        <v>#REF!</v>
      </c>
      <c r="J387" s="116" t="e" cm="1">
        <f t="array" ref="J387">IF(I387="","",INDEX(#REF!,ROW()+7))</f>
        <v>#REF!</v>
      </c>
      <c r="K387" s="120" t="e" cm="1">
        <f t="array" ref="K387">IF(I387="","",INDEX(#REF!,ROW()+7))</f>
        <v>#REF!</v>
      </c>
      <c r="L387" s="129" t="e" cm="1">
        <f t="array" ref="L387">IF(OR(I387="",INDEX(#REF!,ROW()+7)=""),"",INDEX(#REF!,ROW()+7))</f>
        <v>#REF!</v>
      </c>
    </row>
    <row r="388" spans="2:12" ht="15" customHeight="1">
      <c r="B388" s="121" t="str">
        <f t="shared" si="40"/>
        <v/>
      </c>
      <c r="C388" s="117" t="str">
        <f t="shared" si="41"/>
        <v/>
      </c>
      <c r="D388" s="116" t="str">
        <f t="shared" si="42"/>
        <v/>
      </c>
      <c r="E388" s="120" t="str">
        <f t="shared" si="43"/>
        <v/>
      </c>
      <c r="F388" s="123" t="str">
        <f t="shared" si="44"/>
        <v/>
      </c>
      <c r="G388" s="126" t="e">
        <f t="shared" si="45"/>
        <v>#REF!</v>
      </c>
      <c r="H388" s="116" t="e">
        <f t="shared" ref="H388:H451" si="46">IF(I388="","",IF(I388="END","START",IF(OR(I387="END",I387=I388,I387=""),I388-$U$3,IFERROR(IF(I387&gt;I388,I388-$U$3,I387),I387))))</f>
        <v>#REF!</v>
      </c>
      <c r="I388" s="117" t="e" cm="1">
        <f t="array" ref="I388">IF(OR(INDEX(#REF!,ROW()+8)="START",INDEX(#REF!,ROW()+7)="",INDEX(#REF!,ROW()+7)="START",INDEX(#REF!,ROW()+7)="TBA",INDEX(#REF!,ROW()+7)="TBC"), IF(INDEX(#REF!,ROW()+7)="START",$C$3,""),IF(INDEX(#REF!,ROW()+7)="x",INDEX(#REF!,ROW()+7)+'Date Calculators'!$B$2+ICS4Master!$E386,""))</f>
        <v>#REF!</v>
      </c>
      <c r="J388" s="116" t="e" cm="1">
        <f t="array" ref="J388">IF(I388="","",INDEX(#REF!,ROW()+7))</f>
        <v>#REF!</v>
      </c>
      <c r="K388" s="120" t="e" cm="1">
        <f t="array" ref="K388">IF(I388="","",INDEX(#REF!,ROW()+7))</f>
        <v>#REF!</v>
      </c>
      <c r="L388" s="129" t="e" cm="1">
        <f t="array" ref="L388">IF(OR(I388="",INDEX(#REF!,ROW()+7)=""),"",INDEX(#REF!,ROW()+7))</f>
        <v>#REF!</v>
      </c>
    </row>
    <row r="389" spans="2:12" ht="15" customHeight="1">
      <c r="B389" s="121" t="str">
        <f t="shared" ref="B389:B452" si="47">IFERROR(IF(AND(INDEX($H$4:$H$500,MATCH(ROW()-3,$G$4:$G$500,0))&gt;C388,INDEX($I$4:$I$500,MATCH(ROW()-3,$G$4:$G$500,0))&lt;&gt;"END"),C388,INDEX($H$4:$H$500,MATCH(ROW()-3,$G$4:$G$500,0))),"")</f>
        <v/>
      </c>
      <c r="C389" s="117" t="str">
        <f t="shared" ref="C389:C452" si="48">IFERROR(INDEX($I$4:$I$500,MATCH(ROW()-3,$G$4:$G$500,0)),"")</f>
        <v/>
      </c>
      <c r="D389" s="116" t="str">
        <f t="shared" ref="D389:D452" si="49">IFERROR(INDEX($J$4:$J$500,MATCH(ROW()-3,$G$4:$G$500,0)),"")</f>
        <v/>
      </c>
      <c r="E389" s="120" t="str">
        <f t="shared" ref="E389:E452" si="50">IFERROR(INDEX($K$4:$K$500,MATCH(ROW()-3,$G$4:$G$500,0)),"")</f>
        <v/>
      </c>
      <c r="F389" s="123" t="str">
        <f t="shared" ref="F389:F452" si="51">IFERROR(INDEX($L$4:$L$500,MATCH(ROW()-3,$G$4:$G$500,0)),"")</f>
        <v/>
      </c>
      <c r="G389" s="126" t="e">
        <f t="shared" ref="G389:G452" si="52">G388+IF(I389&lt;&gt;"",1,0)</f>
        <v>#REF!</v>
      </c>
      <c r="H389" s="116" t="e">
        <f t="shared" si="46"/>
        <v>#REF!</v>
      </c>
      <c r="I389" s="117" t="e" cm="1">
        <f t="array" ref="I389">IF(OR(INDEX(#REF!,ROW()+8)="START",INDEX(#REF!,ROW()+7)="",INDEX(#REF!,ROW()+7)="START",INDEX(#REF!,ROW()+7)="TBA",INDEX(#REF!,ROW()+7)="TBC"), IF(INDEX(#REF!,ROW()+7)="START",$C$3,""),IF(INDEX(#REF!,ROW()+7)="x",INDEX(#REF!,ROW()+7)+'Date Calculators'!$B$2+ICS4Master!$E387,""))</f>
        <v>#REF!</v>
      </c>
      <c r="J389" s="116" t="e" cm="1">
        <f t="array" ref="J389">IF(I389="","",INDEX(#REF!,ROW()+7))</f>
        <v>#REF!</v>
      </c>
      <c r="K389" s="120" t="e" cm="1">
        <f t="array" ref="K389">IF(I389="","",INDEX(#REF!,ROW()+7))</f>
        <v>#REF!</v>
      </c>
      <c r="L389" s="129" t="e" cm="1">
        <f t="array" ref="L389">IF(OR(I389="",INDEX(#REF!,ROW()+7)=""),"",INDEX(#REF!,ROW()+7))</f>
        <v>#REF!</v>
      </c>
    </row>
    <row r="390" spans="2:12" ht="15" customHeight="1">
      <c r="B390" s="121" t="str">
        <f t="shared" si="47"/>
        <v/>
      </c>
      <c r="C390" s="117" t="str">
        <f t="shared" si="48"/>
        <v/>
      </c>
      <c r="D390" s="116" t="str">
        <f t="shared" si="49"/>
        <v/>
      </c>
      <c r="E390" s="120" t="str">
        <f t="shared" si="50"/>
        <v/>
      </c>
      <c r="F390" s="123" t="str">
        <f t="shared" si="51"/>
        <v/>
      </c>
      <c r="G390" s="126" t="e">
        <f t="shared" si="52"/>
        <v>#REF!</v>
      </c>
      <c r="H390" s="116" t="e">
        <f t="shared" si="46"/>
        <v>#REF!</v>
      </c>
      <c r="I390" s="117" t="e" cm="1">
        <f t="array" ref="I390">IF(OR(INDEX(#REF!,ROW()+8)="START",INDEX(#REF!,ROW()+7)="",INDEX(#REF!,ROW()+7)="START",INDEX(#REF!,ROW()+7)="TBA",INDEX(#REF!,ROW()+7)="TBC"), IF(INDEX(#REF!,ROW()+7)="START",$C$3,""),IF(INDEX(#REF!,ROW()+7)="x",INDEX(#REF!,ROW()+7)+'Date Calculators'!$B$2+ICS4Master!$E388,""))</f>
        <v>#REF!</v>
      </c>
      <c r="J390" s="116" t="e" cm="1">
        <f t="array" ref="J390">IF(I390="","",INDEX(#REF!,ROW()+7))</f>
        <v>#REF!</v>
      </c>
      <c r="K390" s="120" t="e" cm="1">
        <f t="array" ref="K390">IF(I390="","",INDEX(#REF!,ROW()+7))</f>
        <v>#REF!</v>
      </c>
      <c r="L390" s="129" t="e" cm="1">
        <f t="array" ref="L390">IF(OR(I390="",INDEX(#REF!,ROW()+7)=""),"",INDEX(#REF!,ROW()+7))</f>
        <v>#REF!</v>
      </c>
    </row>
    <row r="391" spans="2:12" ht="15" customHeight="1">
      <c r="B391" s="121" t="str">
        <f t="shared" si="47"/>
        <v/>
      </c>
      <c r="C391" s="117" t="str">
        <f t="shared" si="48"/>
        <v/>
      </c>
      <c r="D391" s="116" t="str">
        <f t="shared" si="49"/>
        <v/>
      </c>
      <c r="E391" s="120" t="str">
        <f t="shared" si="50"/>
        <v/>
      </c>
      <c r="F391" s="123" t="str">
        <f t="shared" si="51"/>
        <v/>
      </c>
      <c r="G391" s="126" t="e">
        <f t="shared" si="52"/>
        <v>#REF!</v>
      </c>
      <c r="H391" s="116" t="e">
        <f t="shared" si="46"/>
        <v>#REF!</v>
      </c>
      <c r="I391" s="117" t="e" cm="1">
        <f t="array" ref="I391">IF(OR(INDEX(#REF!,ROW()+8)="START",INDEX(#REF!,ROW()+7)="",INDEX(#REF!,ROW()+7)="START",INDEX(#REF!,ROW()+7)="TBA",INDEX(#REF!,ROW()+7)="TBC"), IF(INDEX(#REF!,ROW()+7)="START",$C$3,""),IF(INDEX(#REF!,ROW()+7)="x",INDEX(#REF!,ROW()+7)+'Date Calculators'!$B$2+ICS4Master!$E389,""))</f>
        <v>#REF!</v>
      </c>
      <c r="J391" s="116" t="e" cm="1">
        <f t="array" ref="J391">IF(I391="","",INDEX(#REF!,ROW()+7))</f>
        <v>#REF!</v>
      </c>
      <c r="K391" s="120" t="e" cm="1">
        <f t="array" ref="K391">IF(I391="","",INDEX(#REF!,ROW()+7))</f>
        <v>#REF!</v>
      </c>
      <c r="L391" s="129" t="e" cm="1">
        <f t="array" ref="L391">IF(OR(I391="",INDEX(#REF!,ROW()+7)=""),"",INDEX(#REF!,ROW()+7))</f>
        <v>#REF!</v>
      </c>
    </row>
    <row r="392" spans="2:12" ht="15" customHeight="1">
      <c r="B392" s="121" t="str">
        <f t="shared" si="47"/>
        <v/>
      </c>
      <c r="C392" s="117" t="str">
        <f t="shared" si="48"/>
        <v/>
      </c>
      <c r="D392" s="116" t="str">
        <f t="shared" si="49"/>
        <v/>
      </c>
      <c r="E392" s="120" t="str">
        <f t="shared" si="50"/>
        <v/>
      </c>
      <c r="F392" s="123" t="str">
        <f t="shared" si="51"/>
        <v/>
      </c>
      <c r="G392" s="126" t="e">
        <f t="shared" si="52"/>
        <v>#REF!</v>
      </c>
      <c r="H392" s="116" t="e">
        <f t="shared" si="46"/>
        <v>#REF!</v>
      </c>
      <c r="I392" s="117" t="e" cm="1">
        <f t="array" ref="I392">IF(OR(INDEX(#REF!,ROW()+8)="START",INDEX(#REF!,ROW()+7)="",INDEX(#REF!,ROW()+7)="START",INDEX(#REF!,ROW()+7)="TBA",INDEX(#REF!,ROW()+7)="TBC"), IF(INDEX(#REF!,ROW()+7)="START",$C$3,""),IF(INDEX(#REF!,ROW()+7)="x",INDEX(#REF!,ROW()+7)+'Date Calculators'!$B$2+ICS4Master!$E390,""))</f>
        <v>#REF!</v>
      </c>
      <c r="J392" s="116" t="e" cm="1">
        <f t="array" ref="J392">IF(I392="","",INDEX(#REF!,ROW()+7))</f>
        <v>#REF!</v>
      </c>
      <c r="K392" s="120" t="e" cm="1">
        <f t="array" ref="K392">IF(I392="","",INDEX(#REF!,ROW()+7))</f>
        <v>#REF!</v>
      </c>
      <c r="L392" s="129" t="e" cm="1">
        <f t="array" ref="L392">IF(OR(I392="",INDEX(#REF!,ROW()+7)=""),"",INDEX(#REF!,ROW()+7))</f>
        <v>#REF!</v>
      </c>
    </row>
    <row r="393" spans="2:12" ht="15" customHeight="1">
      <c r="B393" s="121" t="str">
        <f t="shared" si="47"/>
        <v/>
      </c>
      <c r="C393" s="117" t="str">
        <f t="shared" si="48"/>
        <v/>
      </c>
      <c r="D393" s="116" t="str">
        <f t="shared" si="49"/>
        <v/>
      </c>
      <c r="E393" s="120" t="str">
        <f t="shared" si="50"/>
        <v/>
      </c>
      <c r="F393" s="123" t="str">
        <f t="shared" si="51"/>
        <v/>
      </c>
      <c r="G393" s="126" t="e">
        <f t="shared" si="52"/>
        <v>#REF!</v>
      </c>
      <c r="H393" s="116" t="e">
        <f t="shared" si="46"/>
        <v>#REF!</v>
      </c>
      <c r="I393" s="117" t="e" cm="1">
        <f t="array" ref="I393">IF(OR(INDEX(#REF!,ROW()+8)="START",INDEX(#REF!,ROW()+7)="",INDEX(#REF!,ROW()+7)="START",INDEX(#REF!,ROW()+7)="TBA",INDEX(#REF!,ROW()+7)="TBC"), IF(INDEX(#REF!,ROW()+7)="START",$C$3,""),IF(INDEX(#REF!,ROW()+7)="x",INDEX(#REF!,ROW()+7)+'Date Calculators'!$B$2+ICS4Master!$E391,""))</f>
        <v>#REF!</v>
      </c>
      <c r="J393" s="116" t="e" cm="1">
        <f t="array" ref="J393">IF(I393="","",INDEX(#REF!,ROW()+7))</f>
        <v>#REF!</v>
      </c>
      <c r="K393" s="120" t="e" cm="1">
        <f t="array" ref="K393">IF(I393="","",INDEX(#REF!,ROW()+7))</f>
        <v>#REF!</v>
      </c>
      <c r="L393" s="129" t="e" cm="1">
        <f t="array" ref="L393">IF(OR(I393="",INDEX(#REF!,ROW()+7)=""),"",INDEX(#REF!,ROW()+7))</f>
        <v>#REF!</v>
      </c>
    </row>
    <row r="394" spans="2:12" ht="15" customHeight="1">
      <c r="B394" s="121" t="str">
        <f t="shared" si="47"/>
        <v/>
      </c>
      <c r="C394" s="117" t="str">
        <f t="shared" si="48"/>
        <v/>
      </c>
      <c r="D394" s="116" t="str">
        <f t="shared" si="49"/>
        <v/>
      </c>
      <c r="E394" s="120" t="str">
        <f t="shared" si="50"/>
        <v/>
      </c>
      <c r="F394" s="123" t="str">
        <f t="shared" si="51"/>
        <v/>
      </c>
      <c r="G394" s="126" t="e">
        <f t="shared" si="52"/>
        <v>#REF!</v>
      </c>
      <c r="H394" s="116" t="e">
        <f t="shared" si="46"/>
        <v>#REF!</v>
      </c>
      <c r="I394" s="117" t="e" cm="1">
        <f t="array" ref="I394">IF(OR(INDEX(#REF!,ROW()+8)="START",INDEX(#REF!,ROW()+7)="",INDEX(#REF!,ROW()+7)="START",INDEX(#REF!,ROW()+7)="TBA",INDEX(#REF!,ROW()+7)="TBC"), IF(INDEX(#REF!,ROW()+7)="START",$C$3,""),IF(INDEX(#REF!,ROW()+7)="x",INDEX(#REF!,ROW()+7)+'Date Calculators'!$B$2+ICS4Master!$E392,""))</f>
        <v>#REF!</v>
      </c>
      <c r="J394" s="116" t="e" cm="1">
        <f t="array" ref="J394">IF(I394="","",INDEX(#REF!,ROW()+7))</f>
        <v>#REF!</v>
      </c>
      <c r="K394" s="120" t="e" cm="1">
        <f t="array" ref="K394">IF(I394="","",INDEX(#REF!,ROW()+7))</f>
        <v>#REF!</v>
      </c>
      <c r="L394" s="129" t="e" cm="1">
        <f t="array" ref="L394">IF(OR(I394="",INDEX(#REF!,ROW()+7)=""),"",INDEX(#REF!,ROW()+7))</f>
        <v>#REF!</v>
      </c>
    </row>
    <row r="395" spans="2:12" ht="15" customHeight="1">
      <c r="B395" s="121" t="str">
        <f t="shared" si="47"/>
        <v/>
      </c>
      <c r="C395" s="117" t="str">
        <f t="shared" si="48"/>
        <v/>
      </c>
      <c r="D395" s="116" t="str">
        <f t="shared" si="49"/>
        <v/>
      </c>
      <c r="E395" s="120" t="str">
        <f t="shared" si="50"/>
        <v/>
      </c>
      <c r="F395" s="123" t="str">
        <f t="shared" si="51"/>
        <v/>
      </c>
      <c r="G395" s="126" t="e">
        <f t="shared" si="52"/>
        <v>#REF!</v>
      </c>
      <c r="H395" s="116" t="e">
        <f t="shared" si="46"/>
        <v>#REF!</v>
      </c>
      <c r="I395" s="117" t="e" cm="1">
        <f t="array" ref="I395">IF(OR(INDEX(#REF!,ROW()+8)="START",INDEX(#REF!,ROW()+7)="",INDEX(#REF!,ROW()+7)="START",INDEX(#REF!,ROW()+7)="TBA",INDEX(#REF!,ROW()+7)="TBC"), IF(INDEX(#REF!,ROW()+7)="START",$C$3,""),IF(INDEX(#REF!,ROW()+7)="x",INDEX(#REF!,ROW()+7)+'Date Calculators'!$B$2+ICS4Master!$E393,""))</f>
        <v>#REF!</v>
      </c>
      <c r="J395" s="116" t="e" cm="1">
        <f t="array" ref="J395">IF(I395="","",INDEX(#REF!,ROW()+7))</f>
        <v>#REF!</v>
      </c>
      <c r="K395" s="120" t="e" cm="1">
        <f t="array" ref="K395">IF(I395="","",INDEX(#REF!,ROW()+7))</f>
        <v>#REF!</v>
      </c>
      <c r="L395" s="129" t="e" cm="1">
        <f t="array" ref="L395">IF(OR(I395="",INDEX(#REF!,ROW()+7)=""),"",INDEX(#REF!,ROW()+7))</f>
        <v>#REF!</v>
      </c>
    </row>
    <row r="396" spans="2:12" ht="15" customHeight="1">
      <c r="B396" s="121" t="str">
        <f t="shared" si="47"/>
        <v/>
      </c>
      <c r="C396" s="117" t="str">
        <f t="shared" si="48"/>
        <v/>
      </c>
      <c r="D396" s="116" t="str">
        <f t="shared" si="49"/>
        <v/>
      </c>
      <c r="E396" s="120" t="str">
        <f t="shared" si="50"/>
        <v/>
      </c>
      <c r="F396" s="123" t="str">
        <f t="shared" si="51"/>
        <v/>
      </c>
      <c r="G396" s="126" t="e">
        <f t="shared" si="52"/>
        <v>#REF!</v>
      </c>
      <c r="H396" s="116" t="e">
        <f t="shared" si="46"/>
        <v>#REF!</v>
      </c>
      <c r="I396" s="117" t="e" cm="1">
        <f t="array" ref="I396">IF(OR(INDEX(#REF!,ROW()+8)="START",INDEX(#REF!,ROW()+7)="",INDEX(#REF!,ROW()+7)="START",INDEX(#REF!,ROW()+7)="TBA",INDEX(#REF!,ROW()+7)="TBC"), IF(INDEX(#REF!,ROW()+7)="START",$C$3,""),IF(INDEX(#REF!,ROW()+7)="x",INDEX(#REF!,ROW()+7)+'Date Calculators'!$B$2+ICS4Master!$E394,""))</f>
        <v>#REF!</v>
      </c>
      <c r="J396" s="116" t="e" cm="1">
        <f t="array" ref="J396">IF(I396="","",INDEX(#REF!,ROW()+7))</f>
        <v>#REF!</v>
      </c>
      <c r="K396" s="120" t="e" cm="1">
        <f t="array" ref="K396">IF(I396="","",INDEX(#REF!,ROW()+7))</f>
        <v>#REF!</v>
      </c>
      <c r="L396" s="129" t="e" cm="1">
        <f t="array" ref="L396">IF(OR(I396="",INDEX(#REF!,ROW()+7)=""),"",INDEX(#REF!,ROW()+7))</f>
        <v>#REF!</v>
      </c>
    </row>
    <row r="397" spans="2:12" ht="15" customHeight="1">
      <c r="B397" s="121" t="str">
        <f t="shared" si="47"/>
        <v/>
      </c>
      <c r="C397" s="117" t="str">
        <f t="shared" si="48"/>
        <v/>
      </c>
      <c r="D397" s="116" t="str">
        <f t="shared" si="49"/>
        <v/>
      </c>
      <c r="E397" s="120" t="str">
        <f t="shared" si="50"/>
        <v/>
      </c>
      <c r="F397" s="123" t="str">
        <f t="shared" si="51"/>
        <v/>
      </c>
      <c r="G397" s="126" t="e">
        <f t="shared" si="52"/>
        <v>#REF!</v>
      </c>
      <c r="H397" s="116" t="e">
        <f t="shared" si="46"/>
        <v>#REF!</v>
      </c>
      <c r="I397" s="117" t="e" cm="1">
        <f t="array" ref="I397">IF(OR(INDEX(#REF!,ROW()+8)="START",INDEX(#REF!,ROW()+7)="",INDEX(#REF!,ROW()+7)="START",INDEX(#REF!,ROW()+7)="TBA",INDEX(#REF!,ROW()+7)="TBC"), IF(INDEX(#REF!,ROW()+7)="START",$C$3,""),IF(INDEX(#REF!,ROW()+7)="x",INDEX(#REF!,ROW()+7)+'Date Calculators'!$B$2+ICS4Master!$E395,""))</f>
        <v>#REF!</v>
      </c>
      <c r="J397" s="116" t="e" cm="1">
        <f t="array" ref="J397">IF(I397="","",INDEX(#REF!,ROW()+7))</f>
        <v>#REF!</v>
      </c>
      <c r="K397" s="120" t="e" cm="1">
        <f t="array" ref="K397">IF(I397="","",INDEX(#REF!,ROW()+7))</f>
        <v>#REF!</v>
      </c>
      <c r="L397" s="129" t="e" cm="1">
        <f t="array" ref="L397">IF(OR(I397="",INDEX(#REF!,ROW()+7)=""),"",INDEX(#REF!,ROW()+7))</f>
        <v>#REF!</v>
      </c>
    </row>
    <row r="398" spans="2:12" ht="15" customHeight="1">
      <c r="B398" s="121" t="str">
        <f t="shared" si="47"/>
        <v/>
      </c>
      <c r="C398" s="117" t="str">
        <f t="shared" si="48"/>
        <v/>
      </c>
      <c r="D398" s="116" t="str">
        <f t="shared" si="49"/>
        <v/>
      </c>
      <c r="E398" s="120" t="str">
        <f t="shared" si="50"/>
        <v/>
      </c>
      <c r="F398" s="123" t="str">
        <f t="shared" si="51"/>
        <v/>
      </c>
      <c r="G398" s="126" t="e">
        <f t="shared" si="52"/>
        <v>#REF!</v>
      </c>
      <c r="H398" s="116" t="e">
        <f t="shared" si="46"/>
        <v>#REF!</v>
      </c>
      <c r="I398" s="117" t="e" cm="1">
        <f t="array" ref="I398">IF(OR(INDEX(#REF!,ROW()+8)="START",INDEX(#REF!,ROW()+7)="",INDEX(#REF!,ROW()+7)="START",INDEX(#REF!,ROW()+7)="TBA",INDEX(#REF!,ROW()+7)="TBC"), IF(INDEX(#REF!,ROW()+7)="START",$C$3,""),IF(INDEX(#REF!,ROW()+7)="x",INDEX(#REF!,ROW()+7)+'Date Calculators'!$B$2+ICS4Master!$E396,""))</f>
        <v>#REF!</v>
      </c>
      <c r="J398" s="116" t="e" cm="1">
        <f t="array" ref="J398">IF(I398="","",INDEX(#REF!,ROW()+7))</f>
        <v>#REF!</v>
      </c>
      <c r="K398" s="120" t="e" cm="1">
        <f t="array" ref="K398">IF(I398="","",INDEX(#REF!,ROW()+7))</f>
        <v>#REF!</v>
      </c>
      <c r="L398" s="129" t="e" cm="1">
        <f t="array" ref="L398">IF(OR(I398="",INDEX(#REF!,ROW()+7)=""),"",INDEX(#REF!,ROW()+7))</f>
        <v>#REF!</v>
      </c>
    </row>
    <row r="399" spans="2:12" ht="15" customHeight="1">
      <c r="B399" s="121" t="str">
        <f t="shared" si="47"/>
        <v/>
      </c>
      <c r="C399" s="117" t="str">
        <f t="shared" si="48"/>
        <v/>
      </c>
      <c r="D399" s="116" t="str">
        <f t="shared" si="49"/>
        <v/>
      </c>
      <c r="E399" s="120" t="str">
        <f t="shared" si="50"/>
        <v/>
      </c>
      <c r="F399" s="123" t="str">
        <f t="shared" si="51"/>
        <v/>
      </c>
      <c r="G399" s="126" t="e">
        <f t="shared" si="52"/>
        <v>#REF!</v>
      </c>
      <c r="H399" s="116" t="e">
        <f t="shared" si="46"/>
        <v>#REF!</v>
      </c>
      <c r="I399" s="117" t="e" cm="1">
        <f t="array" ref="I399">IF(OR(INDEX(#REF!,ROW()+8)="START",INDEX(#REF!,ROW()+7)="",INDEX(#REF!,ROW()+7)="START",INDEX(#REF!,ROW()+7)="TBA",INDEX(#REF!,ROW()+7)="TBC"), IF(INDEX(#REF!,ROW()+7)="START",$C$3,""),IF(INDEX(#REF!,ROW()+7)="x",INDEX(#REF!,ROW()+7)+'Date Calculators'!$B$2+ICS4Master!$E397,""))</f>
        <v>#REF!</v>
      </c>
      <c r="J399" s="116" t="e" cm="1">
        <f t="array" ref="J399">IF(I399="","",INDEX(#REF!,ROW()+7))</f>
        <v>#REF!</v>
      </c>
      <c r="K399" s="120" t="e" cm="1">
        <f t="array" ref="K399">IF(I399="","",INDEX(#REF!,ROW()+7))</f>
        <v>#REF!</v>
      </c>
      <c r="L399" s="129" t="e" cm="1">
        <f t="array" ref="L399">IF(OR(I399="",INDEX(#REF!,ROW()+7)=""),"",INDEX(#REF!,ROW()+7))</f>
        <v>#REF!</v>
      </c>
    </row>
    <row r="400" spans="2:12" ht="15" customHeight="1">
      <c r="B400" s="121" t="str">
        <f t="shared" si="47"/>
        <v/>
      </c>
      <c r="C400" s="117" t="str">
        <f t="shared" si="48"/>
        <v/>
      </c>
      <c r="D400" s="116" t="str">
        <f t="shared" si="49"/>
        <v/>
      </c>
      <c r="E400" s="120" t="str">
        <f t="shared" si="50"/>
        <v/>
      </c>
      <c r="F400" s="123" t="str">
        <f t="shared" si="51"/>
        <v/>
      </c>
      <c r="G400" s="126" t="e">
        <f t="shared" si="52"/>
        <v>#REF!</v>
      </c>
      <c r="H400" s="116" t="e">
        <f t="shared" si="46"/>
        <v>#REF!</v>
      </c>
      <c r="I400" s="117" t="e" cm="1">
        <f t="array" ref="I400">IF(OR(INDEX(#REF!,ROW()+8)="START",INDEX(#REF!,ROW()+7)="",INDEX(#REF!,ROW()+7)="START",INDEX(#REF!,ROW()+7)="TBA",INDEX(#REF!,ROW()+7)="TBC"), IF(INDEX(#REF!,ROW()+7)="START",$C$3,""),IF(INDEX(#REF!,ROW()+7)="x",INDEX(#REF!,ROW()+7)+'Date Calculators'!$B$2+ICS4Master!$E398,""))</f>
        <v>#REF!</v>
      </c>
      <c r="J400" s="116" t="e" cm="1">
        <f t="array" ref="J400">IF(I400="","",INDEX(#REF!,ROW()+7))</f>
        <v>#REF!</v>
      </c>
      <c r="K400" s="120" t="e" cm="1">
        <f t="array" ref="K400">IF(I400="","",INDEX(#REF!,ROW()+7))</f>
        <v>#REF!</v>
      </c>
      <c r="L400" s="129" t="e" cm="1">
        <f t="array" ref="L400">IF(OR(I400="",INDEX(#REF!,ROW()+7)=""),"",INDEX(#REF!,ROW()+7))</f>
        <v>#REF!</v>
      </c>
    </row>
    <row r="401" spans="2:12" ht="15" customHeight="1">
      <c r="B401" s="121" t="str">
        <f t="shared" si="47"/>
        <v/>
      </c>
      <c r="C401" s="117" t="str">
        <f t="shared" si="48"/>
        <v/>
      </c>
      <c r="D401" s="116" t="str">
        <f t="shared" si="49"/>
        <v/>
      </c>
      <c r="E401" s="120" t="str">
        <f t="shared" si="50"/>
        <v/>
      </c>
      <c r="F401" s="123" t="str">
        <f t="shared" si="51"/>
        <v/>
      </c>
      <c r="G401" s="126" t="e">
        <f t="shared" si="52"/>
        <v>#REF!</v>
      </c>
      <c r="H401" s="116" t="e">
        <f t="shared" si="46"/>
        <v>#REF!</v>
      </c>
      <c r="I401" s="117" t="e" cm="1">
        <f t="array" ref="I401">IF(OR(INDEX(#REF!,ROW()+8)="START",INDEX(#REF!,ROW()+7)="",INDEX(#REF!,ROW()+7)="START",INDEX(#REF!,ROW()+7)="TBA",INDEX(#REF!,ROW()+7)="TBC"), IF(INDEX(#REF!,ROW()+7)="START",$C$3,""),IF(INDEX(#REF!,ROW()+7)="x",INDEX(#REF!,ROW()+7)+'Date Calculators'!$B$2+ICS4Master!$E399,""))</f>
        <v>#REF!</v>
      </c>
      <c r="J401" s="116" t="e" cm="1">
        <f t="array" ref="J401">IF(I401="","",INDEX(#REF!,ROW()+7))</f>
        <v>#REF!</v>
      </c>
      <c r="K401" s="120" t="e" cm="1">
        <f t="array" ref="K401">IF(I401="","",INDEX(#REF!,ROW()+7))</f>
        <v>#REF!</v>
      </c>
      <c r="L401" s="129" t="e" cm="1">
        <f t="array" ref="L401">IF(OR(I401="",INDEX(#REF!,ROW()+7)=""),"",INDEX(#REF!,ROW()+7))</f>
        <v>#REF!</v>
      </c>
    </row>
    <row r="402" spans="2:12" ht="15" customHeight="1">
      <c r="B402" s="121" t="str">
        <f t="shared" si="47"/>
        <v/>
      </c>
      <c r="C402" s="117" t="str">
        <f t="shared" si="48"/>
        <v/>
      </c>
      <c r="D402" s="116" t="str">
        <f t="shared" si="49"/>
        <v/>
      </c>
      <c r="E402" s="120" t="str">
        <f t="shared" si="50"/>
        <v/>
      </c>
      <c r="F402" s="123" t="str">
        <f t="shared" si="51"/>
        <v/>
      </c>
      <c r="G402" s="126" t="e">
        <f t="shared" si="52"/>
        <v>#REF!</v>
      </c>
      <c r="H402" s="116" t="e">
        <f t="shared" si="46"/>
        <v>#REF!</v>
      </c>
      <c r="I402" s="117" t="e" cm="1">
        <f t="array" ref="I402">IF(OR(INDEX(#REF!,ROW()+8)="START",INDEX(#REF!,ROW()+7)="",INDEX(#REF!,ROW()+7)="START",INDEX(#REF!,ROW()+7)="TBA",INDEX(#REF!,ROW()+7)="TBC"), IF(INDEX(#REF!,ROW()+7)="START",$C$3,""),IF(INDEX(#REF!,ROW()+7)="x",INDEX(#REF!,ROW()+7)+'Date Calculators'!$B$2+ICS4Master!$E400,""))</f>
        <v>#REF!</v>
      </c>
      <c r="J402" s="116" t="e" cm="1">
        <f t="array" ref="J402">IF(I402="","",INDEX(#REF!,ROW()+7))</f>
        <v>#REF!</v>
      </c>
      <c r="K402" s="120" t="e" cm="1">
        <f t="array" ref="K402">IF(I402="","",INDEX(#REF!,ROW()+7))</f>
        <v>#REF!</v>
      </c>
      <c r="L402" s="129" t="e" cm="1">
        <f t="array" ref="L402">IF(OR(I402="",INDEX(#REF!,ROW()+7)=""),"",INDEX(#REF!,ROW()+7))</f>
        <v>#REF!</v>
      </c>
    </row>
    <row r="403" spans="2:12" ht="15" customHeight="1">
      <c r="B403" s="121" t="str">
        <f t="shared" si="47"/>
        <v/>
      </c>
      <c r="C403" s="117" t="str">
        <f t="shared" si="48"/>
        <v/>
      </c>
      <c r="D403" s="116" t="str">
        <f t="shared" si="49"/>
        <v/>
      </c>
      <c r="E403" s="120" t="str">
        <f t="shared" si="50"/>
        <v/>
      </c>
      <c r="F403" s="123" t="str">
        <f t="shared" si="51"/>
        <v/>
      </c>
      <c r="G403" s="126" t="e">
        <f t="shared" si="52"/>
        <v>#REF!</v>
      </c>
      <c r="H403" s="116" t="e">
        <f t="shared" si="46"/>
        <v>#REF!</v>
      </c>
      <c r="I403" s="117" t="e" cm="1">
        <f t="array" ref="I403">IF(OR(INDEX(#REF!,ROW()+8)="START",INDEX(#REF!,ROW()+7)="",INDEX(#REF!,ROW()+7)="START",INDEX(#REF!,ROW()+7)="TBA",INDEX(#REF!,ROW()+7)="TBC"), IF(INDEX(#REF!,ROW()+7)="START",$C$3,""),IF(INDEX(#REF!,ROW()+7)="x",INDEX(#REF!,ROW()+7)+'Date Calculators'!$B$2+ICS4Master!$E401,""))</f>
        <v>#REF!</v>
      </c>
      <c r="J403" s="116" t="e" cm="1">
        <f t="array" ref="J403">IF(I403="","",INDEX(#REF!,ROW()+7))</f>
        <v>#REF!</v>
      </c>
      <c r="K403" s="120" t="e" cm="1">
        <f t="array" ref="K403">IF(I403="","",INDEX(#REF!,ROW()+7))</f>
        <v>#REF!</v>
      </c>
      <c r="L403" s="129" t="e" cm="1">
        <f t="array" ref="L403">IF(OR(I403="",INDEX(#REF!,ROW()+7)=""),"",INDEX(#REF!,ROW()+7))</f>
        <v>#REF!</v>
      </c>
    </row>
    <row r="404" spans="2:12" ht="15" customHeight="1">
      <c r="B404" s="121" t="str">
        <f t="shared" si="47"/>
        <v/>
      </c>
      <c r="C404" s="117" t="str">
        <f t="shared" si="48"/>
        <v/>
      </c>
      <c r="D404" s="116" t="str">
        <f t="shared" si="49"/>
        <v/>
      </c>
      <c r="E404" s="120" t="str">
        <f t="shared" si="50"/>
        <v/>
      </c>
      <c r="F404" s="123" t="str">
        <f t="shared" si="51"/>
        <v/>
      </c>
      <c r="G404" s="126" t="e">
        <f t="shared" si="52"/>
        <v>#REF!</v>
      </c>
      <c r="H404" s="116" t="e">
        <f t="shared" si="46"/>
        <v>#REF!</v>
      </c>
      <c r="I404" s="117" t="e" cm="1">
        <f t="array" ref="I404">IF(OR(INDEX(#REF!,ROW()+8)="START",INDEX(#REF!,ROW()+7)="",INDEX(#REF!,ROW()+7)="START",INDEX(#REF!,ROW()+7)="TBA",INDEX(#REF!,ROW()+7)="TBC"), IF(INDEX(#REF!,ROW()+7)="START",$C$3,""),IF(INDEX(#REF!,ROW()+7)="x",INDEX(#REF!,ROW()+7)+'Date Calculators'!$B$2+ICS4Master!$E402,""))</f>
        <v>#REF!</v>
      </c>
      <c r="J404" s="116" t="e" cm="1">
        <f t="array" ref="J404">IF(I404="","",INDEX(#REF!,ROW()+7))</f>
        <v>#REF!</v>
      </c>
      <c r="K404" s="120" t="e" cm="1">
        <f t="array" ref="K404">IF(I404="","",INDEX(#REF!,ROW()+7))</f>
        <v>#REF!</v>
      </c>
      <c r="L404" s="129" t="e" cm="1">
        <f t="array" ref="L404">IF(OR(I404="",INDEX(#REF!,ROW()+7)=""),"",INDEX(#REF!,ROW()+7))</f>
        <v>#REF!</v>
      </c>
    </row>
    <row r="405" spans="2:12" ht="15" customHeight="1">
      <c r="B405" s="121" t="str">
        <f t="shared" si="47"/>
        <v/>
      </c>
      <c r="C405" s="117" t="str">
        <f t="shared" si="48"/>
        <v/>
      </c>
      <c r="D405" s="116" t="str">
        <f t="shared" si="49"/>
        <v/>
      </c>
      <c r="E405" s="120" t="str">
        <f t="shared" si="50"/>
        <v/>
      </c>
      <c r="F405" s="123" t="str">
        <f t="shared" si="51"/>
        <v/>
      </c>
      <c r="G405" s="126" t="e">
        <f t="shared" si="52"/>
        <v>#REF!</v>
      </c>
      <c r="H405" s="116" t="e">
        <f t="shared" si="46"/>
        <v>#REF!</v>
      </c>
      <c r="I405" s="117" t="e" cm="1">
        <f t="array" ref="I405">IF(OR(INDEX(#REF!,ROW()+8)="START",INDEX(#REF!,ROW()+7)="",INDEX(#REF!,ROW()+7)="START",INDEX(#REF!,ROW()+7)="TBA",INDEX(#REF!,ROW()+7)="TBC"), IF(INDEX(#REF!,ROW()+7)="START",$C$3,""),IF(INDEX(#REF!,ROW()+7)="x",INDEX(#REF!,ROW()+7)+'Date Calculators'!$B$2+ICS4Master!$E403,""))</f>
        <v>#REF!</v>
      </c>
      <c r="J405" s="116" t="e" cm="1">
        <f t="array" ref="J405">IF(I405="","",INDEX(#REF!,ROW()+7))</f>
        <v>#REF!</v>
      </c>
      <c r="K405" s="120" t="e" cm="1">
        <f t="array" ref="K405">IF(I405="","",INDEX(#REF!,ROW()+7))</f>
        <v>#REF!</v>
      </c>
      <c r="L405" s="129" t="e" cm="1">
        <f t="array" ref="L405">IF(OR(I405="",INDEX(#REF!,ROW()+7)=""),"",INDEX(#REF!,ROW()+7))</f>
        <v>#REF!</v>
      </c>
    </row>
    <row r="406" spans="2:12" ht="15" customHeight="1">
      <c r="B406" s="121" t="str">
        <f t="shared" si="47"/>
        <v/>
      </c>
      <c r="C406" s="117" t="str">
        <f t="shared" si="48"/>
        <v/>
      </c>
      <c r="D406" s="116" t="str">
        <f t="shared" si="49"/>
        <v/>
      </c>
      <c r="E406" s="120" t="str">
        <f t="shared" si="50"/>
        <v/>
      </c>
      <c r="F406" s="123" t="str">
        <f t="shared" si="51"/>
        <v/>
      </c>
      <c r="G406" s="126" t="e">
        <f t="shared" si="52"/>
        <v>#REF!</v>
      </c>
      <c r="H406" s="116" t="e">
        <f t="shared" si="46"/>
        <v>#REF!</v>
      </c>
      <c r="I406" s="117" t="e" cm="1">
        <f t="array" ref="I406">IF(OR(INDEX(#REF!,ROW()+8)="START",INDEX(#REF!,ROW()+7)="",INDEX(#REF!,ROW()+7)="START",INDEX(#REF!,ROW()+7)="TBA",INDEX(#REF!,ROW()+7)="TBC"), IF(INDEX(#REF!,ROW()+7)="START",$C$3,""),IF(INDEX(#REF!,ROW()+7)="x",INDEX(#REF!,ROW()+7)+'Date Calculators'!$B$2+ICS4Master!$E404,""))</f>
        <v>#REF!</v>
      </c>
      <c r="J406" s="116" t="e" cm="1">
        <f t="array" ref="J406">IF(I406="","",INDEX(#REF!,ROW()+7))</f>
        <v>#REF!</v>
      </c>
      <c r="K406" s="120" t="e" cm="1">
        <f t="array" ref="K406">IF(I406="","",INDEX(#REF!,ROW()+7))</f>
        <v>#REF!</v>
      </c>
      <c r="L406" s="129" t="e" cm="1">
        <f t="array" ref="L406">IF(OR(I406="",INDEX(#REF!,ROW()+7)=""),"",INDEX(#REF!,ROW()+7))</f>
        <v>#REF!</v>
      </c>
    </row>
    <row r="407" spans="2:12" ht="15" customHeight="1">
      <c r="B407" s="121" t="str">
        <f t="shared" si="47"/>
        <v/>
      </c>
      <c r="C407" s="117" t="str">
        <f t="shared" si="48"/>
        <v/>
      </c>
      <c r="D407" s="116" t="str">
        <f t="shared" si="49"/>
        <v/>
      </c>
      <c r="E407" s="120" t="str">
        <f t="shared" si="50"/>
        <v/>
      </c>
      <c r="F407" s="123" t="str">
        <f t="shared" si="51"/>
        <v/>
      </c>
      <c r="G407" s="126" t="e">
        <f t="shared" si="52"/>
        <v>#REF!</v>
      </c>
      <c r="H407" s="116" t="e">
        <f t="shared" si="46"/>
        <v>#REF!</v>
      </c>
      <c r="I407" s="117" t="e" cm="1">
        <f t="array" ref="I407">IF(OR(INDEX(#REF!,ROW()+8)="START",INDEX(#REF!,ROW()+7)="",INDEX(#REF!,ROW()+7)="START",INDEX(#REF!,ROW()+7)="TBA",INDEX(#REF!,ROW()+7)="TBC"), IF(INDEX(#REF!,ROW()+7)="START",$C$3,""),IF(INDEX(#REF!,ROW()+7)="x",INDEX(#REF!,ROW()+7)+'Date Calculators'!$B$2+ICS4Master!$E405,""))</f>
        <v>#REF!</v>
      </c>
      <c r="J407" s="116" t="e" cm="1">
        <f t="array" ref="J407">IF(I407="","",INDEX(#REF!,ROW()+7))</f>
        <v>#REF!</v>
      </c>
      <c r="K407" s="120" t="e" cm="1">
        <f t="array" ref="K407">IF(I407="","",INDEX(#REF!,ROW()+7))</f>
        <v>#REF!</v>
      </c>
      <c r="L407" s="129" t="e" cm="1">
        <f t="array" ref="L407">IF(OR(I407="",INDEX(#REF!,ROW()+7)=""),"",INDEX(#REF!,ROW()+7))</f>
        <v>#REF!</v>
      </c>
    </row>
    <row r="408" spans="2:12" ht="15" customHeight="1">
      <c r="B408" s="121" t="str">
        <f t="shared" si="47"/>
        <v/>
      </c>
      <c r="C408" s="117" t="str">
        <f t="shared" si="48"/>
        <v/>
      </c>
      <c r="D408" s="116" t="str">
        <f t="shared" si="49"/>
        <v/>
      </c>
      <c r="E408" s="120" t="str">
        <f t="shared" si="50"/>
        <v/>
      </c>
      <c r="F408" s="123" t="str">
        <f t="shared" si="51"/>
        <v/>
      </c>
      <c r="G408" s="126" t="e">
        <f t="shared" si="52"/>
        <v>#REF!</v>
      </c>
      <c r="H408" s="116" t="e">
        <f t="shared" si="46"/>
        <v>#REF!</v>
      </c>
      <c r="I408" s="117" t="e" cm="1">
        <f t="array" ref="I408">IF(OR(INDEX(#REF!,ROW()+8)="START",INDEX(#REF!,ROW()+7)="",INDEX(#REF!,ROW()+7)="START",INDEX(#REF!,ROW()+7)="TBA",INDEX(#REF!,ROW()+7)="TBC"), IF(INDEX(#REF!,ROW()+7)="START",$C$3,""),IF(INDEX(#REF!,ROW()+7)="x",INDEX(#REF!,ROW()+7)+'Date Calculators'!$B$2+ICS4Master!$E406,""))</f>
        <v>#REF!</v>
      </c>
      <c r="J408" s="116" t="e" cm="1">
        <f t="array" ref="J408">IF(I408="","",INDEX(#REF!,ROW()+7))</f>
        <v>#REF!</v>
      </c>
      <c r="K408" s="120" t="e" cm="1">
        <f t="array" ref="K408">IF(I408="","",INDEX(#REF!,ROW()+7))</f>
        <v>#REF!</v>
      </c>
      <c r="L408" s="129" t="e" cm="1">
        <f t="array" ref="L408">IF(OR(I408="",INDEX(#REF!,ROW()+7)=""),"",INDEX(#REF!,ROW()+7))</f>
        <v>#REF!</v>
      </c>
    </row>
    <row r="409" spans="2:12" ht="15" customHeight="1">
      <c r="B409" s="121" t="str">
        <f t="shared" si="47"/>
        <v/>
      </c>
      <c r="C409" s="117" t="str">
        <f t="shared" si="48"/>
        <v/>
      </c>
      <c r="D409" s="116" t="str">
        <f t="shared" si="49"/>
        <v/>
      </c>
      <c r="E409" s="120" t="str">
        <f t="shared" si="50"/>
        <v/>
      </c>
      <c r="F409" s="123" t="str">
        <f t="shared" si="51"/>
        <v/>
      </c>
      <c r="G409" s="126" t="e">
        <f t="shared" si="52"/>
        <v>#REF!</v>
      </c>
      <c r="H409" s="116" t="e">
        <f t="shared" si="46"/>
        <v>#REF!</v>
      </c>
      <c r="I409" s="117" t="e" cm="1">
        <f t="array" ref="I409">IF(OR(INDEX(#REF!,ROW()+8)="START",INDEX(#REF!,ROW()+7)="",INDEX(#REF!,ROW()+7)="START",INDEX(#REF!,ROW()+7)="TBA",INDEX(#REF!,ROW()+7)="TBC"), IF(INDEX(#REF!,ROW()+7)="START",$C$3,""),IF(INDEX(#REF!,ROW()+7)="x",INDEX(#REF!,ROW()+7)+'Date Calculators'!$B$2+ICS4Master!$E407,""))</f>
        <v>#REF!</v>
      </c>
      <c r="J409" s="116" t="e" cm="1">
        <f t="array" ref="J409">IF(I409="","",INDEX(#REF!,ROW()+7))</f>
        <v>#REF!</v>
      </c>
      <c r="K409" s="120" t="e" cm="1">
        <f t="array" ref="K409">IF(I409="","",INDEX(#REF!,ROW()+7))</f>
        <v>#REF!</v>
      </c>
      <c r="L409" s="129" t="e" cm="1">
        <f t="array" ref="L409">IF(OR(I409="",INDEX(#REF!,ROW()+7)=""),"",INDEX(#REF!,ROW()+7))</f>
        <v>#REF!</v>
      </c>
    </row>
    <row r="410" spans="2:12" ht="15" customHeight="1">
      <c r="B410" s="121" t="str">
        <f t="shared" si="47"/>
        <v/>
      </c>
      <c r="C410" s="117" t="str">
        <f t="shared" si="48"/>
        <v/>
      </c>
      <c r="D410" s="116" t="str">
        <f t="shared" si="49"/>
        <v/>
      </c>
      <c r="E410" s="120" t="str">
        <f t="shared" si="50"/>
        <v/>
      </c>
      <c r="F410" s="123" t="str">
        <f t="shared" si="51"/>
        <v/>
      </c>
      <c r="G410" s="126" t="e">
        <f t="shared" si="52"/>
        <v>#REF!</v>
      </c>
      <c r="H410" s="116" t="e">
        <f t="shared" si="46"/>
        <v>#REF!</v>
      </c>
      <c r="I410" s="117" t="e" cm="1">
        <f t="array" ref="I410">IF(OR(INDEX(#REF!,ROW()+8)="START",INDEX(#REF!,ROW()+7)="",INDEX(#REF!,ROW()+7)="START",INDEX(#REF!,ROW()+7)="TBA",INDEX(#REF!,ROW()+7)="TBC"), IF(INDEX(#REF!,ROW()+7)="START",$C$3,""),IF(INDEX(#REF!,ROW()+7)="x",INDEX(#REF!,ROW()+7)+'Date Calculators'!$B$2+ICS4Master!$E408,""))</f>
        <v>#REF!</v>
      </c>
      <c r="J410" s="116" t="e" cm="1">
        <f t="array" ref="J410">IF(I410="","",INDEX(#REF!,ROW()+7))</f>
        <v>#REF!</v>
      </c>
      <c r="K410" s="120" t="e" cm="1">
        <f t="array" ref="K410">IF(I410="","",INDEX(#REF!,ROW()+7))</f>
        <v>#REF!</v>
      </c>
      <c r="L410" s="129" t="e" cm="1">
        <f t="array" ref="L410">IF(OR(I410="",INDEX(#REF!,ROW()+7)=""),"",INDEX(#REF!,ROW()+7))</f>
        <v>#REF!</v>
      </c>
    </row>
    <row r="411" spans="2:12" ht="15" customHeight="1">
      <c r="B411" s="121" t="str">
        <f t="shared" si="47"/>
        <v/>
      </c>
      <c r="C411" s="117" t="str">
        <f t="shared" si="48"/>
        <v/>
      </c>
      <c r="D411" s="116" t="str">
        <f t="shared" si="49"/>
        <v/>
      </c>
      <c r="E411" s="120" t="str">
        <f t="shared" si="50"/>
        <v/>
      </c>
      <c r="F411" s="123" t="str">
        <f t="shared" si="51"/>
        <v/>
      </c>
      <c r="G411" s="126" t="e">
        <f t="shared" si="52"/>
        <v>#REF!</v>
      </c>
      <c r="H411" s="116" t="e">
        <f t="shared" si="46"/>
        <v>#REF!</v>
      </c>
      <c r="I411" s="117" t="e" cm="1">
        <f t="array" ref="I411">IF(OR(INDEX(#REF!,ROW()+8)="START",INDEX(#REF!,ROW()+7)="",INDEX(#REF!,ROW()+7)="START",INDEX(#REF!,ROW()+7)="TBA",INDEX(#REF!,ROW()+7)="TBC"), IF(INDEX(#REF!,ROW()+7)="START",$C$3,""),IF(INDEX(#REF!,ROW()+7)="x",INDEX(#REF!,ROW()+7)+'Date Calculators'!$B$2+ICS4Master!$E409,""))</f>
        <v>#REF!</v>
      </c>
      <c r="J411" s="116" t="e" cm="1">
        <f t="array" ref="J411">IF(I411="","",INDEX(#REF!,ROW()+7))</f>
        <v>#REF!</v>
      </c>
      <c r="K411" s="120" t="e" cm="1">
        <f t="array" ref="K411">IF(I411="","",INDEX(#REF!,ROW()+7))</f>
        <v>#REF!</v>
      </c>
      <c r="L411" s="129" t="e" cm="1">
        <f t="array" ref="L411">IF(OR(I411="",INDEX(#REF!,ROW()+7)=""),"",INDEX(#REF!,ROW()+7))</f>
        <v>#REF!</v>
      </c>
    </row>
    <row r="412" spans="2:12" ht="15" customHeight="1">
      <c r="B412" s="121" t="str">
        <f t="shared" si="47"/>
        <v/>
      </c>
      <c r="C412" s="117" t="str">
        <f t="shared" si="48"/>
        <v/>
      </c>
      <c r="D412" s="116" t="str">
        <f t="shared" si="49"/>
        <v/>
      </c>
      <c r="E412" s="120" t="str">
        <f t="shared" si="50"/>
        <v/>
      </c>
      <c r="F412" s="123" t="str">
        <f t="shared" si="51"/>
        <v/>
      </c>
      <c r="G412" s="126" t="e">
        <f t="shared" si="52"/>
        <v>#REF!</v>
      </c>
      <c r="H412" s="116" t="e">
        <f t="shared" si="46"/>
        <v>#REF!</v>
      </c>
      <c r="I412" s="117" t="e" cm="1">
        <f t="array" ref="I412">IF(OR(INDEX(#REF!,ROW()+8)="START",INDEX(#REF!,ROW()+7)="",INDEX(#REF!,ROW()+7)="START",INDEX(#REF!,ROW()+7)="TBA",INDEX(#REF!,ROW()+7)="TBC"), IF(INDEX(#REF!,ROW()+7)="START",$C$3,""),IF(INDEX(#REF!,ROW()+7)="x",INDEX(#REF!,ROW()+7)+'Date Calculators'!$B$2+ICS4Master!$E410,""))</f>
        <v>#REF!</v>
      </c>
      <c r="J412" s="116" t="e" cm="1">
        <f t="array" ref="J412">IF(I412="","",INDEX(#REF!,ROW()+7))</f>
        <v>#REF!</v>
      </c>
      <c r="K412" s="120" t="e" cm="1">
        <f t="array" ref="K412">IF(I412="","",INDEX(#REF!,ROW()+7))</f>
        <v>#REF!</v>
      </c>
      <c r="L412" s="129" t="e" cm="1">
        <f t="array" ref="L412">IF(OR(I412="",INDEX(#REF!,ROW()+7)=""),"",INDEX(#REF!,ROW()+7))</f>
        <v>#REF!</v>
      </c>
    </row>
    <row r="413" spans="2:12" ht="15" customHeight="1">
      <c r="B413" s="121" t="str">
        <f t="shared" si="47"/>
        <v/>
      </c>
      <c r="C413" s="117" t="str">
        <f t="shared" si="48"/>
        <v/>
      </c>
      <c r="D413" s="116" t="str">
        <f t="shared" si="49"/>
        <v/>
      </c>
      <c r="E413" s="120" t="str">
        <f t="shared" si="50"/>
        <v/>
      </c>
      <c r="F413" s="123" t="str">
        <f t="shared" si="51"/>
        <v/>
      </c>
      <c r="G413" s="126" t="e">
        <f t="shared" si="52"/>
        <v>#REF!</v>
      </c>
      <c r="H413" s="116" t="e">
        <f t="shared" si="46"/>
        <v>#REF!</v>
      </c>
      <c r="I413" s="117" t="e" cm="1">
        <f t="array" ref="I413">IF(OR(INDEX(#REF!,ROW()+8)="START",INDEX(#REF!,ROW()+7)="",INDEX(#REF!,ROW()+7)="START",INDEX(#REF!,ROW()+7)="TBA",INDEX(#REF!,ROW()+7)="TBC"), IF(INDEX(#REF!,ROW()+7)="START",$C$3,""),IF(INDEX(#REF!,ROW()+7)="x",INDEX(#REF!,ROW()+7)+'Date Calculators'!$B$2+ICS4Master!$E411,""))</f>
        <v>#REF!</v>
      </c>
      <c r="J413" s="116" t="e" cm="1">
        <f t="array" ref="J413">IF(I413="","",INDEX(#REF!,ROW()+7))</f>
        <v>#REF!</v>
      </c>
      <c r="K413" s="120" t="e" cm="1">
        <f t="array" ref="K413">IF(I413="","",INDEX(#REF!,ROW()+7))</f>
        <v>#REF!</v>
      </c>
      <c r="L413" s="129" t="e" cm="1">
        <f t="array" ref="L413">IF(OR(I413="",INDEX(#REF!,ROW()+7)=""),"",INDEX(#REF!,ROW()+7))</f>
        <v>#REF!</v>
      </c>
    </row>
    <row r="414" spans="2:12" ht="15" customHeight="1">
      <c r="B414" s="121" t="str">
        <f t="shared" si="47"/>
        <v/>
      </c>
      <c r="C414" s="117" t="str">
        <f t="shared" si="48"/>
        <v/>
      </c>
      <c r="D414" s="116" t="str">
        <f t="shared" si="49"/>
        <v/>
      </c>
      <c r="E414" s="120" t="str">
        <f t="shared" si="50"/>
        <v/>
      </c>
      <c r="F414" s="123" t="str">
        <f t="shared" si="51"/>
        <v/>
      </c>
      <c r="G414" s="126" t="e">
        <f t="shared" si="52"/>
        <v>#REF!</v>
      </c>
      <c r="H414" s="116" t="e">
        <f t="shared" si="46"/>
        <v>#REF!</v>
      </c>
      <c r="I414" s="117" t="e" cm="1">
        <f t="array" ref="I414">IF(OR(INDEX(#REF!,ROW()+8)="START",INDEX(#REF!,ROW()+7)="",INDEX(#REF!,ROW()+7)="START",INDEX(#REF!,ROW()+7)="TBA",INDEX(#REF!,ROW()+7)="TBC"), IF(INDEX(#REF!,ROW()+7)="START",$C$3,""),IF(INDEX(#REF!,ROW()+7)="x",INDEX(#REF!,ROW()+7)+'Date Calculators'!$B$2+ICS4Master!$E412,""))</f>
        <v>#REF!</v>
      </c>
      <c r="J414" s="116" t="e" cm="1">
        <f t="array" ref="J414">IF(I414="","",INDEX(#REF!,ROW()+7))</f>
        <v>#REF!</v>
      </c>
      <c r="K414" s="120" t="e" cm="1">
        <f t="array" ref="K414">IF(I414="","",INDEX(#REF!,ROW()+7))</f>
        <v>#REF!</v>
      </c>
      <c r="L414" s="129" t="e" cm="1">
        <f t="array" ref="L414">IF(OR(I414="",INDEX(#REF!,ROW()+7)=""),"",INDEX(#REF!,ROW()+7))</f>
        <v>#REF!</v>
      </c>
    </row>
    <row r="415" spans="2:12" ht="15" customHeight="1">
      <c r="B415" s="121" t="str">
        <f t="shared" si="47"/>
        <v/>
      </c>
      <c r="C415" s="117" t="str">
        <f t="shared" si="48"/>
        <v/>
      </c>
      <c r="D415" s="116" t="str">
        <f t="shared" si="49"/>
        <v/>
      </c>
      <c r="E415" s="120" t="str">
        <f t="shared" si="50"/>
        <v/>
      </c>
      <c r="F415" s="123" t="str">
        <f t="shared" si="51"/>
        <v/>
      </c>
      <c r="G415" s="126" t="e">
        <f t="shared" si="52"/>
        <v>#REF!</v>
      </c>
      <c r="H415" s="116" t="e">
        <f t="shared" si="46"/>
        <v>#REF!</v>
      </c>
      <c r="I415" s="117" t="e" cm="1">
        <f t="array" ref="I415">IF(OR(INDEX(#REF!,ROW()+8)="START",INDEX(#REF!,ROW()+7)="",INDEX(#REF!,ROW()+7)="START",INDEX(#REF!,ROW()+7)="TBA",INDEX(#REF!,ROW()+7)="TBC"), IF(INDEX(#REF!,ROW()+7)="START",$C$3,""),IF(INDEX(#REF!,ROW()+7)="x",INDEX(#REF!,ROW()+7)+'Date Calculators'!$B$2+ICS4Master!$E413,""))</f>
        <v>#REF!</v>
      </c>
      <c r="J415" s="116" t="e" cm="1">
        <f t="array" ref="J415">IF(I415="","",INDEX(#REF!,ROW()+7))</f>
        <v>#REF!</v>
      </c>
      <c r="K415" s="120" t="e" cm="1">
        <f t="array" ref="K415">IF(I415="","",INDEX(#REF!,ROW()+7))</f>
        <v>#REF!</v>
      </c>
      <c r="L415" s="129" t="e" cm="1">
        <f t="array" ref="L415">IF(OR(I415="",INDEX(#REF!,ROW()+7)=""),"",INDEX(#REF!,ROW()+7))</f>
        <v>#REF!</v>
      </c>
    </row>
    <row r="416" spans="2:12" ht="15" customHeight="1">
      <c r="B416" s="121" t="str">
        <f t="shared" si="47"/>
        <v/>
      </c>
      <c r="C416" s="117" t="str">
        <f t="shared" si="48"/>
        <v/>
      </c>
      <c r="D416" s="116" t="str">
        <f t="shared" si="49"/>
        <v/>
      </c>
      <c r="E416" s="120" t="str">
        <f t="shared" si="50"/>
        <v/>
      </c>
      <c r="F416" s="123" t="str">
        <f t="shared" si="51"/>
        <v/>
      </c>
      <c r="G416" s="126" t="e">
        <f t="shared" si="52"/>
        <v>#REF!</v>
      </c>
      <c r="H416" s="116" t="e">
        <f t="shared" si="46"/>
        <v>#REF!</v>
      </c>
      <c r="I416" s="117" t="e" cm="1">
        <f t="array" ref="I416">IF(OR(INDEX(#REF!,ROW()+8)="START",INDEX(#REF!,ROW()+7)="",INDEX(#REF!,ROW()+7)="START",INDEX(#REF!,ROW()+7)="TBA",INDEX(#REF!,ROW()+7)="TBC"), IF(INDEX(#REF!,ROW()+7)="START",$C$3,""),IF(INDEX(#REF!,ROW()+7)="x",INDEX(#REF!,ROW()+7)+'Date Calculators'!$B$2+ICS4Master!$E414,""))</f>
        <v>#REF!</v>
      </c>
      <c r="J416" s="116" t="e" cm="1">
        <f t="array" ref="J416">IF(I416="","",INDEX(#REF!,ROW()+7))</f>
        <v>#REF!</v>
      </c>
      <c r="K416" s="120" t="e" cm="1">
        <f t="array" ref="K416">IF(I416="","",INDEX(#REF!,ROW()+7))</f>
        <v>#REF!</v>
      </c>
      <c r="L416" s="129" t="e" cm="1">
        <f t="array" ref="L416">IF(OR(I416="",INDEX(#REF!,ROW()+7)=""),"",INDEX(#REF!,ROW()+7))</f>
        <v>#REF!</v>
      </c>
    </row>
    <row r="417" spans="2:12" ht="15" customHeight="1">
      <c r="B417" s="121" t="str">
        <f t="shared" si="47"/>
        <v/>
      </c>
      <c r="C417" s="117" t="str">
        <f t="shared" si="48"/>
        <v/>
      </c>
      <c r="D417" s="116" t="str">
        <f t="shared" si="49"/>
        <v/>
      </c>
      <c r="E417" s="120" t="str">
        <f t="shared" si="50"/>
        <v/>
      </c>
      <c r="F417" s="123" t="str">
        <f t="shared" si="51"/>
        <v/>
      </c>
      <c r="G417" s="126" t="e">
        <f t="shared" si="52"/>
        <v>#REF!</v>
      </c>
      <c r="H417" s="116" t="e">
        <f t="shared" si="46"/>
        <v>#REF!</v>
      </c>
      <c r="I417" s="117" t="e" cm="1">
        <f t="array" ref="I417">IF(OR(INDEX(#REF!,ROW()+8)="START",INDEX(#REF!,ROW()+7)="",INDEX(#REF!,ROW()+7)="START",INDEX(#REF!,ROW()+7)="TBA",INDEX(#REF!,ROW()+7)="TBC"), IF(INDEX(#REF!,ROW()+7)="START",$C$3,""),IF(INDEX(#REF!,ROW()+7)="x",INDEX(#REF!,ROW()+7)+'Date Calculators'!$B$2+ICS4Master!$E415,""))</f>
        <v>#REF!</v>
      </c>
      <c r="J417" s="116" t="e" cm="1">
        <f t="array" ref="J417">IF(I417="","",INDEX(#REF!,ROW()+7))</f>
        <v>#REF!</v>
      </c>
      <c r="K417" s="120" t="e" cm="1">
        <f t="array" ref="K417">IF(I417="","",INDEX(#REF!,ROW()+7))</f>
        <v>#REF!</v>
      </c>
      <c r="L417" s="129" t="e" cm="1">
        <f t="array" ref="L417">IF(OR(I417="",INDEX(#REF!,ROW()+7)=""),"",INDEX(#REF!,ROW()+7))</f>
        <v>#REF!</v>
      </c>
    </row>
    <row r="418" spans="2:12" ht="15" customHeight="1">
      <c r="B418" s="121" t="str">
        <f t="shared" si="47"/>
        <v/>
      </c>
      <c r="C418" s="117" t="str">
        <f t="shared" si="48"/>
        <v/>
      </c>
      <c r="D418" s="116" t="str">
        <f t="shared" si="49"/>
        <v/>
      </c>
      <c r="E418" s="120" t="str">
        <f t="shared" si="50"/>
        <v/>
      </c>
      <c r="F418" s="123" t="str">
        <f t="shared" si="51"/>
        <v/>
      </c>
      <c r="G418" s="126" t="e">
        <f t="shared" si="52"/>
        <v>#REF!</v>
      </c>
      <c r="H418" s="116" t="e">
        <f t="shared" si="46"/>
        <v>#REF!</v>
      </c>
      <c r="I418" s="117" t="e" cm="1">
        <f t="array" ref="I418">IF(OR(INDEX(#REF!,ROW()+8)="START",INDEX(#REF!,ROW()+7)="",INDEX(#REF!,ROW()+7)="START",INDEX(#REF!,ROW()+7)="TBA",INDEX(#REF!,ROW()+7)="TBC"), IF(INDEX(#REF!,ROW()+7)="START",$C$3,""),IF(INDEX(#REF!,ROW()+7)="x",INDEX(#REF!,ROW()+7)+'Date Calculators'!$B$2+ICS4Master!$E416,""))</f>
        <v>#REF!</v>
      </c>
      <c r="J418" s="116" t="e" cm="1">
        <f t="array" ref="J418">IF(I418="","",INDEX(#REF!,ROW()+7))</f>
        <v>#REF!</v>
      </c>
      <c r="K418" s="120" t="e" cm="1">
        <f t="array" ref="K418">IF(I418="","",INDEX(#REF!,ROW()+7))</f>
        <v>#REF!</v>
      </c>
      <c r="L418" s="129" t="e" cm="1">
        <f t="array" ref="L418">IF(OR(I418="",INDEX(#REF!,ROW()+7)=""),"",INDEX(#REF!,ROW()+7))</f>
        <v>#REF!</v>
      </c>
    </row>
    <row r="419" spans="2:12" ht="15" customHeight="1">
      <c r="B419" s="121" t="str">
        <f t="shared" si="47"/>
        <v/>
      </c>
      <c r="C419" s="117" t="str">
        <f t="shared" si="48"/>
        <v/>
      </c>
      <c r="D419" s="116" t="str">
        <f t="shared" si="49"/>
        <v/>
      </c>
      <c r="E419" s="120" t="str">
        <f t="shared" si="50"/>
        <v/>
      </c>
      <c r="F419" s="123" t="str">
        <f t="shared" si="51"/>
        <v/>
      </c>
      <c r="G419" s="126" t="e">
        <f t="shared" si="52"/>
        <v>#REF!</v>
      </c>
      <c r="H419" s="116" t="e">
        <f t="shared" si="46"/>
        <v>#REF!</v>
      </c>
      <c r="I419" s="117" t="e" cm="1">
        <f t="array" ref="I419">IF(OR(INDEX(#REF!,ROW()+8)="START",INDEX(#REF!,ROW()+7)="",INDEX(#REF!,ROW()+7)="START",INDEX(#REF!,ROW()+7)="TBA",INDEX(#REF!,ROW()+7)="TBC"), IF(INDEX(#REF!,ROW()+7)="START",$C$3,""),IF(INDEX(#REF!,ROW()+7)="x",INDEX(#REF!,ROW()+7)+'Date Calculators'!$B$2+ICS4Master!$E417,""))</f>
        <v>#REF!</v>
      </c>
      <c r="J419" s="116" t="e" cm="1">
        <f t="array" ref="J419">IF(I419="","",INDEX(#REF!,ROW()+7))</f>
        <v>#REF!</v>
      </c>
      <c r="K419" s="120" t="e" cm="1">
        <f t="array" ref="K419">IF(I419="","",INDEX(#REF!,ROW()+7))</f>
        <v>#REF!</v>
      </c>
      <c r="L419" s="129" t="e" cm="1">
        <f t="array" ref="L419">IF(OR(I419="",INDEX(#REF!,ROW()+7)=""),"",INDEX(#REF!,ROW()+7))</f>
        <v>#REF!</v>
      </c>
    </row>
    <row r="420" spans="2:12" ht="15" customHeight="1">
      <c r="B420" s="121" t="str">
        <f t="shared" si="47"/>
        <v/>
      </c>
      <c r="C420" s="117" t="str">
        <f t="shared" si="48"/>
        <v/>
      </c>
      <c r="D420" s="116" t="str">
        <f t="shared" si="49"/>
        <v/>
      </c>
      <c r="E420" s="120" t="str">
        <f t="shared" si="50"/>
        <v/>
      </c>
      <c r="F420" s="123" t="str">
        <f t="shared" si="51"/>
        <v/>
      </c>
      <c r="G420" s="126" t="e">
        <f t="shared" si="52"/>
        <v>#REF!</v>
      </c>
      <c r="H420" s="116" t="e">
        <f t="shared" si="46"/>
        <v>#REF!</v>
      </c>
      <c r="I420" s="117" t="e" cm="1">
        <f t="array" ref="I420">IF(OR(INDEX(#REF!,ROW()+8)="START",INDEX(#REF!,ROW()+7)="",INDEX(#REF!,ROW()+7)="START",INDEX(#REF!,ROW()+7)="TBA",INDEX(#REF!,ROW()+7)="TBC"), IF(INDEX(#REF!,ROW()+7)="START",$C$3,""),IF(INDEX(#REF!,ROW()+7)="x",INDEX(#REF!,ROW()+7)+'Date Calculators'!$B$2+ICS4Master!$E418,""))</f>
        <v>#REF!</v>
      </c>
      <c r="J420" s="116" t="e" cm="1">
        <f t="array" ref="J420">IF(I420="","",INDEX(#REF!,ROW()+7))</f>
        <v>#REF!</v>
      </c>
      <c r="K420" s="120" t="e" cm="1">
        <f t="array" ref="K420">IF(I420="","",INDEX(#REF!,ROW()+7))</f>
        <v>#REF!</v>
      </c>
      <c r="L420" s="129" t="e" cm="1">
        <f t="array" ref="L420">IF(OR(I420="",INDEX(#REF!,ROW()+7)=""),"",INDEX(#REF!,ROW()+7))</f>
        <v>#REF!</v>
      </c>
    </row>
    <row r="421" spans="2:12" ht="15" customHeight="1">
      <c r="B421" s="121" t="str">
        <f t="shared" si="47"/>
        <v/>
      </c>
      <c r="C421" s="117" t="str">
        <f t="shared" si="48"/>
        <v/>
      </c>
      <c r="D421" s="116" t="str">
        <f t="shared" si="49"/>
        <v/>
      </c>
      <c r="E421" s="120" t="str">
        <f t="shared" si="50"/>
        <v/>
      </c>
      <c r="F421" s="123" t="str">
        <f t="shared" si="51"/>
        <v/>
      </c>
      <c r="G421" s="126" t="e">
        <f t="shared" si="52"/>
        <v>#REF!</v>
      </c>
      <c r="H421" s="116" t="e">
        <f t="shared" si="46"/>
        <v>#REF!</v>
      </c>
      <c r="I421" s="117" t="e" cm="1">
        <f t="array" ref="I421">IF(OR(INDEX(#REF!,ROW()+8)="START",INDEX(#REF!,ROW()+7)="",INDEX(#REF!,ROW()+7)="START",INDEX(#REF!,ROW()+7)="TBA",INDEX(#REF!,ROW()+7)="TBC"), IF(INDEX(#REF!,ROW()+7)="START",$C$3,""),IF(INDEX(#REF!,ROW()+7)="x",INDEX(#REF!,ROW()+7)+'Date Calculators'!$B$2+ICS4Master!$E419,""))</f>
        <v>#REF!</v>
      </c>
      <c r="J421" s="116" t="e" cm="1">
        <f t="array" ref="J421">IF(I421="","",INDEX(#REF!,ROW()+7))</f>
        <v>#REF!</v>
      </c>
      <c r="K421" s="120" t="e" cm="1">
        <f t="array" ref="K421">IF(I421="","",INDEX(#REF!,ROW()+7))</f>
        <v>#REF!</v>
      </c>
      <c r="L421" s="129" t="e" cm="1">
        <f t="array" ref="L421">IF(OR(I421="",INDEX(#REF!,ROW()+7)=""),"",INDEX(#REF!,ROW()+7))</f>
        <v>#REF!</v>
      </c>
    </row>
    <row r="422" spans="2:12" ht="15" customHeight="1">
      <c r="B422" s="121" t="str">
        <f t="shared" si="47"/>
        <v/>
      </c>
      <c r="C422" s="117" t="str">
        <f t="shared" si="48"/>
        <v/>
      </c>
      <c r="D422" s="116" t="str">
        <f t="shared" si="49"/>
        <v/>
      </c>
      <c r="E422" s="120" t="str">
        <f t="shared" si="50"/>
        <v/>
      </c>
      <c r="F422" s="123" t="str">
        <f t="shared" si="51"/>
        <v/>
      </c>
      <c r="G422" s="126" t="e">
        <f t="shared" si="52"/>
        <v>#REF!</v>
      </c>
      <c r="H422" s="116" t="e">
        <f t="shared" si="46"/>
        <v>#REF!</v>
      </c>
      <c r="I422" s="117" t="e" cm="1">
        <f t="array" ref="I422">IF(OR(INDEX(#REF!,ROW()+8)="START",INDEX(#REF!,ROW()+7)="",INDEX(#REF!,ROW()+7)="START",INDEX(#REF!,ROW()+7)="TBA",INDEX(#REF!,ROW()+7)="TBC"), IF(INDEX(#REF!,ROW()+7)="START",$C$3,""),IF(INDEX(#REF!,ROW()+7)="x",INDEX(#REF!,ROW()+7)+'Date Calculators'!$B$2+ICS4Master!$E420,""))</f>
        <v>#REF!</v>
      </c>
      <c r="J422" s="116" t="e" cm="1">
        <f t="array" ref="J422">IF(I422="","",INDEX(#REF!,ROW()+7))</f>
        <v>#REF!</v>
      </c>
      <c r="K422" s="120" t="e" cm="1">
        <f t="array" ref="K422">IF(I422="","",INDEX(#REF!,ROW()+7))</f>
        <v>#REF!</v>
      </c>
      <c r="L422" s="129" t="e" cm="1">
        <f t="array" ref="L422">IF(OR(I422="",INDEX(#REF!,ROW()+7)=""),"",INDEX(#REF!,ROW()+7))</f>
        <v>#REF!</v>
      </c>
    </row>
    <row r="423" spans="2:12" ht="15" customHeight="1">
      <c r="B423" s="121" t="str">
        <f t="shared" si="47"/>
        <v/>
      </c>
      <c r="C423" s="117" t="str">
        <f t="shared" si="48"/>
        <v/>
      </c>
      <c r="D423" s="116" t="str">
        <f t="shared" si="49"/>
        <v/>
      </c>
      <c r="E423" s="120" t="str">
        <f t="shared" si="50"/>
        <v/>
      </c>
      <c r="F423" s="123" t="str">
        <f t="shared" si="51"/>
        <v/>
      </c>
      <c r="G423" s="126" t="e">
        <f t="shared" si="52"/>
        <v>#REF!</v>
      </c>
      <c r="H423" s="116" t="e">
        <f t="shared" si="46"/>
        <v>#REF!</v>
      </c>
      <c r="I423" s="117" t="e" cm="1">
        <f t="array" ref="I423">IF(OR(INDEX(#REF!,ROW()+8)="START",INDEX(#REF!,ROW()+7)="",INDEX(#REF!,ROW()+7)="START",INDEX(#REF!,ROW()+7)="TBA",INDEX(#REF!,ROW()+7)="TBC"), IF(INDEX(#REF!,ROW()+7)="START",$C$3,""),IF(INDEX(#REF!,ROW()+7)="x",INDEX(#REF!,ROW()+7)+'Date Calculators'!$B$2+ICS4Master!$E421,""))</f>
        <v>#REF!</v>
      </c>
      <c r="J423" s="116" t="e" cm="1">
        <f t="array" ref="J423">IF(I423="","",INDEX(#REF!,ROW()+7))</f>
        <v>#REF!</v>
      </c>
      <c r="K423" s="120" t="e" cm="1">
        <f t="array" ref="K423">IF(I423="","",INDEX(#REF!,ROW()+7))</f>
        <v>#REF!</v>
      </c>
      <c r="L423" s="129" t="e" cm="1">
        <f t="array" ref="L423">IF(OR(I423="",INDEX(#REF!,ROW()+7)=""),"",INDEX(#REF!,ROW()+7))</f>
        <v>#REF!</v>
      </c>
    </row>
    <row r="424" spans="2:12" ht="15" customHeight="1">
      <c r="B424" s="121" t="str">
        <f t="shared" si="47"/>
        <v/>
      </c>
      <c r="C424" s="117" t="str">
        <f t="shared" si="48"/>
        <v/>
      </c>
      <c r="D424" s="116" t="str">
        <f t="shared" si="49"/>
        <v/>
      </c>
      <c r="E424" s="120" t="str">
        <f t="shared" si="50"/>
        <v/>
      </c>
      <c r="F424" s="123" t="str">
        <f t="shared" si="51"/>
        <v/>
      </c>
      <c r="G424" s="126" t="e">
        <f t="shared" si="52"/>
        <v>#REF!</v>
      </c>
      <c r="H424" s="116" t="e">
        <f t="shared" si="46"/>
        <v>#REF!</v>
      </c>
      <c r="I424" s="117" t="e" cm="1">
        <f t="array" ref="I424">IF(OR(INDEX(#REF!,ROW()+8)="START",INDEX(#REF!,ROW()+7)="",INDEX(#REF!,ROW()+7)="START",INDEX(#REF!,ROW()+7)="TBA",INDEX(#REF!,ROW()+7)="TBC"), IF(INDEX(#REF!,ROW()+7)="START",$C$3,""),IF(INDEX(#REF!,ROW()+7)="x",INDEX(#REF!,ROW()+7)+'Date Calculators'!$B$2+ICS4Master!$E422,""))</f>
        <v>#REF!</v>
      </c>
      <c r="J424" s="116" t="e" cm="1">
        <f t="array" ref="J424">IF(I424="","",INDEX(#REF!,ROW()+7))</f>
        <v>#REF!</v>
      </c>
      <c r="K424" s="120" t="e" cm="1">
        <f t="array" ref="K424">IF(I424="","",INDEX(#REF!,ROW()+7))</f>
        <v>#REF!</v>
      </c>
      <c r="L424" s="129" t="e" cm="1">
        <f t="array" ref="L424">IF(OR(I424="",INDEX(#REF!,ROW()+7)=""),"",INDEX(#REF!,ROW()+7))</f>
        <v>#REF!</v>
      </c>
    </row>
    <row r="425" spans="2:12" ht="15" customHeight="1">
      <c r="B425" s="121" t="str">
        <f t="shared" si="47"/>
        <v/>
      </c>
      <c r="C425" s="117" t="str">
        <f t="shared" si="48"/>
        <v/>
      </c>
      <c r="D425" s="116" t="str">
        <f t="shared" si="49"/>
        <v/>
      </c>
      <c r="E425" s="120" t="str">
        <f t="shared" si="50"/>
        <v/>
      </c>
      <c r="F425" s="123" t="str">
        <f t="shared" si="51"/>
        <v/>
      </c>
      <c r="G425" s="126" t="e">
        <f t="shared" si="52"/>
        <v>#REF!</v>
      </c>
      <c r="H425" s="116" t="e">
        <f t="shared" si="46"/>
        <v>#REF!</v>
      </c>
      <c r="I425" s="117" t="e" cm="1">
        <f t="array" ref="I425">IF(OR(INDEX(#REF!,ROW()+8)="START",INDEX(#REF!,ROW()+7)="",INDEX(#REF!,ROW()+7)="START",INDEX(#REF!,ROW()+7)="TBA",INDEX(#REF!,ROW()+7)="TBC"), IF(INDEX(#REF!,ROW()+7)="START",$C$3,""),IF(INDEX(#REF!,ROW()+7)="x",INDEX(#REF!,ROW()+7)+'Date Calculators'!$B$2+ICS4Master!$E423,""))</f>
        <v>#REF!</v>
      </c>
      <c r="J425" s="116" t="e" cm="1">
        <f t="array" ref="J425">IF(I425="","",INDEX(#REF!,ROW()+7))</f>
        <v>#REF!</v>
      </c>
      <c r="K425" s="120" t="e" cm="1">
        <f t="array" ref="K425">IF(I425="","",INDEX(#REF!,ROW()+7))</f>
        <v>#REF!</v>
      </c>
      <c r="L425" s="129" t="e" cm="1">
        <f t="array" ref="L425">IF(OR(I425="",INDEX(#REF!,ROW()+7)=""),"",INDEX(#REF!,ROW()+7))</f>
        <v>#REF!</v>
      </c>
    </row>
    <row r="426" spans="2:12" ht="15" customHeight="1">
      <c r="B426" s="121" t="str">
        <f t="shared" si="47"/>
        <v/>
      </c>
      <c r="C426" s="117" t="str">
        <f t="shared" si="48"/>
        <v/>
      </c>
      <c r="D426" s="116" t="str">
        <f t="shared" si="49"/>
        <v/>
      </c>
      <c r="E426" s="120" t="str">
        <f t="shared" si="50"/>
        <v/>
      </c>
      <c r="F426" s="123" t="str">
        <f t="shared" si="51"/>
        <v/>
      </c>
      <c r="G426" s="126" t="e">
        <f t="shared" si="52"/>
        <v>#REF!</v>
      </c>
      <c r="H426" s="116" t="e">
        <f t="shared" si="46"/>
        <v>#REF!</v>
      </c>
      <c r="I426" s="117" t="e" cm="1">
        <f t="array" ref="I426">IF(OR(INDEX(#REF!,ROW()+8)="START",INDEX(#REF!,ROW()+7)="",INDEX(#REF!,ROW()+7)="START",INDEX(#REF!,ROW()+7)="TBA",INDEX(#REF!,ROW()+7)="TBC"), IF(INDEX(#REF!,ROW()+7)="START",$C$3,""),IF(INDEX(#REF!,ROW()+7)="x",INDEX(#REF!,ROW()+7)+'Date Calculators'!$B$2+ICS4Master!$E424,""))</f>
        <v>#REF!</v>
      </c>
      <c r="J426" s="116" t="e" cm="1">
        <f t="array" ref="J426">IF(I426="","",INDEX(#REF!,ROW()+7))</f>
        <v>#REF!</v>
      </c>
      <c r="K426" s="120" t="e" cm="1">
        <f t="array" ref="K426">IF(I426="","",INDEX(#REF!,ROW()+7))</f>
        <v>#REF!</v>
      </c>
      <c r="L426" s="129" t="e" cm="1">
        <f t="array" ref="L426">IF(OR(I426="",INDEX(#REF!,ROW()+7)=""),"",INDEX(#REF!,ROW()+7))</f>
        <v>#REF!</v>
      </c>
    </row>
    <row r="427" spans="2:12" ht="15" customHeight="1">
      <c r="B427" s="121" t="str">
        <f t="shared" si="47"/>
        <v/>
      </c>
      <c r="C427" s="117" t="str">
        <f t="shared" si="48"/>
        <v/>
      </c>
      <c r="D427" s="116" t="str">
        <f t="shared" si="49"/>
        <v/>
      </c>
      <c r="E427" s="120" t="str">
        <f t="shared" si="50"/>
        <v/>
      </c>
      <c r="F427" s="123" t="str">
        <f t="shared" si="51"/>
        <v/>
      </c>
      <c r="G427" s="126" t="e">
        <f t="shared" si="52"/>
        <v>#REF!</v>
      </c>
      <c r="H427" s="116" t="e">
        <f t="shared" si="46"/>
        <v>#REF!</v>
      </c>
      <c r="I427" s="117" t="e" cm="1">
        <f t="array" ref="I427">IF(OR(INDEX(#REF!,ROW()+8)="START",INDEX(#REF!,ROW()+7)="",INDEX(#REF!,ROW()+7)="START",INDEX(#REF!,ROW()+7)="TBA",INDEX(#REF!,ROW()+7)="TBC"), IF(INDEX(#REF!,ROW()+7)="START",$C$3,""),IF(INDEX(#REF!,ROW()+7)="x",INDEX(#REF!,ROW()+7)+'Date Calculators'!$B$2+ICS4Master!$E425,""))</f>
        <v>#REF!</v>
      </c>
      <c r="J427" s="116" t="e" cm="1">
        <f t="array" ref="J427">IF(I427="","",INDEX(#REF!,ROW()+7))</f>
        <v>#REF!</v>
      </c>
      <c r="K427" s="120" t="e" cm="1">
        <f t="array" ref="K427">IF(I427="","",INDEX(#REF!,ROW()+7))</f>
        <v>#REF!</v>
      </c>
      <c r="L427" s="129" t="e" cm="1">
        <f t="array" ref="L427">IF(OR(I427="",INDEX(#REF!,ROW()+7)=""),"",INDEX(#REF!,ROW()+7))</f>
        <v>#REF!</v>
      </c>
    </row>
    <row r="428" spans="2:12" ht="15" customHeight="1">
      <c r="B428" s="121" t="str">
        <f t="shared" si="47"/>
        <v/>
      </c>
      <c r="C428" s="117" t="str">
        <f t="shared" si="48"/>
        <v/>
      </c>
      <c r="D428" s="116" t="str">
        <f t="shared" si="49"/>
        <v/>
      </c>
      <c r="E428" s="120" t="str">
        <f t="shared" si="50"/>
        <v/>
      </c>
      <c r="F428" s="123" t="str">
        <f t="shared" si="51"/>
        <v/>
      </c>
      <c r="G428" s="126" t="e">
        <f t="shared" si="52"/>
        <v>#REF!</v>
      </c>
      <c r="H428" s="116" t="e">
        <f t="shared" si="46"/>
        <v>#REF!</v>
      </c>
      <c r="I428" s="117" t="e" cm="1">
        <f t="array" ref="I428">IF(OR(INDEX(#REF!,ROW()+8)="START",INDEX(#REF!,ROW()+7)="",INDEX(#REF!,ROW()+7)="START",INDEX(#REF!,ROW()+7)="TBA",INDEX(#REF!,ROW()+7)="TBC"), IF(INDEX(#REF!,ROW()+7)="START",$C$3,""),IF(INDEX(#REF!,ROW()+7)="x",INDEX(#REF!,ROW()+7)+'Date Calculators'!$B$2+ICS4Master!$E426,""))</f>
        <v>#REF!</v>
      </c>
      <c r="J428" s="116" t="e" cm="1">
        <f t="array" ref="J428">IF(I428="","",INDEX(#REF!,ROW()+7))</f>
        <v>#REF!</v>
      </c>
      <c r="K428" s="120" t="e" cm="1">
        <f t="array" ref="K428">IF(I428="","",INDEX(#REF!,ROW()+7))</f>
        <v>#REF!</v>
      </c>
      <c r="L428" s="129" t="e" cm="1">
        <f t="array" ref="L428">IF(OR(I428="",INDEX(#REF!,ROW()+7)=""),"",INDEX(#REF!,ROW()+7))</f>
        <v>#REF!</v>
      </c>
    </row>
    <row r="429" spans="2:12" ht="15" customHeight="1">
      <c r="B429" s="121" t="str">
        <f t="shared" si="47"/>
        <v/>
      </c>
      <c r="C429" s="117" t="str">
        <f t="shared" si="48"/>
        <v/>
      </c>
      <c r="D429" s="116" t="str">
        <f t="shared" si="49"/>
        <v/>
      </c>
      <c r="E429" s="120" t="str">
        <f t="shared" si="50"/>
        <v/>
      </c>
      <c r="F429" s="123" t="str">
        <f t="shared" si="51"/>
        <v/>
      </c>
      <c r="G429" s="126" t="e">
        <f t="shared" si="52"/>
        <v>#REF!</v>
      </c>
      <c r="H429" s="116" t="e">
        <f t="shared" si="46"/>
        <v>#REF!</v>
      </c>
      <c r="I429" s="117" t="e" cm="1">
        <f t="array" ref="I429">IF(OR(INDEX(#REF!,ROW()+8)="START",INDEX(#REF!,ROW()+7)="",INDEX(#REF!,ROW()+7)="START",INDEX(#REF!,ROW()+7)="TBA",INDEX(#REF!,ROW()+7)="TBC"), IF(INDEX(#REF!,ROW()+7)="START",$C$3,""),IF(INDEX(#REF!,ROW()+7)="x",INDEX(#REF!,ROW()+7)+'Date Calculators'!$B$2+ICS4Master!$E427,""))</f>
        <v>#REF!</v>
      </c>
      <c r="J429" s="116" t="e" cm="1">
        <f t="array" ref="J429">IF(I429="","",INDEX(#REF!,ROW()+7))</f>
        <v>#REF!</v>
      </c>
      <c r="K429" s="120" t="e" cm="1">
        <f t="array" ref="K429">IF(I429="","",INDEX(#REF!,ROW()+7))</f>
        <v>#REF!</v>
      </c>
      <c r="L429" s="129" t="e" cm="1">
        <f t="array" ref="L429">IF(OR(I429="",INDEX(#REF!,ROW()+7)=""),"",INDEX(#REF!,ROW()+7))</f>
        <v>#REF!</v>
      </c>
    </row>
    <row r="430" spans="2:12" ht="15" customHeight="1">
      <c r="B430" s="121" t="str">
        <f t="shared" si="47"/>
        <v/>
      </c>
      <c r="C430" s="117" t="str">
        <f t="shared" si="48"/>
        <v/>
      </c>
      <c r="D430" s="116" t="str">
        <f t="shared" si="49"/>
        <v/>
      </c>
      <c r="E430" s="120" t="str">
        <f t="shared" si="50"/>
        <v/>
      </c>
      <c r="F430" s="123" t="str">
        <f t="shared" si="51"/>
        <v/>
      </c>
      <c r="G430" s="126" t="e">
        <f t="shared" si="52"/>
        <v>#REF!</v>
      </c>
      <c r="H430" s="116" t="e">
        <f t="shared" si="46"/>
        <v>#REF!</v>
      </c>
      <c r="I430" s="117" t="e" cm="1">
        <f t="array" ref="I430">IF(OR(INDEX(#REF!,ROW()+8)="START",INDEX(#REF!,ROW()+7)="",INDEX(#REF!,ROW()+7)="START",INDEX(#REF!,ROW()+7)="TBA",INDEX(#REF!,ROW()+7)="TBC"), IF(INDEX(#REF!,ROW()+7)="START",$C$3,""),IF(INDEX(#REF!,ROW()+7)="x",INDEX(#REF!,ROW()+7)+'Date Calculators'!$B$2+ICS4Master!$E428,""))</f>
        <v>#REF!</v>
      </c>
      <c r="J430" s="116" t="e" cm="1">
        <f t="array" ref="J430">IF(I430="","",INDEX(#REF!,ROW()+7))</f>
        <v>#REF!</v>
      </c>
      <c r="K430" s="120" t="e" cm="1">
        <f t="array" ref="K430">IF(I430="","",INDEX(#REF!,ROW()+7))</f>
        <v>#REF!</v>
      </c>
      <c r="L430" s="129" t="e" cm="1">
        <f t="array" ref="L430">IF(OR(I430="",INDEX(#REF!,ROW()+7)=""),"",INDEX(#REF!,ROW()+7))</f>
        <v>#REF!</v>
      </c>
    </row>
    <row r="431" spans="2:12" ht="15" customHeight="1">
      <c r="B431" s="121" t="str">
        <f t="shared" si="47"/>
        <v/>
      </c>
      <c r="C431" s="117" t="str">
        <f t="shared" si="48"/>
        <v/>
      </c>
      <c r="D431" s="116" t="str">
        <f t="shared" si="49"/>
        <v/>
      </c>
      <c r="E431" s="120" t="str">
        <f t="shared" si="50"/>
        <v/>
      </c>
      <c r="F431" s="123" t="str">
        <f t="shared" si="51"/>
        <v/>
      </c>
      <c r="G431" s="126" t="e">
        <f t="shared" si="52"/>
        <v>#REF!</v>
      </c>
      <c r="H431" s="116" t="e">
        <f t="shared" si="46"/>
        <v>#REF!</v>
      </c>
      <c r="I431" s="117" t="e" cm="1">
        <f t="array" ref="I431">IF(OR(INDEX(#REF!,ROW()+8)="START",INDEX(#REF!,ROW()+7)="",INDEX(#REF!,ROW()+7)="START",INDEX(#REF!,ROW()+7)="TBA",INDEX(#REF!,ROW()+7)="TBC"), IF(INDEX(#REF!,ROW()+7)="START",$C$3,""),IF(INDEX(#REF!,ROW()+7)="x",INDEX(#REF!,ROW()+7)+'Date Calculators'!$B$2+ICS4Master!$E429,""))</f>
        <v>#REF!</v>
      </c>
      <c r="J431" s="116" t="e" cm="1">
        <f t="array" ref="J431">IF(I431="","",INDEX(#REF!,ROW()+7))</f>
        <v>#REF!</v>
      </c>
      <c r="K431" s="120" t="e" cm="1">
        <f t="array" ref="K431">IF(I431="","",INDEX(#REF!,ROW()+7))</f>
        <v>#REF!</v>
      </c>
      <c r="L431" s="129" t="e" cm="1">
        <f t="array" ref="L431">IF(OR(I431="",INDEX(#REF!,ROW()+7)=""),"",INDEX(#REF!,ROW()+7))</f>
        <v>#REF!</v>
      </c>
    </row>
    <row r="432" spans="2:12" ht="15" customHeight="1">
      <c r="B432" s="121" t="str">
        <f t="shared" si="47"/>
        <v/>
      </c>
      <c r="C432" s="117" t="str">
        <f t="shared" si="48"/>
        <v/>
      </c>
      <c r="D432" s="116" t="str">
        <f t="shared" si="49"/>
        <v/>
      </c>
      <c r="E432" s="120" t="str">
        <f t="shared" si="50"/>
        <v/>
      </c>
      <c r="F432" s="123" t="str">
        <f t="shared" si="51"/>
        <v/>
      </c>
      <c r="G432" s="126" t="e">
        <f t="shared" si="52"/>
        <v>#REF!</v>
      </c>
      <c r="H432" s="116" t="e">
        <f t="shared" si="46"/>
        <v>#REF!</v>
      </c>
      <c r="I432" s="117" t="e" cm="1">
        <f t="array" ref="I432">IF(OR(INDEX(#REF!,ROW()+8)="START",INDEX(#REF!,ROW()+7)="",INDEX(#REF!,ROW()+7)="START",INDEX(#REF!,ROW()+7)="TBA",INDEX(#REF!,ROW()+7)="TBC"), IF(INDEX(#REF!,ROW()+7)="START",$C$3,""),IF(INDEX(#REF!,ROW()+7)="x",INDEX(#REF!,ROW()+7)+'Date Calculators'!$B$2+ICS4Master!$E430,""))</f>
        <v>#REF!</v>
      </c>
      <c r="J432" s="116" t="e" cm="1">
        <f t="array" ref="J432">IF(I432="","",INDEX(#REF!,ROW()+7))</f>
        <v>#REF!</v>
      </c>
      <c r="K432" s="120" t="e" cm="1">
        <f t="array" ref="K432">IF(I432="","",INDEX(#REF!,ROW()+7))</f>
        <v>#REF!</v>
      </c>
      <c r="L432" s="129" t="e" cm="1">
        <f t="array" ref="L432">IF(OR(I432="",INDEX(#REF!,ROW()+7)=""),"",INDEX(#REF!,ROW()+7))</f>
        <v>#REF!</v>
      </c>
    </row>
    <row r="433" spans="2:12" ht="15" customHeight="1">
      <c r="B433" s="121" t="str">
        <f t="shared" si="47"/>
        <v/>
      </c>
      <c r="C433" s="117" t="str">
        <f t="shared" si="48"/>
        <v/>
      </c>
      <c r="D433" s="116" t="str">
        <f t="shared" si="49"/>
        <v/>
      </c>
      <c r="E433" s="120" t="str">
        <f t="shared" si="50"/>
        <v/>
      </c>
      <c r="F433" s="123" t="str">
        <f t="shared" si="51"/>
        <v/>
      </c>
      <c r="G433" s="126" t="e">
        <f t="shared" si="52"/>
        <v>#REF!</v>
      </c>
      <c r="H433" s="116" t="e">
        <f t="shared" si="46"/>
        <v>#REF!</v>
      </c>
      <c r="I433" s="117" t="e" cm="1">
        <f t="array" ref="I433">IF(OR(INDEX(#REF!,ROW()+8)="START",INDEX(#REF!,ROW()+7)="",INDEX(#REF!,ROW()+7)="START",INDEX(#REF!,ROW()+7)="TBA",INDEX(#REF!,ROW()+7)="TBC"), IF(INDEX(#REF!,ROW()+7)="START",$C$3,""),IF(INDEX(#REF!,ROW()+7)="x",INDEX(#REF!,ROW()+7)+'Date Calculators'!$B$2+ICS4Master!$E431,""))</f>
        <v>#REF!</v>
      </c>
      <c r="J433" s="116" t="e" cm="1">
        <f t="array" ref="J433">IF(I433="","",INDEX(#REF!,ROW()+7))</f>
        <v>#REF!</v>
      </c>
      <c r="K433" s="120" t="e" cm="1">
        <f t="array" ref="K433">IF(I433="","",INDEX(#REF!,ROW()+7))</f>
        <v>#REF!</v>
      </c>
      <c r="L433" s="129" t="e" cm="1">
        <f t="array" ref="L433">IF(OR(I433="",INDEX(#REF!,ROW()+7)=""),"",INDEX(#REF!,ROW()+7))</f>
        <v>#REF!</v>
      </c>
    </row>
    <row r="434" spans="2:12" ht="15" customHeight="1">
      <c r="B434" s="121" t="str">
        <f t="shared" si="47"/>
        <v/>
      </c>
      <c r="C434" s="117" t="str">
        <f t="shared" si="48"/>
        <v/>
      </c>
      <c r="D434" s="116" t="str">
        <f t="shared" si="49"/>
        <v/>
      </c>
      <c r="E434" s="120" t="str">
        <f t="shared" si="50"/>
        <v/>
      </c>
      <c r="F434" s="123" t="str">
        <f t="shared" si="51"/>
        <v/>
      </c>
      <c r="G434" s="126" t="e">
        <f t="shared" si="52"/>
        <v>#REF!</v>
      </c>
      <c r="H434" s="116" t="e">
        <f t="shared" si="46"/>
        <v>#REF!</v>
      </c>
      <c r="I434" s="117" t="e" cm="1">
        <f t="array" ref="I434">IF(OR(INDEX(#REF!,ROW()+8)="START",INDEX(#REF!,ROW()+7)="",INDEX(#REF!,ROW()+7)="START",INDEX(#REF!,ROW()+7)="TBA",INDEX(#REF!,ROW()+7)="TBC"), IF(INDEX(#REF!,ROW()+7)="START",$C$3,""),IF(INDEX(#REF!,ROW()+7)="x",INDEX(#REF!,ROW()+7)+'Date Calculators'!$B$2+ICS4Master!$E432,""))</f>
        <v>#REF!</v>
      </c>
      <c r="J434" s="116" t="e" cm="1">
        <f t="array" ref="J434">IF(I434="","",INDEX(#REF!,ROW()+7))</f>
        <v>#REF!</v>
      </c>
      <c r="K434" s="120" t="e" cm="1">
        <f t="array" ref="K434">IF(I434="","",INDEX(#REF!,ROW()+7))</f>
        <v>#REF!</v>
      </c>
      <c r="L434" s="129" t="e" cm="1">
        <f t="array" ref="L434">IF(OR(I434="",INDEX(#REF!,ROW()+7)=""),"",INDEX(#REF!,ROW()+7))</f>
        <v>#REF!</v>
      </c>
    </row>
    <row r="435" spans="2:12" ht="15" customHeight="1">
      <c r="B435" s="121" t="str">
        <f t="shared" si="47"/>
        <v/>
      </c>
      <c r="C435" s="117" t="str">
        <f t="shared" si="48"/>
        <v/>
      </c>
      <c r="D435" s="116" t="str">
        <f t="shared" si="49"/>
        <v/>
      </c>
      <c r="E435" s="120" t="str">
        <f t="shared" si="50"/>
        <v/>
      </c>
      <c r="F435" s="123" t="str">
        <f t="shared" si="51"/>
        <v/>
      </c>
      <c r="G435" s="126" t="e">
        <f t="shared" si="52"/>
        <v>#REF!</v>
      </c>
      <c r="H435" s="116" t="e">
        <f t="shared" si="46"/>
        <v>#REF!</v>
      </c>
      <c r="I435" s="117" t="e" cm="1">
        <f t="array" ref="I435">IF(OR(INDEX(#REF!,ROW()+8)="START",INDEX(#REF!,ROW()+7)="",INDEX(#REF!,ROW()+7)="START",INDEX(#REF!,ROW()+7)="TBA",INDEX(#REF!,ROW()+7)="TBC"), IF(INDEX(#REF!,ROW()+7)="START",$C$3,""),IF(INDEX(#REF!,ROW()+7)="x",INDEX(#REF!,ROW()+7)+'Date Calculators'!$B$2+ICS4Master!$E433,""))</f>
        <v>#REF!</v>
      </c>
      <c r="J435" s="116" t="e" cm="1">
        <f t="array" ref="J435">IF(I435="","",INDEX(#REF!,ROW()+7))</f>
        <v>#REF!</v>
      </c>
      <c r="K435" s="120" t="e" cm="1">
        <f t="array" ref="K435">IF(I435="","",INDEX(#REF!,ROW()+7))</f>
        <v>#REF!</v>
      </c>
      <c r="L435" s="129" t="e" cm="1">
        <f t="array" ref="L435">IF(OR(I435="",INDEX(#REF!,ROW()+7)=""),"",INDEX(#REF!,ROW()+7))</f>
        <v>#REF!</v>
      </c>
    </row>
    <row r="436" spans="2:12" ht="15" customHeight="1">
      <c r="B436" s="121" t="str">
        <f t="shared" si="47"/>
        <v/>
      </c>
      <c r="C436" s="117" t="str">
        <f t="shared" si="48"/>
        <v/>
      </c>
      <c r="D436" s="116" t="str">
        <f t="shared" si="49"/>
        <v/>
      </c>
      <c r="E436" s="120" t="str">
        <f t="shared" si="50"/>
        <v/>
      </c>
      <c r="F436" s="123" t="str">
        <f t="shared" si="51"/>
        <v/>
      </c>
      <c r="G436" s="126" t="e">
        <f t="shared" si="52"/>
        <v>#REF!</v>
      </c>
      <c r="H436" s="116" t="e">
        <f t="shared" si="46"/>
        <v>#REF!</v>
      </c>
      <c r="I436" s="117" t="e" cm="1">
        <f t="array" ref="I436">IF(OR(INDEX(#REF!,ROW()+8)="START",INDEX(#REF!,ROW()+7)="",INDEX(#REF!,ROW()+7)="START",INDEX(#REF!,ROW()+7)="TBA",INDEX(#REF!,ROW()+7)="TBC"), IF(INDEX(#REF!,ROW()+7)="START",$C$3,""),IF(INDEX(#REF!,ROW()+7)="x",INDEX(#REF!,ROW()+7)+'Date Calculators'!$B$2+ICS4Master!$E434,""))</f>
        <v>#REF!</v>
      </c>
      <c r="J436" s="116" t="e" cm="1">
        <f t="array" ref="J436">IF(I436="","",INDEX(#REF!,ROW()+7))</f>
        <v>#REF!</v>
      </c>
      <c r="K436" s="120" t="e" cm="1">
        <f t="array" ref="K436">IF(I436="","",INDEX(#REF!,ROW()+7))</f>
        <v>#REF!</v>
      </c>
      <c r="L436" s="129" t="e" cm="1">
        <f t="array" ref="L436">IF(OR(I436="",INDEX(#REF!,ROW()+7)=""),"",INDEX(#REF!,ROW()+7))</f>
        <v>#REF!</v>
      </c>
    </row>
    <row r="437" spans="2:12" ht="15" customHeight="1">
      <c r="B437" s="121" t="str">
        <f t="shared" si="47"/>
        <v/>
      </c>
      <c r="C437" s="117" t="str">
        <f t="shared" si="48"/>
        <v/>
      </c>
      <c r="D437" s="116" t="str">
        <f t="shared" si="49"/>
        <v/>
      </c>
      <c r="E437" s="120" t="str">
        <f t="shared" si="50"/>
        <v/>
      </c>
      <c r="F437" s="123" t="str">
        <f t="shared" si="51"/>
        <v/>
      </c>
      <c r="G437" s="126" t="e">
        <f t="shared" si="52"/>
        <v>#REF!</v>
      </c>
      <c r="H437" s="116" t="e">
        <f t="shared" si="46"/>
        <v>#REF!</v>
      </c>
      <c r="I437" s="117" t="e" cm="1">
        <f t="array" ref="I437">IF(OR(INDEX(#REF!,ROW()+8)="START",INDEX(#REF!,ROW()+7)="",INDEX(#REF!,ROW()+7)="START",INDEX(#REF!,ROW()+7)="TBA",INDEX(#REF!,ROW()+7)="TBC"), IF(INDEX(#REF!,ROW()+7)="START",$C$3,""),IF(INDEX(#REF!,ROW()+7)="x",INDEX(#REF!,ROW()+7)+'Date Calculators'!$B$2+ICS4Master!$E435,""))</f>
        <v>#REF!</v>
      </c>
      <c r="J437" s="116" t="e" cm="1">
        <f t="array" ref="J437">IF(I437="","",INDEX(#REF!,ROW()+7))</f>
        <v>#REF!</v>
      </c>
      <c r="K437" s="120" t="e" cm="1">
        <f t="array" ref="K437">IF(I437="","",INDEX(#REF!,ROW()+7))</f>
        <v>#REF!</v>
      </c>
      <c r="L437" s="129" t="e" cm="1">
        <f t="array" ref="L437">IF(OR(I437="",INDEX(#REF!,ROW()+7)=""),"",INDEX(#REF!,ROW()+7))</f>
        <v>#REF!</v>
      </c>
    </row>
    <row r="438" spans="2:12" ht="15" customHeight="1">
      <c r="B438" s="121" t="str">
        <f t="shared" si="47"/>
        <v/>
      </c>
      <c r="C438" s="117" t="str">
        <f t="shared" si="48"/>
        <v/>
      </c>
      <c r="D438" s="116" t="str">
        <f t="shared" si="49"/>
        <v/>
      </c>
      <c r="E438" s="120" t="str">
        <f t="shared" si="50"/>
        <v/>
      </c>
      <c r="F438" s="123" t="str">
        <f t="shared" si="51"/>
        <v/>
      </c>
      <c r="G438" s="126" t="e">
        <f t="shared" si="52"/>
        <v>#REF!</v>
      </c>
      <c r="H438" s="116" t="e">
        <f t="shared" si="46"/>
        <v>#REF!</v>
      </c>
      <c r="I438" s="117" t="e" cm="1">
        <f t="array" ref="I438">IF(OR(INDEX(#REF!,ROW()+8)="START",INDEX(#REF!,ROW()+7)="",INDEX(#REF!,ROW()+7)="START",INDEX(#REF!,ROW()+7)="TBA",INDEX(#REF!,ROW()+7)="TBC"), IF(INDEX(#REF!,ROW()+7)="START",$C$3,""),IF(INDEX(#REF!,ROW()+7)="x",INDEX(#REF!,ROW()+7)+'Date Calculators'!$B$2+ICS4Master!$E436,""))</f>
        <v>#REF!</v>
      </c>
      <c r="J438" s="116" t="e" cm="1">
        <f t="array" ref="J438">IF(I438="","",INDEX(#REF!,ROW()+7))</f>
        <v>#REF!</v>
      </c>
      <c r="K438" s="120" t="e" cm="1">
        <f t="array" ref="K438">IF(I438="","",INDEX(#REF!,ROW()+7))</f>
        <v>#REF!</v>
      </c>
      <c r="L438" s="129" t="e" cm="1">
        <f t="array" ref="L438">IF(OR(I438="",INDEX(#REF!,ROW()+7)=""),"",INDEX(#REF!,ROW()+7))</f>
        <v>#REF!</v>
      </c>
    </row>
    <row r="439" spans="2:12" ht="15" customHeight="1">
      <c r="B439" s="121" t="str">
        <f t="shared" si="47"/>
        <v/>
      </c>
      <c r="C439" s="117" t="str">
        <f t="shared" si="48"/>
        <v/>
      </c>
      <c r="D439" s="116" t="str">
        <f t="shared" si="49"/>
        <v/>
      </c>
      <c r="E439" s="120" t="str">
        <f t="shared" si="50"/>
        <v/>
      </c>
      <c r="F439" s="123" t="str">
        <f t="shared" si="51"/>
        <v/>
      </c>
      <c r="G439" s="126" t="e">
        <f t="shared" si="52"/>
        <v>#REF!</v>
      </c>
      <c r="H439" s="116" t="e">
        <f t="shared" si="46"/>
        <v>#REF!</v>
      </c>
      <c r="I439" s="117" t="e" cm="1">
        <f t="array" ref="I439">IF(OR(INDEX(#REF!,ROW()+8)="START",INDEX(#REF!,ROW()+7)="",INDEX(#REF!,ROW()+7)="START",INDEX(#REF!,ROW()+7)="TBA",INDEX(#REF!,ROW()+7)="TBC"), IF(INDEX(#REF!,ROW()+7)="START",$C$3,""),IF(INDEX(#REF!,ROW()+7)="x",INDEX(#REF!,ROW()+7)+'Date Calculators'!$B$2+ICS4Master!$E437,""))</f>
        <v>#REF!</v>
      </c>
      <c r="J439" s="116" t="e" cm="1">
        <f t="array" ref="J439">IF(I439="","",INDEX(#REF!,ROW()+7))</f>
        <v>#REF!</v>
      </c>
      <c r="K439" s="120" t="e" cm="1">
        <f t="array" ref="K439">IF(I439="","",INDEX(#REF!,ROW()+7))</f>
        <v>#REF!</v>
      </c>
      <c r="L439" s="129" t="e" cm="1">
        <f t="array" ref="L439">IF(OR(I439="",INDEX(#REF!,ROW()+7)=""),"",INDEX(#REF!,ROW()+7))</f>
        <v>#REF!</v>
      </c>
    </row>
    <row r="440" spans="2:12" ht="15" customHeight="1">
      <c r="B440" s="121" t="str">
        <f t="shared" si="47"/>
        <v/>
      </c>
      <c r="C440" s="117" t="str">
        <f t="shared" si="48"/>
        <v/>
      </c>
      <c r="D440" s="116" t="str">
        <f t="shared" si="49"/>
        <v/>
      </c>
      <c r="E440" s="120" t="str">
        <f t="shared" si="50"/>
        <v/>
      </c>
      <c r="F440" s="123" t="str">
        <f t="shared" si="51"/>
        <v/>
      </c>
      <c r="G440" s="126" t="e">
        <f t="shared" si="52"/>
        <v>#REF!</v>
      </c>
      <c r="H440" s="116" t="e">
        <f t="shared" si="46"/>
        <v>#REF!</v>
      </c>
      <c r="I440" s="117" t="e" cm="1">
        <f t="array" ref="I440">IF(OR(INDEX(#REF!,ROW()+8)="START",INDEX(#REF!,ROW()+7)="",INDEX(#REF!,ROW()+7)="START",INDEX(#REF!,ROW()+7)="TBA",INDEX(#REF!,ROW()+7)="TBC"), IF(INDEX(#REF!,ROW()+7)="START",$C$3,""),IF(INDEX(#REF!,ROW()+7)="x",INDEX(#REF!,ROW()+7)+'Date Calculators'!$B$2+ICS4Master!$E438,""))</f>
        <v>#REF!</v>
      </c>
      <c r="J440" s="116" t="e" cm="1">
        <f t="array" ref="J440">IF(I440="","",INDEX(#REF!,ROW()+7))</f>
        <v>#REF!</v>
      </c>
      <c r="K440" s="120" t="e" cm="1">
        <f t="array" ref="K440">IF(I440="","",INDEX(#REF!,ROW()+7))</f>
        <v>#REF!</v>
      </c>
      <c r="L440" s="129" t="e" cm="1">
        <f t="array" ref="L440">IF(OR(I440="",INDEX(#REF!,ROW()+7)=""),"",INDEX(#REF!,ROW()+7))</f>
        <v>#REF!</v>
      </c>
    </row>
    <row r="441" spans="2:12" ht="15" customHeight="1">
      <c r="B441" s="121" t="str">
        <f t="shared" si="47"/>
        <v/>
      </c>
      <c r="C441" s="117" t="str">
        <f t="shared" si="48"/>
        <v/>
      </c>
      <c r="D441" s="116" t="str">
        <f t="shared" si="49"/>
        <v/>
      </c>
      <c r="E441" s="120" t="str">
        <f t="shared" si="50"/>
        <v/>
      </c>
      <c r="F441" s="123" t="str">
        <f t="shared" si="51"/>
        <v/>
      </c>
      <c r="G441" s="126" t="e">
        <f t="shared" si="52"/>
        <v>#REF!</v>
      </c>
      <c r="H441" s="116" t="e">
        <f t="shared" si="46"/>
        <v>#REF!</v>
      </c>
      <c r="I441" s="117" t="e" cm="1">
        <f t="array" ref="I441">IF(OR(INDEX(#REF!,ROW()+8)="START",INDEX(#REF!,ROW()+7)="",INDEX(#REF!,ROW()+7)="START",INDEX(#REF!,ROW()+7)="TBA",INDEX(#REF!,ROW()+7)="TBC"), IF(INDEX(#REF!,ROW()+7)="START",$C$3,""),IF(INDEX(#REF!,ROW()+7)="x",INDEX(#REF!,ROW()+7)+'Date Calculators'!$B$2+ICS4Master!$E439,""))</f>
        <v>#REF!</v>
      </c>
      <c r="J441" s="116" t="e" cm="1">
        <f t="array" ref="J441">IF(I441="","",INDEX(#REF!,ROW()+7))</f>
        <v>#REF!</v>
      </c>
      <c r="K441" s="120" t="e" cm="1">
        <f t="array" ref="K441">IF(I441="","",INDEX(#REF!,ROW()+7))</f>
        <v>#REF!</v>
      </c>
      <c r="L441" s="129" t="e" cm="1">
        <f t="array" ref="L441">IF(OR(I441="",INDEX(#REF!,ROW()+7)=""),"",INDEX(#REF!,ROW()+7))</f>
        <v>#REF!</v>
      </c>
    </row>
    <row r="442" spans="2:12" ht="15" customHeight="1">
      <c r="B442" s="121" t="str">
        <f t="shared" si="47"/>
        <v/>
      </c>
      <c r="C442" s="117" t="str">
        <f t="shared" si="48"/>
        <v/>
      </c>
      <c r="D442" s="116" t="str">
        <f t="shared" si="49"/>
        <v/>
      </c>
      <c r="E442" s="120" t="str">
        <f t="shared" si="50"/>
        <v/>
      </c>
      <c r="F442" s="123" t="str">
        <f t="shared" si="51"/>
        <v/>
      </c>
      <c r="G442" s="126" t="e">
        <f t="shared" si="52"/>
        <v>#REF!</v>
      </c>
      <c r="H442" s="116" t="e">
        <f t="shared" si="46"/>
        <v>#REF!</v>
      </c>
      <c r="I442" s="117" t="e" cm="1">
        <f t="array" ref="I442">IF(OR(INDEX(#REF!,ROW()+8)="START",INDEX(#REF!,ROW()+7)="",INDEX(#REF!,ROW()+7)="START",INDEX(#REF!,ROW()+7)="TBA",INDEX(#REF!,ROW()+7)="TBC"), IF(INDEX(#REF!,ROW()+7)="START",$C$3,""),IF(INDEX(#REF!,ROW()+7)="x",INDEX(#REF!,ROW()+7)+'Date Calculators'!$B$2+ICS4Master!$E440,""))</f>
        <v>#REF!</v>
      </c>
      <c r="J442" s="116" t="e" cm="1">
        <f t="array" ref="J442">IF(I442="","",INDEX(#REF!,ROW()+7))</f>
        <v>#REF!</v>
      </c>
      <c r="K442" s="120" t="e" cm="1">
        <f t="array" ref="K442">IF(I442="","",INDEX(#REF!,ROW()+7))</f>
        <v>#REF!</v>
      </c>
      <c r="L442" s="129" t="e" cm="1">
        <f t="array" ref="L442">IF(OR(I442="",INDEX(#REF!,ROW()+7)=""),"",INDEX(#REF!,ROW()+7))</f>
        <v>#REF!</v>
      </c>
    </row>
    <row r="443" spans="2:12" ht="15" customHeight="1">
      <c r="B443" s="121" t="str">
        <f t="shared" si="47"/>
        <v/>
      </c>
      <c r="C443" s="117" t="str">
        <f t="shared" si="48"/>
        <v/>
      </c>
      <c r="D443" s="116" t="str">
        <f t="shared" si="49"/>
        <v/>
      </c>
      <c r="E443" s="120" t="str">
        <f t="shared" si="50"/>
        <v/>
      </c>
      <c r="F443" s="123" t="str">
        <f t="shared" si="51"/>
        <v/>
      </c>
      <c r="G443" s="126" t="e">
        <f t="shared" si="52"/>
        <v>#REF!</v>
      </c>
      <c r="H443" s="116" t="e">
        <f t="shared" si="46"/>
        <v>#REF!</v>
      </c>
      <c r="I443" s="117" t="e" cm="1">
        <f t="array" ref="I443">IF(OR(INDEX(#REF!,ROW()+8)="START",INDEX(#REF!,ROW()+7)="",INDEX(#REF!,ROW()+7)="START",INDEX(#REF!,ROW()+7)="TBA",INDEX(#REF!,ROW()+7)="TBC"), IF(INDEX(#REF!,ROW()+7)="START",$C$3,""),IF(INDEX(#REF!,ROW()+7)="x",INDEX(#REF!,ROW()+7)+'Date Calculators'!$B$2+ICS4Master!$E441,""))</f>
        <v>#REF!</v>
      </c>
      <c r="J443" s="116" t="e" cm="1">
        <f t="array" ref="J443">IF(I443="","",INDEX(#REF!,ROW()+7))</f>
        <v>#REF!</v>
      </c>
      <c r="K443" s="120" t="e" cm="1">
        <f t="array" ref="K443">IF(I443="","",INDEX(#REF!,ROW()+7))</f>
        <v>#REF!</v>
      </c>
      <c r="L443" s="129" t="e" cm="1">
        <f t="array" ref="L443">IF(OR(I443="",INDEX(#REF!,ROW()+7)=""),"",INDEX(#REF!,ROW()+7))</f>
        <v>#REF!</v>
      </c>
    </row>
    <row r="444" spans="2:12" ht="15" customHeight="1">
      <c r="B444" s="121" t="str">
        <f t="shared" si="47"/>
        <v/>
      </c>
      <c r="C444" s="117" t="str">
        <f t="shared" si="48"/>
        <v/>
      </c>
      <c r="D444" s="116" t="str">
        <f t="shared" si="49"/>
        <v/>
      </c>
      <c r="E444" s="120" t="str">
        <f t="shared" si="50"/>
        <v/>
      </c>
      <c r="F444" s="123" t="str">
        <f t="shared" si="51"/>
        <v/>
      </c>
      <c r="G444" s="126" t="e">
        <f t="shared" si="52"/>
        <v>#REF!</v>
      </c>
      <c r="H444" s="116" t="e">
        <f t="shared" si="46"/>
        <v>#REF!</v>
      </c>
      <c r="I444" s="117" t="e" cm="1">
        <f t="array" ref="I444">IF(OR(INDEX(#REF!,ROW()+8)="START",INDEX(#REF!,ROW()+7)="",INDEX(#REF!,ROW()+7)="START",INDEX(#REF!,ROW()+7)="TBA",INDEX(#REF!,ROW()+7)="TBC"), IF(INDEX(#REF!,ROW()+7)="START",$C$3,""),IF(INDEX(#REF!,ROW()+7)="x",INDEX(#REF!,ROW()+7)+'Date Calculators'!$B$2+ICS4Master!$E442,""))</f>
        <v>#REF!</v>
      </c>
      <c r="J444" s="116" t="e" cm="1">
        <f t="array" ref="J444">IF(I444="","",INDEX(#REF!,ROW()+7))</f>
        <v>#REF!</v>
      </c>
      <c r="K444" s="120" t="e" cm="1">
        <f t="array" ref="K444">IF(I444="","",INDEX(#REF!,ROW()+7))</f>
        <v>#REF!</v>
      </c>
      <c r="L444" s="129" t="e" cm="1">
        <f t="array" ref="L444">IF(OR(I444="",INDEX(#REF!,ROW()+7)=""),"",INDEX(#REF!,ROW()+7))</f>
        <v>#REF!</v>
      </c>
    </row>
    <row r="445" spans="2:12" ht="15" customHeight="1">
      <c r="B445" s="121" t="str">
        <f t="shared" si="47"/>
        <v/>
      </c>
      <c r="C445" s="117" t="str">
        <f t="shared" si="48"/>
        <v/>
      </c>
      <c r="D445" s="116" t="str">
        <f t="shared" si="49"/>
        <v/>
      </c>
      <c r="E445" s="120" t="str">
        <f t="shared" si="50"/>
        <v/>
      </c>
      <c r="F445" s="123" t="str">
        <f t="shared" si="51"/>
        <v/>
      </c>
      <c r="G445" s="126" t="e">
        <f t="shared" si="52"/>
        <v>#REF!</v>
      </c>
      <c r="H445" s="116" t="e">
        <f t="shared" si="46"/>
        <v>#REF!</v>
      </c>
      <c r="I445" s="117" t="e" cm="1">
        <f t="array" ref="I445">IF(OR(INDEX(#REF!,ROW()+8)="START",INDEX(#REF!,ROW()+7)="",INDEX(#REF!,ROW()+7)="START",INDEX(#REF!,ROW()+7)="TBA",INDEX(#REF!,ROW()+7)="TBC"), IF(INDEX(#REF!,ROW()+7)="START",$C$3,""),IF(INDEX(#REF!,ROW()+7)="x",INDEX(#REF!,ROW()+7)+'Date Calculators'!$B$2+ICS4Master!$E443,""))</f>
        <v>#REF!</v>
      </c>
      <c r="J445" s="116" t="e" cm="1">
        <f t="array" ref="J445">IF(I445="","",INDEX(#REF!,ROW()+7))</f>
        <v>#REF!</v>
      </c>
      <c r="K445" s="120" t="e" cm="1">
        <f t="array" ref="K445">IF(I445="","",INDEX(#REF!,ROW()+7))</f>
        <v>#REF!</v>
      </c>
      <c r="L445" s="129" t="e" cm="1">
        <f t="array" ref="L445">IF(OR(I445="",INDEX(#REF!,ROW()+7)=""),"",INDEX(#REF!,ROW()+7))</f>
        <v>#REF!</v>
      </c>
    </row>
    <row r="446" spans="2:12" ht="15" customHeight="1">
      <c r="B446" s="121" t="str">
        <f t="shared" si="47"/>
        <v/>
      </c>
      <c r="C446" s="117" t="str">
        <f t="shared" si="48"/>
        <v/>
      </c>
      <c r="D446" s="116" t="str">
        <f t="shared" si="49"/>
        <v/>
      </c>
      <c r="E446" s="120" t="str">
        <f t="shared" si="50"/>
        <v/>
      </c>
      <c r="F446" s="123" t="str">
        <f t="shared" si="51"/>
        <v/>
      </c>
      <c r="G446" s="126" t="e">
        <f t="shared" si="52"/>
        <v>#REF!</v>
      </c>
      <c r="H446" s="116" t="e">
        <f t="shared" si="46"/>
        <v>#REF!</v>
      </c>
      <c r="I446" s="117" t="e" cm="1">
        <f t="array" ref="I446">IF(OR(INDEX(#REF!,ROW()+8)="START",INDEX(#REF!,ROW()+7)="",INDEX(#REF!,ROW()+7)="START",INDEX(#REF!,ROW()+7)="TBA",INDEX(#REF!,ROW()+7)="TBC"), IF(INDEX(#REF!,ROW()+7)="START",$C$3,""),IF(INDEX(#REF!,ROW()+7)="x",INDEX(#REF!,ROW()+7)+'Date Calculators'!$B$2+ICS4Master!$E444,""))</f>
        <v>#REF!</v>
      </c>
      <c r="J446" s="116" t="e" cm="1">
        <f t="array" ref="J446">IF(I446="","",INDEX(#REF!,ROW()+7))</f>
        <v>#REF!</v>
      </c>
      <c r="K446" s="120" t="e" cm="1">
        <f t="array" ref="K446">IF(I446="","",INDEX(#REF!,ROW()+7))</f>
        <v>#REF!</v>
      </c>
      <c r="L446" s="129" t="e" cm="1">
        <f t="array" ref="L446">IF(OR(I446="",INDEX(#REF!,ROW()+7)=""),"",INDEX(#REF!,ROW()+7))</f>
        <v>#REF!</v>
      </c>
    </row>
    <row r="447" spans="2:12" ht="15" customHeight="1">
      <c r="B447" s="121" t="str">
        <f t="shared" si="47"/>
        <v/>
      </c>
      <c r="C447" s="117" t="str">
        <f t="shared" si="48"/>
        <v/>
      </c>
      <c r="D447" s="116" t="str">
        <f t="shared" si="49"/>
        <v/>
      </c>
      <c r="E447" s="120" t="str">
        <f t="shared" si="50"/>
        <v/>
      </c>
      <c r="F447" s="123" t="str">
        <f t="shared" si="51"/>
        <v/>
      </c>
      <c r="G447" s="126" t="e">
        <f t="shared" si="52"/>
        <v>#REF!</v>
      </c>
      <c r="H447" s="116" t="e">
        <f t="shared" si="46"/>
        <v>#REF!</v>
      </c>
      <c r="I447" s="117" t="e" cm="1">
        <f t="array" ref="I447">IF(OR(INDEX(#REF!,ROW()+8)="START",INDEX(#REF!,ROW()+7)="",INDEX(#REF!,ROW()+7)="START",INDEX(#REF!,ROW()+7)="TBA",INDEX(#REF!,ROW()+7)="TBC"), IF(INDEX(#REF!,ROW()+7)="START",$C$3,""),IF(INDEX(#REF!,ROW()+7)="x",INDEX(#REF!,ROW()+7)+'Date Calculators'!$B$2+ICS4Master!$E445,""))</f>
        <v>#REF!</v>
      </c>
      <c r="J447" s="116" t="e" cm="1">
        <f t="array" ref="J447">IF(I447="","",INDEX(#REF!,ROW()+7))</f>
        <v>#REF!</v>
      </c>
      <c r="K447" s="120" t="e" cm="1">
        <f t="array" ref="K447">IF(I447="","",INDEX(#REF!,ROW()+7))</f>
        <v>#REF!</v>
      </c>
      <c r="L447" s="129" t="e" cm="1">
        <f t="array" ref="L447">IF(OR(I447="",INDEX(#REF!,ROW()+7)=""),"",INDEX(#REF!,ROW()+7))</f>
        <v>#REF!</v>
      </c>
    </row>
    <row r="448" spans="2:12" ht="15" customHeight="1">
      <c r="B448" s="121" t="str">
        <f t="shared" si="47"/>
        <v/>
      </c>
      <c r="C448" s="117" t="str">
        <f t="shared" si="48"/>
        <v/>
      </c>
      <c r="D448" s="116" t="str">
        <f t="shared" si="49"/>
        <v/>
      </c>
      <c r="E448" s="120" t="str">
        <f t="shared" si="50"/>
        <v/>
      </c>
      <c r="F448" s="123" t="str">
        <f t="shared" si="51"/>
        <v/>
      </c>
      <c r="G448" s="126" t="e">
        <f t="shared" si="52"/>
        <v>#REF!</v>
      </c>
      <c r="H448" s="116" t="e">
        <f t="shared" si="46"/>
        <v>#REF!</v>
      </c>
      <c r="I448" s="117" t="e" cm="1">
        <f t="array" ref="I448">IF(OR(INDEX(#REF!,ROW()+8)="START",INDEX(#REF!,ROW()+7)="",INDEX(#REF!,ROW()+7)="START",INDEX(#REF!,ROW()+7)="TBA",INDEX(#REF!,ROW()+7)="TBC"), IF(INDEX(#REF!,ROW()+7)="START",$C$3,""),IF(INDEX(#REF!,ROW()+7)="x",INDEX(#REF!,ROW()+7)+'Date Calculators'!$B$2+ICS4Master!$E446,""))</f>
        <v>#REF!</v>
      </c>
      <c r="J448" s="116" t="e" cm="1">
        <f t="array" ref="J448">IF(I448="","",INDEX(#REF!,ROW()+7))</f>
        <v>#REF!</v>
      </c>
      <c r="K448" s="120" t="e" cm="1">
        <f t="array" ref="K448">IF(I448="","",INDEX(#REF!,ROW()+7))</f>
        <v>#REF!</v>
      </c>
      <c r="L448" s="129" t="e" cm="1">
        <f t="array" ref="L448">IF(OR(I448="",INDEX(#REF!,ROW()+7)=""),"",INDEX(#REF!,ROW()+7))</f>
        <v>#REF!</v>
      </c>
    </row>
    <row r="449" spans="2:12" ht="15" customHeight="1">
      <c r="B449" s="121" t="str">
        <f t="shared" si="47"/>
        <v/>
      </c>
      <c r="C449" s="117" t="str">
        <f t="shared" si="48"/>
        <v/>
      </c>
      <c r="D449" s="116" t="str">
        <f t="shared" si="49"/>
        <v/>
      </c>
      <c r="E449" s="120" t="str">
        <f t="shared" si="50"/>
        <v/>
      </c>
      <c r="F449" s="123" t="str">
        <f t="shared" si="51"/>
        <v/>
      </c>
      <c r="G449" s="126" t="e">
        <f t="shared" si="52"/>
        <v>#REF!</v>
      </c>
      <c r="H449" s="116" t="e">
        <f t="shared" si="46"/>
        <v>#REF!</v>
      </c>
      <c r="I449" s="117" t="e" cm="1">
        <f t="array" ref="I449">IF(OR(INDEX(#REF!,ROW()+8)="START",INDEX(#REF!,ROW()+7)="",INDEX(#REF!,ROW()+7)="START",INDEX(#REF!,ROW()+7)="TBA",INDEX(#REF!,ROW()+7)="TBC"), IF(INDEX(#REF!,ROW()+7)="START",$C$3,""),IF(INDEX(#REF!,ROW()+7)="x",INDEX(#REF!,ROW()+7)+'Date Calculators'!$B$2+ICS4Master!$E447,""))</f>
        <v>#REF!</v>
      </c>
      <c r="J449" s="116" t="e" cm="1">
        <f t="array" ref="J449">IF(I449="","",INDEX(#REF!,ROW()+7))</f>
        <v>#REF!</v>
      </c>
      <c r="K449" s="120" t="e" cm="1">
        <f t="array" ref="K449">IF(I449="","",INDEX(#REF!,ROW()+7))</f>
        <v>#REF!</v>
      </c>
      <c r="L449" s="129" t="e" cm="1">
        <f t="array" ref="L449">IF(OR(I449="",INDEX(#REF!,ROW()+7)=""),"",INDEX(#REF!,ROW()+7))</f>
        <v>#REF!</v>
      </c>
    </row>
    <row r="450" spans="2:12" ht="15" customHeight="1">
      <c r="B450" s="121" t="str">
        <f t="shared" si="47"/>
        <v/>
      </c>
      <c r="C450" s="117" t="str">
        <f t="shared" si="48"/>
        <v/>
      </c>
      <c r="D450" s="116" t="str">
        <f t="shared" si="49"/>
        <v/>
      </c>
      <c r="E450" s="120" t="str">
        <f t="shared" si="50"/>
        <v/>
      </c>
      <c r="F450" s="123" t="str">
        <f t="shared" si="51"/>
        <v/>
      </c>
      <c r="G450" s="126" t="e">
        <f t="shared" si="52"/>
        <v>#REF!</v>
      </c>
      <c r="H450" s="116" t="e">
        <f t="shared" si="46"/>
        <v>#REF!</v>
      </c>
      <c r="I450" s="117" t="e" cm="1">
        <f t="array" ref="I450">IF(OR(INDEX(#REF!,ROW()+8)="START",INDEX(#REF!,ROW()+7)="",INDEX(#REF!,ROW()+7)="START",INDEX(#REF!,ROW()+7)="TBA",INDEX(#REF!,ROW()+7)="TBC"), IF(INDEX(#REF!,ROW()+7)="START",$C$3,""),IF(INDEX(#REF!,ROW()+7)="x",INDEX(#REF!,ROW()+7)+'Date Calculators'!$B$2+ICS4Master!$E448,""))</f>
        <v>#REF!</v>
      </c>
      <c r="J450" s="116" t="e" cm="1">
        <f t="array" ref="J450">IF(I450="","",INDEX(#REF!,ROW()+7))</f>
        <v>#REF!</v>
      </c>
      <c r="K450" s="120" t="e" cm="1">
        <f t="array" ref="K450">IF(I450="","",INDEX(#REF!,ROW()+7))</f>
        <v>#REF!</v>
      </c>
      <c r="L450" s="129" t="e" cm="1">
        <f t="array" ref="L450">IF(OR(I450="",INDEX(#REF!,ROW()+7)=""),"",INDEX(#REF!,ROW()+7))</f>
        <v>#REF!</v>
      </c>
    </row>
    <row r="451" spans="2:12" ht="15" customHeight="1">
      <c r="B451" s="121" t="str">
        <f t="shared" si="47"/>
        <v/>
      </c>
      <c r="C451" s="117" t="str">
        <f t="shared" si="48"/>
        <v/>
      </c>
      <c r="D451" s="116" t="str">
        <f t="shared" si="49"/>
        <v/>
      </c>
      <c r="E451" s="120" t="str">
        <f t="shared" si="50"/>
        <v/>
      </c>
      <c r="F451" s="123" t="str">
        <f t="shared" si="51"/>
        <v/>
      </c>
      <c r="G451" s="126" t="e">
        <f t="shared" si="52"/>
        <v>#REF!</v>
      </c>
      <c r="H451" s="116" t="e">
        <f t="shared" si="46"/>
        <v>#REF!</v>
      </c>
      <c r="I451" s="117" t="e" cm="1">
        <f t="array" ref="I451">IF(OR(INDEX(#REF!,ROW()+8)="START",INDEX(#REF!,ROW()+7)="",INDEX(#REF!,ROW()+7)="START",INDEX(#REF!,ROW()+7)="TBA",INDEX(#REF!,ROW()+7)="TBC"), IF(INDEX(#REF!,ROW()+7)="START",$C$3,""),IF(INDEX(#REF!,ROW()+7)="x",INDEX(#REF!,ROW()+7)+'Date Calculators'!$B$2+ICS4Master!$E449,""))</f>
        <v>#REF!</v>
      </c>
      <c r="J451" s="116" t="e" cm="1">
        <f t="array" ref="J451">IF(I451="","",INDEX(#REF!,ROW()+7))</f>
        <v>#REF!</v>
      </c>
      <c r="K451" s="120" t="e" cm="1">
        <f t="array" ref="K451">IF(I451="","",INDEX(#REF!,ROW()+7))</f>
        <v>#REF!</v>
      </c>
      <c r="L451" s="129" t="e" cm="1">
        <f t="array" ref="L451">IF(OR(I451="",INDEX(#REF!,ROW()+7)=""),"",INDEX(#REF!,ROW()+7))</f>
        <v>#REF!</v>
      </c>
    </row>
    <row r="452" spans="2:12" ht="15" customHeight="1">
      <c r="B452" s="121" t="str">
        <f t="shared" si="47"/>
        <v/>
      </c>
      <c r="C452" s="117" t="str">
        <f t="shared" si="48"/>
        <v/>
      </c>
      <c r="D452" s="116" t="str">
        <f t="shared" si="49"/>
        <v/>
      </c>
      <c r="E452" s="120" t="str">
        <f t="shared" si="50"/>
        <v/>
      </c>
      <c r="F452" s="123" t="str">
        <f t="shared" si="51"/>
        <v/>
      </c>
      <c r="G452" s="126" t="e">
        <f t="shared" si="52"/>
        <v>#REF!</v>
      </c>
      <c r="H452" s="116" t="e">
        <f t="shared" ref="H452:H500" si="53">IF(I452="","",IF(I452="END","START",IF(OR(I451="END",I451=I452,I451=""),I452-$U$3,IFERROR(IF(I451&gt;I452,I452-$U$3,I451),I451))))</f>
        <v>#REF!</v>
      </c>
      <c r="I452" s="117" t="e" cm="1">
        <f t="array" ref="I452">IF(OR(INDEX(#REF!,ROW()+8)="START",INDEX(#REF!,ROW()+7)="",INDEX(#REF!,ROW()+7)="START",INDEX(#REF!,ROW()+7)="TBA",INDEX(#REF!,ROW()+7)="TBC"), IF(INDEX(#REF!,ROW()+7)="START",$C$3,""),IF(INDEX(#REF!,ROW()+7)="x",INDEX(#REF!,ROW()+7)+'Date Calculators'!$B$2+ICS4Master!$E450,""))</f>
        <v>#REF!</v>
      </c>
      <c r="J452" s="116" t="e" cm="1">
        <f t="array" ref="J452">IF(I452="","",INDEX(#REF!,ROW()+7))</f>
        <v>#REF!</v>
      </c>
      <c r="K452" s="120" t="e" cm="1">
        <f t="array" ref="K452">IF(I452="","",INDEX(#REF!,ROW()+7))</f>
        <v>#REF!</v>
      </c>
      <c r="L452" s="129" t="e" cm="1">
        <f t="array" ref="L452">IF(OR(I452="",INDEX(#REF!,ROW()+7)=""),"",INDEX(#REF!,ROW()+7))</f>
        <v>#REF!</v>
      </c>
    </row>
    <row r="453" spans="2:12" ht="15" customHeight="1">
      <c r="B453" s="121" t="str">
        <f t="shared" ref="B453:B500" si="54">IFERROR(IF(AND(INDEX($H$4:$H$500,MATCH(ROW()-3,$G$4:$G$500,0))&gt;C452,INDEX($I$4:$I$500,MATCH(ROW()-3,$G$4:$G$500,0))&lt;&gt;"END"),C452,INDEX($H$4:$H$500,MATCH(ROW()-3,$G$4:$G$500,0))),"")</f>
        <v/>
      </c>
      <c r="C453" s="117" t="str">
        <f t="shared" ref="C453:C500" si="55">IFERROR(INDEX($I$4:$I$500,MATCH(ROW()-3,$G$4:$G$500,0)),"")</f>
        <v/>
      </c>
      <c r="D453" s="116" t="str">
        <f t="shared" ref="D453:D500" si="56">IFERROR(INDEX($J$4:$J$500,MATCH(ROW()-3,$G$4:$G$500,0)),"")</f>
        <v/>
      </c>
      <c r="E453" s="120" t="str">
        <f t="shared" ref="E453:E500" si="57">IFERROR(INDEX($K$4:$K$500,MATCH(ROW()-3,$G$4:$G$500,0)),"")</f>
        <v/>
      </c>
      <c r="F453" s="123" t="str">
        <f t="shared" ref="F453:F500" si="58">IFERROR(INDEX($L$4:$L$500,MATCH(ROW()-3,$G$4:$G$500,0)),"")</f>
        <v/>
      </c>
      <c r="G453" s="126" t="e">
        <f t="shared" ref="G453:G500" si="59">G452+IF(I453&lt;&gt;"",1,0)</f>
        <v>#REF!</v>
      </c>
      <c r="H453" s="116" t="e">
        <f t="shared" si="53"/>
        <v>#REF!</v>
      </c>
      <c r="I453" s="117" t="e" cm="1">
        <f t="array" ref="I453">IF(OR(INDEX(#REF!,ROW()+8)="START",INDEX(#REF!,ROW()+7)="",INDEX(#REF!,ROW()+7)="START",INDEX(#REF!,ROW()+7)="TBA",INDEX(#REF!,ROW()+7)="TBC"), IF(INDEX(#REF!,ROW()+7)="START",$C$3,""),IF(INDEX(#REF!,ROW()+7)="x",INDEX(#REF!,ROW()+7)+'Date Calculators'!$B$2+ICS4Master!$E451,""))</f>
        <v>#REF!</v>
      </c>
      <c r="J453" s="116" t="e" cm="1">
        <f t="array" ref="J453">IF(I453="","",INDEX(#REF!,ROW()+7))</f>
        <v>#REF!</v>
      </c>
      <c r="K453" s="120" t="e" cm="1">
        <f t="array" ref="K453">IF(I453="","",INDEX(#REF!,ROW()+7))</f>
        <v>#REF!</v>
      </c>
      <c r="L453" s="129" t="e" cm="1">
        <f t="array" ref="L453">IF(OR(I453="",INDEX(#REF!,ROW()+7)=""),"",INDEX(#REF!,ROW()+7))</f>
        <v>#REF!</v>
      </c>
    </row>
    <row r="454" spans="2:12" ht="15" customHeight="1">
      <c r="B454" s="121" t="str">
        <f t="shared" si="54"/>
        <v/>
      </c>
      <c r="C454" s="117" t="str">
        <f t="shared" si="55"/>
        <v/>
      </c>
      <c r="D454" s="116" t="str">
        <f t="shared" si="56"/>
        <v/>
      </c>
      <c r="E454" s="120" t="str">
        <f t="shared" si="57"/>
        <v/>
      </c>
      <c r="F454" s="123" t="str">
        <f t="shared" si="58"/>
        <v/>
      </c>
      <c r="G454" s="126" t="e">
        <f t="shared" si="59"/>
        <v>#REF!</v>
      </c>
      <c r="H454" s="116" t="e">
        <f t="shared" si="53"/>
        <v>#REF!</v>
      </c>
      <c r="I454" s="117" t="e" cm="1">
        <f t="array" ref="I454">IF(OR(INDEX(#REF!,ROW()+8)="START",INDEX(#REF!,ROW()+7)="",INDEX(#REF!,ROW()+7)="START",INDEX(#REF!,ROW()+7)="TBA",INDEX(#REF!,ROW()+7)="TBC"), IF(INDEX(#REF!,ROW()+7)="START",$C$3,""),IF(INDEX(#REF!,ROW()+7)="x",INDEX(#REF!,ROW()+7)+'Date Calculators'!$B$2+ICS4Master!$E452,""))</f>
        <v>#REF!</v>
      </c>
      <c r="J454" s="116" t="e" cm="1">
        <f t="array" ref="J454">IF(I454="","",INDEX(#REF!,ROW()+7))</f>
        <v>#REF!</v>
      </c>
      <c r="K454" s="120" t="e" cm="1">
        <f t="array" ref="K454">IF(I454="","",INDEX(#REF!,ROW()+7))</f>
        <v>#REF!</v>
      </c>
      <c r="L454" s="129" t="e" cm="1">
        <f t="array" ref="L454">IF(OR(I454="",INDEX(#REF!,ROW()+7)=""),"",INDEX(#REF!,ROW()+7))</f>
        <v>#REF!</v>
      </c>
    </row>
    <row r="455" spans="2:12" ht="15" customHeight="1">
      <c r="B455" s="121" t="str">
        <f t="shared" si="54"/>
        <v/>
      </c>
      <c r="C455" s="117" t="str">
        <f t="shared" si="55"/>
        <v/>
      </c>
      <c r="D455" s="116" t="str">
        <f t="shared" si="56"/>
        <v/>
      </c>
      <c r="E455" s="120" t="str">
        <f t="shared" si="57"/>
        <v/>
      </c>
      <c r="F455" s="123" t="str">
        <f t="shared" si="58"/>
        <v/>
      </c>
      <c r="G455" s="126" t="e">
        <f t="shared" si="59"/>
        <v>#REF!</v>
      </c>
      <c r="H455" s="116" t="e">
        <f t="shared" si="53"/>
        <v>#REF!</v>
      </c>
      <c r="I455" s="117" t="e" cm="1">
        <f t="array" ref="I455">IF(OR(INDEX(#REF!,ROW()+8)="START",INDEX(#REF!,ROW()+7)="",INDEX(#REF!,ROW()+7)="START",INDEX(#REF!,ROW()+7)="TBA",INDEX(#REF!,ROW()+7)="TBC"), IF(INDEX(#REF!,ROW()+7)="START",$C$3,""),IF(INDEX(#REF!,ROW()+7)="x",INDEX(#REF!,ROW()+7)+'Date Calculators'!$B$2+ICS4Master!$E453,""))</f>
        <v>#REF!</v>
      </c>
      <c r="J455" s="116" t="e" cm="1">
        <f t="array" ref="J455">IF(I455="","",INDEX(#REF!,ROW()+7))</f>
        <v>#REF!</v>
      </c>
      <c r="K455" s="120" t="e" cm="1">
        <f t="array" ref="K455">IF(I455="","",INDEX(#REF!,ROW()+7))</f>
        <v>#REF!</v>
      </c>
      <c r="L455" s="129" t="e" cm="1">
        <f t="array" ref="L455">IF(OR(I455="",INDEX(#REF!,ROW()+7)=""),"",INDEX(#REF!,ROW()+7))</f>
        <v>#REF!</v>
      </c>
    </row>
    <row r="456" spans="2:12" ht="15" customHeight="1">
      <c r="B456" s="121" t="str">
        <f t="shared" si="54"/>
        <v/>
      </c>
      <c r="C456" s="117" t="str">
        <f t="shared" si="55"/>
        <v/>
      </c>
      <c r="D456" s="116" t="str">
        <f t="shared" si="56"/>
        <v/>
      </c>
      <c r="E456" s="120" t="str">
        <f t="shared" si="57"/>
        <v/>
      </c>
      <c r="F456" s="123" t="str">
        <f t="shared" si="58"/>
        <v/>
      </c>
      <c r="G456" s="126" t="e">
        <f t="shared" si="59"/>
        <v>#REF!</v>
      </c>
      <c r="H456" s="116" t="e">
        <f t="shared" si="53"/>
        <v>#REF!</v>
      </c>
      <c r="I456" s="117" t="e" cm="1">
        <f t="array" ref="I456">IF(OR(INDEX(#REF!,ROW()+8)="START",INDEX(#REF!,ROW()+7)="",INDEX(#REF!,ROW()+7)="START",INDEX(#REF!,ROW()+7)="TBA",INDEX(#REF!,ROW()+7)="TBC"), IF(INDEX(#REF!,ROW()+7)="START",$C$3,""),IF(INDEX(#REF!,ROW()+7)="x",INDEX(#REF!,ROW()+7)+'Date Calculators'!$B$2+ICS4Master!$E454,""))</f>
        <v>#REF!</v>
      </c>
      <c r="J456" s="116" t="e" cm="1">
        <f t="array" ref="J456">IF(I456="","",INDEX(#REF!,ROW()+7))</f>
        <v>#REF!</v>
      </c>
      <c r="K456" s="120" t="e" cm="1">
        <f t="array" ref="K456">IF(I456="","",INDEX(#REF!,ROW()+7))</f>
        <v>#REF!</v>
      </c>
      <c r="L456" s="129" t="e" cm="1">
        <f t="array" ref="L456">IF(OR(I456="",INDEX(#REF!,ROW()+7)=""),"",INDEX(#REF!,ROW()+7))</f>
        <v>#REF!</v>
      </c>
    </row>
    <row r="457" spans="2:12" ht="15" customHeight="1">
      <c r="B457" s="121" t="str">
        <f t="shared" si="54"/>
        <v/>
      </c>
      <c r="C457" s="117" t="str">
        <f t="shared" si="55"/>
        <v/>
      </c>
      <c r="D457" s="116" t="str">
        <f t="shared" si="56"/>
        <v/>
      </c>
      <c r="E457" s="120" t="str">
        <f t="shared" si="57"/>
        <v/>
      </c>
      <c r="F457" s="123" t="str">
        <f t="shared" si="58"/>
        <v/>
      </c>
      <c r="G457" s="126" t="e">
        <f t="shared" si="59"/>
        <v>#REF!</v>
      </c>
      <c r="H457" s="116" t="e">
        <f t="shared" si="53"/>
        <v>#REF!</v>
      </c>
      <c r="I457" s="117" t="e" cm="1">
        <f t="array" ref="I457">IF(OR(INDEX(#REF!,ROW()+8)="START",INDEX(#REF!,ROW()+7)="",INDEX(#REF!,ROW()+7)="START",INDEX(#REF!,ROW()+7)="TBA",INDEX(#REF!,ROW()+7)="TBC"), IF(INDEX(#REF!,ROW()+7)="START",$C$3,""),IF(INDEX(#REF!,ROW()+7)="x",INDEX(#REF!,ROW()+7)+'Date Calculators'!$B$2+ICS4Master!$E455,""))</f>
        <v>#REF!</v>
      </c>
      <c r="J457" s="116" t="e" cm="1">
        <f t="array" ref="J457">IF(I457="","",INDEX(#REF!,ROW()+7))</f>
        <v>#REF!</v>
      </c>
      <c r="K457" s="120" t="e" cm="1">
        <f t="array" ref="K457">IF(I457="","",INDEX(#REF!,ROW()+7))</f>
        <v>#REF!</v>
      </c>
      <c r="L457" s="129" t="e" cm="1">
        <f t="array" ref="L457">IF(OR(I457="",INDEX(#REF!,ROW()+7)=""),"",INDEX(#REF!,ROW()+7))</f>
        <v>#REF!</v>
      </c>
    </row>
    <row r="458" spans="2:12" ht="15" customHeight="1">
      <c r="B458" s="121" t="str">
        <f t="shared" si="54"/>
        <v/>
      </c>
      <c r="C458" s="117" t="str">
        <f t="shared" si="55"/>
        <v/>
      </c>
      <c r="D458" s="116" t="str">
        <f t="shared" si="56"/>
        <v/>
      </c>
      <c r="E458" s="120" t="str">
        <f t="shared" si="57"/>
        <v/>
      </c>
      <c r="F458" s="123" t="str">
        <f t="shared" si="58"/>
        <v/>
      </c>
      <c r="G458" s="126" t="e">
        <f t="shared" si="59"/>
        <v>#REF!</v>
      </c>
      <c r="H458" s="116" t="e">
        <f t="shared" si="53"/>
        <v>#REF!</v>
      </c>
      <c r="I458" s="117" t="e" cm="1">
        <f t="array" ref="I458">IF(OR(INDEX(#REF!,ROW()+8)="START",INDEX(#REF!,ROW()+7)="",INDEX(#REF!,ROW()+7)="START",INDEX(#REF!,ROW()+7)="TBA",INDEX(#REF!,ROW()+7)="TBC"), IF(INDEX(#REF!,ROW()+7)="START",$C$3,""),IF(INDEX(#REF!,ROW()+7)="x",INDEX(#REF!,ROW()+7)+'Date Calculators'!$B$2+ICS4Master!$E456,""))</f>
        <v>#REF!</v>
      </c>
      <c r="J458" s="116" t="e" cm="1">
        <f t="array" ref="J458">IF(I458="","",INDEX(#REF!,ROW()+7))</f>
        <v>#REF!</v>
      </c>
      <c r="K458" s="120" t="e" cm="1">
        <f t="array" ref="K458">IF(I458="","",INDEX(#REF!,ROW()+7))</f>
        <v>#REF!</v>
      </c>
      <c r="L458" s="129" t="e" cm="1">
        <f t="array" ref="L458">IF(OR(I458="",INDEX(#REF!,ROW()+7)=""),"",INDEX(#REF!,ROW()+7))</f>
        <v>#REF!</v>
      </c>
    </row>
    <row r="459" spans="2:12" ht="15" customHeight="1">
      <c r="B459" s="121" t="str">
        <f t="shared" si="54"/>
        <v/>
      </c>
      <c r="C459" s="117" t="str">
        <f t="shared" si="55"/>
        <v/>
      </c>
      <c r="D459" s="116" t="str">
        <f t="shared" si="56"/>
        <v/>
      </c>
      <c r="E459" s="120" t="str">
        <f t="shared" si="57"/>
        <v/>
      </c>
      <c r="F459" s="123" t="str">
        <f t="shared" si="58"/>
        <v/>
      </c>
      <c r="G459" s="126" t="e">
        <f t="shared" si="59"/>
        <v>#REF!</v>
      </c>
      <c r="H459" s="116" t="e">
        <f t="shared" si="53"/>
        <v>#REF!</v>
      </c>
      <c r="I459" s="117" t="e" cm="1">
        <f t="array" ref="I459">IF(OR(INDEX(#REF!,ROW()+8)="START",INDEX(#REF!,ROW()+7)="",INDEX(#REF!,ROW()+7)="START",INDEX(#REF!,ROW()+7)="TBA",INDEX(#REF!,ROW()+7)="TBC"), IF(INDEX(#REF!,ROW()+7)="START",$C$3,""),IF(INDEX(#REF!,ROW()+7)="x",INDEX(#REF!,ROW()+7)+'Date Calculators'!$B$2+ICS4Master!$E457,""))</f>
        <v>#REF!</v>
      </c>
      <c r="J459" s="116" t="e" cm="1">
        <f t="array" ref="J459">IF(I459="","",INDEX(#REF!,ROW()+7))</f>
        <v>#REF!</v>
      </c>
      <c r="K459" s="120" t="e" cm="1">
        <f t="array" ref="K459">IF(I459="","",INDEX(#REF!,ROW()+7))</f>
        <v>#REF!</v>
      </c>
      <c r="L459" s="129" t="e" cm="1">
        <f t="array" ref="L459">IF(OR(I459="",INDEX(#REF!,ROW()+7)=""),"",INDEX(#REF!,ROW()+7))</f>
        <v>#REF!</v>
      </c>
    </row>
    <row r="460" spans="2:12" ht="15" customHeight="1">
      <c r="B460" s="121" t="str">
        <f t="shared" si="54"/>
        <v/>
      </c>
      <c r="C460" s="117" t="str">
        <f t="shared" si="55"/>
        <v/>
      </c>
      <c r="D460" s="116" t="str">
        <f t="shared" si="56"/>
        <v/>
      </c>
      <c r="E460" s="120" t="str">
        <f t="shared" si="57"/>
        <v/>
      </c>
      <c r="F460" s="123" t="str">
        <f t="shared" si="58"/>
        <v/>
      </c>
      <c r="G460" s="126" t="e">
        <f t="shared" si="59"/>
        <v>#REF!</v>
      </c>
      <c r="H460" s="116" t="e">
        <f t="shared" si="53"/>
        <v>#REF!</v>
      </c>
      <c r="I460" s="117" t="e" cm="1">
        <f t="array" ref="I460">IF(OR(INDEX(#REF!,ROW()+8)="START",INDEX(#REF!,ROW()+7)="",INDEX(#REF!,ROW()+7)="START",INDEX(#REF!,ROW()+7)="TBA",INDEX(#REF!,ROW()+7)="TBC"), IF(INDEX(#REF!,ROW()+7)="START",$C$3,""),IF(INDEX(#REF!,ROW()+7)="x",INDEX(#REF!,ROW()+7)+'Date Calculators'!$B$2+ICS4Master!$E458,""))</f>
        <v>#REF!</v>
      </c>
      <c r="J460" s="116" t="e" cm="1">
        <f t="array" ref="J460">IF(I460="","",INDEX(#REF!,ROW()+7))</f>
        <v>#REF!</v>
      </c>
      <c r="K460" s="120" t="e" cm="1">
        <f t="array" ref="K460">IF(I460="","",INDEX(#REF!,ROW()+7))</f>
        <v>#REF!</v>
      </c>
      <c r="L460" s="129" t="e" cm="1">
        <f t="array" ref="L460">IF(OR(I460="",INDEX(#REF!,ROW()+7)=""),"",INDEX(#REF!,ROW()+7))</f>
        <v>#REF!</v>
      </c>
    </row>
    <row r="461" spans="2:12" ht="15" customHeight="1">
      <c r="B461" s="121" t="str">
        <f t="shared" si="54"/>
        <v/>
      </c>
      <c r="C461" s="117" t="str">
        <f t="shared" si="55"/>
        <v/>
      </c>
      <c r="D461" s="116" t="str">
        <f t="shared" si="56"/>
        <v/>
      </c>
      <c r="E461" s="120" t="str">
        <f t="shared" si="57"/>
        <v/>
      </c>
      <c r="F461" s="123" t="str">
        <f t="shared" si="58"/>
        <v/>
      </c>
      <c r="G461" s="126" t="e">
        <f t="shared" si="59"/>
        <v>#REF!</v>
      </c>
      <c r="H461" s="116" t="e">
        <f t="shared" si="53"/>
        <v>#REF!</v>
      </c>
      <c r="I461" s="117" t="e" cm="1">
        <f t="array" ref="I461">IF(OR(INDEX(#REF!,ROW()+8)="START",INDEX(#REF!,ROW()+7)="",INDEX(#REF!,ROW()+7)="START",INDEX(#REF!,ROW()+7)="TBA",INDEX(#REF!,ROW()+7)="TBC"), IF(INDEX(#REF!,ROW()+7)="START",$C$3,""),IF(INDEX(#REF!,ROW()+7)="x",INDEX(#REF!,ROW()+7)+'Date Calculators'!$B$2+ICS4Master!$E459,""))</f>
        <v>#REF!</v>
      </c>
      <c r="J461" s="116" t="e" cm="1">
        <f t="array" ref="J461">IF(I461="","",INDEX(#REF!,ROW()+7))</f>
        <v>#REF!</v>
      </c>
      <c r="K461" s="120" t="e" cm="1">
        <f t="array" ref="K461">IF(I461="","",INDEX(#REF!,ROW()+7))</f>
        <v>#REF!</v>
      </c>
      <c r="L461" s="129" t="e" cm="1">
        <f t="array" ref="L461">IF(OR(I461="",INDEX(#REF!,ROW()+7)=""),"",INDEX(#REF!,ROW()+7))</f>
        <v>#REF!</v>
      </c>
    </row>
    <row r="462" spans="2:12" ht="15" customHeight="1">
      <c r="B462" s="121" t="str">
        <f t="shared" si="54"/>
        <v/>
      </c>
      <c r="C462" s="117" t="str">
        <f t="shared" si="55"/>
        <v/>
      </c>
      <c r="D462" s="116" t="str">
        <f t="shared" si="56"/>
        <v/>
      </c>
      <c r="E462" s="120" t="str">
        <f t="shared" si="57"/>
        <v/>
      </c>
      <c r="F462" s="123" t="str">
        <f t="shared" si="58"/>
        <v/>
      </c>
      <c r="G462" s="126" t="e">
        <f t="shared" si="59"/>
        <v>#REF!</v>
      </c>
      <c r="H462" s="116" t="e">
        <f t="shared" si="53"/>
        <v>#REF!</v>
      </c>
      <c r="I462" s="117" t="e" cm="1">
        <f t="array" ref="I462">IF(OR(INDEX(#REF!,ROW()+8)="START",INDEX(#REF!,ROW()+7)="",INDEX(#REF!,ROW()+7)="START",INDEX(#REF!,ROW()+7)="TBA",INDEX(#REF!,ROW()+7)="TBC"), IF(INDEX(#REF!,ROW()+7)="START",$C$3,""),IF(INDEX(#REF!,ROW()+7)="x",INDEX(#REF!,ROW()+7)+'Date Calculators'!$B$2+ICS4Master!$E460,""))</f>
        <v>#REF!</v>
      </c>
      <c r="J462" s="116" t="e" cm="1">
        <f t="array" ref="J462">IF(I462="","",INDEX(#REF!,ROW()+7))</f>
        <v>#REF!</v>
      </c>
      <c r="K462" s="120" t="e" cm="1">
        <f t="array" ref="K462">IF(I462="","",INDEX(#REF!,ROW()+7))</f>
        <v>#REF!</v>
      </c>
      <c r="L462" s="129" t="e" cm="1">
        <f t="array" ref="L462">IF(OR(I462="",INDEX(#REF!,ROW()+7)=""),"",INDEX(#REF!,ROW()+7))</f>
        <v>#REF!</v>
      </c>
    </row>
    <row r="463" spans="2:12" ht="15" customHeight="1">
      <c r="B463" s="121" t="str">
        <f t="shared" si="54"/>
        <v/>
      </c>
      <c r="C463" s="117" t="str">
        <f t="shared" si="55"/>
        <v/>
      </c>
      <c r="D463" s="116" t="str">
        <f t="shared" si="56"/>
        <v/>
      </c>
      <c r="E463" s="120" t="str">
        <f t="shared" si="57"/>
        <v/>
      </c>
      <c r="F463" s="123" t="str">
        <f t="shared" si="58"/>
        <v/>
      </c>
      <c r="G463" s="126" t="e">
        <f t="shared" si="59"/>
        <v>#REF!</v>
      </c>
      <c r="H463" s="116" t="e">
        <f t="shared" si="53"/>
        <v>#REF!</v>
      </c>
      <c r="I463" s="117" t="e" cm="1">
        <f t="array" ref="I463">IF(OR(INDEX(#REF!,ROW()+8)="START",INDEX(#REF!,ROW()+7)="",INDEX(#REF!,ROW()+7)="START",INDEX(#REF!,ROW()+7)="TBA",INDEX(#REF!,ROW()+7)="TBC"), IF(INDEX(#REF!,ROW()+7)="START",$C$3,""),IF(INDEX(#REF!,ROW()+7)="x",INDEX(#REF!,ROW()+7)+'Date Calculators'!$B$2+ICS4Master!$E461,""))</f>
        <v>#REF!</v>
      </c>
      <c r="J463" s="116" t="e" cm="1">
        <f t="array" ref="J463">IF(I463="","",INDEX(#REF!,ROW()+7))</f>
        <v>#REF!</v>
      </c>
      <c r="K463" s="120" t="e" cm="1">
        <f t="array" ref="K463">IF(I463="","",INDEX(#REF!,ROW()+7))</f>
        <v>#REF!</v>
      </c>
      <c r="L463" s="129" t="e" cm="1">
        <f t="array" ref="L463">IF(OR(I463="",INDEX(#REF!,ROW()+7)=""),"",INDEX(#REF!,ROW()+7))</f>
        <v>#REF!</v>
      </c>
    </row>
    <row r="464" spans="2:12" ht="15" customHeight="1">
      <c r="B464" s="121" t="str">
        <f t="shared" si="54"/>
        <v/>
      </c>
      <c r="C464" s="117" t="str">
        <f t="shared" si="55"/>
        <v/>
      </c>
      <c r="D464" s="116" t="str">
        <f t="shared" si="56"/>
        <v/>
      </c>
      <c r="E464" s="120" t="str">
        <f t="shared" si="57"/>
        <v/>
      </c>
      <c r="F464" s="123" t="str">
        <f t="shared" si="58"/>
        <v/>
      </c>
      <c r="G464" s="126" t="e">
        <f t="shared" si="59"/>
        <v>#REF!</v>
      </c>
      <c r="H464" s="116" t="e">
        <f t="shared" si="53"/>
        <v>#REF!</v>
      </c>
      <c r="I464" s="117" t="e" cm="1">
        <f t="array" ref="I464">IF(OR(INDEX(#REF!,ROW()+8)="START",INDEX(#REF!,ROW()+7)="",INDEX(#REF!,ROW()+7)="START",INDEX(#REF!,ROW()+7)="TBA",INDEX(#REF!,ROW()+7)="TBC"), IF(INDEX(#REF!,ROW()+7)="START",$C$3,""),IF(INDEX(#REF!,ROW()+7)="x",INDEX(#REF!,ROW()+7)+'Date Calculators'!$B$2+ICS4Master!$E462,""))</f>
        <v>#REF!</v>
      </c>
      <c r="J464" s="116" t="e" cm="1">
        <f t="array" ref="J464">IF(I464="","",INDEX(#REF!,ROW()+7))</f>
        <v>#REF!</v>
      </c>
      <c r="K464" s="120" t="e" cm="1">
        <f t="array" ref="K464">IF(I464="","",INDEX(#REF!,ROW()+7))</f>
        <v>#REF!</v>
      </c>
      <c r="L464" s="129" t="e" cm="1">
        <f t="array" ref="L464">IF(OR(I464="",INDEX(#REF!,ROW()+7)=""),"",INDEX(#REF!,ROW()+7))</f>
        <v>#REF!</v>
      </c>
    </row>
    <row r="465" spans="2:12" ht="15" customHeight="1">
      <c r="B465" s="121" t="str">
        <f t="shared" si="54"/>
        <v/>
      </c>
      <c r="C465" s="117" t="str">
        <f t="shared" si="55"/>
        <v/>
      </c>
      <c r="D465" s="116" t="str">
        <f t="shared" si="56"/>
        <v/>
      </c>
      <c r="E465" s="120" t="str">
        <f t="shared" si="57"/>
        <v/>
      </c>
      <c r="F465" s="123" t="str">
        <f t="shared" si="58"/>
        <v/>
      </c>
      <c r="G465" s="126" t="e">
        <f t="shared" si="59"/>
        <v>#REF!</v>
      </c>
      <c r="H465" s="116" t="e">
        <f t="shared" si="53"/>
        <v>#REF!</v>
      </c>
      <c r="I465" s="117" t="e" cm="1">
        <f t="array" ref="I465">IF(OR(INDEX(#REF!,ROW()+8)="START",INDEX(#REF!,ROW()+7)="",INDEX(#REF!,ROW()+7)="START",INDEX(#REF!,ROW()+7)="TBA",INDEX(#REF!,ROW()+7)="TBC"), IF(INDEX(#REF!,ROW()+7)="START",$C$3,""),IF(INDEX(#REF!,ROW()+7)="x",INDEX(#REF!,ROW()+7)+'Date Calculators'!$B$2+ICS4Master!$E463,""))</f>
        <v>#REF!</v>
      </c>
      <c r="J465" s="116" t="e" cm="1">
        <f t="array" ref="J465">IF(I465="","",INDEX(#REF!,ROW()+7))</f>
        <v>#REF!</v>
      </c>
      <c r="K465" s="120" t="e" cm="1">
        <f t="array" ref="K465">IF(I465="","",INDEX(#REF!,ROW()+7))</f>
        <v>#REF!</v>
      </c>
      <c r="L465" s="129" t="e" cm="1">
        <f t="array" ref="L465">IF(OR(I465="",INDEX(#REF!,ROW()+7)=""),"",INDEX(#REF!,ROW()+7))</f>
        <v>#REF!</v>
      </c>
    </row>
    <row r="466" spans="2:12" ht="15" customHeight="1">
      <c r="B466" s="121" t="str">
        <f t="shared" si="54"/>
        <v/>
      </c>
      <c r="C466" s="117" t="str">
        <f t="shared" si="55"/>
        <v/>
      </c>
      <c r="D466" s="116" t="str">
        <f t="shared" si="56"/>
        <v/>
      </c>
      <c r="E466" s="120" t="str">
        <f t="shared" si="57"/>
        <v/>
      </c>
      <c r="F466" s="123" t="str">
        <f t="shared" si="58"/>
        <v/>
      </c>
      <c r="G466" s="126" t="e">
        <f t="shared" si="59"/>
        <v>#REF!</v>
      </c>
      <c r="H466" s="116" t="e">
        <f t="shared" si="53"/>
        <v>#REF!</v>
      </c>
      <c r="I466" s="117" t="e" cm="1">
        <f t="array" ref="I466">IF(OR(INDEX(#REF!,ROW()+8)="START",INDEX(#REF!,ROW()+7)="",INDEX(#REF!,ROW()+7)="START",INDEX(#REF!,ROW()+7)="TBA",INDEX(#REF!,ROW()+7)="TBC"), IF(INDEX(#REF!,ROW()+7)="START",$C$3,""),IF(INDEX(#REF!,ROW()+7)="x",INDEX(#REF!,ROW()+7)+'Date Calculators'!$B$2+ICS4Master!$E464,""))</f>
        <v>#REF!</v>
      </c>
      <c r="J466" s="116" t="e" cm="1">
        <f t="array" ref="J466">IF(I466="","",INDEX(#REF!,ROW()+7))</f>
        <v>#REF!</v>
      </c>
      <c r="K466" s="120" t="e" cm="1">
        <f t="array" ref="K466">IF(I466="","",INDEX(#REF!,ROW()+7))</f>
        <v>#REF!</v>
      </c>
      <c r="L466" s="129" t="e" cm="1">
        <f t="array" ref="L466">IF(OR(I466="",INDEX(#REF!,ROW()+7)=""),"",INDEX(#REF!,ROW()+7))</f>
        <v>#REF!</v>
      </c>
    </row>
    <row r="467" spans="2:12" ht="15" customHeight="1">
      <c r="B467" s="121" t="str">
        <f t="shared" si="54"/>
        <v/>
      </c>
      <c r="C467" s="117" t="str">
        <f t="shared" si="55"/>
        <v/>
      </c>
      <c r="D467" s="116" t="str">
        <f t="shared" si="56"/>
        <v/>
      </c>
      <c r="E467" s="120" t="str">
        <f t="shared" si="57"/>
        <v/>
      </c>
      <c r="F467" s="123" t="str">
        <f t="shared" si="58"/>
        <v/>
      </c>
      <c r="G467" s="126" t="e">
        <f t="shared" si="59"/>
        <v>#REF!</v>
      </c>
      <c r="H467" s="116" t="e">
        <f t="shared" si="53"/>
        <v>#REF!</v>
      </c>
      <c r="I467" s="117" t="e" cm="1">
        <f t="array" ref="I467">IF(OR(INDEX(#REF!,ROW()+8)="START",INDEX(#REF!,ROW()+7)="",INDEX(#REF!,ROW()+7)="START",INDEX(#REF!,ROW()+7)="TBA",INDEX(#REF!,ROW()+7)="TBC"), IF(INDEX(#REF!,ROW()+7)="START",$C$3,""),IF(INDEX(#REF!,ROW()+7)="x",INDEX(#REF!,ROW()+7)+'Date Calculators'!$B$2+ICS4Master!$E465,""))</f>
        <v>#REF!</v>
      </c>
      <c r="J467" s="116" t="e" cm="1">
        <f t="array" ref="J467">IF(I467="","",INDEX(#REF!,ROW()+7))</f>
        <v>#REF!</v>
      </c>
      <c r="K467" s="120" t="e" cm="1">
        <f t="array" ref="K467">IF(I467="","",INDEX(#REF!,ROW()+7))</f>
        <v>#REF!</v>
      </c>
      <c r="L467" s="129" t="e" cm="1">
        <f t="array" ref="L467">IF(OR(I467="",INDEX(#REF!,ROW()+7)=""),"",INDEX(#REF!,ROW()+7))</f>
        <v>#REF!</v>
      </c>
    </row>
    <row r="468" spans="2:12" ht="15" customHeight="1">
      <c r="B468" s="121" t="str">
        <f t="shared" si="54"/>
        <v/>
      </c>
      <c r="C468" s="117" t="str">
        <f t="shared" si="55"/>
        <v/>
      </c>
      <c r="D468" s="116" t="str">
        <f t="shared" si="56"/>
        <v/>
      </c>
      <c r="E468" s="120" t="str">
        <f t="shared" si="57"/>
        <v/>
      </c>
      <c r="F468" s="123" t="str">
        <f t="shared" si="58"/>
        <v/>
      </c>
      <c r="G468" s="126" t="e">
        <f t="shared" si="59"/>
        <v>#REF!</v>
      </c>
      <c r="H468" s="116" t="e">
        <f t="shared" si="53"/>
        <v>#REF!</v>
      </c>
      <c r="I468" s="117" t="e" cm="1">
        <f t="array" ref="I468">IF(OR(INDEX(#REF!,ROW()+8)="START",INDEX(#REF!,ROW()+7)="",INDEX(#REF!,ROW()+7)="START",INDEX(#REF!,ROW()+7)="TBA",INDEX(#REF!,ROW()+7)="TBC"), IF(INDEX(#REF!,ROW()+7)="START",$C$3,""),IF(INDEX(#REF!,ROW()+7)="x",INDEX(#REF!,ROW()+7)+'Date Calculators'!$B$2+ICS4Master!$E466,""))</f>
        <v>#REF!</v>
      </c>
      <c r="J468" s="116" t="e" cm="1">
        <f t="array" ref="J468">IF(I468="","",INDEX(#REF!,ROW()+7))</f>
        <v>#REF!</v>
      </c>
      <c r="K468" s="120" t="e" cm="1">
        <f t="array" ref="K468">IF(I468="","",INDEX(#REF!,ROW()+7))</f>
        <v>#REF!</v>
      </c>
      <c r="L468" s="129" t="e" cm="1">
        <f t="array" ref="L468">IF(OR(I468="",INDEX(#REF!,ROW()+7)=""),"",INDEX(#REF!,ROW()+7))</f>
        <v>#REF!</v>
      </c>
    </row>
    <row r="469" spans="2:12" ht="15" customHeight="1">
      <c r="B469" s="121" t="str">
        <f t="shared" si="54"/>
        <v/>
      </c>
      <c r="C469" s="117" t="str">
        <f t="shared" si="55"/>
        <v/>
      </c>
      <c r="D469" s="116" t="str">
        <f t="shared" si="56"/>
        <v/>
      </c>
      <c r="E469" s="120" t="str">
        <f t="shared" si="57"/>
        <v/>
      </c>
      <c r="F469" s="123" t="str">
        <f t="shared" si="58"/>
        <v/>
      </c>
      <c r="G469" s="126" t="e">
        <f t="shared" si="59"/>
        <v>#REF!</v>
      </c>
      <c r="H469" s="116" t="e">
        <f t="shared" si="53"/>
        <v>#REF!</v>
      </c>
      <c r="I469" s="117" t="e" cm="1">
        <f t="array" ref="I469">IF(OR(INDEX(#REF!,ROW()+8)="START",INDEX(#REF!,ROW()+7)="",INDEX(#REF!,ROW()+7)="START",INDEX(#REF!,ROW()+7)="TBA",INDEX(#REF!,ROW()+7)="TBC"), IF(INDEX(#REF!,ROW()+7)="START",$C$3,""),IF(INDEX(#REF!,ROW()+7)="x",INDEX(#REF!,ROW()+7)+'Date Calculators'!$B$2+ICS4Master!$E467,""))</f>
        <v>#REF!</v>
      </c>
      <c r="J469" s="116" t="e" cm="1">
        <f t="array" ref="J469">IF(I469="","",INDEX(#REF!,ROW()+7))</f>
        <v>#REF!</v>
      </c>
      <c r="K469" s="120" t="e" cm="1">
        <f t="array" ref="K469">IF(I469="","",INDEX(#REF!,ROW()+7))</f>
        <v>#REF!</v>
      </c>
      <c r="L469" s="129" t="e" cm="1">
        <f t="array" ref="L469">IF(OR(I469="",INDEX(#REF!,ROW()+7)=""),"",INDEX(#REF!,ROW()+7))</f>
        <v>#REF!</v>
      </c>
    </row>
    <row r="470" spans="2:12" ht="15" customHeight="1">
      <c r="B470" s="121" t="str">
        <f t="shared" si="54"/>
        <v/>
      </c>
      <c r="C470" s="117" t="str">
        <f t="shared" si="55"/>
        <v/>
      </c>
      <c r="D470" s="116" t="str">
        <f t="shared" si="56"/>
        <v/>
      </c>
      <c r="E470" s="120" t="str">
        <f t="shared" si="57"/>
        <v/>
      </c>
      <c r="F470" s="123" t="str">
        <f t="shared" si="58"/>
        <v/>
      </c>
      <c r="G470" s="126" t="e">
        <f t="shared" si="59"/>
        <v>#REF!</v>
      </c>
      <c r="H470" s="116" t="e">
        <f t="shared" si="53"/>
        <v>#REF!</v>
      </c>
      <c r="I470" s="117" t="e" cm="1">
        <f t="array" ref="I470">IF(OR(INDEX(#REF!,ROW()+8)="START",INDEX(#REF!,ROW()+7)="",INDEX(#REF!,ROW()+7)="START",INDEX(#REF!,ROW()+7)="TBA",INDEX(#REF!,ROW()+7)="TBC"), IF(INDEX(#REF!,ROW()+7)="START",$C$3,""),IF(INDEX(#REF!,ROW()+7)="x",INDEX(#REF!,ROW()+7)+'Date Calculators'!$B$2+ICS4Master!$E468,""))</f>
        <v>#REF!</v>
      </c>
      <c r="J470" s="116" t="e" cm="1">
        <f t="array" ref="J470">IF(I470="","",INDEX(#REF!,ROW()+7))</f>
        <v>#REF!</v>
      </c>
      <c r="K470" s="120" t="e" cm="1">
        <f t="array" ref="K470">IF(I470="","",INDEX(#REF!,ROW()+7))</f>
        <v>#REF!</v>
      </c>
      <c r="L470" s="129" t="e" cm="1">
        <f t="array" ref="L470">IF(OR(I470="",INDEX(#REF!,ROW()+7)=""),"",INDEX(#REF!,ROW()+7))</f>
        <v>#REF!</v>
      </c>
    </row>
    <row r="471" spans="2:12" ht="15" customHeight="1">
      <c r="B471" s="121" t="str">
        <f t="shared" si="54"/>
        <v/>
      </c>
      <c r="C471" s="117" t="str">
        <f t="shared" si="55"/>
        <v/>
      </c>
      <c r="D471" s="116" t="str">
        <f t="shared" si="56"/>
        <v/>
      </c>
      <c r="E471" s="120" t="str">
        <f t="shared" si="57"/>
        <v/>
      </c>
      <c r="F471" s="123" t="str">
        <f t="shared" si="58"/>
        <v/>
      </c>
      <c r="G471" s="126" t="e">
        <f t="shared" si="59"/>
        <v>#REF!</v>
      </c>
      <c r="H471" s="116" t="e">
        <f t="shared" si="53"/>
        <v>#REF!</v>
      </c>
      <c r="I471" s="117" t="e" cm="1">
        <f t="array" ref="I471">IF(OR(INDEX(#REF!,ROW()+8)="START",INDEX(#REF!,ROW()+7)="",INDEX(#REF!,ROW()+7)="START",INDEX(#REF!,ROW()+7)="TBA",INDEX(#REF!,ROW()+7)="TBC"), IF(INDEX(#REF!,ROW()+7)="START",$C$3,""),IF(INDEX(#REF!,ROW()+7)="x",INDEX(#REF!,ROW()+7)+'Date Calculators'!$B$2+ICS4Master!$E469,""))</f>
        <v>#REF!</v>
      </c>
      <c r="J471" s="116" t="e" cm="1">
        <f t="array" ref="J471">IF(I471="","",INDEX(#REF!,ROW()+7))</f>
        <v>#REF!</v>
      </c>
      <c r="K471" s="120" t="e" cm="1">
        <f t="array" ref="K471">IF(I471="","",INDEX(#REF!,ROW()+7))</f>
        <v>#REF!</v>
      </c>
      <c r="L471" s="129" t="e" cm="1">
        <f t="array" ref="L471">IF(OR(I471="",INDEX(#REF!,ROW()+7)=""),"",INDEX(#REF!,ROW()+7))</f>
        <v>#REF!</v>
      </c>
    </row>
    <row r="472" spans="2:12" ht="15" customHeight="1">
      <c r="B472" s="121" t="str">
        <f t="shared" si="54"/>
        <v/>
      </c>
      <c r="C472" s="117" t="str">
        <f t="shared" si="55"/>
        <v/>
      </c>
      <c r="D472" s="116" t="str">
        <f t="shared" si="56"/>
        <v/>
      </c>
      <c r="E472" s="120" t="str">
        <f t="shared" si="57"/>
        <v/>
      </c>
      <c r="F472" s="123" t="str">
        <f t="shared" si="58"/>
        <v/>
      </c>
      <c r="G472" s="126" t="e">
        <f t="shared" si="59"/>
        <v>#REF!</v>
      </c>
      <c r="H472" s="116" t="e">
        <f t="shared" si="53"/>
        <v>#REF!</v>
      </c>
      <c r="I472" s="117" t="e" cm="1">
        <f t="array" ref="I472">IF(OR(INDEX(#REF!,ROW()+8)="START",INDEX(#REF!,ROW()+7)="",INDEX(#REF!,ROW()+7)="START",INDEX(#REF!,ROW()+7)="TBA",INDEX(#REF!,ROW()+7)="TBC"), IF(INDEX(#REF!,ROW()+7)="START",$C$3,""),IF(INDEX(#REF!,ROW()+7)="x",INDEX(#REF!,ROW()+7)+'Date Calculators'!$B$2+ICS4Master!$E470,""))</f>
        <v>#REF!</v>
      </c>
      <c r="J472" s="116" t="e" cm="1">
        <f t="array" ref="J472">IF(I472="","",INDEX(#REF!,ROW()+7))</f>
        <v>#REF!</v>
      </c>
      <c r="K472" s="120" t="e" cm="1">
        <f t="array" ref="K472">IF(I472="","",INDEX(#REF!,ROW()+7))</f>
        <v>#REF!</v>
      </c>
      <c r="L472" s="129" t="e" cm="1">
        <f t="array" ref="L472">IF(OR(I472="",INDEX(#REF!,ROW()+7)=""),"",INDEX(#REF!,ROW()+7))</f>
        <v>#REF!</v>
      </c>
    </row>
    <row r="473" spans="2:12" ht="15" customHeight="1">
      <c r="B473" s="121" t="str">
        <f t="shared" si="54"/>
        <v/>
      </c>
      <c r="C473" s="117" t="str">
        <f t="shared" si="55"/>
        <v/>
      </c>
      <c r="D473" s="116" t="str">
        <f t="shared" si="56"/>
        <v/>
      </c>
      <c r="E473" s="120" t="str">
        <f t="shared" si="57"/>
        <v/>
      </c>
      <c r="F473" s="123" t="str">
        <f t="shared" si="58"/>
        <v/>
      </c>
      <c r="G473" s="126" t="e">
        <f t="shared" si="59"/>
        <v>#REF!</v>
      </c>
      <c r="H473" s="116" t="e">
        <f t="shared" si="53"/>
        <v>#REF!</v>
      </c>
      <c r="I473" s="117" t="e" cm="1">
        <f t="array" ref="I473">IF(OR(INDEX(#REF!,ROW()+8)="START",INDEX(#REF!,ROW()+7)="",INDEX(#REF!,ROW()+7)="START",INDEX(#REF!,ROW()+7)="TBA",INDEX(#REF!,ROW()+7)="TBC"), IF(INDEX(#REF!,ROW()+7)="START",$C$3,""),IF(INDEX(#REF!,ROW()+7)="x",INDEX(#REF!,ROW()+7)+'Date Calculators'!$B$2+ICS4Master!$E471,""))</f>
        <v>#REF!</v>
      </c>
      <c r="J473" s="116" t="e" cm="1">
        <f t="array" ref="J473">IF(I473="","",INDEX(#REF!,ROW()+7))</f>
        <v>#REF!</v>
      </c>
      <c r="K473" s="120" t="e" cm="1">
        <f t="array" ref="K473">IF(I473="","",INDEX(#REF!,ROW()+7))</f>
        <v>#REF!</v>
      </c>
      <c r="L473" s="129" t="e" cm="1">
        <f t="array" ref="L473">IF(OR(I473="",INDEX(#REF!,ROW()+7)=""),"",INDEX(#REF!,ROW()+7))</f>
        <v>#REF!</v>
      </c>
    </row>
    <row r="474" spans="2:12" ht="15" customHeight="1">
      <c r="B474" s="121" t="str">
        <f t="shared" si="54"/>
        <v/>
      </c>
      <c r="C474" s="117" t="str">
        <f t="shared" si="55"/>
        <v/>
      </c>
      <c r="D474" s="116" t="str">
        <f t="shared" si="56"/>
        <v/>
      </c>
      <c r="E474" s="120" t="str">
        <f t="shared" si="57"/>
        <v/>
      </c>
      <c r="F474" s="123" t="str">
        <f t="shared" si="58"/>
        <v/>
      </c>
      <c r="G474" s="126" t="e">
        <f t="shared" si="59"/>
        <v>#REF!</v>
      </c>
      <c r="H474" s="116" t="e">
        <f t="shared" si="53"/>
        <v>#REF!</v>
      </c>
      <c r="I474" s="117" t="e" cm="1">
        <f t="array" ref="I474">IF(OR(INDEX(#REF!,ROW()+8)="START",INDEX(#REF!,ROW()+7)="",INDEX(#REF!,ROW()+7)="START",INDEX(#REF!,ROW()+7)="TBA",INDEX(#REF!,ROW()+7)="TBC"), IF(INDEX(#REF!,ROW()+7)="START",$C$3,""),IF(INDEX(#REF!,ROW()+7)="x",INDEX(#REF!,ROW()+7)+'Date Calculators'!$B$2+ICS4Master!$E472,""))</f>
        <v>#REF!</v>
      </c>
      <c r="J474" s="116" t="e" cm="1">
        <f t="array" ref="J474">IF(I474="","",INDEX(#REF!,ROW()+7))</f>
        <v>#REF!</v>
      </c>
      <c r="K474" s="120" t="e" cm="1">
        <f t="array" ref="K474">IF(I474="","",INDEX(#REF!,ROW()+7))</f>
        <v>#REF!</v>
      </c>
      <c r="L474" s="129" t="e" cm="1">
        <f t="array" ref="L474">IF(OR(I474="",INDEX(#REF!,ROW()+7)=""),"",INDEX(#REF!,ROW()+7))</f>
        <v>#REF!</v>
      </c>
    </row>
    <row r="475" spans="2:12" ht="15" customHeight="1">
      <c r="B475" s="121" t="str">
        <f t="shared" si="54"/>
        <v/>
      </c>
      <c r="C475" s="117" t="str">
        <f t="shared" si="55"/>
        <v/>
      </c>
      <c r="D475" s="116" t="str">
        <f t="shared" si="56"/>
        <v/>
      </c>
      <c r="E475" s="120" t="str">
        <f t="shared" si="57"/>
        <v/>
      </c>
      <c r="F475" s="123" t="str">
        <f t="shared" si="58"/>
        <v/>
      </c>
      <c r="G475" s="126" t="e">
        <f t="shared" si="59"/>
        <v>#REF!</v>
      </c>
      <c r="H475" s="116" t="e">
        <f t="shared" si="53"/>
        <v>#REF!</v>
      </c>
      <c r="I475" s="117" t="e" cm="1">
        <f t="array" ref="I475">IF(OR(INDEX(#REF!,ROW()+8)="START",INDEX(#REF!,ROW()+7)="",INDEX(#REF!,ROW()+7)="START",INDEX(#REF!,ROW()+7)="TBA",INDEX(#REF!,ROW()+7)="TBC"), IF(INDEX(#REF!,ROW()+7)="START",$C$3,""),IF(INDEX(#REF!,ROW()+7)="x",INDEX(#REF!,ROW()+7)+'Date Calculators'!$B$2+ICS4Master!$E473,""))</f>
        <v>#REF!</v>
      </c>
      <c r="J475" s="116" t="e" cm="1">
        <f t="array" ref="J475">IF(I475="","",INDEX(#REF!,ROW()+7))</f>
        <v>#REF!</v>
      </c>
      <c r="K475" s="120" t="e" cm="1">
        <f t="array" ref="K475">IF(I475="","",INDEX(#REF!,ROW()+7))</f>
        <v>#REF!</v>
      </c>
      <c r="L475" s="129" t="e" cm="1">
        <f t="array" ref="L475">IF(OR(I475="",INDEX(#REF!,ROW()+7)=""),"",INDEX(#REF!,ROW()+7))</f>
        <v>#REF!</v>
      </c>
    </row>
    <row r="476" spans="2:12" ht="15" customHeight="1">
      <c r="B476" s="121" t="str">
        <f t="shared" si="54"/>
        <v/>
      </c>
      <c r="C476" s="117" t="str">
        <f t="shared" si="55"/>
        <v/>
      </c>
      <c r="D476" s="116" t="str">
        <f t="shared" si="56"/>
        <v/>
      </c>
      <c r="E476" s="120" t="str">
        <f t="shared" si="57"/>
        <v/>
      </c>
      <c r="F476" s="123" t="str">
        <f t="shared" si="58"/>
        <v/>
      </c>
      <c r="G476" s="126" t="e">
        <f t="shared" si="59"/>
        <v>#REF!</v>
      </c>
      <c r="H476" s="116" t="e">
        <f t="shared" si="53"/>
        <v>#REF!</v>
      </c>
      <c r="I476" s="117" t="e" cm="1">
        <f t="array" ref="I476">IF(OR(INDEX(#REF!,ROW()+8)="START",INDEX(#REF!,ROW()+7)="",INDEX(#REF!,ROW()+7)="START",INDEX(#REF!,ROW()+7)="TBA",INDEX(#REF!,ROW()+7)="TBC"), IF(INDEX(#REF!,ROW()+7)="START",$C$3,""),IF(INDEX(#REF!,ROW()+7)="x",INDEX(#REF!,ROW()+7)+'Date Calculators'!$B$2+ICS4Master!$E474,""))</f>
        <v>#REF!</v>
      </c>
      <c r="J476" s="116" t="e" cm="1">
        <f t="array" ref="J476">IF(I476="","",INDEX(#REF!,ROW()+7))</f>
        <v>#REF!</v>
      </c>
      <c r="K476" s="120" t="e" cm="1">
        <f t="array" ref="K476">IF(I476="","",INDEX(#REF!,ROW()+7))</f>
        <v>#REF!</v>
      </c>
      <c r="L476" s="129" t="e" cm="1">
        <f t="array" ref="L476">IF(OR(I476="",INDEX(#REF!,ROW()+7)=""),"",INDEX(#REF!,ROW()+7))</f>
        <v>#REF!</v>
      </c>
    </row>
    <row r="477" spans="2:12" ht="15" customHeight="1">
      <c r="B477" s="121" t="str">
        <f t="shared" si="54"/>
        <v/>
      </c>
      <c r="C477" s="117" t="str">
        <f t="shared" si="55"/>
        <v/>
      </c>
      <c r="D477" s="116" t="str">
        <f t="shared" si="56"/>
        <v/>
      </c>
      <c r="E477" s="120" t="str">
        <f t="shared" si="57"/>
        <v/>
      </c>
      <c r="F477" s="123" t="str">
        <f t="shared" si="58"/>
        <v/>
      </c>
      <c r="G477" s="126" t="e">
        <f t="shared" si="59"/>
        <v>#REF!</v>
      </c>
      <c r="H477" s="116" t="e">
        <f t="shared" si="53"/>
        <v>#REF!</v>
      </c>
      <c r="I477" s="117" t="e" cm="1">
        <f t="array" ref="I477">IF(OR(INDEX(#REF!,ROW()+8)="START",INDEX(#REF!,ROW()+7)="",INDEX(#REF!,ROW()+7)="START",INDEX(#REF!,ROW()+7)="TBA",INDEX(#REF!,ROW()+7)="TBC"), IF(INDEX(#REF!,ROW()+7)="START",$C$3,""),IF(INDEX(#REF!,ROW()+7)="x",INDEX(#REF!,ROW()+7)+'Date Calculators'!$B$2+ICS4Master!$E475,""))</f>
        <v>#REF!</v>
      </c>
      <c r="J477" s="116" t="e" cm="1">
        <f t="array" ref="J477">IF(I477="","",INDEX(#REF!,ROW()+7))</f>
        <v>#REF!</v>
      </c>
      <c r="K477" s="120" t="e" cm="1">
        <f t="array" ref="K477">IF(I477="","",INDEX(#REF!,ROW()+7))</f>
        <v>#REF!</v>
      </c>
      <c r="L477" s="129" t="e" cm="1">
        <f t="array" ref="L477">IF(OR(I477="",INDEX(#REF!,ROW()+7)=""),"",INDEX(#REF!,ROW()+7))</f>
        <v>#REF!</v>
      </c>
    </row>
    <row r="478" spans="2:12" ht="15" customHeight="1">
      <c r="B478" s="121" t="str">
        <f t="shared" si="54"/>
        <v/>
      </c>
      <c r="C478" s="117" t="str">
        <f t="shared" si="55"/>
        <v/>
      </c>
      <c r="D478" s="116" t="str">
        <f t="shared" si="56"/>
        <v/>
      </c>
      <c r="E478" s="120" t="str">
        <f t="shared" si="57"/>
        <v/>
      </c>
      <c r="F478" s="123" t="str">
        <f t="shared" si="58"/>
        <v/>
      </c>
      <c r="G478" s="126" t="e">
        <f t="shared" si="59"/>
        <v>#REF!</v>
      </c>
      <c r="H478" s="116" t="e">
        <f t="shared" si="53"/>
        <v>#REF!</v>
      </c>
      <c r="I478" s="117" t="e" cm="1">
        <f t="array" ref="I478">IF(OR(INDEX(#REF!,ROW()+8)="START",INDEX(#REF!,ROW()+7)="",INDEX(#REF!,ROW()+7)="START",INDEX(#REF!,ROW()+7)="TBA",INDEX(#REF!,ROW()+7)="TBC"), IF(INDEX(#REF!,ROW()+7)="START",$C$3,""),IF(INDEX(#REF!,ROW()+7)="x",INDEX(#REF!,ROW()+7)+'Date Calculators'!$B$2+ICS4Master!$E476,""))</f>
        <v>#REF!</v>
      </c>
      <c r="J478" s="116" t="e" cm="1">
        <f t="array" ref="J478">IF(I478="","",INDEX(#REF!,ROW()+7))</f>
        <v>#REF!</v>
      </c>
      <c r="K478" s="120" t="e" cm="1">
        <f t="array" ref="K478">IF(I478="","",INDEX(#REF!,ROW()+7))</f>
        <v>#REF!</v>
      </c>
      <c r="L478" s="129" t="e" cm="1">
        <f t="array" ref="L478">IF(OR(I478="",INDEX(#REF!,ROW()+7)=""),"",INDEX(#REF!,ROW()+7))</f>
        <v>#REF!</v>
      </c>
    </row>
    <row r="479" spans="2:12" ht="15" customHeight="1">
      <c r="B479" s="121" t="str">
        <f t="shared" si="54"/>
        <v/>
      </c>
      <c r="C479" s="117" t="str">
        <f t="shared" si="55"/>
        <v/>
      </c>
      <c r="D479" s="116" t="str">
        <f t="shared" si="56"/>
        <v/>
      </c>
      <c r="E479" s="120" t="str">
        <f t="shared" si="57"/>
        <v/>
      </c>
      <c r="F479" s="123" t="str">
        <f t="shared" si="58"/>
        <v/>
      </c>
      <c r="G479" s="126" t="e">
        <f t="shared" si="59"/>
        <v>#REF!</v>
      </c>
      <c r="H479" s="116" t="e">
        <f t="shared" si="53"/>
        <v>#REF!</v>
      </c>
      <c r="I479" s="117" t="e" cm="1">
        <f t="array" ref="I479">IF(OR(INDEX(#REF!,ROW()+8)="START",INDEX(#REF!,ROW()+7)="",INDEX(#REF!,ROW()+7)="START",INDEX(#REF!,ROW()+7)="TBA",INDEX(#REF!,ROW()+7)="TBC"), IF(INDEX(#REF!,ROW()+7)="START",$C$3,""),IF(INDEX(#REF!,ROW()+7)="x",INDEX(#REF!,ROW()+7)+'Date Calculators'!$B$2+ICS4Master!$E477,""))</f>
        <v>#REF!</v>
      </c>
      <c r="J479" s="116" t="e" cm="1">
        <f t="array" ref="J479">IF(I479="","",INDEX(#REF!,ROW()+7))</f>
        <v>#REF!</v>
      </c>
      <c r="K479" s="120" t="e" cm="1">
        <f t="array" ref="K479">IF(I479="","",INDEX(#REF!,ROW()+7))</f>
        <v>#REF!</v>
      </c>
      <c r="L479" s="129" t="e" cm="1">
        <f t="array" ref="L479">IF(OR(I479="",INDEX(#REF!,ROW()+7)=""),"",INDEX(#REF!,ROW()+7))</f>
        <v>#REF!</v>
      </c>
    </row>
    <row r="480" spans="2:12" ht="15" customHeight="1">
      <c r="B480" s="121" t="str">
        <f t="shared" si="54"/>
        <v/>
      </c>
      <c r="C480" s="117" t="str">
        <f t="shared" si="55"/>
        <v/>
      </c>
      <c r="D480" s="116" t="str">
        <f t="shared" si="56"/>
        <v/>
      </c>
      <c r="E480" s="120" t="str">
        <f t="shared" si="57"/>
        <v/>
      </c>
      <c r="F480" s="123" t="str">
        <f t="shared" si="58"/>
        <v/>
      </c>
      <c r="G480" s="126" t="e">
        <f t="shared" si="59"/>
        <v>#REF!</v>
      </c>
      <c r="H480" s="116" t="e">
        <f t="shared" si="53"/>
        <v>#REF!</v>
      </c>
      <c r="I480" s="117" t="e" cm="1">
        <f t="array" ref="I480">IF(OR(INDEX(#REF!,ROW()+8)="START",INDEX(#REF!,ROW()+7)="",INDEX(#REF!,ROW()+7)="START",INDEX(#REF!,ROW()+7)="TBA",INDEX(#REF!,ROW()+7)="TBC"), IF(INDEX(#REF!,ROW()+7)="START",$C$3,""),IF(INDEX(#REF!,ROW()+7)="x",INDEX(#REF!,ROW()+7)+'Date Calculators'!$B$2+ICS4Master!$E478,""))</f>
        <v>#REF!</v>
      </c>
      <c r="J480" s="116" t="e" cm="1">
        <f t="array" ref="J480">IF(I480="","",INDEX(#REF!,ROW()+7))</f>
        <v>#REF!</v>
      </c>
      <c r="K480" s="120" t="e" cm="1">
        <f t="array" ref="K480">IF(I480="","",INDEX(#REF!,ROW()+7))</f>
        <v>#REF!</v>
      </c>
      <c r="L480" s="129" t="e" cm="1">
        <f t="array" ref="L480">IF(OR(I480="",INDEX(#REF!,ROW()+7)=""),"",INDEX(#REF!,ROW()+7))</f>
        <v>#REF!</v>
      </c>
    </row>
    <row r="481" spans="2:12" ht="15" customHeight="1">
      <c r="B481" s="121" t="str">
        <f t="shared" si="54"/>
        <v/>
      </c>
      <c r="C481" s="117" t="str">
        <f t="shared" si="55"/>
        <v/>
      </c>
      <c r="D481" s="116" t="str">
        <f t="shared" si="56"/>
        <v/>
      </c>
      <c r="E481" s="120" t="str">
        <f t="shared" si="57"/>
        <v/>
      </c>
      <c r="F481" s="123" t="str">
        <f t="shared" si="58"/>
        <v/>
      </c>
      <c r="G481" s="126" t="e">
        <f t="shared" si="59"/>
        <v>#REF!</v>
      </c>
      <c r="H481" s="116" t="e">
        <f t="shared" si="53"/>
        <v>#REF!</v>
      </c>
      <c r="I481" s="117" t="e" cm="1">
        <f t="array" ref="I481">IF(OR(INDEX(#REF!,ROW()+8)="START",INDEX(#REF!,ROW()+7)="",INDEX(#REF!,ROW()+7)="START",INDEX(#REF!,ROW()+7)="TBA",INDEX(#REF!,ROW()+7)="TBC"), IF(INDEX(#REF!,ROW()+7)="START",$C$3,""),IF(INDEX(#REF!,ROW()+7)="x",INDEX(#REF!,ROW()+7)+'Date Calculators'!$B$2+ICS4Master!$E479,""))</f>
        <v>#REF!</v>
      </c>
      <c r="J481" s="116" t="e" cm="1">
        <f t="array" ref="J481">IF(I481="","",INDEX(#REF!,ROW()+7))</f>
        <v>#REF!</v>
      </c>
      <c r="K481" s="120" t="e" cm="1">
        <f t="array" ref="K481">IF(I481="","",INDEX(#REF!,ROW()+7))</f>
        <v>#REF!</v>
      </c>
      <c r="L481" s="129" t="e" cm="1">
        <f t="array" ref="L481">IF(OR(I481="",INDEX(#REF!,ROW()+7)=""),"",INDEX(#REF!,ROW()+7))</f>
        <v>#REF!</v>
      </c>
    </row>
    <row r="482" spans="2:12" ht="15" customHeight="1">
      <c r="B482" s="121" t="str">
        <f t="shared" si="54"/>
        <v/>
      </c>
      <c r="C482" s="117" t="str">
        <f t="shared" si="55"/>
        <v/>
      </c>
      <c r="D482" s="116" t="str">
        <f t="shared" si="56"/>
        <v/>
      </c>
      <c r="E482" s="120" t="str">
        <f t="shared" si="57"/>
        <v/>
      </c>
      <c r="F482" s="123" t="str">
        <f t="shared" si="58"/>
        <v/>
      </c>
      <c r="G482" s="126" t="e">
        <f t="shared" si="59"/>
        <v>#REF!</v>
      </c>
      <c r="H482" s="116" t="e">
        <f t="shared" si="53"/>
        <v>#REF!</v>
      </c>
      <c r="I482" s="117" t="e" cm="1">
        <f t="array" ref="I482">IF(OR(INDEX(#REF!,ROW()+8)="START",INDEX(#REF!,ROW()+7)="",INDEX(#REF!,ROW()+7)="START",INDEX(#REF!,ROW()+7)="TBA",INDEX(#REF!,ROW()+7)="TBC"), IF(INDEX(#REF!,ROW()+7)="START",$C$3,""),IF(INDEX(#REF!,ROW()+7)="x",INDEX(#REF!,ROW()+7)+'Date Calculators'!$B$2+ICS4Master!$E480,""))</f>
        <v>#REF!</v>
      </c>
      <c r="J482" s="116" t="e" cm="1">
        <f t="array" ref="J482">IF(I482="","",INDEX(#REF!,ROW()+7))</f>
        <v>#REF!</v>
      </c>
      <c r="K482" s="120" t="e" cm="1">
        <f t="array" ref="K482">IF(I482="","",INDEX(#REF!,ROW()+7))</f>
        <v>#REF!</v>
      </c>
      <c r="L482" s="129" t="e" cm="1">
        <f t="array" ref="L482">IF(OR(I482="",INDEX(#REF!,ROW()+7)=""),"",INDEX(#REF!,ROW()+7))</f>
        <v>#REF!</v>
      </c>
    </row>
    <row r="483" spans="2:12" ht="15" customHeight="1">
      <c r="B483" s="121" t="str">
        <f t="shared" si="54"/>
        <v/>
      </c>
      <c r="C483" s="117" t="str">
        <f t="shared" si="55"/>
        <v/>
      </c>
      <c r="D483" s="116" t="str">
        <f t="shared" si="56"/>
        <v/>
      </c>
      <c r="E483" s="120" t="str">
        <f t="shared" si="57"/>
        <v/>
      </c>
      <c r="F483" s="123" t="str">
        <f t="shared" si="58"/>
        <v/>
      </c>
      <c r="G483" s="126" t="e">
        <f t="shared" si="59"/>
        <v>#REF!</v>
      </c>
      <c r="H483" s="116" t="e">
        <f t="shared" si="53"/>
        <v>#REF!</v>
      </c>
      <c r="I483" s="117" t="e" cm="1">
        <f t="array" ref="I483">IF(OR(INDEX(#REF!,ROW()+8)="START",INDEX(#REF!,ROW()+7)="",INDEX(#REF!,ROW()+7)="START",INDEX(#REF!,ROW()+7)="TBA",INDEX(#REF!,ROW()+7)="TBC"), IF(INDEX(#REF!,ROW()+7)="START",$C$3,""),IF(INDEX(#REF!,ROW()+7)="x",INDEX(#REF!,ROW()+7)+'Date Calculators'!$B$2+ICS4Master!$E481,""))</f>
        <v>#REF!</v>
      </c>
      <c r="J483" s="116" t="e" cm="1">
        <f t="array" ref="J483">IF(I483="","",INDEX(#REF!,ROW()+7))</f>
        <v>#REF!</v>
      </c>
      <c r="K483" s="120" t="e" cm="1">
        <f t="array" ref="K483">IF(I483="","",INDEX(#REF!,ROW()+7))</f>
        <v>#REF!</v>
      </c>
      <c r="L483" s="129" t="e" cm="1">
        <f t="array" ref="L483">IF(OR(I483="",INDEX(#REF!,ROW()+7)=""),"",INDEX(#REF!,ROW()+7))</f>
        <v>#REF!</v>
      </c>
    </row>
    <row r="484" spans="2:12" ht="15" customHeight="1">
      <c r="B484" s="121" t="str">
        <f t="shared" si="54"/>
        <v/>
      </c>
      <c r="C484" s="117" t="str">
        <f t="shared" si="55"/>
        <v/>
      </c>
      <c r="D484" s="116" t="str">
        <f t="shared" si="56"/>
        <v/>
      </c>
      <c r="E484" s="120" t="str">
        <f t="shared" si="57"/>
        <v/>
      </c>
      <c r="F484" s="123" t="str">
        <f t="shared" si="58"/>
        <v/>
      </c>
      <c r="G484" s="126" t="e">
        <f t="shared" si="59"/>
        <v>#REF!</v>
      </c>
      <c r="H484" s="116" t="e">
        <f t="shared" si="53"/>
        <v>#REF!</v>
      </c>
      <c r="I484" s="117" t="e" cm="1">
        <f t="array" ref="I484">IF(OR(INDEX(#REF!,ROW()+8)="START",INDEX(#REF!,ROW()+7)="",INDEX(#REF!,ROW()+7)="START",INDEX(#REF!,ROW()+7)="TBA",INDEX(#REF!,ROW()+7)="TBC"), IF(INDEX(#REF!,ROW()+7)="START",$C$3,""),IF(INDEX(#REF!,ROW()+7)="x",INDEX(#REF!,ROW()+7)+'Date Calculators'!$B$2+ICS4Master!$E482,""))</f>
        <v>#REF!</v>
      </c>
      <c r="J484" s="116" t="e" cm="1">
        <f t="array" ref="J484">IF(I484="","",INDEX(#REF!,ROW()+7))</f>
        <v>#REF!</v>
      </c>
      <c r="K484" s="120" t="e" cm="1">
        <f t="array" ref="K484">IF(I484="","",INDEX(#REF!,ROW()+7))</f>
        <v>#REF!</v>
      </c>
      <c r="L484" s="129" t="e" cm="1">
        <f t="array" ref="L484">IF(OR(I484="",INDEX(#REF!,ROW()+7)=""),"",INDEX(#REF!,ROW()+7))</f>
        <v>#REF!</v>
      </c>
    </row>
    <row r="485" spans="2:12" ht="15" customHeight="1">
      <c r="B485" s="121" t="str">
        <f t="shared" si="54"/>
        <v/>
      </c>
      <c r="C485" s="117" t="str">
        <f t="shared" si="55"/>
        <v/>
      </c>
      <c r="D485" s="116" t="str">
        <f t="shared" si="56"/>
        <v/>
      </c>
      <c r="E485" s="120" t="str">
        <f t="shared" si="57"/>
        <v/>
      </c>
      <c r="F485" s="123" t="str">
        <f t="shared" si="58"/>
        <v/>
      </c>
      <c r="G485" s="126" t="e">
        <f t="shared" si="59"/>
        <v>#REF!</v>
      </c>
      <c r="H485" s="116" t="e">
        <f t="shared" si="53"/>
        <v>#REF!</v>
      </c>
      <c r="I485" s="117" t="e" cm="1">
        <f t="array" ref="I485">IF(OR(INDEX(#REF!,ROW()+8)="START",INDEX(#REF!,ROW()+7)="",INDEX(#REF!,ROW()+7)="START",INDEX(#REF!,ROW()+7)="TBA",INDEX(#REF!,ROW()+7)="TBC"), IF(INDEX(#REF!,ROW()+7)="START",$C$3,""),IF(INDEX(#REF!,ROW()+7)="x",INDEX(#REF!,ROW()+7)+'Date Calculators'!$B$2+ICS4Master!$E483,""))</f>
        <v>#REF!</v>
      </c>
      <c r="J485" s="116" t="e" cm="1">
        <f t="array" ref="J485">IF(I485="","",INDEX(#REF!,ROW()+7))</f>
        <v>#REF!</v>
      </c>
      <c r="K485" s="120" t="e" cm="1">
        <f t="array" ref="K485">IF(I485="","",INDEX(#REF!,ROW()+7))</f>
        <v>#REF!</v>
      </c>
      <c r="L485" s="129" t="e" cm="1">
        <f t="array" ref="L485">IF(OR(I485="",INDEX(#REF!,ROW()+7)=""),"",INDEX(#REF!,ROW()+7))</f>
        <v>#REF!</v>
      </c>
    </row>
    <row r="486" spans="2:12" ht="15" customHeight="1">
      <c r="B486" s="121" t="str">
        <f t="shared" si="54"/>
        <v/>
      </c>
      <c r="C486" s="117" t="str">
        <f t="shared" si="55"/>
        <v/>
      </c>
      <c r="D486" s="116" t="str">
        <f t="shared" si="56"/>
        <v/>
      </c>
      <c r="E486" s="120" t="str">
        <f t="shared" si="57"/>
        <v/>
      </c>
      <c r="F486" s="123" t="str">
        <f t="shared" si="58"/>
        <v/>
      </c>
      <c r="G486" s="126" t="e">
        <f t="shared" si="59"/>
        <v>#REF!</v>
      </c>
      <c r="H486" s="116" t="e">
        <f t="shared" si="53"/>
        <v>#REF!</v>
      </c>
      <c r="I486" s="117" t="e" cm="1">
        <f t="array" ref="I486">IF(OR(INDEX(#REF!,ROW()+8)="START",INDEX(#REF!,ROW()+7)="",INDEX(#REF!,ROW()+7)="START",INDEX(#REF!,ROW()+7)="TBA",INDEX(#REF!,ROW()+7)="TBC"), IF(INDEX(#REF!,ROW()+7)="START",$C$3,""),IF(INDEX(#REF!,ROW()+7)="x",INDEX(#REF!,ROW()+7)+'Date Calculators'!$B$2+ICS4Master!$E484,""))</f>
        <v>#REF!</v>
      </c>
      <c r="J486" s="116" t="e" cm="1">
        <f t="array" ref="J486">IF(I486="","",INDEX(#REF!,ROW()+7))</f>
        <v>#REF!</v>
      </c>
      <c r="K486" s="120" t="e" cm="1">
        <f t="array" ref="K486">IF(I486="","",INDEX(#REF!,ROW()+7))</f>
        <v>#REF!</v>
      </c>
      <c r="L486" s="129" t="e" cm="1">
        <f t="array" ref="L486">IF(OR(I486="",INDEX(#REF!,ROW()+7)=""),"",INDEX(#REF!,ROW()+7))</f>
        <v>#REF!</v>
      </c>
    </row>
    <row r="487" spans="2:12" ht="15" customHeight="1">
      <c r="B487" s="121" t="str">
        <f t="shared" si="54"/>
        <v/>
      </c>
      <c r="C487" s="117" t="str">
        <f t="shared" si="55"/>
        <v/>
      </c>
      <c r="D487" s="116" t="str">
        <f t="shared" si="56"/>
        <v/>
      </c>
      <c r="E487" s="120" t="str">
        <f t="shared" si="57"/>
        <v/>
      </c>
      <c r="F487" s="123" t="str">
        <f t="shared" si="58"/>
        <v/>
      </c>
      <c r="G487" s="126" t="e">
        <f t="shared" si="59"/>
        <v>#REF!</v>
      </c>
      <c r="H487" s="116" t="e">
        <f t="shared" si="53"/>
        <v>#REF!</v>
      </c>
      <c r="I487" s="117" t="e" cm="1">
        <f t="array" ref="I487">IF(OR(INDEX(#REF!,ROW()+8)="START",INDEX(#REF!,ROW()+7)="",INDEX(#REF!,ROW()+7)="START",INDEX(#REF!,ROW()+7)="TBA",INDEX(#REF!,ROW()+7)="TBC"), IF(INDEX(#REF!,ROW()+7)="START",$C$3,""),IF(INDEX(#REF!,ROW()+7)="x",INDEX(#REF!,ROW()+7)+'Date Calculators'!$B$2+ICS4Master!$E485,""))</f>
        <v>#REF!</v>
      </c>
      <c r="J487" s="116" t="e" cm="1">
        <f t="array" ref="J487">IF(I487="","",INDEX(#REF!,ROW()+7))</f>
        <v>#REF!</v>
      </c>
      <c r="K487" s="120" t="e" cm="1">
        <f t="array" ref="K487">IF(I487="","",INDEX(#REF!,ROW()+7))</f>
        <v>#REF!</v>
      </c>
      <c r="L487" s="129" t="e" cm="1">
        <f t="array" ref="L487">IF(OR(I487="",INDEX(#REF!,ROW()+7)=""),"",INDEX(#REF!,ROW()+7))</f>
        <v>#REF!</v>
      </c>
    </row>
    <row r="488" spans="2:12" ht="15" customHeight="1">
      <c r="B488" s="121" t="str">
        <f t="shared" si="54"/>
        <v/>
      </c>
      <c r="C488" s="117" t="str">
        <f t="shared" si="55"/>
        <v/>
      </c>
      <c r="D488" s="116" t="str">
        <f t="shared" si="56"/>
        <v/>
      </c>
      <c r="E488" s="120" t="str">
        <f t="shared" si="57"/>
        <v/>
      </c>
      <c r="F488" s="123" t="str">
        <f t="shared" si="58"/>
        <v/>
      </c>
      <c r="G488" s="126" t="e">
        <f t="shared" si="59"/>
        <v>#REF!</v>
      </c>
      <c r="H488" s="116" t="e">
        <f t="shared" si="53"/>
        <v>#REF!</v>
      </c>
      <c r="I488" s="117" t="e" cm="1">
        <f t="array" ref="I488">IF(OR(INDEX(#REF!,ROW()+8)="START",INDEX(#REF!,ROW()+7)="",INDEX(#REF!,ROW()+7)="START",INDEX(#REF!,ROW()+7)="TBA",INDEX(#REF!,ROW()+7)="TBC"), IF(INDEX(#REF!,ROW()+7)="START",$C$3,""),IF(INDEX(#REF!,ROW()+7)="x",INDEX(#REF!,ROW()+7)+'Date Calculators'!$B$2+ICS4Master!$E486,""))</f>
        <v>#REF!</v>
      </c>
      <c r="J488" s="116" t="e" cm="1">
        <f t="array" ref="J488">IF(I488="","",INDEX(#REF!,ROW()+7))</f>
        <v>#REF!</v>
      </c>
      <c r="K488" s="120" t="e" cm="1">
        <f t="array" ref="K488">IF(I488="","",INDEX(#REF!,ROW()+7))</f>
        <v>#REF!</v>
      </c>
      <c r="L488" s="129" t="e" cm="1">
        <f t="array" ref="L488">IF(OR(I488="",INDEX(#REF!,ROW()+7)=""),"",INDEX(#REF!,ROW()+7))</f>
        <v>#REF!</v>
      </c>
    </row>
    <row r="489" spans="2:12" ht="15" customHeight="1">
      <c r="B489" s="121" t="str">
        <f t="shared" si="54"/>
        <v/>
      </c>
      <c r="C489" s="117" t="str">
        <f t="shared" si="55"/>
        <v/>
      </c>
      <c r="D489" s="116" t="str">
        <f t="shared" si="56"/>
        <v/>
      </c>
      <c r="E489" s="120" t="str">
        <f t="shared" si="57"/>
        <v/>
      </c>
      <c r="F489" s="123" t="str">
        <f t="shared" si="58"/>
        <v/>
      </c>
      <c r="G489" s="126" t="e">
        <f t="shared" si="59"/>
        <v>#REF!</v>
      </c>
      <c r="H489" s="116" t="e">
        <f t="shared" si="53"/>
        <v>#REF!</v>
      </c>
      <c r="I489" s="117" t="e" cm="1">
        <f t="array" ref="I489">IF(OR(INDEX(#REF!,ROW()+8)="START",INDEX(#REF!,ROW()+7)="",INDEX(#REF!,ROW()+7)="START",INDEX(#REF!,ROW()+7)="TBA",INDEX(#REF!,ROW()+7)="TBC"), IF(INDEX(#REF!,ROW()+7)="START",$C$3,""),IF(INDEX(#REF!,ROW()+7)="x",INDEX(#REF!,ROW()+7)+'Date Calculators'!$B$2+ICS4Master!$E487,""))</f>
        <v>#REF!</v>
      </c>
      <c r="J489" s="116" t="e" cm="1">
        <f t="array" ref="J489">IF(I489="","",INDEX(#REF!,ROW()+7))</f>
        <v>#REF!</v>
      </c>
      <c r="K489" s="120" t="e" cm="1">
        <f t="array" ref="K489">IF(I489="","",INDEX(#REF!,ROW()+7))</f>
        <v>#REF!</v>
      </c>
      <c r="L489" s="129" t="e" cm="1">
        <f t="array" ref="L489">IF(OR(I489="",INDEX(#REF!,ROW()+7)=""),"",INDEX(#REF!,ROW()+7))</f>
        <v>#REF!</v>
      </c>
    </row>
    <row r="490" spans="2:12" ht="15" customHeight="1">
      <c r="B490" s="121" t="str">
        <f t="shared" si="54"/>
        <v/>
      </c>
      <c r="C490" s="117" t="str">
        <f t="shared" si="55"/>
        <v/>
      </c>
      <c r="D490" s="116" t="str">
        <f t="shared" si="56"/>
        <v/>
      </c>
      <c r="E490" s="120" t="str">
        <f t="shared" si="57"/>
        <v/>
      </c>
      <c r="F490" s="123" t="str">
        <f t="shared" si="58"/>
        <v/>
      </c>
      <c r="G490" s="126" t="e">
        <f t="shared" si="59"/>
        <v>#REF!</v>
      </c>
      <c r="H490" s="116" t="e">
        <f t="shared" si="53"/>
        <v>#REF!</v>
      </c>
      <c r="I490" s="117" t="e" cm="1">
        <f t="array" ref="I490">IF(OR(INDEX(#REF!,ROW()+8)="START",INDEX(#REF!,ROW()+7)="",INDEX(#REF!,ROW()+7)="START",INDEX(#REF!,ROW()+7)="TBA",INDEX(#REF!,ROW()+7)="TBC"), IF(INDEX(#REF!,ROW()+7)="START",$C$3,""),IF(INDEX(#REF!,ROW()+7)="x",INDEX(#REF!,ROW()+7)+'Date Calculators'!$B$2+ICS4Master!$E488,""))</f>
        <v>#REF!</v>
      </c>
      <c r="J490" s="116" t="e" cm="1">
        <f t="array" ref="J490">IF(I490="","",INDEX(#REF!,ROW()+7))</f>
        <v>#REF!</v>
      </c>
      <c r="K490" s="120" t="e" cm="1">
        <f t="array" ref="K490">IF(I490="","",INDEX(#REF!,ROW()+7))</f>
        <v>#REF!</v>
      </c>
      <c r="L490" s="129" t="e" cm="1">
        <f t="array" ref="L490">IF(OR(I490="",INDEX(#REF!,ROW()+7)=""),"",INDEX(#REF!,ROW()+7))</f>
        <v>#REF!</v>
      </c>
    </row>
    <row r="491" spans="2:12" ht="15" customHeight="1">
      <c r="B491" s="121" t="str">
        <f t="shared" si="54"/>
        <v/>
      </c>
      <c r="C491" s="117" t="str">
        <f t="shared" si="55"/>
        <v/>
      </c>
      <c r="D491" s="116" t="str">
        <f t="shared" si="56"/>
        <v/>
      </c>
      <c r="E491" s="120" t="str">
        <f t="shared" si="57"/>
        <v/>
      </c>
      <c r="F491" s="123" t="str">
        <f t="shared" si="58"/>
        <v/>
      </c>
      <c r="G491" s="126" t="e">
        <f t="shared" si="59"/>
        <v>#REF!</v>
      </c>
      <c r="H491" s="116" t="e">
        <f t="shared" si="53"/>
        <v>#REF!</v>
      </c>
      <c r="I491" s="117" t="e" cm="1">
        <f t="array" ref="I491">IF(OR(INDEX(#REF!,ROW()+8)="START",INDEX(#REF!,ROW()+7)="",INDEX(#REF!,ROW()+7)="START",INDEX(#REF!,ROW()+7)="TBA",INDEX(#REF!,ROW()+7)="TBC"), IF(INDEX(#REF!,ROW()+7)="START",$C$3,""),IF(INDEX(#REF!,ROW()+7)="x",INDEX(#REF!,ROW()+7)+'Date Calculators'!$B$2+ICS4Master!$E489,""))</f>
        <v>#REF!</v>
      </c>
      <c r="J491" s="116" t="e" cm="1">
        <f t="array" ref="J491">IF(I491="","",INDEX(#REF!,ROW()+7))</f>
        <v>#REF!</v>
      </c>
      <c r="K491" s="120" t="e" cm="1">
        <f t="array" ref="K491">IF(I491="","",INDEX(#REF!,ROW()+7))</f>
        <v>#REF!</v>
      </c>
      <c r="L491" s="129" t="e" cm="1">
        <f t="array" ref="L491">IF(OR(I491="",INDEX(#REF!,ROW()+7)=""),"",INDEX(#REF!,ROW()+7))</f>
        <v>#REF!</v>
      </c>
    </row>
    <row r="492" spans="2:12" ht="15" customHeight="1">
      <c r="B492" s="121" t="str">
        <f t="shared" si="54"/>
        <v/>
      </c>
      <c r="C492" s="117" t="str">
        <f t="shared" si="55"/>
        <v/>
      </c>
      <c r="D492" s="116" t="str">
        <f t="shared" si="56"/>
        <v/>
      </c>
      <c r="E492" s="120" t="str">
        <f t="shared" si="57"/>
        <v/>
      </c>
      <c r="F492" s="123" t="str">
        <f t="shared" si="58"/>
        <v/>
      </c>
      <c r="G492" s="126" t="e">
        <f t="shared" si="59"/>
        <v>#REF!</v>
      </c>
      <c r="H492" s="116" t="e">
        <f t="shared" si="53"/>
        <v>#REF!</v>
      </c>
      <c r="I492" s="117" t="e" cm="1">
        <f t="array" ref="I492">IF(OR(INDEX(#REF!,ROW()+8)="START",INDEX(#REF!,ROW()+7)="",INDEX(#REF!,ROW()+7)="START",INDEX(#REF!,ROW()+7)="TBA",INDEX(#REF!,ROW()+7)="TBC"), IF(INDEX(#REF!,ROW()+7)="START",$C$3,""),IF(INDEX(#REF!,ROW()+7)="x",INDEX(#REF!,ROW()+7)+'Date Calculators'!$B$2+ICS4Master!$E490,""))</f>
        <v>#REF!</v>
      </c>
      <c r="J492" s="116" t="e" cm="1">
        <f t="array" ref="J492">IF(I492="","",INDEX(#REF!,ROW()+7))</f>
        <v>#REF!</v>
      </c>
      <c r="K492" s="120" t="e" cm="1">
        <f t="array" ref="K492">IF(I492="","",INDEX(#REF!,ROW()+7))</f>
        <v>#REF!</v>
      </c>
      <c r="L492" s="129" t="e" cm="1">
        <f t="array" ref="L492">IF(OR(I492="",INDEX(#REF!,ROW()+7)=""),"",INDEX(#REF!,ROW()+7))</f>
        <v>#REF!</v>
      </c>
    </row>
    <row r="493" spans="2:12" ht="15" customHeight="1">
      <c r="B493" s="121" t="str">
        <f t="shared" si="54"/>
        <v/>
      </c>
      <c r="C493" s="117" t="str">
        <f t="shared" si="55"/>
        <v/>
      </c>
      <c r="D493" s="116" t="str">
        <f t="shared" si="56"/>
        <v/>
      </c>
      <c r="E493" s="120" t="str">
        <f t="shared" si="57"/>
        <v/>
      </c>
      <c r="F493" s="123" t="str">
        <f t="shared" si="58"/>
        <v/>
      </c>
      <c r="G493" s="126" t="e">
        <f t="shared" si="59"/>
        <v>#REF!</v>
      </c>
      <c r="H493" s="116" t="e">
        <f t="shared" si="53"/>
        <v>#REF!</v>
      </c>
      <c r="I493" s="117" t="e" cm="1">
        <f t="array" ref="I493">IF(OR(INDEX(#REF!,ROW()+8)="START",INDEX(#REF!,ROW()+7)="",INDEX(#REF!,ROW()+7)="START",INDEX(#REF!,ROW()+7)="TBA",INDEX(#REF!,ROW()+7)="TBC"), IF(INDEX(#REF!,ROW()+7)="START",$C$3,""),IF(INDEX(#REF!,ROW()+7)="x",INDEX(#REF!,ROW()+7)+'Date Calculators'!$B$2+ICS4Master!$E491,""))</f>
        <v>#REF!</v>
      </c>
      <c r="J493" s="116" t="e" cm="1">
        <f t="array" ref="J493">IF(I493="","",INDEX(#REF!,ROW()+7))</f>
        <v>#REF!</v>
      </c>
      <c r="K493" s="120" t="e" cm="1">
        <f t="array" ref="K493">IF(I493="","",INDEX(#REF!,ROW()+7))</f>
        <v>#REF!</v>
      </c>
      <c r="L493" s="129" t="e" cm="1">
        <f t="array" ref="L493">IF(OR(I493="",INDEX(#REF!,ROW()+7)=""),"",INDEX(#REF!,ROW()+7))</f>
        <v>#REF!</v>
      </c>
    </row>
    <row r="494" spans="2:12" ht="15" customHeight="1">
      <c r="B494" s="121" t="str">
        <f t="shared" si="54"/>
        <v/>
      </c>
      <c r="C494" s="117" t="str">
        <f t="shared" si="55"/>
        <v/>
      </c>
      <c r="D494" s="116" t="str">
        <f t="shared" si="56"/>
        <v/>
      </c>
      <c r="E494" s="120" t="str">
        <f t="shared" si="57"/>
        <v/>
      </c>
      <c r="F494" s="123" t="str">
        <f t="shared" si="58"/>
        <v/>
      </c>
      <c r="G494" s="126" t="e">
        <f t="shared" si="59"/>
        <v>#REF!</v>
      </c>
      <c r="H494" s="116" t="e">
        <f t="shared" si="53"/>
        <v>#REF!</v>
      </c>
      <c r="I494" s="117" t="e" cm="1">
        <f t="array" ref="I494">IF(OR(INDEX(#REF!,ROW()+8)="START",INDEX(#REF!,ROW()+7)="",INDEX(#REF!,ROW()+7)="START",INDEX(#REF!,ROW()+7)="TBA",INDEX(#REF!,ROW()+7)="TBC"), IF(INDEX(#REF!,ROW()+7)="START",$C$3,""),IF(INDEX(#REF!,ROW()+7)="x",INDEX(#REF!,ROW()+7)+'Date Calculators'!$B$2+ICS4Master!$E492,""))</f>
        <v>#REF!</v>
      </c>
      <c r="J494" s="116" t="e" cm="1">
        <f t="array" ref="J494">IF(I494="","",INDEX(#REF!,ROW()+7))</f>
        <v>#REF!</v>
      </c>
      <c r="K494" s="120" t="e" cm="1">
        <f t="array" ref="K494">IF(I494="","",INDEX(#REF!,ROW()+7))</f>
        <v>#REF!</v>
      </c>
      <c r="L494" s="129" t="e" cm="1">
        <f t="array" ref="L494">IF(OR(I494="",INDEX(#REF!,ROW()+7)=""),"",INDEX(#REF!,ROW()+7))</f>
        <v>#REF!</v>
      </c>
    </row>
    <row r="495" spans="2:12" ht="15" customHeight="1">
      <c r="B495" s="121" t="str">
        <f t="shared" si="54"/>
        <v/>
      </c>
      <c r="C495" s="117" t="str">
        <f t="shared" si="55"/>
        <v/>
      </c>
      <c r="D495" s="116" t="str">
        <f t="shared" si="56"/>
        <v/>
      </c>
      <c r="E495" s="120" t="str">
        <f t="shared" si="57"/>
        <v/>
      </c>
      <c r="F495" s="123" t="str">
        <f t="shared" si="58"/>
        <v/>
      </c>
      <c r="G495" s="126" t="e">
        <f t="shared" si="59"/>
        <v>#REF!</v>
      </c>
      <c r="H495" s="116" t="e">
        <f t="shared" si="53"/>
        <v>#REF!</v>
      </c>
      <c r="I495" s="117" t="e" cm="1">
        <f t="array" ref="I495">IF(OR(INDEX(#REF!,ROW()+8)="START",INDEX(#REF!,ROW()+7)="",INDEX(#REF!,ROW()+7)="START",INDEX(#REF!,ROW()+7)="TBA",INDEX(#REF!,ROW()+7)="TBC"), IF(INDEX(#REF!,ROW()+7)="START",$C$3,""),IF(INDEX(#REF!,ROW()+7)="x",INDEX(#REF!,ROW()+7)+'Date Calculators'!$B$2+ICS4Master!$E493,""))</f>
        <v>#REF!</v>
      </c>
      <c r="J495" s="116" t="e" cm="1">
        <f t="array" ref="J495">IF(I495="","",INDEX(#REF!,ROW()+7))</f>
        <v>#REF!</v>
      </c>
      <c r="K495" s="120" t="e" cm="1">
        <f t="array" ref="K495">IF(I495="","",INDEX(#REF!,ROW()+7))</f>
        <v>#REF!</v>
      </c>
      <c r="L495" s="129" t="e" cm="1">
        <f t="array" ref="L495">IF(OR(I495="",INDEX(#REF!,ROW()+7)=""),"",INDEX(#REF!,ROW()+7))</f>
        <v>#REF!</v>
      </c>
    </row>
    <row r="496" spans="2:12" ht="15" customHeight="1">
      <c r="B496" s="121" t="str">
        <f t="shared" si="54"/>
        <v/>
      </c>
      <c r="C496" s="117" t="str">
        <f t="shared" si="55"/>
        <v/>
      </c>
      <c r="D496" s="116" t="str">
        <f t="shared" si="56"/>
        <v/>
      </c>
      <c r="E496" s="120" t="str">
        <f t="shared" si="57"/>
        <v/>
      </c>
      <c r="F496" s="123" t="str">
        <f t="shared" si="58"/>
        <v/>
      </c>
      <c r="G496" s="126" t="e">
        <f t="shared" si="59"/>
        <v>#REF!</v>
      </c>
      <c r="H496" s="116" t="e">
        <f t="shared" si="53"/>
        <v>#REF!</v>
      </c>
      <c r="I496" s="117" t="e" cm="1">
        <f t="array" ref="I496">IF(OR(INDEX(#REF!,ROW()+8)="START",INDEX(#REF!,ROW()+7)="",INDEX(#REF!,ROW()+7)="START",INDEX(#REF!,ROW()+7)="TBA",INDEX(#REF!,ROW()+7)="TBC"), IF(INDEX(#REF!,ROW()+7)="START",$C$3,""),IF(INDEX(#REF!,ROW()+7)="x",INDEX(#REF!,ROW()+7)+'Date Calculators'!$B$2+ICS4Master!$E494,""))</f>
        <v>#REF!</v>
      </c>
      <c r="J496" s="116" t="e" cm="1">
        <f t="array" ref="J496">IF(I496="","",INDEX(#REF!,ROW()+7))</f>
        <v>#REF!</v>
      </c>
      <c r="K496" s="120" t="e" cm="1">
        <f t="array" ref="K496">IF(I496="","",INDEX(#REF!,ROW()+7))</f>
        <v>#REF!</v>
      </c>
      <c r="L496" s="129" t="e" cm="1">
        <f t="array" ref="L496">IF(OR(I496="",INDEX(#REF!,ROW()+7)=""),"",INDEX(#REF!,ROW()+7))</f>
        <v>#REF!</v>
      </c>
    </row>
    <row r="497" spans="2:12" ht="15" customHeight="1">
      <c r="B497" s="121" t="str">
        <f t="shared" si="54"/>
        <v/>
      </c>
      <c r="C497" s="117" t="str">
        <f t="shared" si="55"/>
        <v/>
      </c>
      <c r="D497" s="116" t="str">
        <f t="shared" si="56"/>
        <v/>
      </c>
      <c r="E497" s="120" t="str">
        <f t="shared" si="57"/>
        <v/>
      </c>
      <c r="F497" s="123" t="str">
        <f t="shared" si="58"/>
        <v/>
      </c>
      <c r="G497" s="126" t="e">
        <f t="shared" si="59"/>
        <v>#REF!</v>
      </c>
      <c r="H497" s="116" t="e">
        <f t="shared" si="53"/>
        <v>#REF!</v>
      </c>
      <c r="I497" s="117" t="e" cm="1">
        <f t="array" ref="I497">IF(OR(INDEX(#REF!,ROW()+8)="START",INDEX(#REF!,ROW()+7)="",INDEX(#REF!,ROW()+7)="START",INDEX(#REF!,ROW()+7)="TBA",INDEX(#REF!,ROW()+7)="TBC"), IF(INDEX(#REF!,ROW()+7)="START",$C$3,""),IF(INDEX(#REF!,ROW()+7)="x",INDEX(#REF!,ROW()+7)+'Date Calculators'!$B$2+ICS4Master!$E495,""))</f>
        <v>#REF!</v>
      </c>
      <c r="J497" s="116" t="e" cm="1">
        <f t="array" ref="J497">IF(I497="","",INDEX(#REF!,ROW()+7))</f>
        <v>#REF!</v>
      </c>
      <c r="K497" s="120" t="e" cm="1">
        <f t="array" ref="K497">IF(I497="","",INDEX(#REF!,ROW()+7))</f>
        <v>#REF!</v>
      </c>
      <c r="L497" s="129" t="e" cm="1">
        <f t="array" ref="L497">IF(OR(I497="",INDEX(#REF!,ROW()+7)=""),"",INDEX(#REF!,ROW()+7))</f>
        <v>#REF!</v>
      </c>
    </row>
    <row r="498" spans="2:12" ht="15" customHeight="1">
      <c r="B498" s="121" t="str">
        <f t="shared" si="54"/>
        <v/>
      </c>
      <c r="C498" s="117" t="str">
        <f t="shared" si="55"/>
        <v/>
      </c>
      <c r="D498" s="116" t="str">
        <f t="shared" si="56"/>
        <v/>
      </c>
      <c r="E498" s="120" t="str">
        <f t="shared" si="57"/>
        <v/>
      </c>
      <c r="F498" s="123" t="str">
        <f t="shared" si="58"/>
        <v/>
      </c>
      <c r="G498" s="126" t="e">
        <f t="shared" si="59"/>
        <v>#REF!</v>
      </c>
      <c r="H498" s="116" t="e">
        <f t="shared" si="53"/>
        <v>#REF!</v>
      </c>
      <c r="I498" s="117" t="e" cm="1">
        <f t="array" ref="I498">IF(OR(INDEX(#REF!,ROW()+8)="START",INDEX(#REF!,ROW()+7)="",INDEX(#REF!,ROW()+7)="START",INDEX(#REF!,ROW()+7)="TBA",INDEX(#REF!,ROW()+7)="TBC"), IF(INDEX(#REF!,ROW()+7)="START",$C$3,""),IF(INDEX(#REF!,ROW()+7)="x",INDEX(#REF!,ROW()+7)+'Date Calculators'!$B$2+ICS4Master!$E496,""))</f>
        <v>#REF!</v>
      </c>
      <c r="J498" s="116" t="e" cm="1">
        <f t="array" ref="J498">IF(I498="","",INDEX(#REF!,ROW()+7))</f>
        <v>#REF!</v>
      </c>
      <c r="K498" s="120" t="e" cm="1">
        <f t="array" ref="K498">IF(I498="","",INDEX(#REF!,ROW()+7))</f>
        <v>#REF!</v>
      </c>
      <c r="L498" s="129" t="e" cm="1">
        <f t="array" ref="L498">IF(OR(I498="",INDEX(#REF!,ROW()+7)=""),"",INDEX(#REF!,ROW()+7))</f>
        <v>#REF!</v>
      </c>
    </row>
    <row r="499" spans="2:12" ht="15" customHeight="1">
      <c r="B499" s="121" t="str">
        <f t="shared" si="54"/>
        <v/>
      </c>
      <c r="C499" s="117" t="str">
        <f t="shared" si="55"/>
        <v/>
      </c>
      <c r="D499" s="116" t="str">
        <f t="shared" si="56"/>
        <v/>
      </c>
      <c r="E499" s="120" t="str">
        <f t="shared" si="57"/>
        <v/>
      </c>
      <c r="F499" s="123" t="str">
        <f t="shared" si="58"/>
        <v/>
      </c>
      <c r="G499" s="126" t="e">
        <f t="shared" si="59"/>
        <v>#REF!</v>
      </c>
      <c r="H499" s="116" t="e">
        <f t="shared" si="53"/>
        <v>#REF!</v>
      </c>
      <c r="I499" s="117" t="e" cm="1">
        <f t="array" ref="I499">IF(OR(INDEX(#REF!,ROW()+8)="START",INDEX(#REF!,ROW()+7)="",INDEX(#REF!,ROW()+7)="START",INDEX(#REF!,ROW()+7)="TBA",INDEX(#REF!,ROW()+7)="TBC"), IF(INDEX(#REF!,ROW()+7)="START",$C$3,""),IF(INDEX(#REF!,ROW()+7)="x",INDEX(#REF!,ROW()+7)+'Date Calculators'!$B$2+ICS4Master!$E497,""))</f>
        <v>#REF!</v>
      </c>
      <c r="J499" s="116" t="e" cm="1">
        <f t="array" ref="J499">IF(I499="","",INDEX(#REF!,ROW()+7))</f>
        <v>#REF!</v>
      </c>
      <c r="K499" s="120" t="e" cm="1">
        <f t="array" ref="K499">IF(I499="","",INDEX(#REF!,ROW()+7))</f>
        <v>#REF!</v>
      </c>
      <c r="L499" s="129" t="e" cm="1">
        <f t="array" ref="L499">IF(OR(I499="",INDEX(#REF!,ROW()+7)=""),"",INDEX(#REF!,ROW()+7))</f>
        <v>#REF!</v>
      </c>
    </row>
    <row r="500" spans="2:12" ht="15" customHeight="1">
      <c r="B500" s="121" t="str">
        <f t="shared" si="54"/>
        <v/>
      </c>
      <c r="C500" s="117" t="str">
        <f t="shared" si="55"/>
        <v/>
      </c>
      <c r="D500" s="116" t="str">
        <f t="shared" si="56"/>
        <v/>
      </c>
      <c r="E500" s="120" t="str">
        <f t="shared" si="57"/>
        <v/>
      </c>
      <c r="F500" s="123" t="str">
        <f t="shared" si="58"/>
        <v/>
      </c>
      <c r="G500" s="126" t="e">
        <f t="shared" si="59"/>
        <v>#REF!</v>
      </c>
      <c r="H500" s="116" t="e">
        <f t="shared" si="53"/>
        <v>#REF!</v>
      </c>
      <c r="I500" s="117" t="e" cm="1">
        <f t="array" ref="I500">IF(OR(INDEX(#REF!,ROW()+8)="START",INDEX(#REF!,ROW()+7)="",INDEX(#REF!,ROW()+7)="START",INDEX(#REF!,ROW()+7)="TBA",INDEX(#REF!,ROW()+7)="TBC"), IF(INDEX(#REF!,ROW()+7)="START",$C$3,""),IF(INDEX(#REF!,ROW()+7)="x",INDEX(#REF!,ROW()+7)+'Date Calculators'!$B$2+ICS4Master!$E498,""))</f>
        <v>#REF!</v>
      </c>
      <c r="J500" s="116" t="e" cm="1">
        <f t="array" ref="J500">IF(I500="","",INDEX(#REF!,ROW()+7))</f>
        <v>#REF!</v>
      </c>
      <c r="K500" s="120" t="e" cm="1">
        <f t="array" ref="K500">IF(I500="","",INDEX(#REF!,ROW()+7))</f>
        <v>#REF!</v>
      </c>
      <c r="L500" s="129" t="e" cm="1">
        <f t="array" ref="L500">IF(OR(I500="",INDEX(#REF!,ROW()+7)=""),"",INDEX(#REF!,ROW()+7))</f>
        <v>#REF!</v>
      </c>
    </row>
  </sheetData>
  <sheetProtection formatCells="0"/>
  <mergeCells count="6">
    <mergeCell ref="A1:B1"/>
    <mergeCell ref="C1:D1"/>
    <mergeCell ref="N2:U2"/>
    <mergeCell ref="N3:T3"/>
    <mergeCell ref="N4:U5"/>
    <mergeCell ref="G1:G3"/>
  </mergeCells>
  <conditionalFormatting sqref="C4:C500">
    <cfRule type="expression" dxfId="39" priority="13">
      <formula>E4="Activity"</formula>
    </cfRule>
    <cfRule type="expression" dxfId="38" priority="20">
      <formula>AND(B4&lt;C1,B4&lt;&gt;"",C1&lt;&gt;"",C1&lt;&gt;"END")</formula>
    </cfRule>
  </conditionalFormatting>
  <conditionalFormatting sqref="B4:B500">
    <cfRule type="expression" dxfId="37" priority="14">
      <formula>E4="Activity"</formula>
    </cfRule>
    <cfRule type="expression" dxfId="36" priority="19">
      <formula>AND(B4&lt;C1,B4&lt;&gt;"",C1&lt;&gt;"",C1&lt;&gt;"END")</formula>
    </cfRule>
  </conditionalFormatting>
  <conditionalFormatting sqref="D4:D500">
    <cfRule type="expression" dxfId="35" priority="12">
      <formula>E4="Activity"</formula>
    </cfRule>
    <cfRule type="expression" dxfId="34" priority="18">
      <formula>AND(B4&lt;C1,B4&lt;&gt;"",C1&lt;&gt;"",C1&lt;&gt;"END")</formula>
    </cfRule>
  </conditionalFormatting>
  <conditionalFormatting sqref="E4:E500">
    <cfRule type="expression" dxfId="33" priority="17">
      <formula>AND(B4&lt;C1,B4&lt;&gt;"",C1&lt;&gt;"",C1&lt;&gt;"END")</formula>
    </cfRule>
  </conditionalFormatting>
  <conditionalFormatting sqref="F4:F500">
    <cfRule type="expression" dxfId="32" priority="11">
      <formula>E4="Activity"</formula>
    </cfRule>
    <cfRule type="expression" dxfId="31" priority="16">
      <formula>AND(B4&lt;C1,B4&lt;&gt;"",C1&lt;&gt;"",C1&lt;&gt;"END")</formula>
    </cfRule>
  </conditionalFormatting>
  <conditionalFormatting sqref="E4:E500">
    <cfRule type="expression" dxfId="30" priority="15">
      <formula>E4="Activity"</formula>
    </cfRule>
  </conditionalFormatting>
  <conditionalFormatting sqref="I4:I500">
    <cfRule type="expression" dxfId="29" priority="3">
      <formula>K4="Activity"</formula>
    </cfRule>
    <cfRule type="expression" dxfId="28" priority="10">
      <formula>AND(H4&lt;I1,H4&lt;&gt;"",I1&lt;&gt;"",I1&lt;&gt;"END")</formula>
    </cfRule>
  </conditionalFormatting>
  <conditionalFormatting sqref="H4:H500">
    <cfRule type="expression" dxfId="27" priority="4">
      <formula>K4="Activity"</formula>
    </cfRule>
    <cfRule type="expression" dxfId="26" priority="9">
      <formula>AND(H4&lt;I1,H4&lt;&gt;"",I1&lt;&gt;"",I1&lt;&gt;"END")</formula>
    </cfRule>
  </conditionalFormatting>
  <conditionalFormatting sqref="J4:J500">
    <cfRule type="expression" dxfId="25" priority="2">
      <formula>K4="Activity"</formula>
    </cfRule>
    <cfRule type="expression" dxfId="24" priority="8">
      <formula>AND(H4&lt;I1,H4&lt;&gt;"",I1&lt;&gt;"",I1&lt;&gt;"END")</formula>
    </cfRule>
  </conditionalFormatting>
  <conditionalFormatting sqref="K4:K500">
    <cfRule type="expression" dxfId="23" priority="7">
      <formula>AND(H4&lt;I1,H4&lt;&gt;"",I1&lt;&gt;"",I1&lt;&gt;"END")</formula>
    </cfRule>
  </conditionalFormatting>
  <conditionalFormatting sqref="L4:L500">
    <cfRule type="expression" dxfId="22" priority="1">
      <formula>K4="Activity"</formula>
    </cfRule>
    <cfRule type="expression" dxfId="21" priority="6">
      <formula>AND(H4&lt;I1,H4&lt;&gt;"",I1&lt;&gt;"",I1&lt;&gt;"END")</formula>
    </cfRule>
  </conditionalFormatting>
  <conditionalFormatting sqref="K4:K500">
    <cfRule type="expression" dxfId="20" priority="5">
      <formula>K4="Activity"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23A19-1033-4465-912D-35910B761504}">
  <sheetPr codeName="Sheet67"/>
  <dimension ref="A1:U500"/>
  <sheetViews>
    <sheetView showGridLines="0" zoomScale="85" zoomScaleNormal="85" workbookViewId="0">
      <selection activeCell="B4" sqref="B4"/>
    </sheetView>
  </sheetViews>
  <sheetFormatPr defaultColWidth="9.140625" defaultRowHeight="15" customHeight="1"/>
  <cols>
    <col min="1" max="1" width="12.7109375" style="100" customWidth="1"/>
    <col min="2" max="2" width="10.7109375" style="100" customWidth="1"/>
    <col min="3" max="3" width="10.7109375" style="103" customWidth="1"/>
    <col min="4" max="4" width="10.7109375" style="100" customWidth="1"/>
    <col min="5" max="5" width="35.7109375" style="100" customWidth="1"/>
    <col min="6" max="6" width="35.7109375" style="104" customWidth="1"/>
    <col min="7" max="7" width="7.7109375" style="126" customWidth="1"/>
    <col min="8" max="10" width="10.7109375" style="100" customWidth="1"/>
    <col min="11" max="12" width="35.7109375" style="100" customWidth="1"/>
    <col min="13" max="13" width="7.7109375" style="100" customWidth="1"/>
    <col min="14" max="16" width="9.140625" style="100"/>
    <col min="17" max="17" width="10.7109375" style="100" customWidth="1"/>
    <col min="18" max="19" width="9.140625" style="100"/>
    <col min="20" max="20" width="10.7109375" style="100" customWidth="1"/>
    <col min="21" max="16384" width="9.140625" style="100"/>
  </cols>
  <sheetData>
    <row r="1" spans="1:21" ht="45" customHeight="1" thickBot="1">
      <c r="A1" s="1198"/>
      <c r="B1" s="1198"/>
      <c r="C1" s="1199"/>
      <c r="D1" s="1199"/>
      <c r="E1" s="98"/>
      <c r="F1" s="99" t="s">
        <v>925</v>
      </c>
      <c r="G1" s="1208" t="s">
        <v>926</v>
      </c>
      <c r="I1" s="1198"/>
      <c r="J1" s="1198"/>
      <c r="K1" s="127"/>
      <c r="N1" s="96" t="b">
        <v>0</v>
      </c>
    </row>
    <row r="2" spans="1:21" ht="15" customHeight="1" thickTop="1">
      <c r="A2" s="102" t="s">
        <v>927</v>
      </c>
      <c r="B2" s="107"/>
      <c r="C2" s="108"/>
      <c r="D2" s="109"/>
      <c r="E2" s="110"/>
      <c r="F2" s="111" t="str">
        <f>'Test schedule'!$N$7</f>
        <v>Melbourne</v>
      </c>
      <c r="G2" s="1208"/>
      <c r="H2" s="132"/>
      <c r="I2" s="108"/>
      <c r="J2" s="109"/>
      <c r="K2" s="110"/>
      <c r="L2" s="128"/>
      <c r="M2" s="130"/>
      <c r="N2" s="1197" t="s">
        <v>17</v>
      </c>
      <c r="O2" s="1197"/>
      <c r="P2" s="1197"/>
      <c r="Q2" s="1197"/>
      <c r="R2" s="1197"/>
      <c r="S2" s="1197"/>
      <c r="T2" s="1197"/>
      <c r="U2" s="1197"/>
    </row>
    <row r="3" spans="1:21" ht="15" customHeight="1">
      <c r="B3" s="112" t="s">
        <v>193</v>
      </c>
      <c r="C3" s="113" t="s">
        <v>194</v>
      </c>
      <c r="D3" s="114" t="s">
        <v>214</v>
      </c>
      <c r="E3" s="114" t="s">
        <v>215</v>
      </c>
      <c r="F3" s="115" t="s">
        <v>217</v>
      </c>
      <c r="G3" s="1208"/>
      <c r="H3" s="133" t="s">
        <v>193</v>
      </c>
      <c r="I3" s="113" t="s">
        <v>194</v>
      </c>
      <c r="J3" s="114" t="s">
        <v>214</v>
      </c>
      <c r="K3" s="114" t="s">
        <v>215</v>
      </c>
      <c r="L3" s="114" t="s">
        <v>217</v>
      </c>
      <c r="M3" s="131"/>
      <c r="N3" s="1200" t="s">
        <v>928</v>
      </c>
      <c r="O3" s="1201"/>
      <c r="P3" s="1201"/>
      <c r="Q3" s="1201"/>
      <c r="R3" s="1201"/>
      <c r="S3" s="1201"/>
      <c r="T3" s="1201"/>
      <c r="U3" s="119">
        <v>4.1666666666666664E-2</v>
      </c>
    </row>
    <row r="4" spans="1:21" ht="15" customHeight="1">
      <c r="A4" s="122"/>
      <c r="B4" s="116" t="str">
        <f>IFERROR(IF(AND(INDEX($H$4:$H$500,MATCH(ROW()-3,$G$4:$G$500,0))&gt;C3,INDEX($I$4:$I$500,MATCH(ROW()-3,$G$4:$G$500,0))&lt;&gt;"END"),C3,INDEX($H$4:$H$500,MATCH(ROW()-3,$G$4:$G$500,0))),"")</f>
        <v>START</v>
      </c>
      <c r="C4" s="117" t="str">
        <f t="shared" ref="C4:C67" si="0">IFERROR(INDEX($I$4:$I$500,MATCH(ROW()-3,$G$4:$G$500,0)),"")</f>
        <v>END</v>
      </c>
      <c r="D4" s="116" t="str">
        <f t="shared" ref="D4:D67" si="1">IFERROR(INDEX($J$4:$J$500,MATCH(ROW()-3,$G$4:$G$500,0)),"")</f>
        <v>TOTAL</v>
      </c>
      <c r="E4" s="120" t="str">
        <f t="shared" ref="E4:E67" si="2">IFERROR(INDEX($K$4:$K$500,MATCH(ROW()-3,$G$4:$G$500,0)),"")</f>
        <v>ACTIVITY</v>
      </c>
      <c r="F4" s="123" t="str">
        <f t="shared" ref="F4:F67" si="3">IFERROR(INDEX($L$4:$L$500,MATCH(ROW()-3,$G$4:$G$500,0)),"")</f>
        <v>COMMENTS</v>
      </c>
      <c r="G4" s="126">
        <f>IF(I4&lt;&gt;"",1,0)</f>
        <v>0</v>
      </c>
      <c r="H4" s="116" t="str">
        <f t="shared" ref="H4:H67" si="4">IF(I4="","",IF(I4="END","START",IF(OR(I3="END",I3=I4,I3=""),IF(OR(H3="",H3="START"),I4-$U$3,H3),IFERROR(IF(I3&gt;I4,I4-$U$3,I3),I3))))</f>
        <v/>
      </c>
      <c r="I4" s="117" t="str" cm="1">
        <f t="array" ref="I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Calculators'!$B$2+ICS4Test!$E2,""))</f>
        <v/>
      </c>
      <c r="J4" s="116" t="str" cm="1">
        <f t="array" ref="J4">IF(I4="","",INDEX('Test schedule'!$H:$H,ROW()+7))</f>
        <v/>
      </c>
      <c r="K4" s="120" t="str" cm="1">
        <f t="array" ref="K4">IF(I4="","",INDEX('Test schedule'!$J:$J,ROW()+7))</f>
        <v/>
      </c>
      <c r="L4" s="129" t="str" cm="1">
        <f t="array" ref="L4">IF(OR(I4="",INDEX('Test schedule'!$T:$T,ROW()+7)=""),"",INDEX('Test schedule'!$T:$T,ROW()+7))</f>
        <v/>
      </c>
      <c r="M4" s="131"/>
      <c r="N4" s="1202" t="s">
        <v>929</v>
      </c>
      <c r="O4" s="1203"/>
      <c r="P4" s="1203"/>
      <c r="Q4" s="1203"/>
      <c r="R4" s="1203"/>
      <c r="S4" s="1203"/>
      <c r="T4" s="1203"/>
      <c r="U4" s="1204"/>
    </row>
    <row r="5" spans="1:21" ht="15" customHeight="1">
      <c r="A5" s="122"/>
      <c r="B5" s="116" t="str">
        <f t="shared" ref="B5:B68" si="5">IFERROR(IF(AND(INDEX($H$4:$H$500,MATCH(ROW()-3,$G$4:$G$500,0))&gt;C4,INDEX($I$4:$I$500,MATCH(ROW()-3,$G$4:$G$500,0))&lt;&gt;"END"),C4,INDEX($H$4:$H$500,MATCH(ROW()-3,$G$4:$G$500,0))),"")</f>
        <v>START</v>
      </c>
      <c r="C5" s="117" t="str">
        <f t="shared" si="0"/>
        <v>END</v>
      </c>
      <c r="D5" s="116" t="str">
        <f t="shared" si="1"/>
        <v>TOTAL</v>
      </c>
      <c r="E5" s="120" t="str">
        <f t="shared" si="2"/>
        <v>ACTIVITY</v>
      </c>
      <c r="F5" s="123" t="str">
        <f t="shared" si="3"/>
        <v>COMMENTS</v>
      </c>
      <c r="G5" s="126">
        <f t="shared" ref="G5:G68" si="6">G4+IF(I5&lt;&gt;"",1,0)</f>
        <v>0</v>
      </c>
      <c r="H5" s="116" t="str">
        <f t="shared" si="4"/>
        <v/>
      </c>
      <c r="I5" s="117" t="str" cm="1">
        <f t="array" ref="I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Calculators'!$B$2+ICS4Test!$E3,""))</f>
        <v/>
      </c>
      <c r="J5" s="116" t="str" cm="1">
        <f t="array" ref="J5">IF(I5="","",INDEX('Test schedule'!$H:$H,ROW()+7))</f>
        <v/>
      </c>
      <c r="K5" s="120" t="str" cm="1">
        <f t="array" ref="K5">IF(I5="","",INDEX('Test schedule'!$J:$J,ROW()+7))</f>
        <v/>
      </c>
      <c r="L5" s="129" t="str" cm="1">
        <f t="array" ref="L5">IF(OR(I5="",INDEX('Test schedule'!$T:$T,ROW()+7)=""),"",INDEX('Test schedule'!$T:$T,ROW()+7))</f>
        <v/>
      </c>
      <c r="N5" s="1205"/>
      <c r="O5" s="1206"/>
      <c r="P5" s="1206"/>
      <c r="Q5" s="1206"/>
      <c r="R5" s="1206"/>
      <c r="S5" s="1206"/>
      <c r="T5" s="1206"/>
      <c r="U5" s="1207"/>
    </row>
    <row r="6" spans="1:21" ht="15" customHeight="1">
      <c r="A6" s="122"/>
      <c r="B6" s="116">
        <f t="shared" si="5"/>
        <v>46089.333333333336</v>
      </c>
      <c r="C6" s="117">
        <f t="shared" si="0"/>
        <v>46089.375</v>
      </c>
      <c r="D6" s="116">
        <f t="shared" si="1"/>
        <v>0</v>
      </c>
      <c r="E6" s="120" t="str">
        <f t="shared" si="2"/>
        <v>Team Meeting</v>
      </c>
      <c r="F6" s="123" t="str">
        <f t="shared" si="3"/>
        <v/>
      </c>
      <c r="G6" s="126">
        <f t="shared" si="6"/>
        <v>0</v>
      </c>
      <c r="H6" s="116" t="str">
        <f t="shared" si="4"/>
        <v/>
      </c>
      <c r="I6" s="117" t="str" cm="1">
        <f t="array" ref="I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Calculators'!$B$2+ICS4Test!$E4,""))</f>
        <v/>
      </c>
      <c r="J6" s="116" t="str" cm="1">
        <f t="array" ref="J6">IF(I6="","",INDEX('Test schedule'!$H:$H,ROW()+7))</f>
        <v/>
      </c>
      <c r="K6" s="120" t="str" cm="1">
        <f t="array" ref="K6">IF(I6="","",INDEX('Test schedule'!$J:$J,ROW()+7))</f>
        <v/>
      </c>
      <c r="L6" s="129" t="str" cm="1">
        <f t="array" ref="L6">IF(OR(I6="",INDEX('Test schedule'!$T:$T,ROW()+7)=""),"",INDEX('Test schedule'!$T:$T,ROW()+7))</f>
        <v/>
      </c>
      <c r="M6" s="130"/>
      <c r="P6" s="105"/>
      <c r="Q6" s="106"/>
    </row>
    <row r="7" spans="1:21" ht="15" customHeight="1">
      <c r="A7" s="122"/>
      <c r="B7" s="116">
        <f t="shared" si="5"/>
        <v>46089.375</v>
      </c>
      <c r="C7" s="117">
        <f t="shared" si="0"/>
        <v>46089.451388888891</v>
      </c>
      <c r="D7" s="116">
        <f t="shared" si="1"/>
        <v>6.9444444444443643E-3</v>
      </c>
      <c r="E7" s="120" t="str">
        <f t="shared" si="2"/>
        <v>Engine Warm-up</v>
      </c>
      <c r="F7" s="123" t="str">
        <f t="shared" si="3"/>
        <v/>
      </c>
      <c r="G7" s="126">
        <f t="shared" si="6"/>
        <v>0</v>
      </c>
      <c r="H7" s="116" t="str">
        <f t="shared" si="4"/>
        <v/>
      </c>
      <c r="I7" s="117" t="str" cm="1">
        <f t="array" ref="I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Calculators'!$B$2+ICS4Test!$E5,""))</f>
        <v/>
      </c>
      <c r="J7" s="116" t="str" cm="1">
        <f t="array" ref="J7">IF(I7="","",INDEX('Test schedule'!$H:$H,ROW()+7))</f>
        <v/>
      </c>
      <c r="K7" s="120" t="str" cm="1">
        <f t="array" ref="K7">IF(I7="","",INDEX('Test schedule'!$J:$J,ROW()+7))</f>
        <v/>
      </c>
      <c r="L7" s="129" t="str" cm="1">
        <f t="array" ref="L7">IF(OR(I7="",INDEX('Test schedule'!$T:$T,ROW()+7)=""),"",INDEX('Test schedule'!$T:$T,ROW()+7))</f>
        <v/>
      </c>
      <c r="M7" s="130"/>
      <c r="P7" s="105"/>
      <c r="Q7" s="106"/>
    </row>
    <row r="8" spans="1:21" ht="15" customHeight="1">
      <c r="B8" s="116">
        <f t="shared" si="5"/>
        <v>46089.420138888891</v>
      </c>
      <c r="C8" s="117">
        <f t="shared" si="0"/>
        <v>46089.461805555555</v>
      </c>
      <c r="D8" s="116" t="str">
        <f t="shared" si="1"/>
        <v/>
      </c>
      <c r="E8" s="120" t="str">
        <f t="shared" si="2"/>
        <v>Session Fuel in</v>
      </c>
      <c r="F8" s="118" t="str">
        <f t="shared" si="3"/>
        <v/>
      </c>
      <c r="G8" s="126">
        <f t="shared" si="6"/>
        <v>0</v>
      </c>
      <c r="H8" s="116" t="str">
        <f t="shared" si="4"/>
        <v/>
      </c>
      <c r="I8" s="117" t="str" cm="1">
        <f t="array" ref="I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Calculators'!$B$2+ICS4Test!$E6,""))</f>
        <v/>
      </c>
      <c r="J8" s="116" t="str" cm="1">
        <f t="array" ref="J8">IF(I8="","",INDEX('Test schedule'!$H:$H,ROW()+7))</f>
        <v/>
      </c>
      <c r="K8" s="120" t="str" cm="1">
        <f t="array" ref="K8">IF(I8="","",INDEX('Test schedule'!$J:$J,ROW()+7))</f>
        <v/>
      </c>
      <c r="L8" s="129" t="str" cm="1">
        <f t="array" ref="L8">IF(OR(I8="",INDEX('Test schedule'!$T:$T,ROW()+7)=""),"",INDEX('Test schedule'!$T:$T,ROW()+7))</f>
        <v/>
      </c>
      <c r="P8" s="105"/>
      <c r="Q8" s="106"/>
    </row>
    <row r="9" spans="1:21" ht="15" customHeight="1">
      <c r="B9" s="116">
        <f t="shared" si="5"/>
        <v>46089.434027777781</v>
      </c>
      <c r="C9" s="117">
        <f t="shared" si="0"/>
        <v>46089.475694444445</v>
      </c>
      <c r="D9" s="116" t="str">
        <f t="shared" si="1"/>
        <v/>
      </c>
      <c r="E9" s="120" t="str">
        <f t="shared" si="2"/>
        <v xml:space="preserve">Drivers PM    </v>
      </c>
      <c r="F9" s="118" t="str">
        <f t="shared" si="3"/>
        <v/>
      </c>
      <c r="G9" s="126">
        <f t="shared" si="6"/>
        <v>0</v>
      </c>
      <c r="H9" s="116" t="str">
        <f t="shared" si="4"/>
        <v/>
      </c>
      <c r="I9" s="117" t="str" cm="1">
        <f t="array" ref="I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Calculators'!$B$2+ICS4Test!$E7,""))</f>
        <v/>
      </c>
      <c r="J9" s="116" t="str" cm="1">
        <f t="array" ref="J9">IF(I9="","",INDEX('Test schedule'!$H:$H,ROW()+7))</f>
        <v/>
      </c>
      <c r="K9" s="120" t="str" cm="1">
        <f t="array" ref="K9">IF(I9="","",INDEX('Test schedule'!$J:$J,ROW()+7))</f>
        <v/>
      </c>
      <c r="L9" s="129" t="str" cm="1">
        <f t="array" ref="L9">IF(OR(I9="",INDEX('Test schedule'!$T:$T,ROW()+7)=""),"",INDEX('Test schedule'!$T:$T,ROW()+7))</f>
        <v/>
      </c>
      <c r="N9" s="103"/>
      <c r="P9" s="105"/>
      <c r="Q9" s="106"/>
    </row>
    <row r="10" spans="1:21" ht="15" customHeight="1">
      <c r="B10" s="116">
        <f t="shared" si="5"/>
        <v>46089.458333333336</v>
      </c>
      <c r="C10" s="117">
        <f t="shared" si="0"/>
        <v>46089.5</v>
      </c>
      <c r="D10" s="116">
        <f t="shared" si="1"/>
        <v>0</v>
      </c>
      <c r="E10" s="120" t="str">
        <f t="shared" si="2"/>
        <v>Last Fire Up (Car on the Ground)</v>
      </c>
      <c r="F10" s="118" t="str">
        <f t="shared" si="3"/>
        <v/>
      </c>
      <c r="G10" s="126">
        <f t="shared" si="6"/>
        <v>0</v>
      </c>
      <c r="H10" s="116" t="str">
        <f t="shared" si="4"/>
        <v/>
      </c>
      <c r="I10" s="117" t="str" cm="1">
        <f t="array" ref="I1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Calculators'!$B$2+ICS4Test!$E8,""))</f>
        <v/>
      </c>
      <c r="J10" s="116" t="str" cm="1">
        <f t="array" ref="J10">IF(I10="","",INDEX('Test schedule'!$H:$H,ROW()+7))</f>
        <v/>
      </c>
      <c r="K10" s="120" t="str" cm="1">
        <f t="array" ref="K10">IF(I10="","",INDEX('Test schedule'!$J:$J,ROW()+7))</f>
        <v/>
      </c>
      <c r="L10" s="129" t="str" cm="1">
        <f t="array" ref="L10">IF(OR(I10="",INDEX('Test schedule'!$T:$T,ROW()+7)=""),"",INDEX('Test schedule'!$T:$T,ROW()+7))</f>
        <v/>
      </c>
      <c r="P10" s="105"/>
      <c r="Q10" s="106"/>
    </row>
    <row r="11" spans="1:21" ht="15" customHeight="1">
      <c r="B11" s="116">
        <f t="shared" si="5"/>
        <v>46089.458333333336</v>
      </c>
      <c r="C11" s="117">
        <f t="shared" si="0"/>
        <v>46089.5</v>
      </c>
      <c r="D11" s="116" t="str">
        <f t="shared" si="1"/>
        <v/>
      </c>
      <c r="E11" s="120" t="str">
        <f t="shared" si="2"/>
        <v>Cars stand by</v>
      </c>
      <c r="F11" s="118" t="str">
        <f t="shared" si="3"/>
        <v/>
      </c>
      <c r="G11" s="126">
        <f t="shared" si="6"/>
        <v>0</v>
      </c>
      <c r="H11" s="116" t="str">
        <f t="shared" si="4"/>
        <v/>
      </c>
      <c r="I11" s="117" t="str" cm="1">
        <f t="array" ref="I1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Calculators'!$B$2+ICS4Test!$E9,""))</f>
        <v/>
      </c>
      <c r="J11" s="116" t="str" cm="1">
        <f t="array" ref="J11">IF(I11="","",INDEX('Test schedule'!$H:$H,ROW()+7))</f>
        <v/>
      </c>
      <c r="K11" s="120" t="str" cm="1">
        <f t="array" ref="K11">IF(I11="","",INDEX('Test schedule'!$J:$J,ROW()+7))</f>
        <v/>
      </c>
      <c r="L11" s="129" t="str" cm="1">
        <f t="array" ref="L11">IF(OR(I11="",INDEX('Test schedule'!$T:$T,ROW()+7)=""),"",INDEX('Test schedule'!$T:$T,ROW()+7))</f>
        <v/>
      </c>
      <c r="P11" s="105"/>
      <c r="Q11" s="106"/>
    </row>
    <row r="12" spans="1:21" ht="15" customHeight="1">
      <c r="B12" s="116">
        <f t="shared" si="5"/>
        <v>46089.5</v>
      </c>
      <c r="C12" s="117">
        <f t="shared" si="0"/>
        <v>46089.510416666664</v>
      </c>
      <c r="D12" s="116" t="str">
        <f t="shared" si="1"/>
        <v/>
      </c>
      <c r="E12" s="120" t="str">
        <f t="shared" si="2"/>
        <v>Drivers ready in car</v>
      </c>
      <c r="F12" s="118" t="str">
        <f t="shared" si="3"/>
        <v/>
      </c>
      <c r="G12" s="126">
        <f t="shared" si="6"/>
        <v>1</v>
      </c>
      <c r="H12" s="116" t="str">
        <f t="shared" si="4"/>
        <v>START</v>
      </c>
      <c r="I12" s="117" t="str" cm="1">
        <f t="array" ref="I1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Calculators'!$B$2+ICS4Test!$E10,""))</f>
        <v>END</v>
      </c>
      <c r="J12" s="116" t="str" cm="1">
        <f t="array" ref="J12">IF(I12="","",INDEX('Test schedule'!$H:$H,ROW()+7))</f>
        <v>TOTAL</v>
      </c>
      <c r="K12" s="120" t="str" cm="1">
        <f t="array" ref="K12">IF(I12="","",INDEX('Test schedule'!$J:$J,ROW()+7))</f>
        <v>ACTIVITY</v>
      </c>
      <c r="L12" s="129" t="str" cm="1">
        <f t="array" ref="L12">IF(OR(I12="",INDEX('Test schedule'!$T:$T,ROW()+7)=""),"",INDEX('Test schedule'!$T:$T,ROW()+7))</f>
        <v>COMMENTS</v>
      </c>
      <c r="M12" s="101"/>
      <c r="P12" s="105"/>
      <c r="Q12" s="106"/>
    </row>
    <row r="13" spans="1:21" ht="15" customHeight="1">
      <c r="B13" s="116">
        <f t="shared" si="5"/>
        <v>46089.510416666664</v>
      </c>
      <c r="C13" s="117">
        <f t="shared" si="0"/>
        <v>46089.701388888891</v>
      </c>
      <c r="D13" s="116">
        <f t="shared" si="1"/>
        <v>3.4722222222222099E-3</v>
      </c>
      <c r="E13" s="120" t="str">
        <f t="shared" si="2"/>
        <v>Engine Fire-Up</v>
      </c>
      <c r="F13" s="118" t="str">
        <f t="shared" si="3"/>
        <v/>
      </c>
      <c r="G13" s="126">
        <f t="shared" si="6"/>
        <v>1</v>
      </c>
      <c r="H13" s="116" t="str">
        <f t="shared" si="4"/>
        <v/>
      </c>
      <c r="I13" s="117" t="str" cm="1">
        <f t="array" ref="I1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Calculators'!$B$2+ICS4Test!$E11,""))</f>
        <v/>
      </c>
      <c r="J13" s="116" t="str" cm="1">
        <f t="array" ref="J13">IF(I13="","",INDEX('Test schedule'!$H:$H,ROW()+7))</f>
        <v/>
      </c>
      <c r="K13" s="120" t="str" cm="1">
        <f t="array" ref="K13">IF(I13="","",INDEX('Test schedule'!$J:$J,ROW()+7))</f>
        <v/>
      </c>
      <c r="L13" s="129" t="str" cm="1">
        <f t="array" ref="L13">IF(OR(I13="",INDEX('Test schedule'!$T:$T,ROW()+7)=""),"",INDEX('Test schedule'!$T:$T,ROW()+7))</f>
        <v/>
      </c>
      <c r="P13" s="105"/>
      <c r="Q13" s="106"/>
    </row>
    <row r="14" spans="1:21" ht="15" customHeight="1">
      <c r="B14" s="116">
        <f t="shared" si="5"/>
        <v>46089.701388888891</v>
      </c>
      <c r="C14" s="117">
        <f t="shared" si="0"/>
        <v>46089.711805555555</v>
      </c>
      <c r="D14" s="116" t="str">
        <f t="shared" si="1"/>
        <v/>
      </c>
      <c r="E14" s="120" t="str">
        <f t="shared" si="2"/>
        <v>Session Fuel in</v>
      </c>
      <c r="F14" s="118" t="str">
        <f t="shared" si="3"/>
        <v/>
      </c>
      <c r="G14" s="126">
        <f t="shared" si="6"/>
        <v>1</v>
      </c>
      <c r="H14" s="116" t="str">
        <f t="shared" si="4"/>
        <v/>
      </c>
      <c r="I14" s="117" t="str" cm="1">
        <f t="array" ref="I1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Calculators'!$B$2+ICS4Test!$E12,""))</f>
        <v/>
      </c>
      <c r="J14" s="116" t="str" cm="1">
        <f t="array" ref="J14">IF(I14="","",INDEX('Test schedule'!$H:$H,ROW()+7))</f>
        <v/>
      </c>
      <c r="K14" s="120" t="str" cm="1">
        <f t="array" ref="K14">IF(I14="","",INDEX('Test schedule'!$J:$J,ROW()+7))</f>
        <v/>
      </c>
      <c r="L14" s="129" t="str" cm="1">
        <f t="array" ref="L14">IF(OR(I14="",INDEX('Test schedule'!$T:$T,ROW()+7)=""),"",INDEX('Test schedule'!$T:$T,ROW()+7))</f>
        <v/>
      </c>
      <c r="P14" s="105"/>
      <c r="Q14" s="106"/>
    </row>
    <row r="15" spans="1:21" ht="15" customHeight="1">
      <c r="B15" s="116">
        <f t="shared" si="5"/>
        <v>46089.684027777781</v>
      </c>
      <c r="C15" s="117">
        <f t="shared" si="0"/>
        <v>46089.725694444445</v>
      </c>
      <c r="D15" s="116" t="str">
        <f t="shared" si="1"/>
        <v/>
      </c>
      <c r="E15" s="120" t="str">
        <f t="shared" si="2"/>
        <v xml:space="preserve">Drivers PM    </v>
      </c>
      <c r="F15" s="118" t="str">
        <f t="shared" si="3"/>
        <v/>
      </c>
      <c r="G15" s="126">
        <f t="shared" si="6"/>
        <v>1</v>
      </c>
      <c r="H15" s="116" t="str">
        <f t="shared" si="4"/>
        <v/>
      </c>
      <c r="I15" s="117" t="str" cm="1">
        <f t="array" ref="I1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Calculators'!$B$2+ICS4Test!$E13,""))</f>
        <v/>
      </c>
      <c r="J15" s="116" t="str" cm="1">
        <f t="array" ref="J15">IF(I15="","",INDEX('Test schedule'!$H:$H,ROW()+7))</f>
        <v/>
      </c>
      <c r="K15" s="120" t="str" cm="1">
        <f t="array" ref="K15">IF(I15="","",INDEX('Test schedule'!$J:$J,ROW()+7))</f>
        <v/>
      </c>
      <c r="L15" s="129" t="str" cm="1">
        <f t="array" ref="L15">IF(OR(I15="",INDEX('Test schedule'!$T:$T,ROW()+7)=""),"",INDEX('Test schedule'!$T:$T,ROW()+7))</f>
        <v/>
      </c>
      <c r="P15" s="105"/>
      <c r="Q15" s="106"/>
    </row>
    <row r="16" spans="1:21" ht="15" customHeight="1">
      <c r="B16" s="116">
        <f t="shared" si="5"/>
        <v>46089.708333333336</v>
      </c>
      <c r="C16" s="117">
        <f t="shared" si="0"/>
        <v>46089.75</v>
      </c>
      <c r="D16" s="116">
        <f t="shared" si="1"/>
        <v>0</v>
      </c>
      <c r="E16" s="120" t="str">
        <f t="shared" si="2"/>
        <v>Last Fire Up (Car on the Ground)</v>
      </c>
      <c r="F16" s="118" t="str">
        <f t="shared" si="3"/>
        <v/>
      </c>
      <c r="G16" s="126">
        <f t="shared" si="6"/>
        <v>1</v>
      </c>
      <c r="H16" s="116" t="str">
        <f t="shared" si="4"/>
        <v/>
      </c>
      <c r="I16" s="117" t="str" cm="1">
        <f t="array" ref="I1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Calculators'!$B$2+ICS4Test!$E14,""))</f>
        <v/>
      </c>
      <c r="J16" s="116" t="str" cm="1">
        <f t="array" ref="J16">IF(I16="","",INDEX('Test schedule'!$H:$H,ROW()+7))</f>
        <v/>
      </c>
      <c r="K16" s="120" t="str" cm="1">
        <f t="array" ref="K16">IF(I16="","",INDEX('Test schedule'!$J:$J,ROW()+7))</f>
        <v/>
      </c>
      <c r="L16" s="129" t="str" cm="1">
        <f t="array" ref="L16">IF(OR(I16="",INDEX('Test schedule'!$T:$T,ROW()+7)=""),"",INDEX('Test schedule'!$T:$T,ROW()+7))</f>
        <v/>
      </c>
      <c r="P16" s="105"/>
      <c r="Q16" s="106"/>
    </row>
    <row r="17" spans="2:17" ht="15" customHeight="1">
      <c r="B17" s="116">
        <f t="shared" si="5"/>
        <v>46089.708333333336</v>
      </c>
      <c r="C17" s="117">
        <f t="shared" si="0"/>
        <v>46089.75</v>
      </c>
      <c r="D17" s="116" t="str">
        <f t="shared" si="1"/>
        <v/>
      </c>
      <c r="E17" s="120" t="str">
        <f t="shared" si="2"/>
        <v>Cars stand by</v>
      </c>
      <c r="F17" s="118" t="str">
        <f t="shared" si="3"/>
        <v/>
      </c>
      <c r="G17" s="126">
        <f t="shared" si="6"/>
        <v>1</v>
      </c>
      <c r="H17" s="116" t="str">
        <f t="shared" si="4"/>
        <v/>
      </c>
      <c r="I17" s="117" t="str" cm="1">
        <f t="array" ref="I1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Calculators'!$B$2+ICS4Test!$E15,""))</f>
        <v/>
      </c>
      <c r="J17" s="116" t="str" cm="1">
        <f t="array" ref="J17">IF(I17="","",INDEX('Test schedule'!$H:$H,ROW()+7))</f>
        <v/>
      </c>
      <c r="K17" s="120" t="str" cm="1">
        <f t="array" ref="K17">IF(I17="","",INDEX('Test schedule'!$J:$J,ROW()+7))</f>
        <v/>
      </c>
      <c r="L17" s="129" t="str" cm="1">
        <f t="array" ref="L17">IF(OR(I17="",INDEX('Test schedule'!$T:$T,ROW()+7)=""),"",INDEX('Test schedule'!$T:$T,ROW()+7))</f>
        <v/>
      </c>
      <c r="P17" s="105"/>
      <c r="Q17" s="106"/>
    </row>
    <row r="18" spans="2:17" ht="15" customHeight="1">
      <c r="B18" s="116">
        <f t="shared" si="5"/>
        <v>46089.75</v>
      </c>
      <c r="C18" s="117">
        <f t="shared" si="0"/>
        <v>46089.760416666664</v>
      </c>
      <c r="D18" s="116" t="str">
        <f t="shared" si="1"/>
        <v/>
      </c>
      <c r="E18" s="120" t="str">
        <f t="shared" si="2"/>
        <v>Drivers ready in car</v>
      </c>
      <c r="F18" s="118" t="str">
        <f t="shared" si="3"/>
        <v/>
      </c>
      <c r="G18" s="126">
        <f t="shared" si="6"/>
        <v>1</v>
      </c>
      <c r="H18" s="116" t="str">
        <f t="shared" si="4"/>
        <v/>
      </c>
      <c r="I18" s="117" t="str" cm="1">
        <f t="array" ref="I1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Calculators'!$B$2+ICS4Test!$E16,""))</f>
        <v/>
      </c>
      <c r="J18" s="116" t="str" cm="1">
        <f t="array" ref="J18">IF(I18="","",INDEX('Test schedule'!$H:$H,ROW()+7))</f>
        <v/>
      </c>
      <c r="K18" s="120" t="str" cm="1">
        <f t="array" ref="K18">IF(I18="","",INDEX('Test schedule'!$J:$J,ROW()+7))</f>
        <v/>
      </c>
      <c r="L18" s="129" t="str" cm="1">
        <f t="array" ref="L18">IF(OR(I18="",INDEX('Test schedule'!$T:$T,ROW()+7)=""),"",INDEX('Test schedule'!$T:$T,ROW()+7))</f>
        <v/>
      </c>
      <c r="P18" s="105"/>
      <c r="Q18" s="106"/>
    </row>
    <row r="19" spans="2:17" ht="15" customHeight="1">
      <c r="B19" s="116" t="str">
        <f t="shared" si="5"/>
        <v>START</v>
      </c>
      <c r="C19" s="117" t="str">
        <f t="shared" si="0"/>
        <v>END</v>
      </c>
      <c r="D19" s="116" t="str">
        <f t="shared" si="1"/>
        <v>TOTAL</v>
      </c>
      <c r="E19" s="120" t="str">
        <f t="shared" si="2"/>
        <v>ACTIVITY</v>
      </c>
      <c r="F19" s="118" t="str">
        <f t="shared" si="3"/>
        <v>COMMENTS</v>
      </c>
      <c r="G19" s="126">
        <f t="shared" si="6"/>
        <v>1</v>
      </c>
      <c r="H19" s="116" t="str">
        <f t="shared" si="4"/>
        <v/>
      </c>
      <c r="I19" s="117" t="str" cm="1">
        <f t="array" ref="I1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Calculators'!$B$2+ICS4Test!$E17,""))</f>
        <v/>
      </c>
      <c r="J19" s="116" t="str" cm="1">
        <f t="array" ref="J19">IF(I19="","",INDEX('Test schedule'!$H:$H,ROW()+7))</f>
        <v/>
      </c>
      <c r="K19" s="120" t="str" cm="1">
        <f t="array" ref="K19">IF(I19="","",INDEX('Test schedule'!$J:$J,ROW()+7))</f>
        <v/>
      </c>
      <c r="L19" s="129" t="str" cm="1">
        <f t="array" ref="L19">IF(OR(I19="",INDEX('Test schedule'!$T:$T,ROW()+7)=""),"",INDEX('Test schedule'!$T:$T,ROW()+7))</f>
        <v/>
      </c>
    </row>
    <row r="20" spans="2:17" ht="15" customHeight="1">
      <c r="B20" s="116">
        <f t="shared" si="5"/>
        <v>46090.409722222226</v>
      </c>
      <c r="C20" s="117">
        <f t="shared" si="0"/>
        <v>46090.451388888891</v>
      </c>
      <c r="D20" s="116">
        <f t="shared" si="1"/>
        <v>6.9444444444443643E-3</v>
      </c>
      <c r="E20" s="120" t="str">
        <f t="shared" si="2"/>
        <v>Engine Warm-up</v>
      </c>
      <c r="F20" s="118" t="str">
        <f t="shared" si="3"/>
        <v/>
      </c>
      <c r="G20" s="126">
        <f t="shared" si="6"/>
        <v>1</v>
      </c>
      <c r="H20" s="116" t="str">
        <f t="shared" si="4"/>
        <v/>
      </c>
      <c r="I20" s="117" t="str" cm="1">
        <f t="array" ref="I2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Calculators'!$B$2+ICS4Test!$E18,""))</f>
        <v/>
      </c>
      <c r="J20" s="116" t="str" cm="1">
        <f t="array" ref="J20">IF(I20="","",INDEX('Test schedule'!$H:$H,ROW()+7))</f>
        <v/>
      </c>
      <c r="K20" s="120" t="str" cm="1">
        <f t="array" ref="K20">IF(I20="","",INDEX('Test schedule'!$J:$J,ROW()+7))</f>
        <v/>
      </c>
      <c r="L20" s="129" t="str" cm="1">
        <f t="array" ref="L20">IF(OR(I20="",INDEX('Test schedule'!$T:$T,ROW()+7)=""),"",INDEX('Test schedule'!$T:$T,ROW()+7))</f>
        <v/>
      </c>
    </row>
    <row r="21" spans="2:17" ht="14.45">
      <c r="B21" s="116">
        <f t="shared" si="5"/>
        <v>46090.420138888891</v>
      </c>
      <c r="C21" s="117">
        <f t="shared" si="0"/>
        <v>46090.461805555555</v>
      </c>
      <c r="D21" s="116" t="str">
        <f t="shared" si="1"/>
        <v/>
      </c>
      <c r="E21" s="120" t="str">
        <f t="shared" si="2"/>
        <v>Session Fuel in</v>
      </c>
      <c r="F21" s="118" t="str">
        <f t="shared" si="3"/>
        <v/>
      </c>
      <c r="G21" s="126">
        <f t="shared" si="6"/>
        <v>1</v>
      </c>
      <c r="H21" s="116" t="str">
        <f t="shared" si="4"/>
        <v/>
      </c>
      <c r="I21" s="117" t="str" cm="1">
        <f t="array" ref="I2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Calculators'!$B$2+ICS4Test!$E19,""))</f>
        <v/>
      </c>
      <c r="J21" s="116" t="str" cm="1">
        <f t="array" ref="J21">IF(I21="","",INDEX('Test schedule'!$H:$H,ROW()+7))</f>
        <v/>
      </c>
      <c r="K21" s="120" t="str" cm="1">
        <f t="array" ref="K21">IF(I21="","",INDEX('Test schedule'!$J:$J,ROW()+7))</f>
        <v/>
      </c>
      <c r="L21" s="129" t="str" cm="1">
        <f t="array" ref="L21">IF(OR(I21="",INDEX('Test schedule'!$T:$T,ROW()+7)=""),"",INDEX('Test schedule'!$T:$T,ROW()+7))</f>
        <v/>
      </c>
    </row>
    <row r="22" spans="2:17" ht="14.45">
      <c r="B22" s="116">
        <f t="shared" si="5"/>
        <v>46090.434027777781</v>
      </c>
      <c r="C22" s="117">
        <f t="shared" si="0"/>
        <v>46090.475694444445</v>
      </c>
      <c r="D22" s="116" t="str">
        <f t="shared" si="1"/>
        <v/>
      </c>
      <c r="E22" s="120" t="str">
        <f t="shared" si="2"/>
        <v xml:space="preserve">Drivers PM    </v>
      </c>
      <c r="F22" s="118" t="str">
        <f t="shared" si="3"/>
        <v/>
      </c>
      <c r="G22" s="126">
        <f t="shared" si="6"/>
        <v>1</v>
      </c>
      <c r="H22" s="116" t="str">
        <f t="shared" si="4"/>
        <v/>
      </c>
      <c r="I22" s="117" t="str" cm="1">
        <f t="array" ref="I2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Calculators'!$B$2+ICS4Test!$E20,""))</f>
        <v/>
      </c>
      <c r="J22" s="116" t="str" cm="1">
        <f t="array" ref="J22">IF(I22="","",INDEX('Test schedule'!$H:$H,ROW()+7))</f>
        <v/>
      </c>
      <c r="K22" s="120" t="str" cm="1">
        <f t="array" ref="K22">IF(I22="","",INDEX('Test schedule'!$J:$J,ROW()+7))</f>
        <v/>
      </c>
      <c r="L22" s="129" t="str" cm="1">
        <f t="array" ref="L22">IF(OR(I22="",INDEX('Test schedule'!$T:$T,ROW()+7)=""),"",INDEX('Test schedule'!$T:$T,ROW()+7))</f>
        <v/>
      </c>
    </row>
    <row r="23" spans="2:17" ht="14.45">
      <c r="B23" s="116">
        <f t="shared" si="5"/>
        <v>46090.458333333336</v>
      </c>
      <c r="C23" s="117">
        <f t="shared" si="0"/>
        <v>46090.5</v>
      </c>
      <c r="D23" s="116">
        <f t="shared" si="1"/>
        <v>0</v>
      </c>
      <c r="E23" s="120" t="str">
        <f t="shared" si="2"/>
        <v>Last Fire Up (Car on the Ground)</v>
      </c>
      <c r="F23" s="118" t="str">
        <f t="shared" si="3"/>
        <v/>
      </c>
      <c r="G23" s="126">
        <f t="shared" si="6"/>
        <v>1</v>
      </c>
      <c r="H23" s="116" t="str">
        <f t="shared" si="4"/>
        <v/>
      </c>
      <c r="I23" s="117" t="str" cm="1">
        <f t="array" ref="I2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Calculators'!$B$2+ICS4Test!$E21,""))</f>
        <v/>
      </c>
      <c r="J23" s="116" t="str" cm="1">
        <f t="array" ref="J23">IF(I23="","",INDEX('Test schedule'!$H:$H,ROW()+7))</f>
        <v/>
      </c>
      <c r="K23" s="120" t="str" cm="1">
        <f t="array" ref="K23">IF(I23="","",INDEX('Test schedule'!$J:$J,ROW()+7))</f>
        <v/>
      </c>
      <c r="L23" s="129" t="str" cm="1">
        <f t="array" ref="L23">IF(OR(I23="",INDEX('Test schedule'!$T:$T,ROW()+7)=""),"",INDEX('Test schedule'!$T:$T,ROW()+7))</f>
        <v/>
      </c>
    </row>
    <row r="24" spans="2:17" ht="15" customHeight="1">
      <c r="B24" s="116">
        <f t="shared" si="5"/>
        <v>46090.458333333336</v>
      </c>
      <c r="C24" s="117">
        <f t="shared" si="0"/>
        <v>46090.5</v>
      </c>
      <c r="D24" s="116" t="str">
        <f t="shared" si="1"/>
        <v/>
      </c>
      <c r="E24" s="120" t="str">
        <f t="shared" si="2"/>
        <v>Cars stand by</v>
      </c>
      <c r="F24" s="118" t="str">
        <f t="shared" si="3"/>
        <v/>
      </c>
      <c r="G24" s="126">
        <f t="shared" si="6"/>
        <v>1</v>
      </c>
      <c r="H24" s="116" t="str">
        <f t="shared" si="4"/>
        <v/>
      </c>
      <c r="I24" s="117" t="str" cm="1">
        <f t="array" ref="I2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Calculators'!$B$2+ICS4Test!$E22,""))</f>
        <v/>
      </c>
      <c r="J24" s="116" t="str" cm="1">
        <f t="array" ref="J24">IF(I24="","",INDEX('Test schedule'!$H:$H,ROW()+7))</f>
        <v/>
      </c>
      <c r="K24" s="120" t="str" cm="1">
        <f t="array" ref="K24">IF(I24="","",INDEX('Test schedule'!$J:$J,ROW()+7))</f>
        <v/>
      </c>
      <c r="L24" s="129" t="str" cm="1">
        <f t="array" ref="L24">IF(OR(I24="",INDEX('Test schedule'!$T:$T,ROW()+7)=""),"",INDEX('Test schedule'!$T:$T,ROW()+7))</f>
        <v/>
      </c>
    </row>
    <row r="25" spans="2:17" ht="15" customHeight="1">
      <c r="B25" s="116">
        <f t="shared" si="5"/>
        <v>46090.5</v>
      </c>
      <c r="C25" s="117">
        <f t="shared" si="0"/>
        <v>46090.510416666664</v>
      </c>
      <c r="D25" s="116" t="str">
        <f t="shared" si="1"/>
        <v/>
      </c>
      <c r="E25" s="120" t="str">
        <f t="shared" si="2"/>
        <v>Drivers ready in car</v>
      </c>
      <c r="F25" s="118" t="str">
        <f t="shared" si="3"/>
        <v/>
      </c>
      <c r="G25" s="126">
        <f t="shared" si="6"/>
        <v>2</v>
      </c>
      <c r="H25" s="116" t="str">
        <f t="shared" si="4"/>
        <v>START</v>
      </c>
      <c r="I25" s="117" t="str" cm="1">
        <f t="array" ref="I2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Calculators'!$B$2+ICS4Test!$E23,""))</f>
        <v>END</v>
      </c>
      <c r="J25" s="116" t="str" cm="1">
        <f t="array" ref="J25">IF(I25="","",INDEX('Test schedule'!$H:$H,ROW()+7))</f>
        <v>TOTAL</v>
      </c>
      <c r="K25" s="120" t="str" cm="1">
        <f t="array" ref="K25">IF(I25="","",INDEX('Test schedule'!$J:$J,ROW()+7))</f>
        <v>ACTIVITY</v>
      </c>
      <c r="L25" s="129" t="str" cm="1">
        <f t="array" ref="L25">IF(OR(I25="",INDEX('Test schedule'!$T:$T,ROW()+7)=""),"",INDEX('Test schedule'!$T:$T,ROW()+7))</f>
        <v>COMMENTS</v>
      </c>
    </row>
    <row r="26" spans="2:17" ht="15" customHeight="1">
      <c r="B26" s="116">
        <f t="shared" si="5"/>
        <v>46090.510416666664</v>
      </c>
      <c r="C26" s="117">
        <f t="shared" si="0"/>
        <v>46090.701388888891</v>
      </c>
      <c r="D26" s="116">
        <f t="shared" si="1"/>
        <v>3.4722222222222099E-3</v>
      </c>
      <c r="E26" s="120" t="str">
        <f t="shared" si="2"/>
        <v>Engine Fire-Up</v>
      </c>
      <c r="F26" s="118" t="str">
        <f t="shared" si="3"/>
        <v/>
      </c>
      <c r="G26" s="126">
        <f t="shared" si="6"/>
        <v>2</v>
      </c>
      <c r="H26" s="116" t="str">
        <f t="shared" si="4"/>
        <v/>
      </c>
      <c r="I26" s="117" t="str" cm="1">
        <f t="array" ref="I2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Calculators'!$B$2+ICS4Test!$E24,""))</f>
        <v/>
      </c>
      <c r="J26" s="116" t="str" cm="1">
        <f t="array" ref="J26">IF(I26="","",INDEX('Test schedule'!$H:$H,ROW()+7))</f>
        <v/>
      </c>
      <c r="K26" s="120" t="str" cm="1">
        <f t="array" ref="K26">IF(I26="","",INDEX('Test schedule'!$J:$J,ROW()+7))</f>
        <v/>
      </c>
      <c r="L26" s="129" t="str" cm="1">
        <f t="array" ref="L26">IF(OR(I26="",INDEX('Test schedule'!$T:$T,ROW()+7)=""),"",INDEX('Test schedule'!$T:$T,ROW()+7))</f>
        <v/>
      </c>
    </row>
    <row r="27" spans="2:17" ht="15" customHeight="1">
      <c r="B27" s="116">
        <f t="shared" si="5"/>
        <v>46090.701388888891</v>
      </c>
      <c r="C27" s="117">
        <f t="shared" si="0"/>
        <v>46090.711805555555</v>
      </c>
      <c r="D27" s="116" t="str">
        <f t="shared" si="1"/>
        <v/>
      </c>
      <c r="E27" s="120" t="str">
        <f t="shared" si="2"/>
        <v>Session Fuel in</v>
      </c>
      <c r="F27" s="118" t="str">
        <f t="shared" si="3"/>
        <v/>
      </c>
      <c r="G27" s="126">
        <f t="shared" si="6"/>
        <v>3</v>
      </c>
      <c r="H27" s="116">
        <f t="shared" si="4"/>
        <v>46089.333333333336</v>
      </c>
      <c r="I27" s="117" cm="1">
        <f t="array" ref="I2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Calculators'!$B$2+ICS4Test!$E25,""))</f>
        <v>46089.375</v>
      </c>
      <c r="J27" s="116" cm="1">
        <f t="array" ref="J27">IF(I27="","",INDEX('Test schedule'!$H:$H,ROW()+7))</f>
        <v>0</v>
      </c>
      <c r="K27" s="120" t="str" cm="1">
        <f t="array" ref="K27">IF(I27="","",INDEX('Test schedule'!$J:$J,ROW()+7))</f>
        <v>Team Meeting</v>
      </c>
      <c r="L27" s="129" t="str" cm="1">
        <f t="array" ref="L27">IF(OR(I27="",INDEX('Test schedule'!$T:$T,ROW()+7)=""),"",INDEX('Test schedule'!$T:$T,ROW()+7))</f>
        <v/>
      </c>
    </row>
    <row r="28" spans="2:17" ht="15" customHeight="1">
      <c r="B28" s="116">
        <f t="shared" si="5"/>
        <v>46090.684027777781</v>
      </c>
      <c r="C28" s="117">
        <f t="shared" si="0"/>
        <v>46090.725694444445</v>
      </c>
      <c r="D28" s="116" t="str">
        <f t="shared" si="1"/>
        <v/>
      </c>
      <c r="E28" s="120" t="str">
        <f t="shared" si="2"/>
        <v xml:space="preserve">Drivers PM    </v>
      </c>
      <c r="F28" s="118" t="str">
        <f t="shared" si="3"/>
        <v/>
      </c>
      <c r="G28" s="126">
        <f t="shared" si="6"/>
        <v>3</v>
      </c>
      <c r="H28" s="116" t="str">
        <f t="shared" si="4"/>
        <v/>
      </c>
      <c r="I28" s="117" t="str" cm="1">
        <f t="array" ref="I2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Calculators'!$B$2+ICS4Test!$E26,""))</f>
        <v/>
      </c>
      <c r="J28" s="116" t="str" cm="1">
        <f t="array" ref="J28">IF(I28="","",INDEX('Test schedule'!$H:$H,ROW()+7))</f>
        <v/>
      </c>
      <c r="K28" s="120" t="str" cm="1">
        <f t="array" ref="K28">IF(I28="","",INDEX('Test schedule'!$J:$J,ROW()+7))</f>
        <v/>
      </c>
      <c r="L28" s="129" t="str" cm="1">
        <f t="array" ref="L28">IF(OR(I28="",INDEX('Test schedule'!$T:$T,ROW()+7)=""),"",INDEX('Test schedule'!$T:$T,ROW()+7))</f>
        <v/>
      </c>
    </row>
    <row r="29" spans="2:17" ht="15" customHeight="1">
      <c r="B29" s="116">
        <f t="shared" si="5"/>
        <v>46090.708333333336</v>
      </c>
      <c r="C29" s="117">
        <f t="shared" si="0"/>
        <v>46090.75</v>
      </c>
      <c r="D29" s="116">
        <f t="shared" si="1"/>
        <v>0</v>
      </c>
      <c r="E29" s="120" t="str">
        <f t="shared" si="2"/>
        <v>Last Fire Up (Car on the Ground)</v>
      </c>
      <c r="F29" s="118" t="str">
        <f t="shared" si="3"/>
        <v/>
      </c>
      <c r="G29" s="126">
        <f t="shared" si="6"/>
        <v>4</v>
      </c>
      <c r="H29" s="116">
        <f t="shared" si="4"/>
        <v>46089.409722222226</v>
      </c>
      <c r="I29" s="117" cm="1">
        <f t="array" ref="I2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Calculators'!$B$2+ICS4Test!$E27,""))</f>
        <v>46089.451388888891</v>
      </c>
      <c r="J29" s="116" cm="1">
        <f t="array" ref="J29">IF(I29="","",INDEX('Test schedule'!$H:$H,ROW()+7))</f>
        <v>6.9444444444443643E-3</v>
      </c>
      <c r="K29" s="120" t="str" cm="1">
        <f t="array" ref="K29">IF(I29="","",INDEX('Test schedule'!$J:$J,ROW()+7))</f>
        <v>Engine Warm-up</v>
      </c>
      <c r="L29" s="129" t="str" cm="1">
        <f t="array" ref="L29">IF(OR(I29="",INDEX('Test schedule'!$T:$T,ROW()+7)=""),"",INDEX('Test schedule'!$T:$T,ROW()+7))</f>
        <v/>
      </c>
    </row>
    <row r="30" spans="2:17" ht="15" customHeight="1">
      <c r="B30" s="116">
        <f t="shared" si="5"/>
        <v>46090.708333333336</v>
      </c>
      <c r="C30" s="117">
        <f t="shared" si="0"/>
        <v>46090.75</v>
      </c>
      <c r="D30" s="116" t="str">
        <f t="shared" si="1"/>
        <v/>
      </c>
      <c r="E30" s="120" t="str">
        <f t="shared" si="2"/>
        <v>Cars stand by</v>
      </c>
      <c r="F30" s="118" t="str">
        <f t="shared" si="3"/>
        <v/>
      </c>
      <c r="G30" s="126">
        <f t="shared" si="6"/>
        <v>4</v>
      </c>
      <c r="H30" s="116" t="str">
        <f t="shared" si="4"/>
        <v/>
      </c>
      <c r="I30" s="117" t="str" cm="1">
        <f t="array" ref="I3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Calculators'!$B$2+ICS4Test!$E28,""))</f>
        <v/>
      </c>
      <c r="J30" s="116" t="str" cm="1">
        <f t="array" ref="J30">IF(I30="","",INDEX('Test schedule'!$H:$H,ROW()+7))</f>
        <v/>
      </c>
      <c r="K30" s="120" t="str" cm="1">
        <f t="array" ref="K30">IF(I30="","",INDEX('Test schedule'!$J:$J,ROW()+7))</f>
        <v/>
      </c>
      <c r="L30" s="129" t="str" cm="1">
        <f t="array" ref="L30">IF(OR(I30="",INDEX('Test schedule'!$T:$T,ROW()+7)=""),"",INDEX('Test schedule'!$T:$T,ROW()+7))</f>
        <v/>
      </c>
    </row>
    <row r="31" spans="2:17" ht="15" customHeight="1">
      <c r="B31" s="116">
        <f t="shared" si="5"/>
        <v>46090.75</v>
      </c>
      <c r="C31" s="117">
        <f t="shared" si="0"/>
        <v>46090.760416666664</v>
      </c>
      <c r="D31" s="116" t="str">
        <f t="shared" si="1"/>
        <v/>
      </c>
      <c r="E31" s="120" t="str">
        <f t="shared" si="2"/>
        <v>Drivers ready in car</v>
      </c>
      <c r="F31" s="118" t="str">
        <f t="shared" si="3"/>
        <v/>
      </c>
      <c r="G31" s="126">
        <f t="shared" si="6"/>
        <v>5</v>
      </c>
      <c r="H31" s="116">
        <f t="shared" si="4"/>
        <v>46089.420138888891</v>
      </c>
      <c r="I31" s="117" cm="1">
        <f t="array" ref="I3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Calculators'!$B$2+ICS4Test!$E29,""))</f>
        <v>46089.461805555555</v>
      </c>
      <c r="J31" s="116" t="str" cm="1">
        <f t="array" ref="J31">IF(I31="","",INDEX('Test schedule'!$H:$H,ROW()+7))</f>
        <v/>
      </c>
      <c r="K31" s="120" t="str" cm="1">
        <f t="array" ref="K31">IF(I31="","",INDEX('Test schedule'!$J:$J,ROW()+7))</f>
        <v>Session Fuel in</v>
      </c>
      <c r="L31" s="129" t="str" cm="1">
        <f t="array" ref="L31">IF(OR(I31="",INDEX('Test schedule'!$T:$T,ROW()+7)=""),"",INDEX('Test schedule'!$T:$T,ROW()+7))</f>
        <v/>
      </c>
    </row>
    <row r="32" spans="2:17" ht="15" customHeight="1">
      <c r="B32" s="116" t="str">
        <f t="shared" si="5"/>
        <v>START</v>
      </c>
      <c r="C32" s="117" t="str">
        <f t="shared" si="0"/>
        <v>END</v>
      </c>
      <c r="D32" s="116" t="str">
        <f t="shared" si="1"/>
        <v>TOTAL</v>
      </c>
      <c r="E32" s="120" t="str">
        <f t="shared" si="2"/>
        <v>ACTIVITY</v>
      </c>
      <c r="F32" s="118" t="str">
        <f t="shared" si="3"/>
        <v>COMMENTS</v>
      </c>
      <c r="G32" s="126">
        <f t="shared" si="6"/>
        <v>5</v>
      </c>
      <c r="H32" s="116" t="str">
        <f t="shared" si="4"/>
        <v/>
      </c>
      <c r="I32" s="117" t="str" cm="1">
        <f t="array" ref="I3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Calculators'!$B$2+ICS4Test!$E30,""))</f>
        <v/>
      </c>
      <c r="J32" s="116" t="str" cm="1">
        <f t="array" ref="J32">IF(I32="","",INDEX('Test schedule'!$H:$H,ROW()+7))</f>
        <v/>
      </c>
      <c r="K32" s="120" t="str" cm="1">
        <f t="array" ref="K32">IF(I32="","",INDEX('Test schedule'!$J:$J,ROW()+7))</f>
        <v/>
      </c>
      <c r="L32" s="129" t="str" cm="1">
        <f t="array" ref="L32">IF(OR(I32="",INDEX('Test schedule'!$T:$T,ROW()+7)=""),"",INDEX('Test schedule'!$T:$T,ROW()+7))</f>
        <v/>
      </c>
    </row>
    <row r="33" spans="1:12" ht="15" customHeight="1">
      <c r="B33" s="116">
        <f t="shared" si="5"/>
        <v>46091.409722222226</v>
      </c>
      <c r="C33" s="117">
        <f t="shared" si="0"/>
        <v>46091.451388888891</v>
      </c>
      <c r="D33" s="116">
        <f t="shared" si="1"/>
        <v>6.9444444444443643E-3</v>
      </c>
      <c r="E33" s="120" t="str">
        <f t="shared" si="2"/>
        <v>Engine Warm-up</v>
      </c>
      <c r="F33" s="118" t="str">
        <f t="shared" si="3"/>
        <v/>
      </c>
      <c r="G33" s="126">
        <f t="shared" si="6"/>
        <v>6</v>
      </c>
      <c r="H33" s="116">
        <f t="shared" si="4"/>
        <v>46089.434027777781</v>
      </c>
      <c r="I33" s="117" cm="1">
        <f t="array" ref="I3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Calculators'!$B$2+ICS4Test!$E31,""))</f>
        <v>46089.475694444445</v>
      </c>
      <c r="J33" s="116" t="str" cm="1">
        <f t="array" ref="J33">IF(I33="","",INDEX('Test schedule'!$H:$H,ROW()+7))</f>
        <v/>
      </c>
      <c r="K33" s="120" t="str" cm="1">
        <f t="array" ref="K33">IF(I33="","",INDEX('Test schedule'!$J:$J,ROW()+7))</f>
        <v xml:space="preserve">Drivers PM    </v>
      </c>
      <c r="L33" s="129" t="str" cm="1">
        <f t="array" ref="L33">IF(OR(I33="",INDEX('Test schedule'!$T:$T,ROW()+7)=""),"",INDEX('Test schedule'!$T:$T,ROW()+7))</f>
        <v/>
      </c>
    </row>
    <row r="34" spans="1:12" ht="15" customHeight="1">
      <c r="B34" s="116">
        <f t="shared" si="5"/>
        <v>46091.420138888891</v>
      </c>
      <c r="C34" s="117">
        <f t="shared" si="0"/>
        <v>46091.461805555555</v>
      </c>
      <c r="D34" s="116" t="str">
        <f t="shared" si="1"/>
        <v/>
      </c>
      <c r="E34" s="120" t="str">
        <f t="shared" si="2"/>
        <v>Session Fuel in</v>
      </c>
      <c r="F34" s="118" t="str">
        <f t="shared" si="3"/>
        <v/>
      </c>
      <c r="G34" s="126">
        <f t="shared" si="6"/>
        <v>6</v>
      </c>
      <c r="H34" s="116" t="str">
        <f t="shared" si="4"/>
        <v/>
      </c>
      <c r="I34" s="117" t="str" cm="1">
        <f t="array" ref="I3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Calculators'!$B$2+ICS4Test!$E32,""))</f>
        <v/>
      </c>
      <c r="J34" s="116" t="str" cm="1">
        <f t="array" ref="J34">IF(I34="","",INDEX('Test schedule'!$H:$H,ROW()+7))</f>
        <v/>
      </c>
      <c r="K34" s="120" t="str" cm="1">
        <f t="array" ref="K34">IF(I34="","",INDEX('Test schedule'!$J:$J,ROW()+7))</f>
        <v/>
      </c>
      <c r="L34" s="129" t="str" cm="1">
        <f t="array" ref="L34">IF(OR(I34="",INDEX('Test schedule'!$T:$T,ROW()+7)=""),"",INDEX('Test schedule'!$T:$T,ROW()+7))</f>
        <v/>
      </c>
    </row>
    <row r="35" spans="1:12" ht="15" customHeight="1">
      <c r="B35" s="116">
        <f t="shared" si="5"/>
        <v>46091.434027777781</v>
      </c>
      <c r="C35" s="117">
        <f t="shared" si="0"/>
        <v>46091.475694444445</v>
      </c>
      <c r="D35" s="116" t="str">
        <f t="shared" si="1"/>
        <v/>
      </c>
      <c r="E35" s="120" t="str">
        <f t="shared" si="2"/>
        <v xml:space="preserve">Drivers PM    </v>
      </c>
      <c r="F35" s="118" t="str">
        <f t="shared" si="3"/>
        <v/>
      </c>
      <c r="G35" s="126">
        <f t="shared" si="6"/>
        <v>6</v>
      </c>
      <c r="H35" s="116" t="str">
        <f t="shared" si="4"/>
        <v/>
      </c>
      <c r="I35" s="117" t="str" cm="1">
        <f t="array" ref="I3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Calculators'!$B$2+ICS4Test!$E33,""))</f>
        <v/>
      </c>
      <c r="J35" s="116" t="str" cm="1">
        <f t="array" ref="J35">IF(I35="","",INDEX('Test schedule'!$H:$H,ROW()+7))</f>
        <v/>
      </c>
      <c r="K35" s="120" t="str" cm="1">
        <f t="array" ref="K35">IF(I35="","",INDEX('Test schedule'!$J:$J,ROW()+7))</f>
        <v/>
      </c>
      <c r="L35" s="129" t="str" cm="1">
        <f t="array" ref="L35">IF(OR(I35="",INDEX('Test schedule'!$T:$T,ROW()+7)=""),"",INDEX('Test schedule'!$T:$T,ROW()+7))</f>
        <v/>
      </c>
    </row>
    <row r="36" spans="1:12" ht="15" customHeight="1">
      <c r="B36" s="116">
        <f t="shared" si="5"/>
        <v>46091.458333333336</v>
      </c>
      <c r="C36" s="117">
        <f t="shared" si="0"/>
        <v>46091.5</v>
      </c>
      <c r="D36" s="116">
        <f t="shared" si="1"/>
        <v>0</v>
      </c>
      <c r="E36" s="120" t="str">
        <f t="shared" si="2"/>
        <v>Last Fire Up (Car on the Ground)</v>
      </c>
      <c r="F36" s="118" t="str">
        <f t="shared" si="3"/>
        <v/>
      </c>
      <c r="G36" s="126">
        <f t="shared" si="6"/>
        <v>7</v>
      </c>
      <c r="H36" s="116">
        <f t="shared" si="4"/>
        <v>46089.458333333336</v>
      </c>
      <c r="I36" s="117" cm="1">
        <f t="array" ref="I3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Calculators'!$B$2+ICS4Test!$E34,""))</f>
        <v>46089.5</v>
      </c>
      <c r="J36" s="116" cm="1">
        <f t="array" ref="J36">IF(I36="","",INDEX('Test schedule'!$H:$H,ROW()+7))</f>
        <v>0</v>
      </c>
      <c r="K36" s="120" t="str" cm="1">
        <f t="array" ref="K36">IF(I36="","",INDEX('Test schedule'!$J:$J,ROW()+7))</f>
        <v>Last Fire Up (Car on the Ground)</v>
      </c>
      <c r="L36" s="129" t="str" cm="1">
        <f t="array" ref="L36">IF(OR(I36="",INDEX('Test schedule'!$T:$T,ROW()+7)=""),"",INDEX('Test schedule'!$T:$T,ROW()+7))</f>
        <v/>
      </c>
    </row>
    <row r="37" spans="1:12" ht="15" customHeight="1">
      <c r="B37" s="116">
        <f t="shared" si="5"/>
        <v>46091.458333333336</v>
      </c>
      <c r="C37" s="117">
        <f t="shared" si="0"/>
        <v>46091.5</v>
      </c>
      <c r="D37" s="116" t="str">
        <f t="shared" si="1"/>
        <v/>
      </c>
      <c r="E37" s="120" t="str">
        <f t="shared" si="2"/>
        <v>Cars stand by</v>
      </c>
      <c r="F37" s="118" t="str">
        <f t="shared" si="3"/>
        <v/>
      </c>
      <c r="G37" s="126">
        <f t="shared" si="6"/>
        <v>8</v>
      </c>
      <c r="H37" s="116">
        <f>IF(I37="","",IF(I37="END","START",IF(OR(I36="END",I36=I37,I36=""),IF(OR(H36="",H36="START"),I37-$U$3,H36),IFERROR(IF(I36&gt;I37,I37-$U$3,I36),I36))))</f>
        <v>46089.458333333336</v>
      </c>
      <c r="I37" s="117" cm="1">
        <f t="array" ref="I3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Calculators'!$B$2+ICS4Test!$E35,""))</f>
        <v>46089.5</v>
      </c>
      <c r="J37" s="116" t="str" cm="1">
        <f t="array" ref="J37">IF(I37="","",INDEX('Test schedule'!$H:$H,ROW()+7))</f>
        <v/>
      </c>
      <c r="K37" s="120" t="str" cm="1">
        <f t="array" ref="K37">IF(I37="","",INDEX('Test schedule'!$J:$J,ROW()+7))</f>
        <v>Cars stand by</v>
      </c>
      <c r="L37" s="129" t="str" cm="1">
        <f t="array" ref="L37">IF(OR(I37="",INDEX('Test schedule'!$T:$T,ROW()+7)=""),"",INDEX('Test schedule'!$T:$T,ROW()+7))</f>
        <v/>
      </c>
    </row>
    <row r="38" spans="1:12" ht="15" customHeight="1">
      <c r="B38" s="116">
        <f t="shared" si="5"/>
        <v>46091.5</v>
      </c>
      <c r="C38" s="117">
        <f t="shared" si="0"/>
        <v>46091.510416666664</v>
      </c>
      <c r="D38" s="116" t="str">
        <f t="shared" si="1"/>
        <v/>
      </c>
      <c r="E38" s="120" t="str">
        <f t="shared" si="2"/>
        <v>Drivers ready in car</v>
      </c>
      <c r="F38" s="118" t="str">
        <f t="shared" si="3"/>
        <v/>
      </c>
      <c r="G38" s="126">
        <f t="shared" si="6"/>
        <v>9</v>
      </c>
      <c r="H38" s="116">
        <f t="shared" si="4"/>
        <v>46089.5</v>
      </c>
      <c r="I38" s="117" cm="1">
        <f t="array" ref="I3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Calculators'!$B$2+ICS4Test!$E36,""))</f>
        <v>46089.510416666664</v>
      </c>
      <c r="J38" s="116" t="str" cm="1">
        <f t="array" ref="J38">IF(I38="","",INDEX('Test schedule'!$H:$H,ROW()+7))</f>
        <v/>
      </c>
      <c r="K38" s="120" t="str" cm="1">
        <f t="array" ref="K38">IF(I38="","",INDEX('Test schedule'!$J:$J,ROW()+7))</f>
        <v>Drivers ready in car</v>
      </c>
      <c r="L38" s="129" t="str" cm="1">
        <f t="array" ref="L38">IF(OR(I38="",INDEX('Test schedule'!$T:$T,ROW()+7)=""),"",INDEX('Test schedule'!$T:$T,ROW()+7))</f>
        <v/>
      </c>
    </row>
    <row r="39" spans="1:12" ht="15" customHeight="1">
      <c r="B39" s="116">
        <f t="shared" si="5"/>
        <v>46091.510416666664</v>
      </c>
      <c r="C39" s="117">
        <f t="shared" si="0"/>
        <v>46091.701388888891</v>
      </c>
      <c r="D39" s="116">
        <f t="shared" si="1"/>
        <v>3.4722222222222099E-3</v>
      </c>
      <c r="E39" s="120" t="str">
        <f t="shared" si="2"/>
        <v>Engine Fire-Up</v>
      </c>
      <c r="F39" s="118" t="str">
        <f t="shared" si="3"/>
        <v/>
      </c>
      <c r="G39" s="126">
        <f t="shared" si="6"/>
        <v>9</v>
      </c>
      <c r="H39" s="116" t="str">
        <f t="shared" si="4"/>
        <v/>
      </c>
      <c r="I39" s="117" t="str" cm="1">
        <f t="array" ref="I3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Calculators'!$B$2+ICS4Test!$E37,""))</f>
        <v/>
      </c>
      <c r="J39" s="116" t="str" cm="1">
        <f t="array" ref="J39">IF(I39="","",INDEX('Test schedule'!$H:$H,ROW()+7))</f>
        <v/>
      </c>
      <c r="K39" s="120" t="str" cm="1">
        <f t="array" ref="K39">IF(I39="","",INDEX('Test schedule'!$J:$J,ROW()+7))</f>
        <v/>
      </c>
      <c r="L39" s="129" t="str" cm="1">
        <f t="array" ref="L39">IF(OR(I39="",INDEX('Test schedule'!$T:$T,ROW()+7)=""),"",INDEX('Test schedule'!$T:$T,ROW()+7))</f>
        <v/>
      </c>
    </row>
    <row r="40" spans="1:12" ht="15" customHeight="1">
      <c r="B40" s="116">
        <f t="shared" si="5"/>
        <v>46091.701388888891</v>
      </c>
      <c r="C40" s="117">
        <f t="shared" si="0"/>
        <v>46091.711805555555</v>
      </c>
      <c r="D40" s="116" t="str">
        <f t="shared" si="1"/>
        <v/>
      </c>
      <c r="E40" s="120" t="str">
        <f t="shared" si="2"/>
        <v>Session Fuel in</v>
      </c>
      <c r="F40" s="118" t="str">
        <f t="shared" si="3"/>
        <v/>
      </c>
      <c r="G40" s="126">
        <f t="shared" si="6"/>
        <v>9</v>
      </c>
      <c r="H40" s="116" t="str">
        <f t="shared" si="4"/>
        <v/>
      </c>
      <c r="I40" s="117" t="str" cm="1">
        <f t="array" ref="I4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Calculators'!$B$2+ICS4Test!$E38,""))</f>
        <v/>
      </c>
      <c r="J40" s="116" t="str" cm="1">
        <f t="array" ref="J40">IF(I40="","",INDEX('Test schedule'!$H:$H,ROW()+7))</f>
        <v/>
      </c>
      <c r="K40" s="120" t="str" cm="1">
        <f t="array" ref="K40">IF(I40="","",INDEX('Test schedule'!$J:$J,ROW()+7))</f>
        <v/>
      </c>
      <c r="L40" s="129" t="str" cm="1">
        <f t="array" ref="L40">IF(OR(I40="",INDEX('Test schedule'!$T:$T,ROW()+7)=""),"",INDEX('Test schedule'!$T:$T,ROW()+7))</f>
        <v/>
      </c>
    </row>
    <row r="41" spans="1:12" ht="15" customHeight="1">
      <c r="B41" s="116">
        <f t="shared" si="5"/>
        <v>46091.684027777781</v>
      </c>
      <c r="C41" s="117">
        <f t="shared" si="0"/>
        <v>46091.725694444445</v>
      </c>
      <c r="D41" s="116" t="str">
        <f t="shared" si="1"/>
        <v/>
      </c>
      <c r="E41" s="120" t="str">
        <f t="shared" si="2"/>
        <v xml:space="preserve">Drivers PM    </v>
      </c>
      <c r="F41" s="118" t="str">
        <f t="shared" si="3"/>
        <v/>
      </c>
      <c r="G41" s="126">
        <f t="shared" si="6"/>
        <v>10</v>
      </c>
      <c r="H41" s="116">
        <f t="shared" si="4"/>
        <v>46089.659722222226</v>
      </c>
      <c r="I41" s="117" cm="1">
        <f t="array" ref="I4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Calculators'!$B$2+ICS4Test!$E39,""))</f>
        <v>46089.701388888891</v>
      </c>
      <c r="J41" s="116" cm="1">
        <f t="array" ref="J41">IF(I41="","",INDEX('Test schedule'!$H:$H,ROW()+7))</f>
        <v>3.4722222222222099E-3</v>
      </c>
      <c r="K41" s="120" t="str" cm="1">
        <f t="array" ref="K41">IF(I41="","",INDEX('Test schedule'!$J:$J,ROW()+7))</f>
        <v>Engine Fire-Up</v>
      </c>
      <c r="L41" s="129" t="str" cm="1">
        <f t="array" ref="L41">IF(OR(I41="",INDEX('Test schedule'!$T:$T,ROW()+7)=""),"",INDEX('Test schedule'!$T:$T,ROW()+7))</f>
        <v/>
      </c>
    </row>
    <row r="42" spans="1:12" ht="15" customHeight="1">
      <c r="B42" s="116">
        <f t="shared" si="5"/>
        <v>46091.708333333336</v>
      </c>
      <c r="C42" s="117">
        <f t="shared" si="0"/>
        <v>46091.75</v>
      </c>
      <c r="D42" s="116">
        <f t="shared" si="1"/>
        <v>0</v>
      </c>
      <c r="E42" s="120" t="str">
        <f t="shared" si="2"/>
        <v>Last Fire Up (Car on the Ground)</v>
      </c>
      <c r="F42" s="118" t="str">
        <f t="shared" si="3"/>
        <v/>
      </c>
      <c r="G42" s="126">
        <f t="shared" si="6"/>
        <v>11</v>
      </c>
      <c r="H42" s="116">
        <f t="shared" si="4"/>
        <v>46089.701388888891</v>
      </c>
      <c r="I42" s="117" cm="1">
        <f t="array" ref="I4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Calculators'!$B$2+ICS4Test!$E40,""))</f>
        <v>46089.711805555555</v>
      </c>
      <c r="J42" s="116" t="str" cm="1">
        <f t="array" ref="J42">IF(I42="","",INDEX('Test schedule'!$H:$H,ROW()+7))</f>
        <v/>
      </c>
      <c r="K42" s="120" t="str" cm="1">
        <f t="array" ref="K42">IF(I42="","",INDEX('Test schedule'!$J:$J,ROW()+7))</f>
        <v>Session Fuel in</v>
      </c>
      <c r="L42" s="129" t="str" cm="1">
        <f t="array" ref="L42">IF(OR(I42="",INDEX('Test schedule'!$T:$T,ROW()+7)=""),"",INDEX('Test schedule'!$T:$T,ROW()+7))</f>
        <v/>
      </c>
    </row>
    <row r="43" spans="1:12" ht="15" customHeight="1">
      <c r="A43" s="97"/>
      <c r="B43" s="116">
        <f t="shared" si="5"/>
        <v>46091.708333333336</v>
      </c>
      <c r="C43" s="117">
        <f t="shared" si="0"/>
        <v>46091.75</v>
      </c>
      <c r="D43" s="116" t="str">
        <f t="shared" si="1"/>
        <v/>
      </c>
      <c r="E43" s="120" t="str">
        <f t="shared" si="2"/>
        <v>Cars stand by</v>
      </c>
      <c r="F43" s="118" t="str">
        <f t="shared" si="3"/>
        <v/>
      </c>
      <c r="G43" s="126">
        <f t="shared" si="6"/>
        <v>11</v>
      </c>
      <c r="H43" s="116" t="str">
        <f t="shared" si="4"/>
        <v/>
      </c>
      <c r="I43" s="117" t="str" cm="1">
        <f t="array" ref="I4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Calculators'!$B$2+ICS4Test!$E41,""))</f>
        <v/>
      </c>
      <c r="J43" s="116" t="str" cm="1">
        <f t="array" ref="J43">IF(I43="","",INDEX('Test schedule'!$H:$H,ROW()+7))</f>
        <v/>
      </c>
      <c r="K43" s="120" t="str" cm="1">
        <f t="array" ref="K43">IF(I43="","",INDEX('Test schedule'!$J:$J,ROW()+7))</f>
        <v/>
      </c>
      <c r="L43" s="129" t="str" cm="1">
        <f t="array" ref="L43">IF(OR(I43="",INDEX('Test schedule'!$T:$T,ROW()+7)=""),"",INDEX('Test schedule'!$T:$T,ROW()+7))</f>
        <v/>
      </c>
    </row>
    <row r="44" spans="1:12" ht="15" customHeight="1">
      <c r="B44" s="116">
        <f t="shared" si="5"/>
        <v>46091.75</v>
      </c>
      <c r="C44" s="117">
        <f t="shared" si="0"/>
        <v>46091.760416666664</v>
      </c>
      <c r="D44" s="116" t="str">
        <f t="shared" si="1"/>
        <v/>
      </c>
      <c r="E44" s="120" t="str">
        <f t="shared" si="2"/>
        <v>Drivers ready in car</v>
      </c>
      <c r="F44" s="118" t="str">
        <f t="shared" si="3"/>
        <v/>
      </c>
      <c r="G44" s="126">
        <f t="shared" si="6"/>
        <v>12</v>
      </c>
      <c r="H44" s="116">
        <f t="shared" si="4"/>
        <v>46089.684027777781</v>
      </c>
      <c r="I44" s="117" cm="1">
        <f t="array" ref="I4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Calculators'!$B$2+ICS4Test!$E42,""))</f>
        <v>46089.725694444445</v>
      </c>
      <c r="J44" s="116" t="str" cm="1">
        <f t="array" ref="J44">IF(I44="","",INDEX('Test schedule'!$H:$H,ROW()+7))</f>
        <v/>
      </c>
      <c r="K44" s="120" t="str" cm="1">
        <f t="array" ref="K44">IF(I44="","",INDEX('Test schedule'!$J:$J,ROW()+7))</f>
        <v xml:space="preserve">Drivers PM    </v>
      </c>
      <c r="L44" s="129" t="str" cm="1">
        <f t="array" ref="L44">IF(OR(I44="",INDEX('Test schedule'!$T:$T,ROW()+7)=""),"",INDEX('Test schedule'!$T:$T,ROW()+7))</f>
        <v/>
      </c>
    </row>
    <row r="45" spans="1:12" ht="15" customHeight="1">
      <c r="B45" s="116" t="str">
        <f t="shared" si="5"/>
        <v>START</v>
      </c>
      <c r="C45" s="117" t="str">
        <f t="shared" si="0"/>
        <v>END</v>
      </c>
      <c r="D45" s="116" t="str">
        <f t="shared" si="1"/>
        <v>TOTAL</v>
      </c>
      <c r="E45" s="120" t="str">
        <f t="shared" si="2"/>
        <v>ACTIVITY</v>
      </c>
      <c r="F45" s="118" t="str">
        <f t="shared" si="3"/>
        <v>COMMENTS</v>
      </c>
      <c r="G45" s="126">
        <f t="shared" si="6"/>
        <v>12</v>
      </c>
      <c r="H45" s="116" t="str">
        <f t="shared" si="4"/>
        <v/>
      </c>
      <c r="I45" s="117" t="str" cm="1">
        <f t="array" ref="I4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Calculators'!$B$2+ICS4Test!$E43,""))</f>
        <v/>
      </c>
      <c r="J45" s="116" t="str" cm="1">
        <f t="array" ref="J45">IF(I45="","",INDEX('Test schedule'!$H:$H,ROW()+7))</f>
        <v/>
      </c>
      <c r="K45" s="120" t="str" cm="1">
        <f t="array" ref="K45">IF(I45="","",INDEX('Test schedule'!$J:$J,ROW()+7))</f>
        <v/>
      </c>
      <c r="L45" s="129" t="str" cm="1">
        <f t="array" ref="L45">IF(OR(I45="",INDEX('Test schedule'!$T:$T,ROW()+7)=""),"",INDEX('Test schedule'!$T:$T,ROW()+7))</f>
        <v/>
      </c>
    </row>
    <row r="46" spans="1:12" ht="15" customHeight="1">
      <c r="B46" s="116" t="str">
        <f t="shared" si="5"/>
        <v/>
      </c>
      <c r="C46" s="117" t="str">
        <f t="shared" si="0"/>
        <v/>
      </c>
      <c r="D46" s="116" t="str">
        <f t="shared" si="1"/>
        <v/>
      </c>
      <c r="E46" s="120" t="str">
        <f t="shared" si="2"/>
        <v/>
      </c>
      <c r="F46" s="118" t="str">
        <f t="shared" si="3"/>
        <v/>
      </c>
      <c r="G46" s="126">
        <f t="shared" si="6"/>
        <v>13</v>
      </c>
      <c r="H46" s="116">
        <f t="shared" si="4"/>
        <v>46089.708333333336</v>
      </c>
      <c r="I46" s="117" cm="1">
        <f t="array" ref="I4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Calculators'!$B$2+ICS4Test!$E44,""))</f>
        <v>46089.75</v>
      </c>
      <c r="J46" s="116" cm="1">
        <f t="array" ref="J46">IF(I46="","",INDEX('Test schedule'!$H:$H,ROW()+7))</f>
        <v>0</v>
      </c>
      <c r="K46" s="120" t="str" cm="1">
        <f t="array" ref="K46">IF(I46="","",INDEX('Test schedule'!$J:$J,ROW()+7))</f>
        <v>Last Fire Up (Car on the Ground)</v>
      </c>
      <c r="L46" s="129" t="str" cm="1">
        <f t="array" ref="L46">IF(OR(I46="",INDEX('Test schedule'!$T:$T,ROW()+7)=""),"",INDEX('Test schedule'!$T:$T,ROW()+7))</f>
        <v/>
      </c>
    </row>
    <row r="47" spans="1:12" ht="15" customHeight="1">
      <c r="B47" s="116" t="str">
        <f t="shared" si="5"/>
        <v/>
      </c>
      <c r="C47" s="117" t="str">
        <f t="shared" si="0"/>
        <v/>
      </c>
      <c r="D47" s="116" t="str">
        <f t="shared" si="1"/>
        <v/>
      </c>
      <c r="E47" s="120" t="str">
        <f t="shared" si="2"/>
        <v/>
      </c>
      <c r="F47" s="118" t="str">
        <f t="shared" si="3"/>
        <v/>
      </c>
      <c r="G47" s="126">
        <f t="shared" si="6"/>
        <v>14</v>
      </c>
      <c r="H47" s="116">
        <f t="shared" si="4"/>
        <v>46089.708333333336</v>
      </c>
      <c r="I47" s="117" cm="1">
        <f t="array" ref="I4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Calculators'!$B$2+ICS4Test!$E45,""))</f>
        <v>46089.75</v>
      </c>
      <c r="J47" s="116" t="str" cm="1">
        <f t="array" ref="J47">IF(I47="","",INDEX('Test schedule'!$H:$H,ROW()+7))</f>
        <v/>
      </c>
      <c r="K47" s="120" t="str" cm="1">
        <f t="array" ref="K47">IF(I47="","",INDEX('Test schedule'!$J:$J,ROW()+7))</f>
        <v>Cars stand by</v>
      </c>
      <c r="L47" s="129" t="str" cm="1">
        <f t="array" ref="L47">IF(OR(I47="",INDEX('Test schedule'!$T:$T,ROW()+7)=""),"",INDEX('Test schedule'!$T:$T,ROW()+7))</f>
        <v/>
      </c>
    </row>
    <row r="48" spans="1:12" ht="15" customHeight="1">
      <c r="B48" s="116" t="str">
        <f t="shared" si="5"/>
        <v/>
      </c>
      <c r="C48" s="117" t="str">
        <f t="shared" si="0"/>
        <v/>
      </c>
      <c r="D48" s="116" t="str">
        <f t="shared" si="1"/>
        <v/>
      </c>
      <c r="E48" s="120" t="str">
        <f t="shared" si="2"/>
        <v/>
      </c>
      <c r="F48" s="118" t="str">
        <f t="shared" si="3"/>
        <v/>
      </c>
      <c r="G48" s="126">
        <f t="shared" si="6"/>
        <v>15</v>
      </c>
      <c r="H48" s="116">
        <f t="shared" si="4"/>
        <v>46089.75</v>
      </c>
      <c r="I48" s="117" cm="1">
        <f t="array" ref="I4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Calculators'!$B$2+ICS4Test!$E46,""))</f>
        <v>46089.760416666664</v>
      </c>
      <c r="J48" s="116" t="str" cm="1">
        <f t="array" ref="J48">IF(I48="","",INDEX('Test schedule'!$H:$H,ROW()+7))</f>
        <v/>
      </c>
      <c r="K48" s="120" t="str" cm="1">
        <f t="array" ref="K48">IF(I48="","",INDEX('Test schedule'!$J:$J,ROW()+7))</f>
        <v>Drivers ready in car</v>
      </c>
      <c r="L48" s="129" t="str" cm="1">
        <f t="array" ref="L48">IF(OR(I48="",INDEX('Test schedule'!$T:$T,ROW()+7)=""),"",INDEX('Test schedule'!$T:$T,ROW()+7))</f>
        <v/>
      </c>
    </row>
    <row r="49" spans="2:12" ht="15" customHeight="1">
      <c r="B49" s="116" t="str">
        <f t="shared" si="5"/>
        <v/>
      </c>
      <c r="C49" s="117" t="str">
        <f t="shared" si="0"/>
        <v/>
      </c>
      <c r="D49" s="116" t="str">
        <f t="shared" si="1"/>
        <v/>
      </c>
      <c r="E49" s="120" t="str">
        <f t="shared" si="2"/>
        <v/>
      </c>
      <c r="F49" s="118" t="str">
        <f t="shared" si="3"/>
        <v/>
      </c>
      <c r="G49" s="126">
        <f t="shared" si="6"/>
        <v>15</v>
      </c>
      <c r="H49" s="116" t="str">
        <f t="shared" si="4"/>
        <v/>
      </c>
      <c r="I49" s="117" t="str" cm="1">
        <f t="array" ref="I4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Calculators'!$B$2+ICS4Test!$E47,""))</f>
        <v/>
      </c>
      <c r="J49" s="116" t="str" cm="1">
        <f t="array" ref="J49">IF(I49="","",INDEX('Test schedule'!$H:$H,ROW()+7))</f>
        <v/>
      </c>
      <c r="K49" s="120" t="str" cm="1">
        <f t="array" ref="K49">IF(I49="","",INDEX('Test schedule'!$J:$J,ROW()+7))</f>
        <v/>
      </c>
      <c r="L49" s="129" t="str" cm="1">
        <f t="array" ref="L49">IF(OR(I49="",INDEX('Test schedule'!$T:$T,ROW()+7)=""),"",INDEX('Test schedule'!$T:$T,ROW()+7))</f>
        <v/>
      </c>
    </row>
    <row r="50" spans="2:12" ht="15" customHeight="1">
      <c r="B50" s="116" t="str">
        <f t="shared" si="5"/>
        <v/>
      </c>
      <c r="C50" s="117" t="str">
        <f t="shared" si="0"/>
        <v/>
      </c>
      <c r="D50" s="116" t="str">
        <f t="shared" si="1"/>
        <v/>
      </c>
      <c r="E50" s="120" t="str">
        <f t="shared" si="2"/>
        <v/>
      </c>
      <c r="F50" s="118" t="str">
        <f t="shared" si="3"/>
        <v/>
      </c>
      <c r="G50" s="126">
        <f t="shared" si="6"/>
        <v>15</v>
      </c>
      <c r="H50" s="116" t="str">
        <f t="shared" si="4"/>
        <v/>
      </c>
      <c r="I50" s="117" t="str" cm="1">
        <f t="array" ref="I5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Calculators'!$B$2+ICS4Test!$E48,""))</f>
        <v/>
      </c>
      <c r="J50" s="116" t="str" cm="1">
        <f t="array" ref="J50">IF(I50="","",INDEX('Test schedule'!$H:$H,ROW()+7))</f>
        <v/>
      </c>
      <c r="K50" s="120" t="str" cm="1">
        <f t="array" ref="K50">IF(I50="","",INDEX('Test schedule'!$J:$J,ROW()+7))</f>
        <v/>
      </c>
      <c r="L50" s="129" t="str" cm="1">
        <f t="array" ref="L50">IF(OR(I50="",INDEX('Test schedule'!$T:$T,ROW()+7)=""),"",INDEX('Test schedule'!$T:$T,ROW()+7))</f>
        <v/>
      </c>
    </row>
    <row r="51" spans="2:12" ht="15" customHeight="1">
      <c r="B51" s="116" t="str">
        <f t="shared" si="5"/>
        <v/>
      </c>
      <c r="C51" s="117" t="str">
        <f t="shared" si="0"/>
        <v/>
      </c>
      <c r="D51" s="116" t="str">
        <f t="shared" si="1"/>
        <v/>
      </c>
      <c r="E51" s="120" t="str">
        <f t="shared" si="2"/>
        <v/>
      </c>
      <c r="F51" s="118" t="str">
        <f t="shared" si="3"/>
        <v/>
      </c>
      <c r="G51" s="126">
        <f t="shared" si="6"/>
        <v>15</v>
      </c>
      <c r="H51" s="116" t="str">
        <f t="shared" si="4"/>
        <v/>
      </c>
      <c r="I51" s="117" t="str" cm="1">
        <f t="array" ref="I5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Calculators'!$B$2+ICS4Test!$E49,""))</f>
        <v/>
      </c>
      <c r="J51" s="116" t="str" cm="1">
        <f t="array" ref="J51">IF(I51="","",INDEX('Test schedule'!$H:$H,ROW()+7))</f>
        <v/>
      </c>
      <c r="K51" s="120" t="str" cm="1">
        <f t="array" ref="K51">IF(I51="","",INDEX('Test schedule'!$J:$J,ROW()+7))</f>
        <v/>
      </c>
      <c r="L51" s="129" t="str" cm="1">
        <f t="array" ref="L51">IF(OR(I51="",INDEX('Test schedule'!$T:$T,ROW()+7)=""),"",INDEX('Test schedule'!$T:$T,ROW()+7))</f>
        <v/>
      </c>
    </row>
    <row r="52" spans="2:12" ht="15" customHeight="1">
      <c r="B52" s="116" t="str">
        <f t="shared" si="5"/>
        <v/>
      </c>
      <c r="C52" s="117" t="str">
        <f t="shared" si="0"/>
        <v/>
      </c>
      <c r="D52" s="116" t="str">
        <f t="shared" si="1"/>
        <v/>
      </c>
      <c r="E52" s="120" t="str">
        <f t="shared" si="2"/>
        <v/>
      </c>
      <c r="F52" s="118" t="str">
        <f t="shared" si="3"/>
        <v/>
      </c>
      <c r="G52" s="126">
        <f t="shared" si="6"/>
        <v>15</v>
      </c>
      <c r="H52" s="116" t="str">
        <f t="shared" si="4"/>
        <v/>
      </c>
      <c r="I52" s="117" t="str" cm="1">
        <f t="array" ref="I5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Calculators'!$B$2+ICS4Test!$E50,""))</f>
        <v/>
      </c>
      <c r="J52" s="116" t="str" cm="1">
        <f t="array" ref="J52">IF(I52="","",INDEX('Test schedule'!$H:$H,ROW()+7))</f>
        <v/>
      </c>
      <c r="K52" s="120" t="str" cm="1">
        <f t="array" ref="K52">IF(I52="","",INDEX('Test schedule'!$J:$J,ROW()+7))</f>
        <v/>
      </c>
      <c r="L52" s="129" t="str" cm="1">
        <f t="array" ref="L52">IF(OR(I52="",INDEX('Test schedule'!$T:$T,ROW()+7)=""),"",INDEX('Test schedule'!$T:$T,ROW()+7))</f>
        <v/>
      </c>
    </row>
    <row r="53" spans="2:12" ht="15" customHeight="1">
      <c r="B53" s="116" t="str">
        <f t="shared" si="5"/>
        <v/>
      </c>
      <c r="C53" s="117" t="str">
        <f t="shared" si="0"/>
        <v/>
      </c>
      <c r="D53" s="116" t="str">
        <f t="shared" si="1"/>
        <v/>
      </c>
      <c r="E53" s="120" t="str">
        <f t="shared" si="2"/>
        <v/>
      </c>
      <c r="F53" s="118" t="str">
        <f t="shared" si="3"/>
        <v/>
      </c>
      <c r="G53" s="126">
        <f t="shared" si="6"/>
        <v>16</v>
      </c>
      <c r="H53" s="116" t="str">
        <f t="shared" si="4"/>
        <v>START</v>
      </c>
      <c r="I53" s="117" t="str" cm="1">
        <f t="array" ref="I5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Calculators'!$B$2+ICS4Test!$E51,""))</f>
        <v>END</v>
      </c>
      <c r="J53" s="116" t="str" cm="1">
        <f t="array" ref="J53">IF(I53="","",INDEX('Test schedule'!$H:$H,ROW()+7))</f>
        <v>TOTAL</v>
      </c>
      <c r="K53" s="120" t="str" cm="1">
        <f t="array" ref="K53">IF(I53="","",INDEX('Test schedule'!$J:$J,ROW()+7))</f>
        <v>ACTIVITY</v>
      </c>
      <c r="L53" s="129" t="str" cm="1">
        <f t="array" ref="L53">IF(OR(I53="",INDEX('Test schedule'!$T:$T,ROW()+7)=""),"",INDEX('Test schedule'!$T:$T,ROW()+7))</f>
        <v>COMMENTS</v>
      </c>
    </row>
    <row r="54" spans="2:12" ht="15" customHeight="1">
      <c r="B54" s="116" t="str">
        <f t="shared" si="5"/>
        <v/>
      </c>
      <c r="C54" s="117" t="str">
        <f t="shared" si="0"/>
        <v/>
      </c>
      <c r="D54" s="116" t="str">
        <f t="shared" si="1"/>
        <v/>
      </c>
      <c r="E54" s="120" t="str">
        <f t="shared" si="2"/>
        <v/>
      </c>
      <c r="F54" s="118" t="str">
        <f t="shared" si="3"/>
        <v/>
      </c>
      <c r="G54" s="126">
        <f t="shared" si="6"/>
        <v>17</v>
      </c>
      <c r="H54" s="116">
        <f t="shared" si="4"/>
        <v>46090.409722222226</v>
      </c>
      <c r="I54" s="117" cm="1">
        <f t="array" ref="I5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Calculators'!$B$2+ICS4Test!$E52,""))</f>
        <v>46090.451388888891</v>
      </c>
      <c r="J54" s="116" cm="1">
        <f t="array" ref="J54">IF(I54="","",INDEX('Test schedule'!$H:$H,ROW()+7))</f>
        <v>6.9444444444443643E-3</v>
      </c>
      <c r="K54" s="120" t="str" cm="1">
        <f t="array" ref="K54">IF(I54="","",INDEX('Test schedule'!$J:$J,ROW()+7))</f>
        <v>Engine Warm-up</v>
      </c>
      <c r="L54" s="129" t="str" cm="1">
        <f t="array" ref="L54">IF(OR(I54="",INDEX('Test schedule'!$T:$T,ROW()+7)=""),"",INDEX('Test schedule'!$T:$T,ROW()+7))</f>
        <v/>
      </c>
    </row>
    <row r="55" spans="2:12" ht="15" customHeight="1">
      <c r="B55" s="116" t="str">
        <f t="shared" si="5"/>
        <v/>
      </c>
      <c r="C55" s="117" t="str">
        <f t="shared" si="0"/>
        <v/>
      </c>
      <c r="D55" s="116" t="str">
        <f t="shared" si="1"/>
        <v/>
      </c>
      <c r="E55" s="120" t="str">
        <f t="shared" si="2"/>
        <v/>
      </c>
      <c r="F55" s="118" t="str">
        <f t="shared" si="3"/>
        <v/>
      </c>
      <c r="G55" s="126">
        <f t="shared" si="6"/>
        <v>17</v>
      </c>
      <c r="H55" s="116" t="str">
        <f t="shared" si="4"/>
        <v/>
      </c>
      <c r="I55" s="117" t="str" cm="1">
        <f t="array" ref="I5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Calculators'!$B$2+ICS4Test!$E53,""))</f>
        <v/>
      </c>
      <c r="J55" s="116" t="str" cm="1">
        <f t="array" ref="J55">IF(I55="","",INDEX('Test schedule'!$H:$H,ROW()+7))</f>
        <v/>
      </c>
      <c r="K55" s="120" t="str" cm="1">
        <f t="array" ref="K55">IF(I55="","",INDEX('Test schedule'!$J:$J,ROW()+7))</f>
        <v/>
      </c>
      <c r="L55" s="129" t="str" cm="1">
        <f t="array" ref="L55">IF(OR(I55="",INDEX('Test schedule'!$T:$T,ROW()+7)=""),"",INDEX('Test schedule'!$T:$T,ROW()+7))</f>
        <v/>
      </c>
    </row>
    <row r="56" spans="2:12" ht="15" customHeight="1">
      <c r="B56" s="116" t="str">
        <f t="shared" si="5"/>
        <v/>
      </c>
      <c r="C56" s="117" t="str">
        <f t="shared" si="0"/>
        <v/>
      </c>
      <c r="D56" s="116" t="str">
        <f t="shared" si="1"/>
        <v/>
      </c>
      <c r="E56" s="120" t="str">
        <f t="shared" si="2"/>
        <v/>
      </c>
      <c r="F56" s="118" t="str">
        <f t="shared" si="3"/>
        <v/>
      </c>
      <c r="G56" s="126">
        <f t="shared" si="6"/>
        <v>18</v>
      </c>
      <c r="H56" s="116">
        <f t="shared" si="4"/>
        <v>46090.420138888891</v>
      </c>
      <c r="I56" s="117" cm="1">
        <f t="array" ref="I5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Calculators'!$B$2+ICS4Test!$E54,""))</f>
        <v>46090.461805555555</v>
      </c>
      <c r="J56" s="116" t="str" cm="1">
        <f t="array" ref="J56">IF(I56="","",INDEX('Test schedule'!$H:$H,ROW()+7))</f>
        <v/>
      </c>
      <c r="K56" s="120" t="str" cm="1">
        <f t="array" ref="K56">IF(I56="","",INDEX('Test schedule'!$J:$J,ROW()+7))</f>
        <v>Session Fuel in</v>
      </c>
      <c r="L56" s="129" t="str" cm="1">
        <f t="array" ref="L56">IF(OR(I56="",INDEX('Test schedule'!$T:$T,ROW()+7)=""),"",INDEX('Test schedule'!$T:$T,ROW()+7))</f>
        <v/>
      </c>
    </row>
    <row r="57" spans="2:12" ht="15" customHeight="1">
      <c r="B57" s="116" t="str">
        <f t="shared" si="5"/>
        <v/>
      </c>
      <c r="C57" s="117" t="str">
        <f t="shared" si="0"/>
        <v/>
      </c>
      <c r="D57" s="116" t="str">
        <f t="shared" si="1"/>
        <v/>
      </c>
      <c r="E57" s="120" t="str">
        <f t="shared" si="2"/>
        <v/>
      </c>
      <c r="F57" s="118" t="str">
        <f t="shared" si="3"/>
        <v/>
      </c>
      <c r="G57" s="126">
        <f t="shared" si="6"/>
        <v>18</v>
      </c>
      <c r="H57" s="116" t="str">
        <f t="shared" si="4"/>
        <v/>
      </c>
      <c r="I57" s="117" t="str" cm="1">
        <f t="array" ref="I5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Calculators'!$B$2+ICS4Test!$E55,""))</f>
        <v/>
      </c>
      <c r="J57" s="116" t="str" cm="1">
        <f t="array" ref="J57">IF(I57="","",INDEX('Test schedule'!$H:$H,ROW()+7))</f>
        <v/>
      </c>
      <c r="K57" s="120" t="str" cm="1">
        <f t="array" ref="K57">IF(I57="","",INDEX('Test schedule'!$J:$J,ROW()+7))</f>
        <v/>
      </c>
      <c r="L57" s="129" t="str" cm="1">
        <f t="array" ref="L57">IF(OR(I57="",INDEX('Test schedule'!$T:$T,ROW()+7)=""),"",INDEX('Test schedule'!$T:$T,ROW()+7))</f>
        <v/>
      </c>
    </row>
    <row r="58" spans="2:12" ht="15" customHeight="1">
      <c r="B58" s="116" t="str">
        <f t="shared" si="5"/>
        <v/>
      </c>
      <c r="C58" s="117" t="str">
        <f t="shared" si="0"/>
        <v/>
      </c>
      <c r="D58" s="116" t="str">
        <f t="shared" si="1"/>
        <v/>
      </c>
      <c r="E58" s="120" t="str">
        <f t="shared" si="2"/>
        <v/>
      </c>
      <c r="F58" s="118" t="str">
        <f t="shared" si="3"/>
        <v/>
      </c>
      <c r="G58" s="126">
        <f t="shared" si="6"/>
        <v>19</v>
      </c>
      <c r="H58" s="116">
        <f t="shared" si="4"/>
        <v>46090.434027777781</v>
      </c>
      <c r="I58" s="117" cm="1">
        <f t="array" ref="I5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Calculators'!$B$2+ICS4Test!$E56,""))</f>
        <v>46090.475694444445</v>
      </c>
      <c r="J58" s="116" t="str" cm="1">
        <f t="array" ref="J58">IF(I58="","",INDEX('Test schedule'!$H:$H,ROW()+7))</f>
        <v/>
      </c>
      <c r="K58" s="120" t="str" cm="1">
        <f t="array" ref="K58">IF(I58="","",INDEX('Test schedule'!$J:$J,ROW()+7))</f>
        <v xml:space="preserve">Drivers PM    </v>
      </c>
      <c r="L58" s="129" t="str" cm="1">
        <f t="array" ref="L58">IF(OR(I58="",INDEX('Test schedule'!$T:$T,ROW()+7)=""),"",INDEX('Test schedule'!$T:$T,ROW()+7))</f>
        <v/>
      </c>
    </row>
    <row r="59" spans="2:12" ht="15" customHeight="1">
      <c r="B59" s="116" t="str">
        <f t="shared" si="5"/>
        <v/>
      </c>
      <c r="C59" s="117" t="str">
        <f t="shared" si="0"/>
        <v/>
      </c>
      <c r="D59" s="116" t="str">
        <f t="shared" si="1"/>
        <v/>
      </c>
      <c r="E59" s="120" t="str">
        <f t="shared" si="2"/>
        <v/>
      </c>
      <c r="F59" s="118" t="str">
        <f t="shared" si="3"/>
        <v/>
      </c>
      <c r="G59" s="126">
        <f t="shared" si="6"/>
        <v>19</v>
      </c>
      <c r="H59" s="116" t="str">
        <f t="shared" si="4"/>
        <v/>
      </c>
      <c r="I59" s="117" t="str" cm="1">
        <f t="array" ref="I5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Calculators'!$B$2+ICS4Test!$E57,""))</f>
        <v/>
      </c>
      <c r="J59" s="116" t="str" cm="1">
        <f t="array" ref="J59">IF(I59="","",INDEX('Test schedule'!$H:$H,ROW()+7))</f>
        <v/>
      </c>
      <c r="K59" s="120" t="str" cm="1">
        <f t="array" ref="K59">IF(I59="","",INDEX('Test schedule'!$J:$J,ROW()+7))</f>
        <v/>
      </c>
      <c r="L59" s="129" t="str" cm="1">
        <f t="array" ref="L59">IF(OR(I59="",INDEX('Test schedule'!$T:$T,ROW()+7)=""),"",INDEX('Test schedule'!$T:$T,ROW()+7))</f>
        <v/>
      </c>
    </row>
    <row r="60" spans="2:12" ht="15" customHeight="1">
      <c r="B60" s="116" t="str">
        <f t="shared" si="5"/>
        <v/>
      </c>
      <c r="C60" s="117" t="str">
        <f t="shared" si="0"/>
        <v/>
      </c>
      <c r="D60" s="116" t="str">
        <f t="shared" si="1"/>
        <v/>
      </c>
      <c r="E60" s="120" t="str">
        <f t="shared" si="2"/>
        <v/>
      </c>
      <c r="F60" s="118" t="str">
        <f t="shared" si="3"/>
        <v/>
      </c>
      <c r="G60" s="126">
        <f t="shared" si="6"/>
        <v>19</v>
      </c>
      <c r="H60" s="116" t="str">
        <f t="shared" si="4"/>
        <v/>
      </c>
      <c r="I60" s="117" t="str" cm="1">
        <f t="array" ref="I6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Calculators'!$B$2+ICS4Test!$E58,""))</f>
        <v/>
      </c>
      <c r="J60" s="116" t="str" cm="1">
        <f t="array" ref="J60">IF(I60="","",INDEX('Test schedule'!$H:$H,ROW()+7))</f>
        <v/>
      </c>
      <c r="K60" s="120" t="str" cm="1">
        <f t="array" ref="K60">IF(I60="","",INDEX('Test schedule'!$J:$J,ROW()+7))</f>
        <v/>
      </c>
      <c r="L60" s="129" t="str" cm="1">
        <f t="array" ref="L60">IF(OR(I60="",INDEX('Test schedule'!$T:$T,ROW()+7)=""),"",INDEX('Test schedule'!$T:$T,ROW()+7))</f>
        <v/>
      </c>
    </row>
    <row r="61" spans="2:12" ht="15" customHeight="1">
      <c r="B61" s="116" t="str">
        <f t="shared" si="5"/>
        <v/>
      </c>
      <c r="C61" s="117" t="str">
        <f t="shared" si="0"/>
        <v/>
      </c>
      <c r="D61" s="116" t="str">
        <f t="shared" si="1"/>
        <v/>
      </c>
      <c r="E61" s="120" t="str">
        <f t="shared" si="2"/>
        <v/>
      </c>
      <c r="F61" s="118" t="str">
        <f t="shared" si="3"/>
        <v/>
      </c>
      <c r="G61" s="126">
        <f t="shared" si="6"/>
        <v>20</v>
      </c>
      <c r="H61" s="116">
        <f t="shared" si="4"/>
        <v>46090.458333333336</v>
      </c>
      <c r="I61" s="117" cm="1">
        <f t="array" ref="I6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Calculators'!$B$2+ICS4Test!$E59,""))</f>
        <v>46090.5</v>
      </c>
      <c r="J61" s="116" cm="1">
        <f t="array" ref="J61">IF(I61="","",INDEX('Test schedule'!$H:$H,ROW()+7))</f>
        <v>0</v>
      </c>
      <c r="K61" s="120" t="str" cm="1">
        <f t="array" ref="K61">IF(I61="","",INDEX('Test schedule'!$J:$J,ROW()+7))</f>
        <v>Last Fire Up (Car on the Ground)</v>
      </c>
      <c r="L61" s="129" t="str" cm="1">
        <f t="array" ref="L61">IF(OR(I61="",INDEX('Test schedule'!$T:$T,ROW()+7)=""),"",INDEX('Test schedule'!$T:$T,ROW()+7))</f>
        <v/>
      </c>
    </row>
    <row r="62" spans="2:12" ht="15" customHeight="1">
      <c r="B62" s="116" t="str">
        <f t="shared" si="5"/>
        <v/>
      </c>
      <c r="C62" s="117" t="str">
        <f t="shared" si="0"/>
        <v/>
      </c>
      <c r="D62" s="116" t="str">
        <f t="shared" si="1"/>
        <v/>
      </c>
      <c r="E62" s="120" t="str">
        <f t="shared" si="2"/>
        <v/>
      </c>
      <c r="F62" s="118" t="str">
        <f t="shared" si="3"/>
        <v/>
      </c>
      <c r="G62" s="126">
        <f t="shared" si="6"/>
        <v>21</v>
      </c>
      <c r="H62" s="116">
        <f t="shared" si="4"/>
        <v>46090.458333333336</v>
      </c>
      <c r="I62" s="117" cm="1">
        <f t="array" ref="I6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Calculators'!$B$2+ICS4Test!$E60,""))</f>
        <v>46090.5</v>
      </c>
      <c r="J62" s="116" t="str" cm="1">
        <f t="array" ref="J62">IF(I62="","",INDEX('Test schedule'!$H:$H,ROW()+7))</f>
        <v/>
      </c>
      <c r="K62" s="120" t="str" cm="1">
        <f t="array" ref="K62">IF(I62="","",INDEX('Test schedule'!$J:$J,ROW()+7))</f>
        <v>Cars stand by</v>
      </c>
      <c r="L62" s="129" t="str" cm="1">
        <f t="array" ref="L62">IF(OR(I62="",INDEX('Test schedule'!$T:$T,ROW()+7)=""),"",INDEX('Test schedule'!$T:$T,ROW()+7))</f>
        <v/>
      </c>
    </row>
    <row r="63" spans="2:12" ht="15" customHeight="1">
      <c r="B63" s="116" t="str">
        <f t="shared" si="5"/>
        <v/>
      </c>
      <c r="C63" s="117" t="str">
        <f t="shared" si="0"/>
        <v/>
      </c>
      <c r="D63" s="116" t="str">
        <f t="shared" si="1"/>
        <v/>
      </c>
      <c r="E63" s="120" t="str">
        <f t="shared" si="2"/>
        <v/>
      </c>
      <c r="F63" s="118" t="str">
        <f t="shared" si="3"/>
        <v/>
      </c>
      <c r="G63" s="126">
        <f t="shared" si="6"/>
        <v>22</v>
      </c>
      <c r="H63" s="116">
        <f t="shared" si="4"/>
        <v>46090.5</v>
      </c>
      <c r="I63" s="117" cm="1">
        <f t="array" ref="I6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Calculators'!$B$2+ICS4Test!$E61,""))</f>
        <v>46090.510416666664</v>
      </c>
      <c r="J63" s="116" t="str" cm="1">
        <f t="array" ref="J63">IF(I63="","",INDEX('Test schedule'!$H:$H,ROW()+7))</f>
        <v/>
      </c>
      <c r="K63" s="120" t="str" cm="1">
        <f t="array" ref="K63">IF(I63="","",INDEX('Test schedule'!$J:$J,ROW()+7))</f>
        <v>Drivers ready in car</v>
      </c>
      <c r="L63" s="129" t="str" cm="1">
        <f t="array" ref="L63">IF(OR(I63="",INDEX('Test schedule'!$T:$T,ROW()+7)=""),"",INDEX('Test schedule'!$T:$T,ROW()+7))</f>
        <v/>
      </c>
    </row>
    <row r="64" spans="2:12" ht="15" customHeight="1">
      <c r="B64" s="116" t="str">
        <f t="shared" si="5"/>
        <v/>
      </c>
      <c r="C64" s="117" t="str">
        <f t="shared" si="0"/>
        <v/>
      </c>
      <c r="D64" s="116" t="str">
        <f t="shared" si="1"/>
        <v/>
      </c>
      <c r="E64" s="120" t="str">
        <f t="shared" si="2"/>
        <v/>
      </c>
      <c r="F64" s="118" t="str">
        <f t="shared" si="3"/>
        <v/>
      </c>
      <c r="G64" s="126">
        <f t="shared" si="6"/>
        <v>22</v>
      </c>
      <c r="H64" s="116" t="str">
        <f t="shared" si="4"/>
        <v/>
      </c>
      <c r="I64" s="117" t="str" cm="1">
        <f t="array" ref="I6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Calculators'!$B$2+ICS4Test!$E62,""))</f>
        <v/>
      </c>
      <c r="J64" s="116" t="str" cm="1">
        <f t="array" ref="J64">IF(I64="","",INDEX('Test schedule'!$H:$H,ROW()+7))</f>
        <v/>
      </c>
      <c r="K64" s="120" t="str" cm="1">
        <f t="array" ref="K64">IF(I64="","",INDEX('Test schedule'!$J:$J,ROW()+7))</f>
        <v/>
      </c>
      <c r="L64" s="129" t="str" cm="1">
        <f t="array" ref="L64">IF(OR(I64="",INDEX('Test schedule'!$T:$T,ROW()+7)=""),"",INDEX('Test schedule'!$T:$T,ROW()+7))</f>
        <v/>
      </c>
    </row>
    <row r="65" spans="2:12" ht="15" customHeight="1">
      <c r="B65" s="116" t="str">
        <f t="shared" si="5"/>
        <v/>
      </c>
      <c r="C65" s="117" t="str">
        <f t="shared" si="0"/>
        <v/>
      </c>
      <c r="D65" s="116" t="str">
        <f t="shared" si="1"/>
        <v/>
      </c>
      <c r="E65" s="120" t="str">
        <f t="shared" si="2"/>
        <v/>
      </c>
      <c r="F65" s="118" t="str">
        <f t="shared" si="3"/>
        <v/>
      </c>
      <c r="G65" s="126">
        <f t="shared" si="6"/>
        <v>22</v>
      </c>
      <c r="H65" s="116" t="str">
        <f t="shared" si="4"/>
        <v/>
      </c>
      <c r="I65" s="117" t="str" cm="1">
        <f t="array" ref="I6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Calculators'!$B$2+ICS4Test!$E63,""))</f>
        <v/>
      </c>
      <c r="J65" s="116" t="str" cm="1">
        <f t="array" ref="J65">IF(I65="","",INDEX('Test schedule'!$H:$H,ROW()+7))</f>
        <v/>
      </c>
      <c r="K65" s="120" t="str" cm="1">
        <f t="array" ref="K65">IF(I65="","",INDEX('Test schedule'!$J:$J,ROW()+7))</f>
        <v/>
      </c>
      <c r="L65" s="129" t="str" cm="1">
        <f t="array" ref="L65">IF(OR(I65="",INDEX('Test schedule'!$T:$T,ROW()+7)=""),"",INDEX('Test schedule'!$T:$T,ROW()+7))</f>
        <v/>
      </c>
    </row>
    <row r="66" spans="2:12" ht="15" customHeight="1">
      <c r="B66" s="116" t="str">
        <f t="shared" si="5"/>
        <v/>
      </c>
      <c r="C66" s="117" t="str">
        <f t="shared" si="0"/>
        <v/>
      </c>
      <c r="D66" s="116" t="str">
        <f t="shared" si="1"/>
        <v/>
      </c>
      <c r="E66" s="120" t="str">
        <f t="shared" si="2"/>
        <v/>
      </c>
      <c r="F66" s="118" t="str">
        <f t="shared" si="3"/>
        <v/>
      </c>
      <c r="G66" s="126">
        <f t="shared" si="6"/>
        <v>23</v>
      </c>
      <c r="H66" s="116">
        <f t="shared" si="4"/>
        <v>46090.659722222226</v>
      </c>
      <c r="I66" s="117" cm="1">
        <f t="array" ref="I6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Calculators'!$B$2+ICS4Test!$E64,""))</f>
        <v>46090.701388888891</v>
      </c>
      <c r="J66" s="116" cm="1">
        <f t="array" ref="J66">IF(I66="","",INDEX('Test schedule'!$H:$H,ROW()+7))</f>
        <v>3.4722222222222099E-3</v>
      </c>
      <c r="K66" s="120" t="str" cm="1">
        <f t="array" ref="K66">IF(I66="","",INDEX('Test schedule'!$J:$J,ROW()+7))</f>
        <v>Engine Fire-Up</v>
      </c>
      <c r="L66" s="129" t="str" cm="1">
        <f t="array" ref="L66">IF(OR(I66="",INDEX('Test schedule'!$T:$T,ROW()+7)=""),"",INDEX('Test schedule'!$T:$T,ROW()+7))</f>
        <v/>
      </c>
    </row>
    <row r="67" spans="2:12" ht="15" customHeight="1">
      <c r="B67" s="116" t="str">
        <f t="shared" si="5"/>
        <v/>
      </c>
      <c r="C67" s="117" t="str">
        <f t="shared" si="0"/>
        <v/>
      </c>
      <c r="D67" s="116" t="str">
        <f t="shared" si="1"/>
        <v/>
      </c>
      <c r="E67" s="120" t="str">
        <f t="shared" si="2"/>
        <v/>
      </c>
      <c r="F67" s="118" t="str">
        <f t="shared" si="3"/>
        <v/>
      </c>
      <c r="G67" s="126">
        <f t="shared" si="6"/>
        <v>24</v>
      </c>
      <c r="H67" s="116">
        <f t="shared" si="4"/>
        <v>46090.701388888891</v>
      </c>
      <c r="I67" s="117" cm="1">
        <f t="array" ref="I6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Calculators'!$B$2+ICS4Test!$E65,""))</f>
        <v>46090.711805555555</v>
      </c>
      <c r="J67" s="116" t="str" cm="1">
        <f t="array" ref="J67">IF(I67="","",INDEX('Test schedule'!$H:$H,ROW()+7))</f>
        <v/>
      </c>
      <c r="K67" s="120" t="str" cm="1">
        <f t="array" ref="K67">IF(I67="","",INDEX('Test schedule'!$J:$J,ROW()+7))</f>
        <v>Session Fuel in</v>
      </c>
      <c r="L67" s="129" t="str" cm="1">
        <f t="array" ref="L67">IF(OR(I67="",INDEX('Test schedule'!$T:$T,ROW()+7)=""),"",INDEX('Test schedule'!$T:$T,ROW()+7))</f>
        <v/>
      </c>
    </row>
    <row r="68" spans="2:12" ht="15" customHeight="1">
      <c r="B68" s="116" t="str">
        <f t="shared" si="5"/>
        <v/>
      </c>
      <c r="C68" s="117" t="str">
        <f t="shared" ref="C68:C131" si="7">IFERROR(INDEX($I$4:$I$500,MATCH(ROW()-3,$G$4:$G$500,0)),"")</f>
        <v/>
      </c>
      <c r="D68" s="116" t="str">
        <f t="shared" ref="D68:D131" si="8">IFERROR(INDEX($J$4:$J$500,MATCH(ROW()-3,$G$4:$G$500,0)),"")</f>
        <v/>
      </c>
      <c r="E68" s="120" t="str">
        <f t="shared" ref="E68:E131" si="9">IFERROR(INDEX($K$4:$K$500,MATCH(ROW()-3,$G$4:$G$500,0)),"")</f>
        <v/>
      </c>
      <c r="F68" s="118" t="str">
        <f t="shared" ref="F68:F131" si="10">IFERROR(INDEX($L$4:$L$500,MATCH(ROW()-3,$G$4:$G$500,0)),"")</f>
        <v/>
      </c>
      <c r="G68" s="126">
        <f t="shared" si="6"/>
        <v>24</v>
      </c>
      <c r="H68" s="116" t="str">
        <f t="shared" ref="H68:H107" si="11">IF(I68="","",IF(I68="END","START",IF(OR(I67="END",I67=I68,I67=""),IF(OR(H67="",H67="START"),I68-$U$3,H67),IFERROR(IF(I67&gt;I68,I68-$U$3,I67),I67))))</f>
        <v/>
      </c>
      <c r="I68" s="117" t="str" cm="1">
        <f t="array" ref="I6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Calculators'!$B$2+ICS4Test!$E66,""))</f>
        <v/>
      </c>
      <c r="J68" s="116" t="str" cm="1">
        <f t="array" ref="J68">IF(I68="","",INDEX('Test schedule'!$H:$H,ROW()+7))</f>
        <v/>
      </c>
      <c r="K68" s="120" t="str" cm="1">
        <f t="array" ref="K68">IF(I68="","",INDEX('Test schedule'!$J:$J,ROW()+7))</f>
        <v/>
      </c>
      <c r="L68" s="129" t="str" cm="1">
        <f t="array" ref="L68">IF(OR(I68="",INDEX('Test schedule'!$T:$T,ROW()+7)=""),"",INDEX('Test schedule'!$T:$T,ROW()+7))</f>
        <v/>
      </c>
    </row>
    <row r="69" spans="2:12" ht="15" customHeight="1">
      <c r="B69" s="116" t="str">
        <f t="shared" ref="B69:B132" si="12">IFERROR(IF(AND(INDEX($H$4:$H$500,MATCH(ROW()-3,$G$4:$G$500,0))&gt;C68,INDEX($I$4:$I$500,MATCH(ROW()-3,$G$4:$G$500,0))&lt;&gt;"END"),C68,INDEX($H$4:$H$500,MATCH(ROW()-3,$G$4:$G$500,0))),"")</f>
        <v/>
      </c>
      <c r="C69" s="117" t="str">
        <f t="shared" si="7"/>
        <v/>
      </c>
      <c r="D69" s="116" t="str">
        <f t="shared" si="8"/>
        <v/>
      </c>
      <c r="E69" s="120" t="str">
        <f t="shared" si="9"/>
        <v/>
      </c>
      <c r="F69" s="118" t="str">
        <f t="shared" si="10"/>
        <v/>
      </c>
      <c r="G69" s="126">
        <f t="shared" ref="G69:G132" si="13">G68+IF(I69&lt;&gt;"",1,0)</f>
        <v>25</v>
      </c>
      <c r="H69" s="116">
        <f t="shared" si="11"/>
        <v>46090.684027777781</v>
      </c>
      <c r="I69" s="117" cm="1">
        <f t="array" ref="I6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Calculators'!$B$2+ICS4Test!$E67,""))</f>
        <v>46090.725694444445</v>
      </c>
      <c r="J69" s="116" t="str" cm="1">
        <f t="array" ref="J69">IF(I69="","",INDEX('Test schedule'!$H:$H,ROW()+7))</f>
        <v/>
      </c>
      <c r="K69" s="120" t="str" cm="1">
        <f t="array" ref="K69">IF(I69="","",INDEX('Test schedule'!$J:$J,ROW()+7))</f>
        <v xml:space="preserve">Drivers PM    </v>
      </c>
      <c r="L69" s="129" t="str" cm="1">
        <f t="array" ref="L69">IF(OR(I69="",INDEX('Test schedule'!$T:$T,ROW()+7)=""),"",INDEX('Test schedule'!$T:$T,ROW()+7))</f>
        <v/>
      </c>
    </row>
    <row r="70" spans="2:12" ht="15" customHeight="1">
      <c r="B70" s="116" t="str">
        <f t="shared" si="12"/>
        <v/>
      </c>
      <c r="C70" s="117" t="str">
        <f t="shared" si="7"/>
        <v/>
      </c>
      <c r="D70" s="116" t="str">
        <f t="shared" si="8"/>
        <v/>
      </c>
      <c r="E70" s="120" t="str">
        <f t="shared" si="9"/>
        <v/>
      </c>
      <c r="F70" s="118" t="str">
        <f t="shared" si="10"/>
        <v/>
      </c>
      <c r="G70" s="126">
        <f t="shared" si="13"/>
        <v>25</v>
      </c>
      <c r="H70" s="116" t="str">
        <f t="shared" si="11"/>
        <v/>
      </c>
      <c r="I70" s="117" t="str" cm="1">
        <f t="array" ref="I7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Calculators'!$B$2+ICS4Test!$E68,""))</f>
        <v/>
      </c>
      <c r="J70" s="116" t="str" cm="1">
        <f t="array" ref="J70">IF(I70="","",INDEX('Test schedule'!$H:$H,ROW()+7))</f>
        <v/>
      </c>
      <c r="K70" s="120" t="str" cm="1">
        <f t="array" ref="K70">IF(I70="","",INDEX('Test schedule'!$J:$J,ROW()+7))</f>
        <v/>
      </c>
      <c r="L70" s="129" t="str" cm="1">
        <f t="array" ref="L70">IF(OR(I70="",INDEX('Test schedule'!$T:$T,ROW()+7)=""),"",INDEX('Test schedule'!$T:$T,ROW()+7))</f>
        <v/>
      </c>
    </row>
    <row r="71" spans="2:12" ht="15" customHeight="1">
      <c r="B71" s="116" t="str">
        <f t="shared" si="12"/>
        <v/>
      </c>
      <c r="C71" s="117" t="str">
        <f t="shared" si="7"/>
        <v/>
      </c>
      <c r="D71" s="116" t="str">
        <f t="shared" si="8"/>
        <v/>
      </c>
      <c r="E71" s="120" t="str">
        <f t="shared" si="9"/>
        <v/>
      </c>
      <c r="F71" s="118" t="str">
        <f t="shared" si="10"/>
        <v/>
      </c>
      <c r="G71" s="126">
        <f t="shared" si="13"/>
        <v>26</v>
      </c>
      <c r="H71" s="116">
        <f t="shared" si="11"/>
        <v>46090.708333333336</v>
      </c>
      <c r="I71" s="117" cm="1">
        <f t="array" ref="I7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Calculators'!$B$2+ICS4Test!$E69,""))</f>
        <v>46090.75</v>
      </c>
      <c r="J71" s="116" cm="1">
        <f t="array" ref="J71">IF(I71="","",INDEX('Test schedule'!$H:$H,ROW()+7))</f>
        <v>0</v>
      </c>
      <c r="K71" s="120" t="str" cm="1">
        <f t="array" ref="K71">IF(I71="","",INDEX('Test schedule'!$J:$J,ROW()+7))</f>
        <v>Last Fire Up (Car on the Ground)</v>
      </c>
      <c r="L71" s="129" t="str" cm="1">
        <f t="array" ref="L71">IF(OR(I71="",INDEX('Test schedule'!$T:$T,ROW()+7)=""),"",INDEX('Test schedule'!$T:$T,ROW()+7))</f>
        <v/>
      </c>
    </row>
    <row r="72" spans="2:12" ht="15" customHeight="1">
      <c r="B72" s="116" t="str">
        <f t="shared" si="12"/>
        <v/>
      </c>
      <c r="C72" s="117" t="str">
        <f t="shared" si="7"/>
        <v/>
      </c>
      <c r="D72" s="116" t="str">
        <f t="shared" si="8"/>
        <v/>
      </c>
      <c r="E72" s="120" t="str">
        <f t="shared" si="9"/>
        <v/>
      </c>
      <c r="F72" s="118" t="str">
        <f t="shared" si="10"/>
        <v/>
      </c>
      <c r="G72" s="126">
        <f t="shared" si="13"/>
        <v>27</v>
      </c>
      <c r="H72" s="116">
        <f t="shared" si="11"/>
        <v>46090.708333333336</v>
      </c>
      <c r="I72" s="117" cm="1">
        <f t="array" ref="I7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Calculators'!$B$2+ICS4Test!$E70,""))</f>
        <v>46090.75</v>
      </c>
      <c r="J72" s="116" t="str" cm="1">
        <f t="array" ref="J72">IF(I72="","",INDEX('Test schedule'!$H:$H,ROW()+7))</f>
        <v/>
      </c>
      <c r="K72" s="120" t="str" cm="1">
        <f t="array" ref="K72">IF(I72="","",INDEX('Test schedule'!$J:$J,ROW()+7))</f>
        <v>Cars stand by</v>
      </c>
      <c r="L72" s="129" t="str" cm="1">
        <f t="array" ref="L72">IF(OR(I72="",INDEX('Test schedule'!$T:$T,ROW()+7)=""),"",INDEX('Test schedule'!$T:$T,ROW()+7))</f>
        <v/>
      </c>
    </row>
    <row r="73" spans="2:12" ht="15" customHeight="1">
      <c r="B73" s="116" t="str">
        <f t="shared" si="12"/>
        <v/>
      </c>
      <c r="C73" s="117" t="str">
        <f t="shared" si="7"/>
        <v/>
      </c>
      <c r="D73" s="116" t="str">
        <f t="shared" si="8"/>
        <v/>
      </c>
      <c r="E73" s="120" t="str">
        <f t="shared" si="9"/>
        <v/>
      </c>
      <c r="F73" s="118" t="str">
        <f t="shared" si="10"/>
        <v/>
      </c>
      <c r="G73" s="126">
        <f t="shared" si="13"/>
        <v>28</v>
      </c>
      <c r="H73" s="116">
        <f t="shared" si="11"/>
        <v>46090.75</v>
      </c>
      <c r="I73" s="117" cm="1">
        <f t="array" ref="I7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Calculators'!$B$2+ICS4Test!$E71,""))</f>
        <v>46090.760416666664</v>
      </c>
      <c r="J73" s="116" t="str" cm="1">
        <f t="array" ref="J73">IF(I73="","",INDEX('Test schedule'!$H:$H,ROW()+7))</f>
        <v/>
      </c>
      <c r="K73" s="120" t="str" cm="1">
        <f t="array" ref="K73">IF(I73="","",INDEX('Test schedule'!$J:$J,ROW()+7))</f>
        <v>Drivers ready in car</v>
      </c>
      <c r="L73" s="129" t="str" cm="1">
        <f t="array" ref="L73">IF(OR(I73="",INDEX('Test schedule'!$T:$T,ROW()+7)=""),"",INDEX('Test schedule'!$T:$T,ROW()+7))</f>
        <v/>
      </c>
    </row>
    <row r="74" spans="2:12" ht="15" customHeight="1">
      <c r="B74" s="116" t="str">
        <f t="shared" si="12"/>
        <v/>
      </c>
      <c r="C74" s="117" t="str">
        <f t="shared" si="7"/>
        <v/>
      </c>
      <c r="D74" s="116" t="str">
        <f t="shared" si="8"/>
        <v/>
      </c>
      <c r="E74" s="120" t="str">
        <f t="shared" si="9"/>
        <v/>
      </c>
      <c r="F74" s="118" t="str">
        <f t="shared" si="10"/>
        <v/>
      </c>
      <c r="G74" s="126">
        <f t="shared" si="13"/>
        <v>28</v>
      </c>
      <c r="H74" s="116" t="str">
        <f t="shared" si="11"/>
        <v/>
      </c>
      <c r="I74" s="117" t="str" cm="1">
        <f t="array" ref="I7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Calculators'!$B$2+ICS4Test!$E72,""))</f>
        <v/>
      </c>
      <c r="J74" s="116" t="str" cm="1">
        <f t="array" ref="J74">IF(I74="","",INDEX('Test schedule'!$H:$H,ROW()+7))</f>
        <v/>
      </c>
      <c r="K74" s="120" t="str" cm="1">
        <f t="array" ref="K74">IF(I74="","",INDEX('Test schedule'!$J:$J,ROW()+7))</f>
        <v/>
      </c>
      <c r="L74" s="129" t="str" cm="1">
        <f t="array" ref="L74">IF(OR(I74="",INDEX('Test schedule'!$T:$T,ROW()+7)=""),"",INDEX('Test schedule'!$T:$T,ROW()+7))</f>
        <v/>
      </c>
    </row>
    <row r="75" spans="2:12" ht="15" customHeight="1">
      <c r="B75" s="116" t="str">
        <f t="shared" si="12"/>
        <v/>
      </c>
      <c r="C75" s="117" t="str">
        <f t="shared" si="7"/>
        <v/>
      </c>
      <c r="D75" s="116" t="str">
        <f t="shared" si="8"/>
        <v/>
      </c>
      <c r="E75" s="120" t="str">
        <f t="shared" si="9"/>
        <v/>
      </c>
      <c r="F75" s="118" t="str">
        <f t="shared" si="10"/>
        <v/>
      </c>
      <c r="G75" s="126">
        <f t="shared" si="13"/>
        <v>28</v>
      </c>
      <c r="H75" s="116" t="str">
        <f t="shared" si="11"/>
        <v/>
      </c>
      <c r="I75" s="117" t="str" cm="1">
        <f t="array" ref="I7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Calculators'!$B$2+ICS4Test!$E73,""))</f>
        <v/>
      </c>
      <c r="J75" s="116" t="str" cm="1">
        <f t="array" ref="J75">IF(I75="","",INDEX('Test schedule'!$H:$H,ROW()+7))</f>
        <v/>
      </c>
      <c r="K75" s="120" t="str" cm="1">
        <f t="array" ref="K75">IF(I75="","",INDEX('Test schedule'!$J:$J,ROW()+7))</f>
        <v/>
      </c>
      <c r="L75" s="129" t="str" cm="1">
        <f t="array" ref="L75">IF(OR(I75="",INDEX('Test schedule'!$T:$T,ROW()+7)=""),"",INDEX('Test schedule'!$T:$T,ROW()+7))</f>
        <v/>
      </c>
    </row>
    <row r="76" spans="2:12" ht="15" customHeight="1">
      <c r="B76" s="116" t="str">
        <f t="shared" si="12"/>
        <v/>
      </c>
      <c r="C76" s="117" t="str">
        <f t="shared" si="7"/>
        <v/>
      </c>
      <c r="D76" s="116" t="str">
        <f t="shared" si="8"/>
        <v/>
      </c>
      <c r="E76" s="120" t="str">
        <f t="shared" si="9"/>
        <v/>
      </c>
      <c r="F76" s="118" t="str">
        <f t="shared" si="10"/>
        <v/>
      </c>
      <c r="G76" s="126">
        <f t="shared" si="13"/>
        <v>28</v>
      </c>
      <c r="H76" s="116" t="str">
        <f t="shared" si="11"/>
        <v/>
      </c>
      <c r="I76" s="117" t="str" cm="1">
        <f t="array" ref="I7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Calculators'!$B$2+ICS4Test!$E74,""))</f>
        <v/>
      </c>
      <c r="J76" s="116" t="str" cm="1">
        <f t="array" ref="J76">IF(I76="","",INDEX('Test schedule'!$H:$H,ROW()+7))</f>
        <v/>
      </c>
      <c r="K76" s="120" t="str" cm="1">
        <f t="array" ref="K76">IF(I76="","",INDEX('Test schedule'!$J:$J,ROW()+7))</f>
        <v/>
      </c>
      <c r="L76" s="129" t="str" cm="1">
        <f t="array" ref="L76">IF(OR(I76="",INDEX('Test schedule'!$T:$T,ROW()+7)=""),"",INDEX('Test schedule'!$T:$T,ROW()+7))</f>
        <v/>
      </c>
    </row>
    <row r="77" spans="2:12" ht="15" customHeight="1">
      <c r="B77" s="116" t="str">
        <f t="shared" si="12"/>
        <v/>
      </c>
      <c r="C77" s="117" t="str">
        <f t="shared" si="7"/>
        <v/>
      </c>
      <c r="D77" s="116" t="str">
        <f t="shared" si="8"/>
        <v/>
      </c>
      <c r="E77" s="120" t="str">
        <f t="shared" si="9"/>
        <v/>
      </c>
      <c r="F77" s="118" t="str">
        <f t="shared" si="10"/>
        <v/>
      </c>
      <c r="G77" s="126">
        <f t="shared" si="13"/>
        <v>28</v>
      </c>
      <c r="H77" s="116" t="str">
        <f t="shared" si="11"/>
        <v/>
      </c>
      <c r="I77" s="117" t="str" cm="1">
        <f t="array" ref="I7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Calculators'!$B$2+ICS4Test!$E75,""))</f>
        <v/>
      </c>
      <c r="J77" s="116" t="str" cm="1">
        <f t="array" ref="J77">IF(I77="","",INDEX('Test schedule'!$H:$H,ROW()+7))</f>
        <v/>
      </c>
      <c r="K77" s="120" t="str" cm="1">
        <f t="array" ref="K77">IF(I77="","",INDEX('Test schedule'!$J:$J,ROW()+7))</f>
        <v/>
      </c>
      <c r="L77" s="129" t="str" cm="1">
        <f t="array" ref="L77">IF(OR(I77="",INDEX('Test schedule'!$T:$T,ROW()+7)=""),"",INDEX('Test schedule'!$T:$T,ROW()+7))</f>
        <v/>
      </c>
    </row>
    <row r="78" spans="2:12" ht="15" customHeight="1">
      <c r="B78" s="116" t="str">
        <f t="shared" si="12"/>
        <v/>
      </c>
      <c r="C78" s="117" t="str">
        <f t="shared" si="7"/>
        <v/>
      </c>
      <c r="D78" s="116" t="str">
        <f t="shared" si="8"/>
        <v/>
      </c>
      <c r="E78" s="120" t="str">
        <f t="shared" si="9"/>
        <v/>
      </c>
      <c r="F78" s="118" t="str">
        <f t="shared" si="10"/>
        <v/>
      </c>
      <c r="G78" s="126">
        <f t="shared" si="13"/>
        <v>29</v>
      </c>
      <c r="H78" s="116" t="str">
        <f t="shared" si="11"/>
        <v>START</v>
      </c>
      <c r="I78" s="117" t="str" cm="1">
        <f t="array" ref="I7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Calculators'!$B$2+ICS4Test!$E76,""))</f>
        <v>END</v>
      </c>
      <c r="J78" s="116" t="str" cm="1">
        <f t="array" ref="J78">IF(I78="","",INDEX('Test schedule'!$H:$H,ROW()+7))</f>
        <v>TOTAL</v>
      </c>
      <c r="K78" s="120" t="str" cm="1">
        <f t="array" ref="K78">IF(I78="","",INDEX('Test schedule'!$J:$J,ROW()+7))</f>
        <v>ACTIVITY</v>
      </c>
      <c r="L78" s="129" t="str" cm="1">
        <f t="array" ref="L78">IF(OR(I78="",INDEX('Test schedule'!$T:$T,ROW()+7)=""),"",INDEX('Test schedule'!$T:$T,ROW()+7))</f>
        <v>COMMENTS</v>
      </c>
    </row>
    <row r="79" spans="2:12" ht="15" customHeight="1">
      <c r="B79" s="116" t="str">
        <f t="shared" si="12"/>
        <v/>
      </c>
      <c r="C79" s="117" t="str">
        <f t="shared" si="7"/>
        <v/>
      </c>
      <c r="D79" s="116" t="str">
        <f t="shared" si="8"/>
        <v/>
      </c>
      <c r="E79" s="120" t="str">
        <f t="shared" si="9"/>
        <v/>
      </c>
      <c r="F79" s="118" t="str">
        <f t="shared" si="10"/>
        <v/>
      </c>
      <c r="G79" s="126">
        <f t="shared" si="13"/>
        <v>30</v>
      </c>
      <c r="H79" s="116">
        <f t="shared" si="11"/>
        <v>46091.409722222226</v>
      </c>
      <c r="I79" s="117" cm="1">
        <f t="array" ref="I7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Calculators'!$B$2+ICS4Test!$E77,""))</f>
        <v>46091.451388888891</v>
      </c>
      <c r="J79" s="116" cm="1">
        <f t="array" ref="J79">IF(I79="","",INDEX('Test schedule'!$H:$H,ROW()+7))</f>
        <v>6.9444444444443643E-3</v>
      </c>
      <c r="K79" s="120" t="str" cm="1">
        <f t="array" ref="K79">IF(I79="","",INDEX('Test schedule'!$J:$J,ROW()+7))</f>
        <v>Engine Warm-up</v>
      </c>
      <c r="L79" s="129" t="str" cm="1">
        <f t="array" ref="L79">IF(OR(I79="",INDEX('Test schedule'!$T:$T,ROW()+7)=""),"",INDEX('Test schedule'!$T:$T,ROW()+7))</f>
        <v/>
      </c>
    </row>
    <row r="80" spans="2:12" ht="15" customHeight="1">
      <c r="B80" s="116" t="str">
        <f t="shared" si="12"/>
        <v/>
      </c>
      <c r="C80" s="117" t="str">
        <f t="shared" si="7"/>
        <v/>
      </c>
      <c r="D80" s="116" t="str">
        <f t="shared" si="8"/>
        <v/>
      </c>
      <c r="E80" s="120" t="str">
        <f t="shared" si="9"/>
        <v/>
      </c>
      <c r="F80" s="118" t="str">
        <f t="shared" si="10"/>
        <v/>
      </c>
      <c r="G80" s="126">
        <f t="shared" si="13"/>
        <v>30</v>
      </c>
      <c r="H80" s="116" t="str">
        <f t="shared" si="11"/>
        <v/>
      </c>
      <c r="I80" s="117" t="str" cm="1">
        <f t="array" ref="I8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Calculators'!$B$2+ICS4Test!$E78,""))</f>
        <v/>
      </c>
      <c r="J80" s="116" t="str" cm="1">
        <f t="array" ref="J80">IF(I80="","",INDEX('Test schedule'!$H:$H,ROW()+7))</f>
        <v/>
      </c>
      <c r="K80" s="120" t="str" cm="1">
        <f t="array" ref="K80">IF(I80="","",INDEX('Test schedule'!$J:$J,ROW()+7))</f>
        <v/>
      </c>
      <c r="L80" s="129" t="str" cm="1">
        <f t="array" ref="L80">IF(OR(I80="",INDEX('Test schedule'!$T:$T,ROW()+7)=""),"",INDEX('Test schedule'!$T:$T,ROW()+7))</f>
        <v/>
      </c>
    </row>
    <row r="81" spans="2:12" ht="15" customHeight="1">
      <c r="B81" s="116" t="str">
        <f t="shared" si="12"/>
        <v/>
      </c>
      <c r="C81" s="117" t="str">
        <f t="shared" si="7"/>
        <v/>
      </c>
      <c r="D81" s="116" t="str">
        <f t="shared" si="8"/>
        <v/>
      </c>
      <c r="E81" s="120" t="str">
        <f t="shared" si="9"/>
        <v/>
      </c>
      <c r="F81" s="118" t="str">
        <f t="shared" si="10"/>
        <v/>
      </c>
      <c r="G81" s="126">
        <f t="shared" si="13"/>
        <v>31</v>
      </c>
      <c r="H81" s="116">
        <f t="shared" si="11"/>
        <v>46091.420138888891</v>
      </c>
      <c r="I81" s="117" cm="1">
        <f t="array" ref="I8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Calculators'!$B$2+ICS4Test!$E79,""))</f>
        <v>46091.461805555555</v>
      </c>
      <c r="J81" s="116" t="str" cm="1">
        <f t="array" ref="J81">IF(I81="","",INDEX('Test schedule'!$H:$H,ROW()+7))</f>
        <v/>
      </c>
      <c r="K81" s="120" t="str" cm="1">
        <f t="array" ref="K81">IF(I81="","",INDEX('Test schedule'!$J:$J,ROW()+7))</f>
        <v>Session Fuel in</v>
      </c>
      <c r="L81" s="129" t="str" cm="1">
        <f t="array" ref="L81">IF(OR(I81="",INDEX('Test schedule'!$T:$T,ROW()+7)=""),"",INDEX('Test schedule'!$T:$T,ROW()+7))</f>
        <v/>
      </c>
    </row>
    <row r="82" spans="2:12" ht="15" customHeight="1">
      <c r="B82" s="116" t="str">
        <f t="shared" si="12"/>
        <v/>
      </c>
      <c r="C82" s="117" t="str">
        <f t="shared" si="7"/>
        <v/>
      </c>
      <c r="D82" s="116" t="str">
        <f t="shared" si="8"/>
        <v/>
      </c>
      <c r="E82" s="120" t="str">
        <f t="shared" si="9"/>
        <v/>
      </c>
      <c r="F82" s="118" t="str">
        <f t="shared" si="10"/>
        <v/>
      </c>
      <c r="G82" s="126">
        <f t="shared" si="13"/>
        <v>31</v>
      </c>
      <c r="H82" s="116" t="str">
        <f t="shared" si="11"/>
        <v/>
      </c>
      <c r="I82" s="117" t="str" cm="1">
        <f t="array" ref="I8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Calculators'!$B$2+ICS4Test!$E80,""))</f>
        <v/>
      </c>
      <c r="J82" s="116" t="str" cm="1">
        <f t="array" ref="J82">IF(I82="","",INDEX('Test schedule'!$H:$H,ROW()+7))</f>
        <v/>
      </c>
      <c r="K82" s="120" t="str" cm="1">
        <f t="array" ref="K82">IF(I82="","",INDEX('Test schedule'!$J:$J,ROW()+7))</f>
        <v/>
      </c>
      <c r="L82" s="129" t="str" cm="1">
        <f t="array" ref="L82">IF(OR(I82="",INDEX('Test schedule'!$T:$T,ROW()+7)=""),"",INDEX('Test schedule'!$T:$T,ROW()+7))</f>
        <v/>
      </c>
    </row>
    <row r="83" spans="2:12" ht="15" customHeight="1">
      <c r="B83" s="116" t="str">
        <f t="shared" si="12"/>
        <v/>
      </c>
      <c r="C83" s="117" t="str">
        <f t="shared" si="7"/>
        <v/>
      </c>
      <c r="D83" s="116" t="str">
        <f t="shared" si="8"/>
        <v/>
      </c>
      <c r="E83" s="120" t="str">
        <f t="shared" si="9"/>
        <v/>
      </c>
      <c r="F83" s="118" t="str">
        <f t="shared" si="10"/>
        <v/>
      </c>
      <c r="G83" s="126">
        <f t="shared" si="13"/>
        <v>32</v>
      </c>
      <c r="H83" s="116">
        <f t="shared" si="11"/>
        <v>46091.434027777781</v>
      </c>
      <c r="I83" s="117" cm="1">
        <f t="array" ref="I8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Calculators'!$B$2+ICS4Test!$E81,""))</f>
        <v>46091.475694444445</v>
      </c>
      <c r="J83" s="116" t="str" cm="1">
        <f t="array" ref="J83">IF(I83="","",INDEX('Test schedule'!$H:$H,ROW()+7))</f>
        <v/>
      </c>
      <c r="K83" s="120" t="str" cm="1">
        <f t="array" ref="K83">IF(I83="","",INDEX('Test schedule'!$J:$J,ROW()+7))</f>
        <v xml:space="preserve">Drivers PM    </v>
      </c>
      <c r="L83" s="129" t="str" cm="1">
        <f t="array" ref="L83">IF(OR(I83="",INDEX('Test schedule'!$T:$T,ROW()+7)=""),"",INDEX('Test schedule'!$T:$T,ROW()+7))</f>
        <v/>
      </c>
    </row>
    <row r="84" spans="2:12" ht="15" customHeight="1">
      <c r="B84" s="116" t="str">
        <f t="shared" si="12"/>
        <v/>
      </c>
      <c r="C84" s="117" t="str">
        <f t="shared" si="7"/>
        <v/>
      </c>
      <c r="D84" s="116" t="str">
        <f t="shared" si="8"/>
        <v/>
      </c>
      <c r="E84" s="120" t="str">
        <f t="shared" si="9"/>
        <v/>
      </c>
      <c r="F84" s="118" t="str">
        <f t="shared" si="10"/>
        <v/>
      </c>
      <c r="G84" s="126">
        <f t="shared" si="13"/>
        <v>32</v>
      </c>
      <c r="H84" s="116" t="str">
        <f t="shared" si="11"/>
        <v/>
      </c>
      <c r="I84" s="117" t="str" cm="1">
        <f t="array" ref="I8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Calculators'!$B$2+ICS4Test!$E82,""))</f>
        <v/>
      </c>
      <c r="J84" s="116" t="str" cm="1">
        <f t="array" ref="J84">IF(I84="","",INDEX('Test schedule'!$H:$H,ROW()+7))</f>
        <v/>
      </c>
      <c r="K84" s="120" t="str" cm="1">
        <f t="array" ref="K84">IF(I84="","",INDEX('Test schedule'!$J:$J,ROW()+7))</f>
        <v/>
      </c>
      <c r="L84" s="129" t="str" cm="1">
        <f t="array" ref="L84">IF(OR(I84="",INDEX('Test schedule'!$T:$T,ROW()+7)=""),"",INDEX('Test schedule'!$T:$T,ROW()+7))</f>
        <v/>
      </c>
    </row>
    <row r="85" spans="2:12" ht="15" customHeight="1">
      <c r="B85" s="116" t="str">
        <f t="shared" si="12"/>
        <v/>
      </c>
      <c r="C85" s="117" t="str">
        <f t="shared" si="7"/>
        <v/>
      </c>
      <c r="D85" s="116" t="str">
        <f t="shared" si="8"/>
        <v/>
      </c>
      <c r="E85" s="120" t="str">
        <f t="shared" si="9"/>
        <v/>
      </c>
      <c r="F85" s="118" t="str">
        <f t="shared" si="10"/>
        <v/>
      </c>
      <c r="G85" s="126">
        <f t="shared" si="13"/>
        <v>32</v>
      </c>
      <c r="H85" s="116" t="str">
        <f t="shared" si="11"/>
        <v/>
      </c>
      <c r="I85" s="117" t="str" cm="1">
        <f t="array" ref="I8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Calculators'!$B$2+ICS4Test!$E83,""))</f>
        <v/>
      </c>
      <c r="J85" s="116" t="str" cm="1">
        <f t="array" ref="J85">IF(I85="","",INDEX('Test schedule'!$H:$H,ROW()+7))</f>
        <v/>
      </c>
      <c r="K85" s="120" t="str" cm="1">
        <f t="array" ref="K85">IF(I85="","",INDEX('Test schedule'!$J:$J,ROW()+7))</f>
        <v/>
      </c>
      <c r="L85" s="129" t="str" cm="1">
        <f t="array" ref="L85">IF(OR(I85="",INDEX('Test schedule'!$T:$T,ROW()+7)=""),"",INDEX('Test schedule'!$T:$T,ROW()+7))</f>
        <v/>
      </c>
    </row>
    <row r="86" spans="2:12" ht="15" customHeight="1">
      <c r="B86" s="116" t="str">
        <f t="shared" si="12"/>
        <v/>
      </c>
      <c r="C86" s="117" t="str">
        <f t="shared" si="7"/>
        <v/>
      </c>
      <c r="D86" s="116" t="str">
        <f t="shared" si="8"/>
        <v/>
      </c>
      <c r="E86" s="120" t="str">
        <f t="shared" si="9"/>
        <v/>
      </c>
      <c r="F86" s="118" t="str">
        <f t="shared" si="10"/>
        <v/>
      </c>
      <c r="G86" s="126">
        <f t="shared" si="13"/>
        <v>33</v>
      </c>
      <c r="H86" s="116">
        <f t="shared" si="11"/>
        <v>46091.458333333336</v>
      </c>
      <c r="I86" s="117" cm="1">
        <f t="array" ref="I8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Calculators'!$B$2+ICS4Test!$E84,""))</f>
        <v>46091.5</v>
      </c>
      <c r="J86" s="116" cm="1">
        <f t="array" ref="J86">IF(I86="","",INDEX('Test schedule'!$H:$H,ROW()+7))</f>
        <v>0</v>
      </c>
      <c r="K86" s="120" t="str" cm="1">
        <f t="array" ref="K86">IF(I86="","",INDEX('Test schedule'!$J:$J,ROW()+7))</f>
        <v>Last Fire Up (Car on the Ground)</v>
      </c>
      <c r="L86" s="129" t="str" cm="1">
        <f t="array" ref="L86">IF(OR(I86="",INDEX('Test schedule'!$T:$T,ROW()+7)=""),"",INDEX('Test schedule'!$T:$T,ROW()+7))</f>
        <v/>
      </c>
    </row>
    <row r="87" spans="2:12" ht="15" customHeight="1">
      <c r="B87" s="116" t="str">
        <f t="shared" si="12"/>
        <v/>
      </c>
      <c r="C87" s="117" t="str">
        <f t="shared" si="7"/>
        <v/>
      </c>
      <c r="D87" s="116" t="str">
        <f t="shared" si="8"/>
        <v/>
      </c>
      <c r="E87" s="120" t="str">
        <f t="shared" si="9"/>
        <v/>
      </c>
      <c r="F87" s="118" t="str">
        <f t="shared" si="10"/>
        <v/>
      </c>
      <c r="G87" s="126">
        <f t="shared" si="13"/>
        <v>34</v>
      </c>
      <c r="H87" s="116">
        <f t="shared" si="11"/>
        <v>46091.458333333336</v>
      </c>
      <c r="I87" s="117" cm="1">
        <f t="array" ref="I8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Calculators'!$B$2+ICS4Test!$E85,""))</f>
        <v>46091.5</v>
      </c>
      <c r="J87" s="116" t="str" cm="1">
        <f t="array" ref="J87">IF(I87="","",INDEX('Test schedule'!$H:$H,ROW()+7))</f>
        <v/>
      </c>
      <c r="K87" s="120" t="str" cm="1">
        <f t="array" ref="K87">IF(I87="","",INDEX('Test schedule'!$J:$J,ROW()+7))</f>
        <v>Cars stand by</v>
      </c>
      <c r="L87" s="129" t="str" cm="1">
        <f t="array" ref="L87">IF(OR(I87="",INDEX('Test schedule'!$T:$T,ROW()+7)=""),"",INDEX('Test schedule'!$T:$T,ROW()+7))</f>
        <v/>
      </c>
    </row>
    <row r="88" spans="2:12" ht="15" customHeight="1">
      <c r="B88" s="116" t="str">
        <f t="shared" si="12"/>
        <v/>
      </c>
      <c r="C88" s="117" t="str">
        <f t="shared" si="7"/>
        <v/>
      </c>
      <c r="D88" s="116" t="str">
        <f t="shared" si="8"/>
        <v/>
      </c>
      <c r="E88" s="120" t="str">
        <f t="shared" si="9"/>
        <v/>
      </c>
      <c r="F88" s="118" t="str">
        <f t="shared" si="10"/>
        <v/>
      </c>
      <c r="G88" s="126">
        <f t="shared" si="13"/>
        <v>35</v>
      </c>
      <c r="H88" s="116">
        <f t="shared" si="11"/>
        <v>46091.5</v>
      </c>
      <c r="I88" s="117" cm="1">
        <f t="array" ref="I8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Calculators'!$B$2+ICS4Test!$E86,""))</f>
        <v>46091.510416666664</v>
      </c>
      <c r="J88" s="116" t="str" cm="1">
        <f t="array" ref="J88">IF(I88="","",INDEX('Test schedule'!$H:$H,ROW()+7))</f>
        <v/>
      </c>
      <c r="K88" s="120" t="str" cm="1">
        <f t="array" ref="K88">IF(I88="","",INDEX('Test schedule'!$J:$J,ROW()+7))</f>
        <v>Drivers ready in car</v>
      </c>
      <c r="L88" s="129" t="str" cm="1">
        <f t="array" ref="L88">IF(OR(I88="",INDEX('Test schedule'!$T:$T,ROW()+7)=""),"",INDEX('Test schedule'!$T:$T,ROW()+7))</f>
        <v/>
      </c>
    </row>
    <row r="89" spans="2:12" ht="15" customHeight="1">
      <c r="B89" s="116" t="str">
        <f t="shared" si="12"/>
        <v/>
      </c>
      <c r="C89" s="117" t="str">
        <f t="shared" si="7"/>
        <v/>
      </c>
      <c r="D89" s="116" t="str">
        <f t="shared" si="8"/>
        <v/>
      </c>
      <c r="E89" s="120" t="str">
        <f t="shared" si="9"/>
        <v/>
      </c>
      <c r="F89" s="118" t="str">
        <f t="shared" si="10"/>
        <v/>
      </c>
      <c r="G89" s="126">
        <f t="shared" si="13"/>
        <v>35</v>
      </c>
      <c r="H89" s="116" t="str">
        <f t="shared" si="11"/>
        <v/>
      </c>
      <c r="I89" s="117" t="str" cm="1">
        <f t="array" ref="I8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Calculators'!$B$2+ICS4Test!$E87,""))</f>
        <v/>
      </c>
      <c r="J89" s="116" t="str" cm="1">
        <f t="array" ref="J89">IF(I89="","",INDEX('Test schedule'!$H:$H,ROW()+7))</f>
        <v/>
      </c>
      <c r="K89" s="120" t="str" cm="1">
        <f t="array" ref="K89">IF(I89="","",INDEX('Test schedule'!$J:$J,ROW()+7))</f>
        <v/>
      </c>
      <c r="L89" s="129" t="str" cm="1">
        <f t="array" ref="L89">IF(OR(I89="",INDEX('Test schedule'!$T:$T,ROW()+7)=""),"",INDEX('Test schedule'!$T:$T,ROW()+7))</f>
        <v/>
      </c>
    </row>
    <row r="90" spans="2:12" ht="15" customHeight="1">
      <c r="B90" s="116" t="str">
        <f t="shared" si="12"/>
        <v/>
      </c>
      <c r="C90" s="117" t="str">
        <f t="shared" si="7"/>
        <v/>
      </c>
      <c r="D90" s="116" t="str">
        <f t="shared" si="8"/>
        <v/>
      </c>
      <c r="E90" s="120" t="str">
        <f t="shared" si="9"/>
        <v/>
      </c>
      <c r="F90" s="118" t="str">
        <f t="shared" si="10"/>
        <v/>
      </c>
      <c r="G90" s="126">
        <f t="shared" si="13"/>
        <v>35</v>
      </c>
      <c r="H90" s="116" t="str">
        <f t="shared" si="11"/>
        <v/>
      </c>
      <c r="I90" s="117" t="str" cm="1">
        <f t="array" ref="I9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Calculators'!$B$2+ICS4Test!$E88,""))</f>
        <v/>
      </c>
      <c r="J90" s="116" t="str" cm="1">
        <f t="array" ref="J90">IF(I90="","",INDEX('Test schedule'!$H:$H,ROW()+7))</f>
        <v/>
      </c>
      <c r="K90" s="120" t="str" cm="1">
        <f t="array" ref="K90">IF(I90="","",INDEX('Test schedule'!$J:$J,ROW()+7))</f>
        <v/>
      </c>
      <c r="L90" s="129" t="str" cm="1">
        <f t="array" ref="L90">IF(OR(I90="",INDEX('Test schedule'!$T:$T,ROW()+7)=""),"",INDEX('Test schedule'!$T:$T,ROW()+7))</f>
        <v/>
      </c>
    </row>
    <row r="91" spans="2:12" ht="15" customHeight="1">
      <c r="B91" s="116" t="str">
        <f t="shared" si="12"/>
        <v/>
      </c>
      <c r="C91" s="117" t="str">
        <f t="shared" si="7"/>
        <v/>
      </c>
      <c r="D91" s="116" t="str">
        <f t="shared" si="8"/>
        <v/>
      </c>
      <c r="E91" s="120" t="str">
        <f t="shared" si="9"/>
        <v/>
      </c>
      <c r="F91" s="118" t="str">
        <f t="shared" si="10"/>
        <v/>
      </c>
      <c r="G91" s="126">
        <f t="shared" si="13"/>
        <v>36</v>
      </c>
      <c r="H91" s="116">
        <f t="shared" si="11"/>
        <v>46091.659722222226</v>
      </c>
      <c r="I91" s="117" cm="1">
        <f t="array" ref="I9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Calculators'!$B$2+ICS4Test!$E89,""))</f>
        <v>46091.701388888891</v>
      </c>
      <c r="J91" s="116" cm="1">
        <f t="array" ref="J91">IF(I91="","",INDEX('Test schedule'!$H:$H,ROW()+7))</f>
        <v>3.4722222222222099E-3</v>
      </c>
      <c r="K91" s="120" t="str" cm="1">
        <f t="array" ref="K91">IF(I91="","",INDEX('Test schedule'!$J:$J,ROW()+7))</f>
        <v>Engine Fire-Up</v>
      </c>
      <c r="L91" s="129" t="str" cm="1">
        <f t="array" ref="L91">IF(OR(I91="",INDEX('Test schedule'!$T:$T,ROW()+7)=""),"",INDEX('Test schedule'!$T:$T,ROW()+7))</f>
        <v/>
      </c>
    </row>
    <row r="92" spans="2:12" ht="15" customHeight="1">
      <c r="B92" s="116" t="str">
        <f t="shared" si="12"/>
        <v/>
      </c>
      <c r="C92" s="117" t="str">
        <f t="shared" si="7"/>
        <v/>
      </c>
      <c r="D92" s="116" t="str">
        <f t="shared" si="8"/>
        <v/>
      </c>
      <c r="E92" s="120" t="str">
        <f t="shared" si="9"/>
        <v/>
      </c>
      <c r="F92" s="118" t="str">
        <f t="shared" si="10"/>
        <v/>
      </c>
      <c r="G92" s="126">
        <f t="shared" si="13"/>
        <v>37</v>
      </c>
      <c r="H92" s="116">
        <f t="shared" si="11"/>
        <v>46091.701388888891</v>
      </c>
      <c r="I92" s="117" cm="1">
        <f t="array" ref="I9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Calculators'!$B$2+ICS4Test!$E90,""))</f>
        <v>46091.711805555555</v>
      </c>
      <c r="J92" s="116" t="str" cm="1">
        <f t="array" ref="J92">IF(I92="","",INDEX('Test schedule'!$H:$H,ROW()+7))</f>
        <v/>
      </c>
      <c r="K92" s="120" t="str" cm="1">
        <f t="array" ref="K92">IF(I92="","",INDEX('Test schedule'!$J:$J,ROW()+7))</f>
        <v>Session Fuel in</v>
      </c>
      <c r="L92" s="129" t="str" cm="1">
        <f t="array" ref="L92">IF(OR(I92="",INDEX('Test schedule'!$T:$T,ROW()+7)=""),"",INDEX('Test schedule'!$T:$T,ROW()+7))</f>
        <v/>
      </c>
    </row>
    <row r="93" spans="2:12" ht="15" customHeight="1">
      <c r="B93" s="116" t="str">
        <f t="shared" si="12"/>
        <v/>
      </c>
      <c r="C93" s="117" t="str">
        <f t="shared" si="7"/>
        <v/>
      </c>
      <c r="D93" s="116" t="str">
        <f t="shared" si="8"/>
        <v/>
      </c>
      <c r="E93" s="120" t="str">
        <f t="shared" si="9"/>
        <v/>
      </c>
      <c r="F93" s="118" t="str">
        <f t="shared" si="10"/>
        <v/>
      </c>
      <c r="G93" s="126">
        <f t="shared" si="13"/>
        <v>37</v>
      </c>
      <c r="H93" s="116" t="str">
        <f t="shared" si="11"/>
        <v/>
      </c>
      <c r="I93" s="117" t="str" cm="1">
        <f t="array" ref="I9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Calculators'!$B$2+ICS4Test!$E91,""))</f>
        <v/>
      </c>
      <c r="J93" s="116" t="str" cm="1">
        <f t="array" ref="J93">IF(I93="","",INDEX('Test schedule'!$H:$H,ROW()+7))</f>
        <v/>
      </c>
      <c r="K93" s="120" t="str" cm="1">
        <f t="array" ref="K93">IF(I93="","",INDEX('Test schedule'!$J:$J,ROW()+7))</f>
        <v/>
      </c>
      <c r="L93" s="129" t="str" cm="1">
        <f t="array" ref="L93">IF(OR(I93="",INDEX('Test schedule'!$T:$T,ROW()+7)=""),"",INDEX('Test schedule'!$T:$T,ROW()+7))</f>
        <v/>
      </c>
    </row>
    <row r="94" spans="2:12" ht="15" customHeight="1">
      <c r="B94" s="116" t="str">
        <f t="shared" si="12"/>
        <v/>
      </c>
      <c r="C94" s="117" t="str">
        <f t="shared" si="7"/>
        <v/>
      </c>
      <c r="D94" s="116" t="str">
        <f t="shared" si="8"/>
        <v/>
      </c>
      <c r="E94" s="120" t="str">
        <f t="shared" si="9"/>
        <v/>
      </c>
      <c r="F94" s="118" t="str">
        <f t="shared" si="10"/>
        <v/>
      </c>
      <c r="G94" s="126">
        <f t="shared" si="13"/>
        <v>38</v>
      </c>
      <c r="H94" s="116">
        <f t="shared" si="11"/>
        <v>46091.684027777781</v>
      </c>
      <c r="I94" s="117" cm="1">
        <f t="array" ref="I9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Calculators'!$B$2+ICS4Test!$E92,""))</f>
        <v>46091.725694444445</v>
      </c>
      <c r="J94" s="116" t="str" cm="1">
        <f t="array" ref="J94">IF(I94="","",INDEX('Test schedule'!$H:$H,ROW()+7))</f>
        <v/>
      </c>
      <c r="K94" s="120" t="str" cm="1">
        <f t="array" ref="K94">IF(I94="","",INDEX('Test schedule'!$J:$J,ROW()+7))</f>
        <v xml:space="preserve">Drivers PM    </v>
      </c>
      <c r="L94" s="129" t="str" cm="1">
        <f t="array" ref="L94">IF(OR(I94="",INDEX('Test schedule'!$T:$T,ROW()+7)=""),"",INDEX('Test schedule'!$T:$T,ROW()+7))</f>
        <v/>
      </c>
    </row>
    <row r="95" spans="2:12" ht="15" customHeight="1">
      <c r="B95" s="116" t="str">
        <f t="shared" si="12"/>
        <v/>
      </c>
      <c r="C95" s="117" t="str">
        <f t="shared" si="7"/>
        <v/>
      </c>
      <c r="D95" s="116" t="str">
        <f t="shared" si="8"/>
        <v/>
      </c>
      <c r="E95" s="120" t="str">
        <f t="shared" si="9"/>
        <v/>
      </c>
      <c r="F95" s="118" t="str">
        <f t="shared" si="10"/>
        <v/>
      </c>
      <c r="G95" s="126">
        <f t="shared" si="13"/>
        <v>38</v>
      </c>
      <c r="H95" s="116" t="str">
        <f t="shared" si="11"/>
        <v/>
      </c>
      <c r="I95" s="117" t="str" cm="1">
        <f t="array" ref="I9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Calculators'!$B$2+ICS4Test!$E93,""))</f>
        <v/>
      </c>
      <c r="J95" s="116" t="str" cm="1">
        <f t="array" ref="J95">IF(I95="","",INDEX('Test schedule'!$H:$H,ROW()+7))</f>
        <v/>
      </c>
      <c r="K95" s="120" t="str" cm="1">
        <f t="array" ref="K95">IF(I95="","",INDEX('Test schedule'!$J:$J,ROW()+7))</f>
        <v/>
      </c>
      <c r="L95" s="129" t="str" cm="1">
        <f t="array" ref="L95">IF(OR(I95="",INDEX('Test schedule'!$T:$T,ROW()+7)=""),"",INDEX('Test schedule'!$T:$T,ROW()+7))</f>
        <v/>
      </c>
    </row>
    <row r="96" spans="2:12" ht="15" customHeight="1">
      <c r="B96" s="116" t="str">
        <f t="shared" si="12"/>
        <v/>
      </c>
      <c r="C96" s="117" t="str">
        <f t="shared" si="7"/>
        <v/>
      </c>
      <c r="D96" s="116" t="str">
        <f t="shared" si="8"/>
        <v/>
      </c>
      <c r="E96" s="120" t="str">
        <f t="shared" si="9"/>
        <v/>
      </c>
      <c r="F96" s="118" t="str">
        <f t="shared" si="10"/>
        <v/>
      </c>
      <c r="G96" s="126">
        <f t="shared" si="13"/>
        <v>39</v>
      </c>
      <c r="H96" s="116">
        <f t="shared" si="11"/>
        <v>46091.708333333336</v>
      </c>
      <c r="I96" s="117" cm="1">
        <f t="array" ref="I9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Calculators'!$B$2+ICS4Test!$E94,""))</f>
        <v>46091.75</v>
      </c>
      <c r="J96" s="116" cm="1">
        <f t="array" ref="J96">IF(I96="","",INDEX('Test schedule'!$H:$H,ROW()+7))</f>
        <v>0</v>
      </c>
      <c r="K96" s="120" t="str" cm="1">
        <f t="array" ref="K96">IF(I96="","",INDEX('Test schedule'!$J:$J,ROW()+7))</f>
        <v>Last Fire Up (Car on the Ground)</v>
      </c>
      <c r="L96" s="129" t="str" cm="1">
        <f t="array" ref="L96">IF(OR(I96="",INDEX('Test schedule'!$T:$T,ROW()+7)=""),"",INDEX('Test schedule'!$T:$T,ROW()+7))</f>
        <v/>
      </c>
    </row>
    <row r="97" spans="2:12" ht="15" customHeight="1">
      <c r="B97" s="116" t="str">
        <f t="shared" si="12"/>
        <v/>
      </c>
      <c r="C97" s="117" t="str">
        <f t="shared" si="7"/>
        <v/>
      </c>
      <c r="D97" s="116" t="str">
        <f t="shared" si="8"/>
        <v/>
      </c>
      <c r="E97" s="120" t="str">
        <f t="shared" si="9"/>
        <v/>
      </c>
      <c r="F97" s="118" t="str">
        <f t="shared" si="10"/>
        <v/>
      </c>
      <c r="G97" s="126">
        <f t="shared" si="13"/>
        <v>40</v>
      </c>
      <c r="H97" s="116">
        <f t="shared" si="11"/>
        <v>46091.708333333336</v>
      </c>
      <c r="I97" s="117" cm="1">
        <f t="array" ref="I9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Calculators'!$B$2+ICS4Test!$E95,""))</f>
        <v>46091.75</v>
      </c>
      <c r="J97" s="116" t="str" cm="1">
        <f t="array" ref="J97">IF(I97="","",INDEX('Test schedule'!$H:$H,ROW()+7))</f>
        <v/>
      </c>
      <c r="K97" s="120" t="str" cm="1">
        <f t="array" ref="K97">IF(I97="","",INDEX('Test schedule'!$J:$J,ROW()+7))</f>
        <v>Cars stand by</v>
      </c>
      <c r="L97" s="129" t="str" cm="1">
        <f t="array" ref="L97">IF(OR(I97="",INDEX('Test schedule'!$T:$T,ROW()+7)=""),"",INDEX('Test schedule'!$T:$T,ROW()+7))</f>
        <v/>
      </c>
    </row>
    <row r="98" spans="2:12" ht="15" customHeight="1">
      <c r="B98" s="116" t="str">
        <f t="shared" si="12"/>
        <v/>
      </c>
      <c r="C98" s="117" t="str">
        <f t="shared" si="7"/>
        <v/>
      </c>
      <c r="D98" s="116" t="str">
        <f t="shared" si="8"/>
        <v/>
      </c>
      <c r="E98" s="120" t="str">
        <f t="shared" si="9"/>
        <v/>
      </c>
      <c r="F98" s="118" t="str">
        <f t="shared" si="10"/>
        <v/>
      </c>
      <c r="G98" s="126">
        <f t="shared" si="13"/>
        <v>41</v>
      </c>
      <c r="H98" s="116">
        <f t="shared" si="11"/>
        <v>46091.75</v>
      </c>
      <c r="I98" s="117" cm="1">
        <f t="array" ref="I9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Calculators'!$B$2+ICS4Test!$E96,""))</f>
        <v>46091.760416666664</v>
      </c>
      <c r="J98" s="116" t="str" cm="1">
        <f t="array" ref="J98">IF(I98="","",INDEX('Test schedule'!$H:$H,ROW()+7))</f>
        <v/>
      </c>
      <c r="K98" s="120" t="str" cm="1">
        <f t="array" ref="K98">IF(I98="","",INDEX('Test schedule'!$J:$J,ROW()+7))</f>
        <v>Drivers ready in car</v>
      </c>
      <c r="L98" s="129" t="str" cm="1">
        <f t="array" ref="L98">IF(OR(I98="",INDEX('Test schedule'!$T:$T,ROW()+7)=""),"",INDEX('Test schedule'!$T:$T,ROW()+7))</f>
        <v/>
      </c>
    </row>
    <row r="99" spans="2:12" ht="15" customHeight="1">
      <c r="B99" s="116" t="str">
        <f t="shared" si="12"/>
        <v/>
      </c>
      <c r="C99" s="117" t="str">
        <f t="shared" si="7"/>
        <v/>
      </c>
      <c r="D99" s="116" t="str">
        <f t="shared" si="8"/>
        <v/>
      </c>
      <c r="E99" s="120" t="str">
        <f t="shared" si="9"/>
        <v/>
      </c>
      <c r="F99" s="118" t="str">
        <f t="shared" si="10"/>
        <v/>
      </c>
      <c r="G99" s="126">
        <f t="shared" si="13"/>
        <v>41</v>
      </c>
      <c r="H99" s="116" t="str">
        <f t="shared" si="11"/>
        <v/>
      </c>
      <c r="I99" s="117" t="str" cm="1">
        <f t="array" ref="I9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Calculators'!$B$2+ICS4Test!$E97,""))</f>
        <v/>
      </c>
      <c r="J99" s="116" t="str" cm="1">
        <f t="array" ref="J99">IF(I99="","",INDEX('Test schedule'!$H:$H,ROW()+7))</f>
        <v/>
      </c>
      <c r="K99" s="120" t="str" cm="1">
        <f t="array" ref="K99">IF(I99="","",INDEX('Test schedule'!$J:$J,ROW()+7))</f>
        <v/>
      </c>
      <c r="L99" s="129" t="str" cm="1">
        <f t="array" ref="L99">IF(OR(I99="",INDEX('Test schedule'!$T:$T,ROW()+7)=""),"",INDEX('Test schedule'!$T:$T,ROW()+7))</f>
        <v/>
      </c>
    </row>
    <row r="100" spans="2:12" ht="15" customHeight="1">
      <c r="B100" s="116" t="str">
        <f t="shared" si="12"/>
        <v/>
      </c>
      <c r="C100" s="117" t="str">
        <f t="shared" si="7"/>
        <v/>
      </c>
      <c r="D100" s="116" t="str">
        <f t="shared" si="8"/>
        <v/>
      </c>
      <c r="E100" s="120" t="str">
        <f t="shared" si="9"/>
        <v/>
      </c>
      <c r="F100" s="118" t="str">
        <f t="shared" si="10"/>
        <v/>
      </c>
      <c r="G100" s="126">
        <f t="shared" si="13"/>
        <v>41</v>
      </c>
      <c r="H100" s="116" t="str">
        <f t="shared" si="11"/>
        <v/>
      </c>
      <c r="I100" s="117" t="str" cm="1">
        <f t="array" ref="I10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Calculators'!$B$2+ICS4Test!$E98,""))</f>
        <v/>
      </c>
      <c r="J100" s="116" t="str" cm="1">
        <f t="array" ref="J100">IF(I100="","",INDEX('Test schedule'!$H:$H,ROW()+7))</f>
        <v/>
      </c>
      <c r="K100" s="120" t="str" cm="1">
        <f t="array" ref="K100">IF(I100="","",INDEX('Test schedule'!$J:$J,ROW()+7))</f>
        <v/>
      </c>
      <c r="L100" s="129" t="str" cm="1">
        <f t="array" ref="L100">IF(OR(I100="",INDEX('Test schedule'!$T:$T,ROW()+7)=""),"",INDEX('Test schedule'!$T:$T,ROW()+7))</f>
        <v/>
      </c>
    </row>
    <row r="101" spans="2:12" ht="15" customHeight="1">
      <c r="B101" s="116" t="str">
        <f t="shared" si="12"/>
        <v/>
      </c>
      <c r="C101" s="117" t="str">
        <f t="shared" si="7"/>
        <v/>
      </c>
      <c r="D101" s="116" t="str">
        <f t="shared" si="8"/>
        <v/>
      </c>
      <c r="E101" s="120" t="str">
        <f t="shared" si="9"/>
        <v/>
      </c>
      <c r="F101" s="118" t="str">
        <f t="shared" si="10"/>
        <v/>
      </c>
      <c r="G101" s="126">
        <f t="shared" si="13"/>
        <v>41</v>
      </c>
      <c r="H101" s="116" t="str">
        <f t="shared" si="11"/>
        <v/>
      </c>
      <c r="I101" s="117" t="str" cm="1">
        <f t="array" ref="I10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Calculators'!$B$2+ICS4Test!$E99,""))</f>
        <v/>
      </c>
      <c r="J101" s="116" t="str" cm="1">
        <f t="array" ref="J101">IF(I101="","",INDEX('Test schedule'!$H:$H,ROW()+7))</f>
        <v/>
      </c>
      <c r="K101" s="120" t="str" cm="1">
        <f t="array" ref="K101">IF(I101="","",INDEX('Test schedule'!$J:$J,ROW()+7))</f>
        <v/>
      </c>
      <c r="L101" s="129" t="str" cm="1">
        <f t="array" ref="L101">IF(OR(I101="",INDEX('Test schedule'!$T:$T,ROW()+7)=""),"",INDEX('Test schedule'!$T:$T,ROW()+7))</f>
        <v/>
      </c>
    </row>
    <row r="102" spans="2:12" ht="15" customHeight="1">
      <c r="B102" s="116" t="str">
        <f t="shared" si="12"/>
        <v/>
      </c>
      <c r="C102" s="117" t="str">
        <f t="shared" si="7"/>
        <v/>
      </c>
      <c r="D102" s="116" t="str">
        <f t="shared" si="8"/>
        <v/>
      </c>
      <c r="E102" s="120" t="str">
        <f t="shared" si="9"/>
        <v/>
      </c>
      <c r="F102" s="118" t="str">
        <f t="shared" si="10"/>
        <v/>
      </c>
      <c r="G102" s="126">
        <f t="shared" si="13"/>
        <v>41</v>
      </c>
      <c r="H102" s="116" t="str">
        <f t="shared" si="11"/>
        <v/>
      </c>
      <c r="I102" s="117" t="str" cm="1">
        <f t="array" ref="I10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Calculators'!$B$2+ICS4Test!$E100,""))</f>
        <v/>
      </c>
      <c r="J102" s="116" t="str" cm="1">
        <f t="array" ref="J102">IF(I102="","",INDEX('Test schedule'!$H:$H,ROW()+7))</f>
        <v/>
      </c>
      <c r="K102" s="120" t="str" cm="1">
        <f t="array" ref="K102">IF(I102="","",INDEX('Test schedule'!$J:$J,ROW()+7))</f>
        <v/>
      </c>
      <c r="L102" s="129" t="str" cm="1">
        <f t="array" ref="L102">IF(OR(I102="",INDEX('Test schedule'!$T:$T,ROW()+7)=""),"",INDEX('Test schedule'!$T:$T,ROW()+7))</f>
        <v/>
      </c>
    </row>
    <row r="103" spans="2:12" ht="15" customHeight="1">
      <c r="B103" s="116" t="str">
        <f t="shared" si="12"/>
        <v/>
      </c>
      <c r="C103" s="117" t="str">
        <f t="shared" si="7"/>
        <v/>
      </c>
      <c r="D103" s="116" t="str">
        <f t="shared" si="8"/>
        <v/>
      </c>
      <c r="E103" s="120" t="str">
        <f t="shared" si="9"/>
        <v/>
      </c>
      <c r="F103" s="118" t="str">
        <f t="shared" si="10"/>
        <v/>
      </c>
      <c r="G103" s="126">
        <f t="shared" si="13"/>
        <v>42</v>
      </c>
      <c r="H103" s="116" t="str">
        <f t="shared" si="11"/>
        <v>START</v>
      </c>
      <c r="I103" s="117" t="str" cm="1">
        <f t="array" ref="I10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Calculators'!$B$2+ICS4Test!$E101,""))</f>
        <v>END</v>
      </c>
      <c r="J103" s="116" t="str" cm="1">
        <f t="array" ref="J103">IF(I103="","",INDEX('Test schedule'!$H:$H,ROW()+7))</f>
        <v>TOTAL</v>
      </c>
      <c r="K103" s="120" t="str" cm="1">
        <f t="array" ref="K103">IF(I103="","",INDEX('Test schedule'!$J:$J,ROW()+7))</f>
        <v>ACTIVITY</v>
      </c>
      <c r="L103" s="129" t="str" cm="1">
        <f t="array" ref="L103">IF(OR(I103="",INDEX('Test schedule'!$T:$T,ROW()+7)=""),"",INDEX('Test schedule'!$T:$T,ROW()+7))</f>
        <v>COMMENTS</v>
      </c>
    </row>
    <row r="104" spans="2:12" ht="15" customHeight="1">
      <c r="B104" s="116" t="str">
        <f t="shared" si="12"/>
        <v/>
      </c>
      <c r="C104" s="117" t="str">
        <f t="shared" si="7"/>
        <v/>
      </c>
      <c r="D104" s="116" t="str">
        <f t="shared" si="8"/>
        <v/>
      </c>
      <c r="E104" s="120" t="str">
        <f t="shared" si="9"/>
        <v/>
      </c>
      <c r="F104" s="118" t="str">
        <f t="shared" si="10"/>
        <v/>
      </c>
      <c r="G104" s="126">
        <f t="shared" si="13"/>
        <v>42</v>
      </c>
      <c r="H104" s="116" t="str">
        <f t="shared" si="11"/>
        <v/>
      </c>
      <c r="I104" s="117" t="str" cm="1">
        <f t="array" ref="I10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Calculators'!$B$2+ICS4Test!$E102,""))</f>
        <v/>
      </c>
      <c r="J104" s="116" t="str" cm="1">
        <f t="array" ref="J104">IF(I104="","",INDEX('Test schedule'!$H:$H,ROW()+7))</f>
        <v/>
      </c>
      <c r="K104" s="120" t="str" cm="1">
        <f t="array" ref="K104">IF(I104="","",INDEX('Test schedule'!$J:$J,ROW()+7))</f>
        <v/>
      </c>
      <c r="L104" s="129" t="str" cm="1">
        <f t="array" ref="L104">IF(OR(I104="",INDEX('Test schedule'!$T:$T,ROW()+7)=""),"",INDEX('Test schedule'!$T:$T,ROW()+7))</f>
        <v/>
      </c>
    </row>
    <row r="105" spans="2:12" ht="15" customHeight="1">
      <c r="B105" s="116" t="str">
        <f t="shared" si="12"/>
        <v/>
      </c>
      <c r="C105" s="117" t="str">
        <f t="shared" si="7"/>
        <v/>
      </c>
      <c r="D105" s="116" t="str">
        <f t="shared" si="8"/>
        <v/>
      </c>
      <c r="E105" s="120" t="str">
        <f t="shared" si="9"/>
        <v/>
      </c>
      <c r="F105" s="118" t="str">
        <f t="shared" si="10"/>
        <v/>
      </c>
      <c r="G105" s="126">
        <f t="shared" si="13"/>
        <v>42</v>
      </c>
      <c r="H105" s="116" t="str">
        <f t="shared" si="11"/>
        <v/>
      </c>
      <c r="I105" s="117" t="str" cm="1">
        <f t="array" ref="I10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Calculators'!$B$2+ICS4Test!$E103,""))</f>
        <v/>
      </c>
      <c r="J105" s="116" t="str" cm="1">
        <f t="array" ref="J105">IF(I105="","",INDEX('Test schedule'!$H:$H,ROW()+7))</f>
        <v/>
      </c>
      <c r="K105" s="120" t="str" cm="1">
        <f t="array" ref="K105">IF(I105="","",INDEX('Test schedule'!$J:$J,ROW()+7))</f>
        <v/>
      </c>
      <c r="L105" s="129" t="str" cm="1">
        <f t="array" ref="L105">IF(OR(I105="",INDEX('Test schedule'!$T:$T,ROW()+7)=""),"",INDEX('Test schedule'!$T:$T,ROW()+7))</f>
        <v/>
      </c>
    </row>
    <row r="106" spans="2:12" ht="15" customHeight="1">
      <c r="B106" s="116" t="str">
        <f t="shared" si="12"/>
        <v/>
      </c>
      <c r="C106" s="117" t="str">
        <f t="shared" si="7"/>
        <v/>
      </c>
      <c r="D106" s="116" t="str">
        <f t="shared" si="8"/>
        <v/>
      </c>
      <c r="E106" s="120" t="str">
        <f t="shared" si="9"/>
        <v/>
      </c>
      <c r="F106" s="118" t="str">
        <f t="shared" si="10"/>
        <v/>
      </c>
      <c r="G106" s="126">
        <f t="shared" si="13"/>
        <v>42</v>
      </c>
      <c r="H106" s="116" t="str">
        <f t="shared" si="11"/>
        <v/>
      </c>
      <c r="I106" s="117" t="str" cm="1">
        <f t="array" ref="I10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Calculators'!$B$2+ICS4Test!$E104,""))</f>
        <v/>
      </c>
      <c r="J106" s="116" t="str" cm="1">
        <f t="array" ref="J106">IF(I106="","",INDEX('Test schedule'!$H:$H,ROW()+7))</f>
        <v/>
      </c>
      <c r="K106" s="120" t="str" cm="1">
        <f t="array" ref="K106">IF(I106="","",INDEX('Test schedule'!$J:$J,ROW()+7))</f>
        <v/>
      </c>
      <c r="L106" s="129" t="str" cm="1">
        <f t="array" ref="L106">IF(OR(I106="",INDEX('Test schedule'!$T:$T,ROW()+7)=""),"",INDEX('Test schedule'!$T:$T,ROW()+7))</f>
        <v/>
      </c>
    </row>
    <row r="107" spans="2:12" ht="15" customHeight="1">
      <c r="B107" s="116" t="str">
        <f t="shared" si="12"/>
        <v/>
      </c>
      <c r="C107" s="117" t="str">
        <f t="shared" si="7"/>
        <v/>
      </c>
      <c r="D107" s="116" t="str">
        <f t="shared" si="8"/>
        <v/>
      </c>
      <c r="E107" s="120" t="str">
        <f t="shared" si="9"/>
        <v/>
      </c>
      <c r="F107" s="118" t="str">
        <f t="shared" si="10"/>
        <v/>
      </c>
      <c r="G107" s="126">
        <f t="shared" si="13"/>
        <v>42</v>
      </c>
      <c r="H107" s="116" t="str">
        <f t="shared" si="11"/>
        <v/>
      </c>
      <c r="I107" s="117" t="str" cm="1">
        <f t="array" ref="I10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Calculators'!$B$2+ICS4Test!$E105,""))</f>
        <v/>
      </c>
      <c r="J107" s="116" t="str" cm="1">
        <f t="array" ref="J107">IF(I107="","",INDEX('Test schedule'!$H:$H,ROW()+7))</f>
        <v/>
      </c>
      <c r="K107" s="120" t="str" cm="1">
        <f t="array" ref="K107">IF(I107="","",INDEX('Test schedule'!$J:$J,ROW()+7))</f>
        <v/>
      </c>
      <c r="L107" s="129" t="str" cm="1">
        <f t="array" ref="L107">IF(OR(I107="",INDEX('Test schedule'!$T:$T,ROW()+7)=""),"",INDEX('Test schedule'!$T:$T,ROW()+7))</f>
        <v/>
      </c>
    </row>
    <row r="108" spans="2:12" ht="15" customHeight="1">
      <c r="B108" s="116" t="str">
        <f t="shared" si="12"/>
        <v/>
      </c>
      <c r="C108" s="117" t="str">
        <f t="shared" si="7"/>
        <v/>
      </c>
      <c r="D108" s="116" t="str">
        <f t="shared" si="8"/>
        <v/>
      </c>
      <c r="E108" s="120" t="str">
        <f t="shared" si="9"/>
        <v/>
      </c>
      <c r="F108" s="118" t="str">
        <f t="shared" si="10"/>
        <v/>
      </c>
      <c r="G108" s="126">
        <f t="shared" si="13"/>
        <v>42</v>
      </c>
      <c r="H108" s="116" t="str">
        <f>IF(I108="","",IF(I108="END","START",IF(OR(I107="END",I107=I108,I107=""),IF(OR(H107="",H107="START"),I108-$U$3,H107),IFERROR(IF(I107&gt;I108,I108-$U$3,I107),I107))))</f>
        <v/>
      </c>
      <c r="I108" s="117" t="str" cm="1">
        <f t="array" ref="I10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Calculators'!$B$2+ICS4Test!$E106,""))</f>
        <v/>
      </c>
      <c r="J108" s="116" t="str" cm="1">
        <f t="array" ref="J108">IF(I108="","",INDEX('Test schedule'!$H:$H,ROW()+7))</f>
        <v/>
      </c>
      <c r="K108" s="120" t="str" cm="1">
        <f t="array" ref="K108">IF(I108="","",INDEX('Test schedule'!$J:$J,ROW()+7))</f>
        <v/>
      </c>
      <c r="L108" s="129" t="str" cm="1">
        <f t="array" ref="L108">IF(OR(I108="",INDEX('Test schedule'!$T:$T,ROW()+7)=""),"",INDEX('Test schedule'!$T:$T,ROW()+7))</f>
        <v/>
      </c>
    </row>
    <row r="109" spans="2:12" ht="15" customHeight="1">
      <c r="B109" s="116" t="str">
        <f t="shared" si="12"/>
        <v/>
      </c>
      <c r="C109" s="117" t="str">
        <f t="shared" si="7"/>
        <v/>
      </c>
      <c r="D109" s="116" t="str">
        <f t="shared" si="8"/>
        <v/>
      </c>
      <c r="E109" s="120" t="str">
        <f t="shared" si="9"/>
        <v/>
      </c>
      <c r="F109" s="118" t="str">
        <f t="shared" si="10"/>
        <v/>
      </c>
      <c r="G109" s="126">
        <f t="shared" si="13"/>
        <v>42</v>
      </c>
      <c r="H109" s="116" t="str">
        <f t="shared" ref="H109:H172" si="14">IF(I109="","",IF(I109="END","START",IF(OR(I108="END",I108=I109,I108=""),IF(OR(H108="",H108="START"),I109-$U$3,H108),IFERROR(IF(I108&gt;I109,I109-$U$3,I108),I108))))</f>
        <v/>
      </c>
      <c r="I109" s="117" t="str" cm="1">
        <f t="array" ref="I10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Calculators'!$B$2+ICS4Test!$E107,""))</f>
        <v/>
      </c>
      <c r="J109" s="116" t="str" cm="1">
        <f t="array" ref="J109">IF(I109="","",INDEX('Test schedule'!$H:$H,ROW()+7))</f>
        <v/>
      </c>
      <c r="K109" s="120" t="str" cm="1">
        <f t="array" ref="K109">IF(I109="","",INDEX('Test schedule'!$J:$J,ROW()+7))</f>
        <v/>
      </c>
      <c r="L109" s="129" t="str" cm="1">
        <f t="array" ref="L109">IF(OR(I109="",INDEX('Test schedule'!$T:$T,ROW()+7)=""),"",INDEX('Test schedule'!$T:$T,ROW()+7))</f>
        <v/>
      </c>
    </row>
    <row r="110" spans="2:12" ht="15" customHeight="1">
      <c r="B110" s="116" t="str">
        <f t="shared" si="12"/>
        <v/>
      </c>
      <c r="C110" s="117" t="str">
        <f t="shared" si="7"/>
        <v/>
      </c>
      <c r="D110" s="116" t="str">
        <f t="shared" si="8"/>
        <v/>
      </c>
      <c r="E110" s="120" t="str">
        <f t="shared" si="9"/>
        <v/>
      </c>
      <c r="F110" s="118" t="str">
        <f t="shared" si="10"/>
        <v/>
      </c>
      <c r="G110" s="126">
        <f t="shared" si="13"/>
        <v>42</v>
      </c>
      <c r="H110" s="116" t="str">
        <f t="shared" si="14"/>
        <v/>
      </c>
      <c r="I110" s="117" t="str" cm="1">
        <f t="array" ref="I11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Calculators'!$B$2+ICS4Test!$E108,""))</f>
        <v/>
      </c>
      <c r="J110" s="116" t="str" cm="1">
        <f t="array" ref="J110">IF(I110="","",INDEX('Test schedule'!$H:$H,ROW()+7))</f>
        <v/>
      </c>
      <c r="K110" s="120" t="str" cm="1">
        <f t="array" ref="K110">IF(I110="","",INDEX('Test schedule'!$J:$J,ROW()+7))</f>
        <v/>
      </c>
      <c r="L110" s="129" t="str" cm="1">
        <f t="array" ref="L110">IF(OR(I110="",INDEX('Test schedule'!$T:$T,ROW()+7)=""),"",INDEX('Test schedule'!$T:$T,ROW()+7))</f>
        <v/>
      </c>
    </row>
    <row r="111" spans="2:12" ht="15" customHeight="1">
      <c r="B111" s="116" t="str">
        <f t="shared" si="12"/>
        <v/>
      </c>
      <c r="C111" s="117" t="str">
        <f t="shared" si="7"/>
        <v/>
      </c>
      <c r="D111" s="116" t="str">
        <f t="shared" si="8"/>
        <v/>
      </c>
      <c r="E111" s="120" t="str">
        <f t="shared" si="9"/>
        <v/>
      </c>
      <c r="F111" s="118" t="str">
        <f t="shared" si="10"/>
        <v/>
      </c>
      <c r="G111" s="126">
        <f t="shared" si="13"/>
        <v>42</v>
      </c>
      <c r="H111" s="116" t="str">
        <f t="shared" si="14"/>
        <v/>
      </c>
      <c r="I111" s="117" t="str" cm="1">
        <f t="array" ref="I11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Calculators'!$B$2+ICS4Test!$E109,""))</f>
        <v/>
      </c>
      <c r="J111" s="116" t="str" cm="1">
        <f t="array" ref="J111">IF(I111="","",INDEX('Test schedule'!$H:$H,ROW()+7))</f>
        <v/>
      </c>
      <c r="K111" s="120" t="str" cm="1">
        <f t="array" ref="K111">IF(I111="","",INDEX('Test schedule'!$J:$J,ROW()+7))</f>
        <v/>
      </c>
      <c r="L111" s="129" t="str" cm="1">
        <f t="array" ref="L111">IF(OR(I111="",INDEX('Test schedule'!$T:$T,ROW()+7)=""),"",INDEX('Test schedule'!$T:$T,ROW()+7))</f>
        <v/>
      </c>
    </row>
    <row r="112" spans="2:12" ht="15" customHeight="1">
      <c r="B112" s="116" t="str">
        <f t="shared" si="12"/>
        <v/>
      </c>
      <c r="C112" s="117" t="str">
        <f t="shared" si="7"/>
        <v/>
      </c>
      <c r="D112" s="116" t="str">
        <f t="shared" si="8"/>
        <v/>
      </c>
      <c r="E112" s="120" t="str">
        <f t="shared" si="9"/>
        <v/>
      </c>
      <c r="F112" s="118" t="str">
        <f t="shared" si="10"/>
        <v/>
      </c>
      <c r="G112" s="126">
        <f t="shared" si="13"/>
        <v>42</v>
      </c>
      <c r="H112" s="116" t="str">
        <f t="shared" si="14"/>
        <v/>
      </c>
      <c r="I112" s="117" t="str" cm="1">
        <f t="array" ref="I11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Calculators'!$B$2+ICS4Test!$E110,""))</f>
        <v/>
      </c>
      <c r="J112" s="116" t="str" cm="1">
        <f t="array" ref="J112">IF(I112="","",INDEX('Test schedule'!$H:$H,ROW()+7))</f>
        <v/>
      </c>
      <c r="K112" s="120" t="str" cm="1">
        <f t="array" ref="K112">IF(I112="","",INDEX('Test schedule'!$J:$J,ROW()+7))</f>
        <v/>
      </c>
      <c r="L112" s="129" t="str" cm="1">
        <f t="array" ref="L112">IF(OR(I112="",INDEX('Test schedule'!$T:$T,ROW()+7)=""),"",INDEX('Test schedule'!$T:$T,ROW()+7))</f>
        <v/>
      </c>
    </row>
    <row r="113" spans="2:12" ht="15" customHeight="1">
      <c r="B113" s="116" t="str">
        <f t="shared" si="12"/>
        <v/>
      </c>
      <c r="C113" s="117" t="str">
        <f t="shared" si="7"/>
        <v/>
      </c>
      <c r="D113" s="116" t="str">
        <f t="shared" si="8"/>
        <v/>
      </c>
      <c r="E113" s="120" t="str">
        <f t="shared" si="9"/>
        <v/>
      </c>
      <c r="F113" s="118" t="str">
        <f t="shared" si="10"/>
        <v/>
      </c>
      <c r="G113" s="126">
        <f t="shared" si="13"/>
        <v>42</v>
      </c>
      <c r="H113" s="116" t="str">
        <f t="shared" si="14"/>
        <v/>
      </c>
      <c r="I113" s="117" t="str" cm="1">
        <f t="array" ref="I11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Calculators'!$B$2+ICS4Test!$E111,""))</f>
        <v/>
      </c>
      <c r="J113" s="116" t="str" cm="1">
        <f t="array" ref="J113">IF(I113="","",INDEX('Test schedule'!$H:$H,ROW()+7))</f>
        <v/>
      </c>
      <c r="K113" s="120" t="str" cm="1">
        <f t="array" ref="K113">IF(I113="","",INDEX('Test schedule'!$J:$J,ROW()+7))</f>
        <v/>
      </c>
      <c r="L113" s="129" t="str" cm="1">
        <f t="array" ref="L113">IF(OR(I113="",INDEX('Test schedule'!$T:$T,ROW()+7)=""),"",INDEX('Test schedule'!$T:$T,ROW()+7))</f>
        <v/>
      </c>
    </row>
    <row r="114" spans="2:12" ht="15" customHeight="1">
      <c r="B114" s="116" t="str">
        <f t="shared" si="12"/>
        <v/>
      </c>
      <c r="C114" s="117" t="str">
        <f t="shared" si="7"/>
        <v/>
      </c>
      <c r="D114" s="116" t="str">
        <f t="shared" si="8"/>
        <v/>
      </c>
      <c r="E114" s="120" t="str">
        <f t="shared" si="9"/>
        <v/>
      </c>
      <c r="F114" s="118" t="str">
        <f t="shared" si="10"/>
        <v/>
      </c>
      <c r="G114" s="126">
        <f t="shared" si="13"/>
        <v>42</v>
      </c>
      <c r="H114" s="116" t="str">
        <f t="shared" si="14"/>
        <v/>
      </c>
      <c r="I114" s="117" t="str" cm="1">
        <f t="array" ref="I11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Calculators'!$B$2+ICS4Test!$E112,""))</f>
        <v/>
      </c>
      <c r="J114" s="116" t="str" cm="1">
        <f t="array" ref="J114">IF(I114="","",INDEX('Test schedule'!$H:$H,ROW()+7))</f>
        <v/>
      </c>
      <c r="K114" s="120" t="str" cm="1">
        <f t="array" ref="K114">IF(I114="","",INDEX('Test schedule'!$J:$J,ROW()+7))</f>
        <v/>
      </c>
      <c r="L114" s="129" t="str" cm="1">
        <f t="array" ref="L114">IF(OR(I114="",INDEX('Test schedule'!$T:$T,ROW()+7)=""),"",INDEX('Test schedule'!$T:$T,ROW()+7))</f>
        <v/>
      </c>
    </row>
    <row r="115" spans="2:12" ht="15" customHeight="1">
      <c r="B115" s="116" t="str">
        <f t="shared" si="12"/>
        <v/>
      </c>
      <c r="C115" s="117" t="str">
        <f t="shared" si="7"/>
        <v/>
      </c>
      <c r="D115" s="116" t="str">
        <f t="shared" si="8"/>
        <v/>
      </c>
      <c r="E115" s="120" t="str">
        <f t="shared" si="9"/>
        <v/>
      </c>
      <c r="F115" s="118" t="str">
        <f t="shared" si="10"/>
        <v/>
      </c>
      <c r="G115" s="126">
        <f t="shared" si="13"/>
        <v>42</v>
      </c>
      <c r="H115" s="116" t="str">
        <f t="shared" si="14"/>
        <v/>
      </c>
      <c r="I115" s="117" t="str" cm="1">
        <f t="array" ref="I11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Calculators'!$B$2+ICS4Test!$E113,""))</f>
        <v/>
      </c>
      <c r="J115" s="116" t="str" cm="1">
        <f t="array" ref="J115">IF(I115="","",INDEX('Test schedule'!$H:$H,ROW()+7))</f>
        <v/>
      </c>
      <c r="K115" s="120" t="str" cm="1">
        <f t="array" ref="K115">IF(I115="","",INDEX('Test schedule'!$J:$J,ROW()+7))</f>
        <v/>
      </c>
      <c r="L115" s="129" t="str" cm="1">
        <f t="array" ref="L115">IF(OR(I115="",INDEX('Test schedule'!$T:$T,ROW()+7)=""),"",INDEX('Test schedule'!$T:$T,ROW()+7))</f>
        <v/>
      </c>
    </row>
    <row r="116" spans="2:12" ht="15" customHeight="1">
      <c r="B116" s="116" t="str">
        <f t="shared" si="12"/>
        <v/>
      </c>
      <c r="C116" s="117" t="str">
        <f t="shared" si="7"/>
        <v/>
      </c>
      <c r="D116" s="116" t="str">
        <f t="shared" si="8"/>
        <v/>
      </c>
      <c r="E116" s="120" t="str">
        <f t="shared" si="9"/>
        <v/>
      </c>
      <c r="F116" s="118" t="str">
        <f t="shared" si="10"/>
        <v/>
      </c>
      <c r="G116" s="126">
        <f t="shared" si="13"/>
        <v>42</v>
      </c>
      <c r="H116" s="116" t="str">
        <f t="shared" si="14"/>
        <v/>
      </c>
      <c r="I116" s="117" t="str" cm="1">
        <f t="array" ref="I11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Calculators'!$B$2+ICS4Test!$E114,""))</f>
        <v/>
      </c>
      <c r="J116" s="116" t="str" cm="1">
        <f t="array" ref="J116">IF(I116="","",INDEX('Test schedule'!$H:$H,ROW()+7))</f>
        <v/>
      </c>
      <c r="K116" s="120" t="str" cm="1">
        <f t="array" ref="K116">IF(I116="","",INDEX('Test schedule'!$J:$J,ROW()+7))</f>
        <v/>
      </c>
      <c r="L116" s="129" t="str" cm="1">
        <f t="array" ref="L116">IF(OR(I116="",INDEX('Test schedule'!$T:$T,ROW()+7)=""),"",INDEX('Test schedule'!$T:$T,ROW()+7))</f>
        <v/>
      </c>
    </row>
    <row r="117" spans="2:12" ht="15" customHeight="1">
      <c r="B117" s="116" t="str">
        <f t="shared" si="12"/>
        <v/>
      </c>
      <c r="C117" s="117" t="str">
        <f t="shared" si="7"/>
        <v/>
      </c>
      <c r="D117" s="116" t="str">
        <f t="shared" si="8"/>
        <v/>
      </c>
      <c r="E117" s="120" t="str">
        <f t="shared" si="9"/>
        <v/>
      </c>
      <c r="F117" s="118" t="str">
        <f t="shared" si="10"/>
        <v/>
      </c>
      <c r="G117" s="126">
        <f t="shared" si="13"/>
        <v>42</v>
      </c>
      <c r="H117" s="116" t="str">
        <f t="shared" si="14"/>
        <v/>
      </c>
      <c r="I117" s="117" t="str" cm="1">
        <f t="array" ref="I11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Calculators'!$B$2+ICS4Test!$E115,""))</f>
        <v/>
      </c>
      <c r="J117" s="116" t="str" cm="1">
        <f t="array" ref="J117">IF(I117="","",INDEX('Test schedule'!$H:$H,ROW()+7))</f>
        <v/>
      </c>
      <c r="K117" s="120" t="str" cm="1">
        <f t="array" ref="K117">IF(I117="","",INDEX('Test schedule'!$J:$J,ROW()+7))</f>
        <v/>
      </c>
      <c r="L117" s="129" t="str" cm="1">
        <f t="array" ref="L117">IF(OR(I117="",INDEX('Test schedule'!$T:$T,ROW()+7)=""),"",INDEX('Test schedule'!$T:$T,ROW()+7))</f>
        <v/>
      </c>
    </row>
    <row r="118" spans="2:12" ht="15" customHeight="1">
      <c r="B118" s="116" t="str">
        <f t="shared" si="12"/>
        <v/>
      </c>
      <c r="C118" s="117" t="str">
        <f t="shared" si="7"/>
        <v/>
      </c>
      <c r="D118" s="116" t="str">
        <f t="shared" si="8"/>
        <v/>
      </c>
      <c r="E118" s="120" t="str">
        <f t="shared" si="9"/>
        <v/>
      </c>
      <c r="F118" s="118" t="str">
        <f t="shared" si="10"/>
        <v/>
      </c>
      <c r="G118" s="126">
        <f t="shared" si="13"/>
        <v>42</v>
      </c>
      <c r="H118" s="116" t="str">
        <f t="shared" si="14"/>
        <v/>
      </c>
      <c r="I118" s="117" t="str" cm="1">
        <f t="array" ref="I11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Calculators'!$B$2+ICS4Test!$E116,""))</f>
        <v/>
      </c>
      <c r="J118" s="116" t="str" cm="1">
        <f t="array" ref="J118">IF(I118="","",INDEX('Test schedule'!$H:$H,ROW()+7))</f>
        <v/>
      </c>
      <c r="K118" s="120" t="str" cm="1">
        <f t="array" ref="K118">IF(I118="","",INDEX('Test schedule'!$J:$J,ROW()+7))</f>
        <v/>
      </c>
      <c r="L118" s="129" t="str" cm="1">
        <f t="array" ref="L118">IF(OR(I118="",INDEX('Test schedule'!$T:$T,ROW()+7)=""),"",INDEX('Test schedule'!$T:$T,ROW()+7))</f>
        <v/>
      </c>
    </row>
    <row r="119" spans="2:12" ht="15" customHeight="1">
      <c r="B119" s="116" t="str">
        <f t="shared" si="12"/>
        <v/>
      </c>
      <c r="C119" s="117" t="str">
        <f t="shared" si="7"/>
        <v/>
      </c>
      <c r="D119" s="116" t="str">
        <f t="shared" si="8"/>
        <v/>
      </c>
      <c r="E119" s="120" t="str">
        <f t="shared" si="9"/>
        <v/>
      </c>
      <c r="F119" s="118" t="str">
        <f t="shared" si="10"/>
        <v/>
      </c>
      <c r="G119" s="126">
        <f t="shared" si="13"/>
        <v>42</v>
      </c>
      <c r="H119" s="116" t="str">
        <f t="shared" si="14"/>
        <v/>
      </c>
      <c r="I119" s="117" t="str" cm="1">
        <f t="array" ref="I11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Calculators'!$B$2+ICS4Test!$E117,""))</f>
        <v/>
      </c>
      <c r="J119" s="116" t="str" cm="1">
        <f t="array" ref="J119">IF(I119="","",INDEX('Test schedule'!$H:$H,ROW()+7))</f>
        <v/>
      </c>
      <c r="K119" s="120" t="str" cm="1">
        <f t="array" ref="K119">IF(I119="","",INDEX('Test schedule'!$J:$J,ROW()+7))</f>
        <v/>
      </c>
      <c r="L119" s="129" t="str" cm="1">
        <f t="array" ref="L119">IF(OR(I119="",INDEX('Test schedule'!$T:$T,ROW()+7)=""),"",INDEX('Test schedule'!$T:$T,ROW()+7))</f>
        <v/>
      </c>
    </row>
    <row r="120" spans="2:12" ht="15" customHeight="1">
      <c r="B120" s="116" t="str">
        <f t="shared" si="12"/>
        <v/>
      </c>
      <c r="C120" s="117" t="str">
        <f t="shared" si="7"/>
        <v/>
      </c>
      <c r="D120" s="116" t="str">
        <f t="shared" si="8"/>
        <v/>
      </c>
      <c r="E120" s="120" t="str">
        <f t="shared" si="9"/>
        <v/>
      </c>
      <c r="F120" s="118" t="str">
        <f t="shared" si="10"/>
        <v/>
      </c>
      <c r="G120" s="126">
        <f t="shared" si="13"/>
        <v>42</v>
      </c>
      <c r="H120" s="116" t="str">
        <f t="shared" si="14"/>
        <v/>
      </c>
      <c r="I120" s="117" t="str" cm="1">
        <f t="array" ref="I12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Calculators'!$B$2+ICS4Test!$E118,""))</f>
        <v/>
      </c>
      <c r="J120" s="116" t="str" cm="1">
        <f t="array" ref="J120">IF(I120="","",INDEX('Test schedule'!$H:$H,ROW()+7))</f>
        <v/>
      </c>
      <c r="K120" s="120" t="str" cm="1">
        <f t="array" ref="K120">IF(I120="","",INDEX('Test schedule'!$J:$J,ROW()+7))</f>
        <v/>
      </c>
      <c r="L120" s="129" t="str" cm="1">
        <f t="array" ref="L120">IF(OR(I120="",INDEX('Test schedule'!$T:$T,ROW()+7)=""),"",INDEX('Test schedule'!$T:$T,ROW()+7))</f>
        <v/>
      </c>
    </row>
    <row r="121" spans="2:12" ht="15" customHeight="1">
      <c r="B121" s="116" t="str">
        <f t="shared" si="12"/>
        <v/>
      </c>
      <c r="C121" s="117" t="str">
        <f t="shared" si="7"/>
        <v/>
      </c>
      <c r="D121" s="116" t="str">
        <f t="shared" si="8"/>
        <v/>
      </c>
      <c r="E121" s="120" t="str">
        <f t="shared" si="9"/>
        <v/>
      </c>
      <c r="F121" s="118" t="str">
        <f t="shared" si="10"/>
        <v/>
      </c>
      <c r="G121" s="126">
        <f t="shared" si="13"/>
        <v>42</v>
      </c>
      <c r="H121" s="116" t="str">
        <f t="shared" si="14"/>
        <v/>
      </c>
      <c r="I121" s="117" t="str" cm="1">
        <f t="array" ref="I12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Calculators'!$B$2+ICS4Test!$E119,""))</f>
        <v/>
      </c>
      <c r="J121" s="116" t="str" cm="1">
        <f t="array" ref="J121">IF(I121="","",INDEX('Test schedule'!$H:$H,ROW()+7))</f>
        <v/>
      </c>
      <c r="K121" s="120" t="str" cm="1">
        <f t="array" ref="K121">IF(I121="","",INDEX('Test schedule'!$J:$J,ROW()+7))</f>
        <v/>
      </c>
      <c r="L121" s="129" t="str" cm="1">
        <f t="array" ref="L121">IF(OR(I121="",INDEX('Test schedule'!$T:$T,ROW()+7)=""),"",INDEX('Test schedule'!$T:$T,ROW()+7))</f>
        <v/>
      </c>
    </row>
    <row r="122" spans="2:12" ht="15" customHeight="1">
      <c r="B122" s="116" t="str">
        <f t="shared" si="12"/>
        <v/>
      </c>
      <c r="C122" s="117" t="str">
        <f t="shared" si="7"/>
        <v/>
      </c>
      <c r="D122" s="116" t="str">
        <f t="shared" si="8"/>
        <v/>
      </c>
      <c r="E122" s="120" t="str">
        <f t="shared" si="9"/>
        <v/>
      </c>
      <c r="F122" s="118" t="str">
        <f t="shared" si="10"/>
        <v/>
      </c>
      <c r="G122" s="126">
        <f t="shared" si="13"/>
        <v>42</v>
      </c>
      <c r="H122" s="116" t="str">
        <f t="shared" si="14"/>
        <v/>
      </c>
      <c r="I122" s="117" t="str" cm="1">
        <f t="array" ref="I12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Calculators'!$B$2+ICS4Test!$E120,""))</f>
        <v/>
      </c>
      <c r="J122" s="116" t="str" cm="1">
        <f t="array" ref="J122">IF(I122="","",INDEX('Test schedule'!$H:$H,ROW()+7))</f>
        <v/>
      </c>
      <c r="K122" s="120" t="str" cm="1">
        <f t="array" ref="K122">IF(I122="","",INDEX('Test schedule'!$J:$J,ROW()+7))</f>
        <v/>
      </c>
      <c r="L122" s="129" t="str" cm="1">
        <f t="array" ref="L122">IF(OR(I122="",INDEX('Test schedule'!$T:$T,ROW()+7)=""),"",INDEX('Test schedule'!$T:$T,ROW()+7))</f>
        <v/>
      </c>
    </row>
    <row r="123" spans="2:12" ht="15" customHeight="1">
      <c r="B123" s="116" t="str">
        <f t="shared" si="12"/>
        <v/>
      </c>
      <c r="C123" s="117" t="str">
        <f t="shared" si="7"/>
        <v/>
      </c>
      <c r="D123" s="116" t="str">
        <f t="shared" si="8"/>
        <v/>
      </c>
      <c r="E123" s="120" t="str">
        <f t="shared" si="9"/>
        <v/>
      </c>
      <c r="F123" s="118" t="str">
        <f t="shared" si="10"/>
        <v/>
      </c>
      <c r="G123" s="126">
        <f t="shared" si="13"/>
        <v>42</v>
      </c>
      <c r="H123" s="116" t="str">
        <f t="shared" si="14"/>
        <v/>
      </c>
      <c r="I123" s="117" t="str" cm="1">
        <f t="array" ref="I12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Calculators'!$B$2+ICS4Test!$E121,""))</f>
        <v/>
      </c>
      <c r="J123" s="116" t="str" cm="1">
        <f t="array" ref="J123">IF(I123="","",INDEX('Test schedule'!$H:$H,ROW()+7))</f>
        <v/>
      </c>
      <c r="K123" s="120" t="str" cm="1">
        <f t="array" ref="K123">IF(I123="","",INDEX('Test schedule'!$J:$J,ROW()+7))</f>
        <v/>
      </c>
      <c r="L123" s="129" t="str" cm="1">
        <f t="array" ref="L123">IF(OR(I123="",INDEX('Test schedule'!$T:$T,ROW()+7)=""),"",INDEX('Test schedule'!$T:$T,ROW()+7))</f>
        <v/>
      </c>
    </row>
    <row r="124" spans="2:12" ht="15" customHeight="1">
      <c r="B124" s="116" t="str">
        <f t="shared" si="12"/>
        <v/>
      </c>
      <c r="C124" s="117" t="str">
        <f t="shared" si="7"/>
        <v/>
      </c>
      <c r="D124" s="116" t="str">
        <f t="shared" si="8"/>
        <v/>
      </c>
      <c r="E124" s="120" t="str">
        <f t="shared" si="9"/>
        <v/>
      </c>
      <c r="F124" s="118" t="str">
        <f t="shared" si="10"/>
        <v/>
      </c>
      <c r="G124" s="126">
        <f t="shared" si="13"/>
        <v>42</v>
      </c>
      <c r="H124" s="116" t="str">
        <f t="shared" si="14"/>
        <v/>
      </c>
      <c r="I124" s="117" t="str" cm="1">
        <f t="array" ref="I12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Calculators'!$B$2+ICS4Test!$E122,""))</f>
        <v/>
      </c>
      <c r="J124" s="116" t="str" cm="1">
        <f t="array" ref="J124">IF(I124="","",INDEX('Test schedule'!$H:$H,ROW()+7))</f>
        <v/>
      </c>
      <c r="K124" s="120" t="str" cm="1">
        <f t="array" ref="K124">IF(I124="","",INDEX('Test schedule'!$J:$J,ROW()+7))</f>
        <v/>
      </c>
      <c r="L124" s="129" t="str" cm="1">
        <f t="array" ref="L124">IF(OR(I124="",INDEX('Test schedule'!$T:$T,ROW()+7)=""),"",INDEX('Test schedule'!$T:$T,ROW()+7))</f>
        <v/>
      </c>
    </row>
    <row r="125" spans="2:12" ht="15" customHeight="1">
      <c r="B125" s="116" t="str">
        <f t="shared" si="12"/>
        <v/>
      </c>
      <c r="C125" s="117" t="str">
        <f t="shared" si="7"/>
        <v/>
      </c>
      <c r="D125" s="116" t="str">
        <f t="shared" si="8"/>
        <v/>
      </c>
      <c r="E125" s="120" t="str">
        <f t="shared" si="9"/>
        <v/>
      </c>
      <c r="F125" s="118" t="str">
        <f t="shared" si="10"/>
        <v/>
      </c>
      <c r="G125" s="126">
        <f t="shared" si="13"/>
        <v>42</v>
      </c>
      <c r="H125" s="116" t="str">
        <f t="shared" si="14"/>
        <v/>
      </c>
      <c r="I125" s="117" t="str" cm="1">
        <f t="array" ref="I12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Calculators'!$B$2+ICS4Test!$E123,""))</f>
        <v/>
      </c>
      <c r="J125" s="116" t="str" cm="1">
        <f t="array" ref="J125">IF(I125="","",INDEX('Test schedule'!$H:$H,ROW()+7))</f>
        <v/>
      </c>
      <c r="K125" s="120" t="str" cm="1">
        <f t="array" ref="K125">IF(I125="","",INDEX('Test schedule'!$J:$J,ROW()+7))</f>
        <v/>
      </c>
      <c r="L125" s="129" t="str" cm="1">
        <f t="array" ref="L125">IF(OR(I125="",INDEX('Test schedule'!$T:$T,ROW()+7)=""),"",INDEX('Test schedule'!$T:$T,ROW()+7))</f>
        <v/>
      </c>
    </row>
    <row r="126" spans="2:12" ht="15" customHeight="1">
      <c r="B126" s="116" t="str">
        <f t="shared" si="12"/>
        <v/>
      </c>
      <c r="C126" s="117" t="str">
        <f t="shared" si="7"/>
        <v/>
      </c>
      <c r="D126" s="116" t="str">
        <f t="shared" si="8"/>
        <v/>
      </c>
      <c r="E126" s="120" t="str">
        <f t="shared" si="9"/>
        <v/>
      </c>
      <c r="F126" s="118" t="str">
        <f t="shared" si="10"/>
        <v/>
      </c>
      <c r="G126" s="126">
        <f t="shared" si="13"/>
        <v>42</v>
      </c>
      <c r="H126" s="116" t="str">
        <f t="shared" si="14"/>
        <v/>
      </c>
      <c r="I126" s="117" t="str" cm="1">
        <f t="array" ref="I12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Calculators'!$B$2+ICS4Test!$E124,""))</f>
        <v/>
      </c>
      <c r="J126" s="116" t="str" cm="1">
        <f t="array" ref="J126">IF(I126="","",INDEX('Test schedule'!$H:$H,ROW()+7))</f>
        <v/>
      </c>
      <c r="K126" s="120" t="str" cm="1">
        <f t="array" ref="K126">IF(I126="","",INDEX('Test schedule'!$J:$J,ROW()+7))</f>
        <v/>
      </c>
      <c r="L126" s="129" t="str" cm="1">
        <f t="array" ref="L126">IF(OR(I126="",INDEX('Test schedule'!$T:$T,ROW()+7)=""),"",INDEX('Test schedule'!$T:$T,ROW()+7))</f>
        <v/>
      </c>
    </row>
    <row r="127" spans="2:12" ht="15" customHeight="1">
      <c r="B127" s="116" t="str">
        <f t="shared" si="12"/>
        <v/>
      </c>
      <c r="C127" s="117" t="str">
        <f t="shared" si="7"/>
        <v/>
      </c>
      <c r="D127" s="116" t="str">
        <f t="shared" si="8"/>
        <v/>
      </c>
      <c r="E127" s="120" t="str">
        <f t="shared" si="9"/>
        <v/>
      </c>
      <c r="F127" s="118" t="str">
        <f t="shared" si="10"/>
        <v/>
      </c>
      <c r="G127" s="126">
        <f t="shared" si="13"/>
        <v>42</v>
      </c>
      <c r="H127" s="116" t="str">
        <f t="shared" si="14"/>
        <v/>
      </c>
      <c r="I127" s="117" t="str" cm="1">
        <f t="array" ref="I12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Calculators'!$B$2+ICS4Test!$E125,""))</f>
        <v/>
      </c>
      <c r="J127" s="116" t="str" cm="1">
        <f t="array" ref="J127">IF(I127="","",INDEX('Test schedule'!$H:$H,ROW()+7))</f>
        <v/>
      </c>
      <c r="K127" s="120" t="str" cm="1">
        <f t="array" ref="K127">IF(I127="","",INDEX('Test schedule'!$J:$J,ROW()+7))</f>
        <v/>
      </c>
      <c r="L127" s="129" t="str" cm="1">
        <f t="array" ref="L127">IF(OR(I127="",INDEX('Test schedule'!$T:$T,ROW()+7)=""),"",INDEX('Test schedule'!$T:$T,ROW()+7))</f>
        <v/>
      </c>
    </row>
    <row r="128" spans="2:12" ht="15" customHeight="1">
      <c r="B128" s="116" t="str">
        <f t="shared" si="12"/>
        <v/>
      </c>
      <c r="C128" s="117" t="str">
        <f t="shared" si="7"/>
        <v/>
      </c>
      <c r="D128" s="116" t="str">
        <f t="shared" si="8"/>
        <v/>
      </c>
      <c r="E128" s="120" t="str">
        <f t="shared" si="9"/>
        <v/>
      </c>
      <c r="F128" s="118" t="str">
        <f t="shared" si="10"/>
        <v/>
      </c>
      <c r="G128" s="126">
        <f t="shared" si="13"/>
        <v>42</v>
      </c>
      <c r="H128" s="116" t="str">
        <f t="shared" si="14"/>
        <v/>
      </c>
      <c r="I128" s="117" t="str" cm="1">
        <f t="array" ref="I12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Calculators'!$B$2+ICS4Test!$E126,""))</f>
        <v/>
      </c>
      <c r="J128" s="116" t="str" cm="1">
        <f t="array" ref="J128">IF(I128="","",INDEX('Test schedule'!$H:$H,ROW()+7))</f>
        <v/>
      </c>
      <c r="K128" s="120" t="str" cm="1">
        <f t="array" ref="K128">IF(I128="","",INDEX('Test schedule'!$J:$J,ROW()+7))</f>
        <v/>
      </c>
      <c r="L128" s="129" t="str" cm="1">
        <f t="array" ref="L128">IF(OR(I128="",INDEX('Test schedule'!$T:$T,ROW()+7)=""),"",INDEX('Test schedule'!$T:$T,ROW()+7))</f>
        <v/>
      </c>
    </row>
    <row r="129" spans="1:12" ht="15" customHeight="1">
      <c r="B129" s="116" t="str">
        <f t="shared" si="12"/>
        <v/>
      </c>
      <c r="C129" s="117" t="str">
        <f t="shared" si="7"/>
        <v/>
      </c>
      <c r="D129" s="116" t="str">
        <f t="shared" si="8"/>
        <v/>
      </c>
      <c r="E129" s="120" t="str">
        <f t="shared" si="9"/>
        <v/>
      </c>
      <c r="F129" s="118" t="str">
        <f t="shared" si="10"/>
        <v/>
      </c>
      <c r="G129" s="126">
        <f t="shared" si="13"/>
        <v>42</v>
      </c>
      <c r="H129" s="116" t="str">
        <f t="shared" si="14"/>
        <v/>
      </c>
      <c r="I129" s="117" t="str" cm="1">
        <f t="array" ref="I12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Calculators'!$B$2+ICS4Test!$E127,""))</f>
        <v/>
      </c>
      <c r="J129" s="116" t="str" cm="1">
        <f t="array" ref="J129">IF(I129="","",INDEX('Test schedule'!$H:$H,ROW()+7))</f>
        <v/>
      </c>
      <c r="K129" s="120" t="str" cm="1">
        <f t="array" ref="K129">IF(I129="","",INDEX('Test schedule'!$J:$J,ROW()+7))</f>
        <v/>
      </c>
      <c r="L129" s="129" t="str" cm="1">
        <f t="array" ref="L129">IF(OR(I129="",INDEX('Test schedule'!$T:$T,ROW()+7)=""),"",INDEX('Test schedule'!$T:$T,ROW()+7))</f>
        <v/>
      </c>
    </row>
    <row r="130" spans="1:12" ht="15" customHeight="1">
      <c r="A130" s="97"/>
      <c r="B130" s="116" t="str">
        <f t="shared" si="12"/>
        <v/>
      </c>
      <c r="C130" s="117" t="str">
        <f t="shared" si="7"/>
        <v/>
      </c>
      <c r="D130" s="116" t="str">
        <f t="shared" si="8"/>
        <v/>
      </c>
      <c r="E130" s="120" t="str">
        <f t="shared" si="9"/>
        <v/>
      </c>
      <c r="F130" s="118" t="str">
        <f t="shared" si="10"/>
        <v/>
      </c>
      <c r="G130" s="126">
        <f t="shared" si="13"/>
        <v>42</v>
      </c>
      <c r="H130" s="116" t="str">
        <f t="shared" si="14"/>
        <v/>
      </c>
      <c r="I130" s="117" t="str" cm="1">
        <f t="array" ref="I13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Calculators'!$B$2+ICS4Test!$E128,""))</f>
        <v/>
      </c>
      <c r="J130" s="116" t="str" cm="1">
        <f t="array" ref="J130">IF(I130="","",INDEX('Test schedule'!$H:$H,ROW()+7))</f>
        <v/>
      </c>
      <c r="K130" s="120" t="str" cm="1">
        <f t="array" ref="K130">IF(I130="","",INDEX('Test schedule'!$J:$J,ROW()+7))</f>
        <v/>
      </c>
      <c r="L130" s="129" t="str" cm="1">
        <f t="array" ref="L130">IF(OR(I130="",INDEX('Test schedule'!$T:$T,ROW()+7)=""),"",INDEX('Test schedule'!$T:$T,ROW()+7))</f>
        <v/>
      </c>
    </row>
    <row r="131" spans="1:12" ht="15" customHeight="1">
      <c r="B131" s="116" t="str">
        <f t="shared" si="12"/>
        <v/>
      </c>
      <c r="C131" s="117" t="str">
        <f t="shared" si="7"/>
        <v/>
      </c>
      <c r="D131" s="116" t="str">
        <f t="shared" si="8"/>
        <v/>
      </c>
      <c r="E131" s="120" t="str">
        <f t="shared" si="9"/>
        <v/>
      </c>
      <c r="F131" s="118" t="str">
        <f t="shared" si="10"/>
        <v/>
      </c>
      <c r="G131" s="126">
        <f t="shared" si="13"/>
        <v>42</v>
      </c>
      <c r="H131" s="116" t="str">
        <f t="shared" si="14"/>
        <v/>
      </c>
      <c r="I131" s="117" t="str" cm="1">
        <f t="array" ref="I13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Calculators'!$B$2+ICS4Test!$E129,""))</f>
        <v/>
      </c>
      <c r="J131" s="116" t="str" cm="1">
        <f t="array" ref="J131">IF(I131="","",INDEX('Test schedule'!$H:$H,ROW()+7))</f>
        <v/>
      </c>
      <c r="K131" s="120" t="str" cm="1">
        <f t="array" ref="K131">IF(I131="","",INDEX('Test schedule'!$J:$J,ROW()+7))</f>
        <v/>
      </c>
      <c r="L131" s="129" t="str" cm="1">
        <f t="array" ref="L131">IF(OR(I131="",INDEX('Test schedule'!$T:$T,ROW()+7)=""),"",INDEX('Test schedule'!$T:$T,ROW()+7))</f>
        <v/>
      </c>
    </row>
    <row r="132" spans="1:12" ht="15" customHeight="1">
      <c r="B132" s="116" t="str">
        <f t="shared" si="12"/>
        <v/>
      </c>
      <c r="C132" s="117" t="str">
        <f t="shared" ref="C132:C195" si="15">IFERROR(INDEX($I$4:$I$500,MATCH(ROW()-3,$G$4:$G$500,0)),"")</f>
        <v/>
      </c>
      <c r="D132" s="116" t="str">
        <f t="shared" ref="D132:D195" si="16">IFERROR(INDEX($J$4:$J$500,MATCH(ROW()-3,$G$4:$G$500,0)),"")</f>
        <v/>
      </c>
      <c r="E132" s="120" t="str">
        <f t="shared" ref="E132:E195" si="17">IFERROR(INDEX($K$4:$K$500,MATCH(ROW()-3,$G$4:$G$500,0)),"")</f>
        <v/>
      </c>
      <c r="F132" s="118" t="str">
        <f t="shared" ref="F132:F195" si="18">IFERROR(INDEX($L$4:$L$500,MATCH(ROW()-3,$G$4:$G$500,0)),"")</f>
        <v/>
      </c>
      <c r="G132" s="126">
        <f t="shared" si="13"/>
        <v>42</v>
      </c>
      <c r="H132" s="116" t="str">
        <f t="shared" si="14"/>
        <v/>
      </c>
      <c r="I132" s="117" t="str" cm="1">
        <f t="array" ref="I13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Calculators'!$B$2+ICS4Test!$E130,""))</f>
        <v/>
      </c>
      <c r="J132" s="116" t="str" cm="1">
        <f t="array" ref="J132">IF(I132="","",INDEX('Test schedule'!$H:$H,ROW()+7))</f>
        <v/>
      </c>
      <c r="K132" s="120" t="str" cm="1">
        <f t="array" ref="K132">IF(I132="","",INDEX('Test schedule'!$J:$J,ROW()+7))</f>
        <v/>
      </c>
      <c r="L132" s="129" t="str" cm="1">
        <f t="array" ref="L132">IF(OR(I132="",INDEX('Test schedule'!$T:$T,ROW()+7)=""),"",INDEX('Test schedule'!$T:$T,ROW()+7))</f>
        <v/>
      </c>
    </row>
    <row r="133" spans="1:12" ht="15" customHeight="1">
      <c r="B133" s="116" t="str">
        <f t="shared" ref="B133:B196" si="19">IFERROR(IF(AND(INDEX($H$4:$H$500,MATCH(ROW()-3,$G$4:$G$500,0))&gt;C132,INDEX($I$4:$I$500,MATCH(ROW()-3,$G$4:$G$500,0))&lt;&gt;"END"),C132,INDEX($H$4:$H$500,MATCH(ROW()-3,$G$4:$G$500,0))),"")</f>
        <v/>
      </c>
      <c r="C133" s="117" t="str">
        <f t="shared" si="15"/>
        <v/>
      </c>
      <c r="D133" s="116" t="str">
        <f t="shared" si="16"/>
        <v/>
      </c>
      <c r="E133" s="120" t="str">
        <f t="shared" si="17"/>
        <v/>
      </c>
      <c r="F133" s="118" t="str">
        <f t="shared" si="18"/>
        <v/>
      </c>
      <c r="G133" s="126">
        <f t="shared" ref="G133:G196" si="20">G132+IF(I133&lt;&gt;"",1,0)</f>
        <v>42</v>
      </c>
      <c r="H133" s="116" t="str">
        <f t="shared" si="14"/>
        <v/>
      </c>
      <c r="I133" s="117" t="str" cm="1">
        <f t="array" ref="I13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Calculators'!$B$2+ICS4Test!$E131,""))</f>
        <v/>
      </c>
      <c r="J133" s="116" t="str" cm="1">
        <f t="array" ref="J133">IF(I133="","",INDEX('Test schedule'!$H:$H,ROW()+7))</f>
        <v/>
      </c>
      <c r="K133" s="120" t="str" cm="1">
        <f t="array" ref="K133">IF(I133="","",INDEX('Test schedule'!$J:$J,ROW()+7))</f>
        <v/>
      </c>
      <c r="L133" s="129" t="str" cm="1">
        <f t="array" ref="L133">IF(OR(I133="",INDEX('Test schedule'!$T:$T,ROW()+7)=""),"",INDEX('Test schedule'!$T:$T,ROW()+7))</f>
        <v/>
      </c>
    </row>
    <row r="134" spans="1:12" ht="15" customHeight="1">
      <c r="B134" s="116" t="str">
        <f t="shared" si="19"/>
        <v/>
      </c>
      <c r="C134" s="117" t="str">
        <f t="shared" si="15"/>
        <v/>
      </c>
      <c r="D134" s="116" t="str">
        <f t="shared" si="16"/>
        <v/>
      </c>
      <c r="E134" s="120" t="str">
        <f t="shared" si="17"/>
        <v/>
      </c>
      <c r="F134" s="118" t="str">
        <f t="shared" si="18"/>
        <v/>
      </c>
      <c r="G134" s="126">
        <f t="shared" si="20"/>
        <v>42</v>
      </c>
      <c r="H134" s="116" t="str">
        <f t="shared" si="14"/>
        <v/>
      </c>
      <c r="I134" s="117" t="str" cm="1">
        <f t="array" ref="I13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Calculators'!$B$2+ICS4Test!$E132,""))</f>
        <v/>
      </c>
      <c r="J134" s="116" t="str" cm="1">
        <f t="array" ref="J134">IF(I134="","",INDEX('Test schedule'!$H:$H,ROW()+7))</f>
        <v/>
      </c>
      <c r="K134" s="120" t="str" cm="1">
        <f t="array" ref="K134">IF(I134="","",INDEX('Test schedule'!$J:$J,ROW()+7))</f>
        <v/>
      </c>
      <c r="L134" s="129" t="str" cm="1">
        <f t="array" ref="L134">IF(OR(I134="",INDEX('Test schedule'!$T:$T,ROW()+7)=""),"",INDEX('Test schedule'!$T:$T,ROW()+7))</f>
        <v/>
      </c>
    </row>
    <row r="135" spans="1:12" ht="15" customHeight="1">
      <c r="B135" s="116" t="str">
        <f t="shared" si="19"/>
        <v/>
      </c>
      <c r="C135" s="117" t="str">
        <f t="shared" si="15"/>
        <v/>
      </c>
      <c r="D135" s="116" t="str">
        <f t="shared" si="16"/>
        <v/>
      </c>
      <c r="E135" s="120" t="str">
        <f t="shared" si="17"/>
        <v/>
      </c>
      <c r="F135" s="118" t="str">
        <f t="shared" si="18"/>
        <v/>
      </c>
      <c r="G135" s="126">
        <f t="shared" si="20"/>
        <v>42</v>
      </c>
      <c r="H135" s="116" t="str">
        <f t="shared" si="14"/>
        <v/>
      </c>
      <c r="I135" s="117" t="str" cm="1">
        <f t="array" ref="I13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Calculators'!$B$2+ICS4Test!$E133,""))</f>
        <v/>
      </c>
      <c r="J135" s="116" t="str" cm="1">
        <f t="array" ref="J135">IF(I135="","",INDEX('Test schedule'!$H:$H,ROW()+7))</f>
        <v/>
      </c>
      <c r="K135" s="120" t="str" cm="1">
        <f t="array" ref="K135">IF(I135="","",INDEX('Test schedule'!$J:$J,ROW()+7))</f>
        <v/>
      </c>
      <c r="L135" s="129" t="str" cm="1">
        <f t="array" ref="L135">IF(OR(I135="",INDEX('Test schedule'!$T:$T,ROW()+7)=""),"",INDEX('Test schedule'!$T:$T,ROW()+7))</f>
        <v/>
      </c>
    </row>
    <row r="136" spans="1:12" ht="15" customHeight="1">
      <c r="B136" s="116" t="str">
        <f t="shared" si="19"/>
        <v/>
      </c>
      <c r="C136" s="117" t="str">
        <f t="shared" si="15"/>
        <v/>
      </c>
      <c r="D136" s="116" t="str">
        <f t="shared" si="16"/>
        <v/>
      </c>
      <c r="E136" s="120" t="str">
        <f t="shared" si="17"/>
        <v/>
      </c>
      <c r="F136" s="118" t="str">
        <f t="shared" si="18"/>
        <v/>
      </c>
      <c r="G136" s="126">
        <f t="shared" si="20"/>
        <v>42</v>
      </c>
      <c r="H136" s="116" t="str">
        <f t="shared" si="14"/>
        <v/>
      </c>
      <c r="I136" s="117" t="str" cm="1">
        <f t="array" ref="I13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Calculators'!$B$2+ICS4Test!$E134,""))</f>
        <v/>
      </c>
      <c r="J136" s="116" t="str" cm="1">
        <f t="array" ref="J136">IF(I136="","",INDEX('Test schedule'!$H:$H,ROW()+7))</f>
        <v/>
      </c>
      <c r="K136" s="120" t="str" cm="1">
        <f t="array" ref="K136">IF(I136="","",INDEX('Test schedule'!$J:$J,ROW()+7))</f>
        <v/>
      </c>
      <c r="L136" s="129" t="str" cm="1">
        <f t="array" ref="L136">IF(OR(I136="",INDEX('Test schedule'!$T:$T,ROW()+7)=""),"",INDEX('Test schedule'!$T:$T,ROW()+7))</f>
        <v/>
      </c>
    </row>
    <row r="137" spans="1:12" ht="15" customHeight="1">
      <c r="B137" s="116" t="str">
        <f t="shared" si="19"/>
        <v/>
      </c>
      <c r="C137" s="117" t="str">
        <f t="shared" si="15"/>
        <v/>
      </c>
      <c r="D137" s="116" t="str">
        <f t="shared" si="16"/>
        <v/>
      </c>
      <c r="E137" s="120" t="str">
        <f t="shared" si="17"/>
        <v/>
      </c>
      <c r="F137" s="118" t="str">
        <f t="shared" si="18"/>
        <v/>
      </c>
      <c r="G137" s="126">
        <f t="shared" si="20"/>
        <v>42</v>
      </c>
      <c r="H137" s="116" t="str">
        <f t="shared" si="14"/>
        <v/>
      </c>
      <c r="I137" s="117" t="str" cm="1">
        <f t="array" ref="I13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Calculators'!$B$2+ICS4Test!$E135,""))</f>
        <v/>
      </c>
      <c r="J137" s="116" t="str" cm="1">
        <f t="array" ref="J137">IF(I137="","",INDEX('Test schedule'!$H:$H,ROW()+7))</f>
        <v/>
      </c>
      <c r="K137" s="120" t="str" cm="1">
        <f t="array" ref="K137">IF(I137="","",INDEX('Test schedule'!$J:$J,ROW()+7))</f>
        <v/>
      </c>
      <c r="L137" s="129" t="str" cm="1">
        <f t="array" ref="L137">IF(OR(I137="",INDEX('Test schedule'!$T:$T,ROW()+7)=""),"",INDEX('Test schedule'!$T:$T,ROW()+7))</f>
        <v/>
      </c>
    </row>
    <row r="138" spans="1:12" ht="15" customHeight="1">
      <c r="B138" s="116" t="str">
        <f t="shared" si="19"/>
        <v/>
      </c>
      <c r="C138" s="117" t="str">
        <f t="shared" si="15"/>
        <v/>
      </c>
      <c r="D138" s="116" t="str">
        <f t="shared" si="16"/>
        <v/>
      </c>
      <c r="E138" s="120" t="str">
        <f t="shared" si="17"/>
        <v/>
      </c>
      <c r="F138" s="118" t="str">
        <f t="shared" si="18"/>
        <v/>
      </c>
      <c r="G138" s="126">
        <f t="shared" si="20"/>
        <v>42</v>
      </c>
      <c r="H138" s="116" t="str">
        <f t="shared" si="14"/>
        <v/>
      </c>
      <c r="I138" s="117" t="str" cm="1">
        <f t="array" ref="I13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Calculators'!$B$2+ICS4Test!$E136,""))</f>
        <v/>
      </c>
      <c r="J138" s="116" t="str" cm="1">
        <f t="array" ref="J138">IF(I138="","",INDEX('Test schedule'!$H:$H,ROW()+7))</f>
        <v/>
      </c>
      <c r="K138" s="120" t="str" cm="1">
        <f t="array" ref="K138">IF(I138="","",INDEX('Test schedule'!$J:$J,ROW()+7))</f>
        <v/>
      </c>
      <c r="L138" s="129" t="str" cm="1">
        <f t="array" ref="L138">IF(OR(I138="",INDEX('Test schedule'!$T:$T,ROW()+7)=""),"",INDEX('Test schedule'!$T:$T,ROW()+7))</f>
        <v/>
      </c>
    </row>
    <row r="139" spans="1:12" ht="15" customHeight="1">
      <c r="B139" s="116" t="str">
        <f t="shared" si="19"/>
        <v/>
      </c>
      <c r="C139" s="117" t="str">
        <f t="shared" si="15"/>
        <v/>
      </c>
      <c r="D139" s="116" t="str">
        <f t="shared" si="16"/>
        <v/>
      </c>
      <c r="E139" s="120" t="str">
        <f t="shared" si="17"/>
        <v/>
      </c>
      <c r="F139" s="118" t="str">
        <f t="shared" si="18"/>
        <v/>
      </c>
      <c r="G139" s="126">
        <f t="shared" si="20"/>
        <v>42</v>
      </c>
      <c r="H139" s="116" t="str">
        <f t="shared" si="14"/>
        <v/>
      </c>
      <c r="I139" s="117" t="str" cm="1">
        <f t="array" ref="I13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Calculators'!$B$2+ICS4Test!$E137,""))</f>
        <v/>
      </c>
      <c r="J139" s="116" t="str" cm="1">
        <f t="array" ref="J139">IF(I139="","",INDEX('Test schedule'!$H:$H,ROW()+7))</f>
        <v/>
      </c>
      <c r="K139" s="120" t="str" cm="1">
        <f t="array" ref="K139">IF(I139="","",INDEX('Test schedule'!$J:$J,ROW()+7))</f>
        <v/>
      </c>
      <c r="L139" s="129" t="str" cm="1">
        <f t="array" ref="L139">IF(OR(I139="",INDEX('Test schedule'!$T:$T,ROW()+7)=""),"",INDEX('Test schedule'!$T:$T,ROW()+7))</f>
        <v/>
      </c>
    </row>
    <row r="140" spans="1:12" ht="15" customHeight="1">
      <c r="B140" s="116" t="str">
        <f t="shared" si="19"/>
        <v/>
      </c>
      <c r="C140" s="117" t="str">
        <f t="shared" si="15"/>
        <v/>
      </c>
      <c r="D140" s="116" t="str">
        <f t="shared" si="16"/>
        <v/>
      </c>
      <c r="E140" s="120" t="str">
        <f t="shared" si="17"/>
        <v/>
      </c>
      <c r="F140" s="118" t="str">
        <f t="shared" si="18"/>
        <v/>
      </c>
      <c r="G140" s="126">
        <f t="shared" si="20"/>
        <v>42</v>
      </c>
      <c r="H140" s="116" t="str">
        <f t="shared" si="14"/>
        <v/>
      </c>
      <c r="I140" s="117" t="str" cm="1">
        <f t="array" ref="I14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Calculators'!$B$2+ICS4Test!$E138,""))</f>
        <v/>
      </c>
      <c r="J140" s="116" t="str" cm="1">
        <f t="array" ref="J140">IF(I140="","",INDEX('Test schedule'!$H:$H,ROW()+7))</f>
        <v/>
      </c>
      <c r="K140" s="120" t="str" cm="1">
        <f t="array" ref="K140">IF(I140="","",INDEX('Test schedule'!$J:$J,ROW()+7))</f>
        <v/>
      </c>
      <c r="L140" s="129" t="str" cm="1">
        <f t="array" ref="L140">IF(OR(I140="",INDEX('Test schedule'!$T:$T,ROW()+7)=""),"",INDEX('Test schedule'!$T:$T,ROW()+7))</f>
        <v/>
      </c>
    </row>
    <row r="141" spans="1:12" ht="15" customHeight="1">
      <c r="B141" s="116" t="str">
        <f t="shared" si="19"/>
        <v/>
      </c>
      <c r="C141" s="117" t="str">
        <f t="shared" si="15"/>
        <v/>
      </c>
      <c r="D141" s="116" t="str">
        <f t="shared" si="16"/>
        <v/>
      </c>
      <c r="E141" s="120" t="str">
        <f t="shared" si="17"/>
        <v/>
      </c>
      <c r="F141" s="118" t="str">
        <f t="shared" si="18"/>
        <v/>
      </c>
      <c r="G141" s="126">
        <f t="shared" si="20"/>
        <v>42</v>
      </c>
      <c r="H141" s="116" t="str">
        <f t="shared" si="14"/>
        <v/>
      </c>
      <c r="I141" s="117" t="str" cm="1">
        <f t="array" ref="I14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Calculators'!$B$2+ICS4Test!$E139,""))</f>
        <v/>
      </c>
      <c r="J141" s="116" t="str" cm="1">
        <f t="array" ref="J141">IF(I141="","",INDEX('Test schedule'!$H:$H,ROW()+7))</f>
        <v/>
      </c>
      <c r="K141" s="120" t="str" cm="1">
        <f t="array" ref="K141">IF(I141="","",INDEX('Test schedule'!$J:$J,ROW()+7))</f>
        <v/>
      </c>
      <c r="L141" s="129" t="str" cm="1">
        <f t="array" ref="L141">IF(OR(I141="",INDEX('Test schedule'!$T:$T,ROW()+7)=""),"",INDEX('Test schedule'!$T:$T,ROW()+7))</f>
        <v/>
      </c>
    </row>
    <row r="142" spans="1:12" ht="15" customHeight="1">
      <c r="B142" s="116" t="str">
        <f t="shared" si="19"/>
        <v/>
      </c>
      <c r="C142" s="117" t="str">
        <f t="shared" si="15"/>
        <v/>
      </c>
      <c r="D142" s="116" t="str">
        <f t="shared" si="16"/>
        <v/>
      </c>
      <c r="E142" s="120" t="str">
        <f t="shared" si="17"/>
        <v/>
      </c>
      <c r="F142" s="118" t="str">
        <f t="shared" si="18"/>
        <v/>
      </c>
      <c r="G142" s="126">
        <f t="shared" si="20"/>
        <v>42</v>
      </c>
      <c r="H142" s="116" t="str">
        <f t="shared" si="14"/>
        <v/>
      </c>
      <c r="I142" s="117" t="str" cm="1">
        <f t="array" ref="I14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Calculators'!$B$2+ICS4Test!$E140,""))</f>
        <v/>
      </c>
      <c r="J142" s="116" t="str" cm="1">
        <f t="array" ref="J142">IF(I142="","",INDEX('Test schedule'!$H:$H,ROW()+7))</f>
        <v/>
      </c>
      <c r="K142" s="120" t="str" cm="1">
        <f t="array" ref="K142">IF(I142="","",INDEX('Test schedule'!$J:$J,ROW()+7))</f>
        <v/>
      </c>
      <c r="L142" s="129" t="str" cm="1">
        <f t="array" ref="L142">IF(OR(I142="",INDEX('Test schedule'!$T:$T,ROW()+7)=""),"",INDEX('Test schedule'!$T:$T,ROW()+7))</f>
        <v/>
      </c>
    </row>
    <row r="143" spans="1:12" ht="15" customHeight="1">
      <c r="B143" s="116" t="str">
        <f t="shared" si="19"/>
        <v/>
      </c>
      <c r="C143" s="117" t="str">
        <f t="shared" si="15"/>
        <v/>
      </c>
      <c r="D143" s="116" t="str">
        <f t="shared" si="16"/>
        <v/>
      </c>
      <c r="E143" s="120" t="str">
        <f t="shared" si="17"/>
        <v/>
      </c>
      <c r="F143" s="118" t="str">
        <f t="shared" si="18"/>
        <v/>
      </c>
      <c r="G143" s="126">
        <f t="shared" si="20"/>
        <v>42</v>
      </c>
      <c r="H143" s="116" t="str">
        <f t="shared" si="14"/>
        <v/>
      </c>
      <c r="I143" s="117" t="str" cm="1">
        <f t="array" ref="I14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Calculators'!$B$2+ICS4Test!$E141,""))</f>
        <v/>
      </c>
      <c r="J143" s="116" t="str" cm="1">
        <f t="array" ref="J143">IF(I143="","",INDEX('Test schedule'!$H:$H,ROW()+7))</f>
        <v/>
      </c>
      <c r="K143" s="120" t="str" cm="1">
        <f t="array" ref="K143">IF(I143="","",INDEX('Test schedule'!$J:$J,ROW()+7))</f>
        <v/>
      </c>
      <c r="L143" s="129" t="str" cm="1">
        <f t="array" ref="L143">IF(OR(I143="",INDEX('Test schedule'!$T:$T,ROW()+7)=""),"",INDEX('Test schedule'!$T:$T,ROW()+7))</f>
        <v/>
      </c>
    </row>
    <row r="144" spans="1:12" ht="15" customHeight="1">
      <c r="B144" s="116" t="str">
        <f t="shared" si="19"/>
        <v/>
      </c>
      <c r="C144" s="117" t="str">
        <f t="shared" si="15"/>
        <v/>
      </c>
      <c r="D144" s="116" t="str">
        <f t="shared" si="16"/>
        <v/>
      </c>
      <c r="E144" s="120" t="str">
        <f t="shared" si="17"/>
        <v/>
      </c>
      <c r="F144" s="118" t="str">
        <f t="shared" si="18"/>
        <v/>
      </c>
      <c r="G144" s="126">
        <f t="shared" si="20"/>
        <v>42</v>
      </c>
      <c r="H144" s="116" t="str">
        <f t="shared" si="14"/>
        <v/>
      </c>
      <c r="I144" s="117" t="str" cm="1">
        <f t="array" ref="I14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Calculators'!$B$2+ICS4Test!$E142,""))</f>
        <v/>
      </c>
      <c r="J144" s="116" t="str" cm="1">
        <f t="array" ref="J144">IF(I144="","",INDEX('Test schedule'!$H:$H,ROW()+7))</f>
        <v/>
      </c>
      <c r="K144" s="120" t="str" cm="1">
        <f t="array" ref="K144">IF(I144="","",INDEX('Test schedule'!$J:$J,ROW()+7))</f>
        <v/>
      </c>
      <c r="L144" s="129" t="str" cm="1">
        <f t="array" ref="L144">IF(OR(I144="",INDEX('Test schedule'!$T:$T,ROW()+7)=""),"",INDEX('Test schedule'!$T:$T,ROW()+7))</f>
        <v/>
      </c>
    </row>
    <row r="145" spans="2:12" ht="15" customHeight="1">
      <c r="B145" s="116" t="str">
        <f t="shared" si="19"/>
        <v/>
      </c>
      <c r="C145" s="117" t="str">
        <f t="shared" si="15"/>
        <v/>
      </c>
      <c r="D145" s="116" t="str">
        <f t="shared" si="16"/>
        <v/>
      </c>
      <c r="E145" s="120" t="str">
        <f t="shared" si="17"/>
        <v/>
      </c>
      <c r="F145" s="118" t="str">
        <f t="shared" si="18"/>
        <v/>
      </c>
      <c r="G145" s="126">
        <f t="shared" si="20"/>
        <v>42</v>
      </c>
      <c r="H145" s="116" t="str">
        <f t="shared" si="14"/>
        <v/>
      </c>
      <c r="I145" s="117" t="str" cm="1">
        <f t="array" ref="I14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Calculators'!$B$2+ICS4Test!$E143,""))</f>
        <v/>
      </c>
      <c r="J145" s="116" t="str" cm="1">
        <f t="array" ref="J145">IF(I145="","",INDEX('Test schedule'!$H:$H,ROW()+7))</f>
        <v/>
      </c>
      <c r="K145" s="120" t="str" cm="1">
        <f t="array" ref="K145">IF(I145="","",INDEX('Test schedule'!$J:$J,ROW()+7))</f>
        <v/>
      </c>
      <c r="L145" s="129" t="str" cm="1">
        <f t="array" ref="L145">IF(OR(I145="",INDEX('Test schedule'!$T:$T,ROW()+7)=""),"",INDEX('Test schedule'!$T:$T,ROW()+7))</f>
        <v/>
      </c>
    </row>
    <row r="146" spans="2:12" ht="15" customHeight="1">
      <c r="B146" s="116" t="str">
        <f t="shared" si="19"/>
        <v/>
      </c>
      <c r="C146" s="117" t="str">
        <f t="shared" si="15"/>
        <v/>
      </c>
      <c r="D146" s="116" t="str">
        <f t="shared" si="16"/>
        <v/>
      </c>
      <c r="E146" s="120" t="str">
        <f t="shared" si="17"/>
        <v/>
      </c>
      <c r="F146" s="118" t="str">
        <f t="shared" si="18"/>
        <v/>
      </c>
      <c r="G146" s="126">
        <f t="shared" si="20"/>
        <v>42</v>
      </c>
      <c r="H146" s="116" t="str">
        <f t="shared" si="14"/>
        <v/>
      </c>
      <c r="I146" s="117" t="str" cm="1">
        <f t="array" ref="I14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Calculators'!$B$2+ICS4Test!$E144,""))</f>
        <v/>
      </c>
      <c r="J146" s="116" t="str" cm="1">
        <f t="array" ref="J146">IF(I146="","",INDEX('Test schedule'!$H:$H,ROW()+7))</f>
        <v/>
      </c>
      <c r="K146" s="120" t="str" cm="1">
        <f t="array" ref="K146">IF(I146="","",INDEX('Test schedule'!$J:$J,ROW()+7))</f>
        <v/>
      </c>
      <c r="L146" s="129" t="str" cm="1">
        <f t="array" ref="L146">IF(OR(I146="",INDEX('Test schedule'!$T:$T,ROW()+7)=""),"",INDEX('Test schedule'!$T:$T,ROW()+7))</f>
        <v/>
      </c>
    </row>
    <row r="147" spans="2:12" ht="15" customHeight="1">
      <c r="B147" s="116" t="str">
        <f t="shared" si="19"/>
        <v/>
      </c>
      <c r="C147" s="117" t="str">
        <f t="shared" si="15"/>
        <v/>
      </c>
      <c r="D147" s="116" t="str">
        <f t="shared" si="16"/>
        <v/>
      </c>
      <c r="E147" s="120" t="str">
        <f t="shared" si="17"/>
        <v/>
      </c>
      <c r="F147" s="118" t="str">
        <f t="shared" si="18"/>
        <v/>
      </c>
      <c r="G147" s="126">
        <f t="shared" si="20"/>
        <v>42</v>
      </c>
      <c r="H147" s="116" t="str">
        <f t="shared" si="14"/>
        <v/>
      </c>
      <c r="I147" s="117" t="str" cm="1">
        <f t="array" ref="I14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Calculators'!$B$2+ICS4Test!$E145,""))</f>
        <v/>
      </c>
      <c r="J147" s="116" t="str" cm="1">
        <f t="array" ref="J147">IF(I147="","",INDEX('Test schedule'!$H:$H,ROW()+7))</f>
        <v/>
      </c>
      <c r="K147" s="120" t="str" cm="1">
        <f t="array" ref="K147">IF(I147="","",INDEX('Test schedule'!$J:$J,ROW()+7))</f>
        <v/>
      </c>
      <c r="L147" s="129" t="str" cm="1">
        <f t="array" ref="L147">IF(OR(I147="",INDEX('Test schedule'!$T:$T,ROW()+7)=""),"",INDEX('Test schedule'!$T:$T,ROW()+7))</f>
        <v/>
      </c>
    </row>
    <row r="148" spans="2:12" ht="15" customHeight="1">
      <c r="B148" s="116" t="str">
        <f t="shared" si="19"/>
        <v/>
      </c>
      <c r="C148" s="117" t="str">
        <f t="shared" si="15"/>
        <v/>
      </c>
      <c r="D148" s="116" t="str">
        <f t="shared" si="16"/>
        <v/>
      </c>
      <c r="E148" s="120" t="str">
        <f t="shared" si="17"/>
        <v/>
      </c>
      <c r="F148" s="118" t="str">
        <f t="shared" si="18"/>
        <v/>
      </c>
      <c r="G148" s="126">
        <f t="shared" si="20"/>
        <v>42</v>
      </c>
      <c r="H148" s="116" t="str">
        <f t="shared" si="14"/>
        <v/>
      </c>
      <c r="I148" s="117" t="str" cm="1">
        <f t="array" ref="I14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Calculators'!$B$2+ICS4Test!$E146,""))</f>
        <v/>
      </c>
      <c r="J148" s="116" t="str" cm="1">
        <f t="array" ref="J148">IF(I148="","",INDEX('Test schedule'!$H:$H,ROW()+7))</f>
        <v/>
      </c>
      <c r="K148" s="120" t="str" cm="1">
        <f t="array" ref="K148">IF(I148="","",INDEX('Test schedule'!$J:$J,ROW()+7))</f>
        <v/>
      </c>
      <c r="L148" s="129" t="str" cm="1">
        <f t="array" ref="L148">IF(OR(I148="",INDEX('Test schedule'!$T:$T,ROW()+7)=""),"",INDEX('Test schedule'!$T:$T,ROW()+7))</f>
        <v/>
      </c>
    </row>
    <row r="149" spans="2:12" ht="15" customHeight="1">
      <c r="B149" s="116" t="str">
        <f t="shared" si="19"/>
        <v/>
      </c>
      <c r="C149" s="117" t="str">
        <f t="shared" si="15"/>
        <v/>
      </c>
      <c r="D149" s="116" t="str">
        <f t="shared" si="16"/>
        <v/>
      </c>
      <c r="E149" s="120" t="str">
        <f t="shared" si="17"/>
        <v/>
      </c>
      <c r="F149" s="118" t="str">
        <f t="shared" si="18"/>
        <v/>
      </c>
      <c r="G149" s="126">
        <f t="shared" si="20"/>
        <v>42</v>
      </c>
      <c r="H149" s="116" t="str">
        <f t="shared" si="14"/>
        <v/>
      </c>
      <c r="I149" s="117" t="str" cm="1">
        <f t="array" ref="I14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Calculators'!$B$2+ICS4Test!$E147,""))</f>
        <v/>
      </c>
      <c r="J149" s="116" t="str" cm="1">
        <f t="array" ref="J149">IF(I149="","",INDEX('Test schedule'!$H:$H,ROW()+7))</f>
        <v/>
      </c>
      <c r="K149" s="120" t="str" cm="1">
        <f t="array" ref="K149">IF(I149="","",INDEX('Test schedule'!$J:$J,ROW()+7))</f>
        <v/>
      </c>
      <c r="L149" s="129" t="str" cm="1">
        <f t="array" ref="L149">IF(OR(I149="",INDEX('Test schedule'!$T:$T,ROW()+7)=""),"",INDEX('Test schedule'!$T:$T,ROW()+7))</f>
        <v/>
      </c>
    </row>
    <row r="150" spans="2:12" ht="15" customHeight="1">
      <c r="B150" s="116" t="str">
        <f t="shared" si="19"/>
        <v/>
      </c>
      <c r="C150" s="117" t="str">
        <f t="shared" si="15"/>
        <v/>
      </c>
      <c r="D150" s="116" t="str">
        <f t="shared" si="16"/>
        <v/>
      </c>
      <c r="E150" s="120" t="str">
        <f t="shared" si="17"/>
        <v/>
      </c>
      <c r="F150" s="118" t="str">
        <f t="shared" si="18"/>
        <v/>
      </c>
      <c r="G150" s="126">
        <f t="shared" si="20"/>
        <v>42</v>
      </c>
      <c r="H150" s="116" t="str">
        <f t="shared" si="14"/>
        <v/>
      </c>
      <c r="I150" s="117" t="str" cm="1">
        <f t="array" ref="I15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Calculators'!$B$2+ICS4Test!$E148,""))</f>
        <v/>
      </c>
      <c r="J150" s="116" t="str" cm="1">
        <f t="array" ref="J150">IF(I150="","",INDEX('Test schedule'!$H:$H,ROW()+7))</f>
        <v/>
      </c>
      <c r="K150" s="120" t="str" cm="1">
        <f t="array" ref="K150">IF(I150="","",INDEX('Test schedule'!$J:$J,ROW()+7))</f>
        <v/>
      </c>
      <c r="L150" s="129" t="str" cm="1">
        <f t="array" ref="L150">IF(OR(I150="",INDEX('Test schedule'!$T:$T,ROW()+7)=""),"",INDEX('Test schedule'!$T:$T,ROW()+7))</f>
        <v/>
      </c>
    </row>
    <row r="151" spans="2:12" ht="15" customHeight="1">
      <c r="B151" s="116" t="str">
        <f t="shared" si="19"/>
        <v/>
      </c>
      <c r="C151" s="117" t="str">
        <f t="shared" si="15"/>
        <v/>
      </c>
      <c r="D151" s="116" t="str">
        <f t="shared" si="16"/>
        <v/>
      </c>
      <c r="E151" s="120" t="str">
        <f t="shared" si="17"/>
        <v/>
      </c>
      <c r="F151" s="118" t="str">
        <f t="shared" si="18"/>
        <v/>
      </c>
      <c r="G151" s="126">
        <f t="shared" si="20"/>
        <v>42</v>
      </c>
      <c r="H151" s="116" t="str">
        <f t="shared" si="14"/>
        <v/>
      </c>
      <c r="I151" s="117" t="str" cm="1">
        <f t="array" ref="I15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Calculators'!$B$2+ICS4Test!$E149,""))</f>
        <v/>
      </c>
      <c r="J151" s="116" t="str" cm="1">
        <f t="array" ref="J151">IF(I151="","",INDEX('Test schedule'!$H:$H,ROW()+7))</f>
        <v/>
      </c>
      <c r="K151" s="120" t="str" cm="1">
        <f t="array" ref="K151">IF(I151="","",INDEX('Test schedule'!$J:$J,ROW()+7))</f>
        <v/>
      </c>
      <c r="L151" s="129" t="str" cm="1">
        <f t="array" ref="L151">IF(OR(I151="",INDEX('Test schedule'!$T:$T,ROW()+7)=""),"",INDEX('Test schedule'!$T:$T,ROW()+7))</f>
        <v/>
      </c>
    </row>
    <row r="152" spans="2:12" ht="15" customHeight="1">
      <c r="B152" s="116" t="str">
        <f t="shared" si="19"/>
        <v/>
      </c>
      <c r="C152" s="117" t="str">
        <f t="shared" si="15"/>
        <v/>
      </c>
      <c r="D152" s="116" t="str">
        <f t="shared" si="16"/>
        <v/>
      </c>
      <c r="E152" s="120" t="str">
        <f t="shared" si="17"/>
        <v/>
      </c>
      <c r="F152" s="118" t="str">
        <f t="shared" si="18"/>
        <v/>
      </c>
      <c r="G152" s="126">
        <f t="shared" si="20"/>
        <v>42</v>
      </c>
      <c r="H152" s="116" t="str">
        <f t="shared" si="14"/>
        <v/>
      </c>
      <c r="I152" s="117" t="str" cm="1">
        <f t="array" ref="I15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Calculators'!$B$2+ICS4Test!$E150,""))</f>
        <v/>
      </c>
      <c r="J152" s="116" t="str" cm="1">
        <f t="array" ref="J152">IF(I152="","",INDEX('Test schedule'!$H:$H,ROW()+7))</f>
        <v/>
      </c>
      <c r="K152" s="120" t="str" cm="1">
        <f t="array" ref="K152">IF(I152="","",INDEX('Test schedule'!$J:$J,ROW()+7))</f>
        <v/>
      </c>
      <c r="L152" s="129" t="str" cm="1">
        <f t="array" ref="L152">IF(OR(I152="",INDEX('Test schedule'!$T:$T,ROW()+7)=""),"",INDEX('Test schedule'!$T:$T,ROW()+7))</f>
        <v/>
      </c>
    </row>
    <row r="153" spans="2:12" ht="15" customHeight="1">
      <c r="B153" s="116" t="str">
        <f t="shared" si="19"/>
        <v/>
      </c>
      <c r="C153" s="117" t="str">
        <f t="shared" si="15"/>
        <v/>
      </c>
      <c r="D153" s="116" t="str">
        <f t="shared" si="16"/>
        <v/>
      </c>
      <c r="E153" s="120" t="str">
        <f t="shared" si="17"/>
        <v/>
      </c>
      <c r="F153" s="118" t="str">
        <f t="shared" si="18"/>
        <v/>
      </c>
      <c r="G153" s="126">
        <f t="shared" si="20"/>
        <v>42</v>
      </c>
      <c r="H153" s="116" t="str">
        <f t="shared" si="14"/>
        <v/>
      </c>
      <c r="I153" s="117" t="str" cm="1">
        <f t="array" ref="I15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Calculators'!$B$2+ICS4Test!$E151,""))</f>
        <v/>
      </c>
      <c r="J153" s="116" t="str" cm="1">
        <f t="array" ref="J153">IF(I153="","",INDEX('Test schedule'!$H:$H,ROW()+7))</f>
        <v/>
      </c>
      <c r="K153" s="120" t="str" cm="1">
        <f t="array" ref="K153">IF(I153="","",INDEX('Test schedule'!$J:$J,ROW()+7))</f>
        <v/>
      </c>
      <c r="L153" s="129" t="str" cm="1">
        <f t="array" ref="L153">IF(OR(I153="",INDEX('Test schedule'!$T:$T,ROW()+7)=""),"",INDEX('Test schedule'!$T:$T,ROW()+7))</f>
        <v/>
      </c>
    </row>
    <row r="154" spans="2:12" ht="15" customHeight="1">
      <c r="B154" s="116" t="str">
        <f t="shared" si="19"/>
        <v/>
      </c>
      <c r="C154" s="117" t="str">
        <f t="shared" si="15"/>
        <v/>
      </c>
      <c r="D154" s="116" t="str">
        <f t="shared" si="16"/>
        <v/>
      </c>
      <c r="E154" s="120" t="str">
        <f t="shared" si="17"/>
        <v/>
      </c>
      <c r="F154" s="118" t="str">
        <f t="shared" si="18"/>
        <v/>
      </c>
      <c r="G154" s="126">
        <f t="shared" si="20"/>
        <v>42</v>
      </c>
      <c r="H154" s="116" t="str">
        <f t="shared" si="14"/>
        <v/>
      </c>
      <c r="I154" s="117" t="str" cm="1">
        <f t="array" ref="I15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Calculators'!$B$2+ICS4Test!$E152,""))</f>
        <v/>
      </c>
      <c r="J154" s="116" t="str" cm="1">
        <f t="array" ref="J154">IF(I154="","",INDEX('Test schedule'!$H:$H,ROW()+7))</f>
        <v/>
      </c>
      <c r="K154" s="120" t="str" cm="1">
        <f t="array" ref="K154">IF(I154="","",INDEX('Test schedule'!$J:$J,ROW()+7))</f>
        <v/>
      </c>
      <c r="L154" s="129" t="str" cm="1">
        <f t="array" ref="L154">IF(OR(I154="",INDEX('Test schedule'!$T:$T,ROW()+7)=""),"",INDEX('Test schedule'!$T:$T,ROW()+7))</f>
        <v/>
      </c>
    </row>
    <row r="155" spans="2:12" ht="15" customHeight="1">
      <c r="B155" s="116" t="str">
        <f t="shared" si="19"/>
        <v/>
      </c>
      <c r="C155" s="117" t="str">
        <f t="shared" si="15"/>
        <v/>
      </c>
      <c r="D155" s="116" t="str">
        <f t="shared" si="16"/>
        <v/>
      </c>
      <c r="E155" s="120" t="str">
        <f t="shared" si="17"/>
        <v/>
      </c>
      <c r="F155" s="118" t="str">
        <f t="shared" si="18"/>
        <v/>
      </c>
      <c r="G155" s="126">
        <f t="shared" si="20"/>
        <v>42</v>
      </c>
      <c r="H155" s="116" t="str">
        <f t="shared" si="14"/>
        <v/>
      </c>
      <c r="I155" s="117" t="str" cm="1">
        <f t="array" ref="I15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Calculators'!$B$2+ICS4Test!$E153,""))</f>
        <v/>
      </c>
      <c r="J155" s="116" t="str" cm="1">
        <f t="array" ref="J155">IF(I155="","",INDEX('Test schedule'!$H:$H,ROW()+7))</f>
        <v/>
      </c>
      <c r="K155" s="120" t="str" cm="1">
        <f t="array" ref="K155">IF(I155="","",INDEX('Test schedule'!$J:$J,ROW()+7))</f>
        <v/>
      </c>
      <c r="L155" s="129" t="str" cm="1">
        <f t="array" ref="L155">IF(OR(I155="",INDEX('Test schedule'!$T:$T,ROW()+7)=""),"",INDEX('Test schedule'!$T:$T,ROW()+7))</f>
        <v/>
      </c>
    </row>
    <row r="156" spans="2:12" ht="15" customHeight="1">
      <c r="B156" s="116" t="str">
        <f t="shared" si="19"/>
        <v/>
      </c>
      <c r="C156" s="117" t="str">
        <f t="shared" si="15"/>
        <v/>
      </c>
      <c r="D156" s="116" t="str">
        <f t="shared" si="16"/>
        <v/>
      </c>
      <c r="E156" s="120" t="str">
        <f t="shared" si="17"/>
        <v/>
      </c>
      <c r="F156" s="118" t="str">
        <f t="shared" si="18"/>
        <v/>
      </c>
      <c r="G156" s="126">
        <f t="shared" si="20"/>
        <v>42</v>
      </c>
      <c r="H156" s="116" t="str">
        <f t="shared" si="14"/>
        <v/>
      </c>
      <c r="I156" s="117" t="str" cm="1">
        <f t="array" ref="I15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Calculators'!$B$2+ICS4Test!$E154,""))</f>
        <v/>
      </c>
      <c r="J156" s="116" t="str" cm="1">
        <f t="array" ref="J156">IF(I156="","",INDEX('Test schedule'!$H:$H,ROW()+7))</f>
        <v/>
      </c>
      <c r="K156" s="120" t="str" cm="1">
        <f t="array" ref="K156">IF(I156="","",INDEX('Test schedule'!$J:$J,ROW()+7))</f>
        <v/>
      </c>
      <c r="L156" s="129" t="str" cm="1">
        <f t="array" ref="L156">IF(OR(I156="",INDEX('Test schedule'!$T:$T,ROW()+7)=""),"",INDEX('Test schedule'!$T:$T,ROW()+7))</f>
        <v/>
      </c>
    </row>
    <row r="157" spans="2:12" ht="15" customHeight="1">
      <c r="B157" s="116" t="str">
        <f t="shared" si="19"/>
        <v/>
      </c>
      <c r="C157" s="117" t="str">
        <f t="shared" si="15"/>
        <v/>
      </c>
      <c r="D157" s="116" t="str">
        <f t="shared" si="16"/>
        <v/>
      </c>
      <c r="E157" s="120" t="str">
        <f t="shared" si="17"/>
        <v/>
      </c>
      <c r="F157" s="118" t="str">
        <f t="shared" si="18"/>
        <v/>
      </c>
      <c r="G157" s="126">
        <f t="shared" si="20"/>
        <v>42</v>
      </c>
      <c r="H157" s="116" t="str">
        <f t="shared" si="14"/>
        <v/>
      </c>
      <c r="I157" s="117" t="str" cm="1">
        <f t="array" ref="I15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Calculators'!$B$2+ICS4Test!$E155,""))</f>
        <v/>
      </c>
      <c r="J157" s="116" t="str" cm="1">
        <f t="array" ref="J157">IF(I157="","",INDEX('Test schedule'!$H:$H,ROW()+7))</f>
        <v/>
      </c>
      <c r="K157" s="120" t="str" cm="1">
        <f t="array" ref="K157">IF(I157="","",INDEX('Test schedule'!$J:$J,ROW()+7))</f>
        <v/>
      </c>
      <c r="L157" s="129" t="str" cm="1">
        <f t="array" ref="L157">IF(OR(I157="",INDEX('Test schedule'!$T:$T,ROW()+7)=""),"",INDEX('Test schedule'!$T:$T,ROW()+7))</f>
        <v/>
      </c>
    </row>
    <row r="158" spans="2:12" ht="15" customHeight="1">
      <c r="B158" s="116" t="str">
        <f t="shared" si="19"/>
        <v/>
      </c>
      <c r="C158" s="117" t="str">
        <f t="shared" si="15"/>
        <v/>
      </c>
      <c r="D158" s="116" t="str">
        <f t="shared" si="16"/>
        <v/>
      </c>
      <c r="E158" s="120" t="str">
        <f t="shared" si="17"/>
        <v/>
      </c>
      <c r="F158" s="118" t="str">
        <f t="shared" si="18"/>
        <v/>
      </c>
      <c r="G158" s="126">
        <f t="shared" si="20"/>
        <v>42</v>
      </c>
      <c r="H158" s="116" t="str">
        <f t="shared" si="14"/>
        <v/>
      </c>
      <c r="I158" s="117" t="str" cm="1">
        <f t="array" ref="I15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Calculators'!$B$2+ICS4Test!$E156,""))</f>
        <v/>
      </c>
      <c r="J158" s="116" t="str" cm="1">
        <f t="array" ref="J158">IF(I158="","",INDEX('Test schedule'!$H:$H,ROW()+7))</f>
        <v/>
      </c>
      <c r="K158" s="120" t="str" cm="1">
        <f t="array" ref="K158">IF(I158="","",INDEX('Test schedule'!$J:$J,ROW()+7))</f>
        <v/>
      </c>
      <c r="L158" s="129" t="str" cm="1">
        <f t="array" ref="L158">IF(OR(I158="",INDEX('Test schedule'!$T:$T,ROW()+7)=""),"",INDEX('Test schedule'!$T:$T,ROW()+7))</f>
        <v/>
      </c>
    </row>
    <row r="159" spans="2:12" ht="15" customHeight="1">
      <c r="B159" s="116" t="str">
        <f t="shared" si="19"/>
        <v/>
      </c>
      <c r="C159" s="117" t="str">
        <f t="shared" si="15"/>
        <v/>
      </c>
      <c r="D159" s="116" t="str">
        <f t="shared" si="16"/>
        <v/>
      </c>
      <c r="E159" s="120" t="str">
        <f t="shared" si="17"/>
        <v/>
      </c>
      <c r="F159" s="118" t="str">
        <f t="shared" si="18"/>
        <v/>
      </c>
      <c r="G159" s="126">
        <f t="shared" si="20"/>
        <v>42</v>
      </c>
      <c r="H159" s="116" t="str">
        <f t="shared" si="14"/>
        <v/>
      </c>
      <c r="I159" s="117" t="str" cm="1">
        <f t="array" ref="I15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Calculators'!$B$2+ICS4Test!$E157,""))</f>
        <v/>
      </c>
      <c r="J159" s="116" t="str" cm="1">
        <f t="array" ref="J159">IF(I159="","",INDEX('Test schedule'!$H:$H,ROW()+7))</f>
        <v/>
      </c>
      <c r="K159" s="120" t="str" cm="1">
        <f t="array" ref="K159">IF(I159="","",INDEX('Test schedule'!$J:$J,ROW()+7))</f>
        <v/>
      </c>
      <c r="L159" s="129" t="str" cm="1">
        <f t="array" ref="L159">IF(OR(I159="",INDEX('Test schedule'!$T:$T,ROW()+7)=""),"",INDEX('Test schedule'!$T:$T,ROW()+7))</f>
        <v/>
      </c>
    </row>
    <row r="160" spans="2:12" ht="15" customHeight="1">
      <c r="B160" s="116" t="str">
        <f t="shared" si="19"/>
        <v/>
      </c>
      <c r="C160" s="117" t="str">
        <f t="shared" si="15"/>
        <v/>
      </c>
      <c r="D160" s="116" t="str">
        <f t="shared" si="16"/>
        <v/>
      </c>
      <c r="E160" s="120" t="str">
        <f t="shared" si="17"/>
        <v/>
      </c>
      <c r="F160" s="118" t="str">
        <f t="shared" si="18"/>
        <v/>
      </c>
      <c r="G160" s="126">
        <f t="shared" si="20"/>
        <v>42</v>
      </c>
      <c r="H160" s="116" t="str">
        <f t="shared" si="14"/>
        <v/>
      </c>
      <c r="I160" s="117" t="str" cm="1">
        <f t="array" ref="I16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Calculators'!$B$2+ICS4Test!$E158,""))</f>
        <v/>
      </c>
      <c r="J160" s="116" t="str" cm="1">
        <f t="array" ref="J160">IF(I160="","",INDEX('Test schedule'!$H:$H,ROW()+7))</f>
        <v/>
      </c>
      <c r="K160" s="120" t="str" cm="1">
        <f t="array" ref="K160">IF(I160="","",INDEX('Test schedule'!$J:$J,ROW()+7))</f>
        <v/>
      </c>
      <c r="L160" s="129" t="str" cm="1">
        <f t="array" ref="L160">IF(OR(I160="",INDEX('Test schedule'!$T:$T,ROW()+7)=""),"",INDEX('Test schedule'!$T:$T,ROW()+7))</f>
        <v/>
      </c>
    </row>
    <row r="161" spans="2:12" ht="15" customHeight="1">
      <c r="B161" s="116" t="str">
        <f t="shared" si="19"/>
        <v/>
      </c>
      <c r="C161" s="117" t="str">
        <f t="shared" si="15"/>
        <v/>
      </c>
      <c r="D161" s="116" t="str">
        <f t="shared" si="16"/>
        <v/>
      </c>
      <c r="E161" s="120" t="str">
        <f t="shared" si="17"/>
        <v/>
      </c>
      <c r="F161" s="118" t="str">
        <f t="shared" si="18"/>
        <v/>
      </c>
      <c r="G161" s="126">
        <f t="shared" si="20"/>
        <v>42</v>
      </c>
      <c r="H161" s="116" t="str">
        <f t="shared" si="14"/>
        <v/>
      </c>
      <c r="I161" s="117" t="str" cm="1">
        <f t="array" ref="I16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Calculators'!$B$2+ICS4Test!$E159,""))</f>
        <v/>
      </c>
      <c r="J161" s="116" t="str" cm="1">
        <f t="array" ref="J161">IF(I161="","",INDEX('Test schedule'!$H:$H,ROW()+7))</f>
        <v/>
      </c>
      <c r="K161" s="120" t="str" cm="1">
        <f t="array" ref="K161">IF(I161="","",INDEX('Test schedule'!$J:$J,ROW()+7))</f>
        <v/>
      </c>
      <c r="L161" s="129" t="str" cm="1">
        <f t="array" ref="L161">IF(OR(I161="",INDEX('Test schedule'!$T:$T,ROW()+7)=""),"",INDEX('Test schedule'!$T:$T,ROW()+7))</f>
        <v/>
      </c>
    </row>
    <row r="162" spans="2:12" ht="15" customHeight="1">
      <c r="B162" s="116" t="str">
        <f t="shared" si="19"/>
        <v/>
      </c>
      <c r="C162" s="117" t="str">
        <f t="shared" si="15"/>
        <v/>
      </c>
      <c r="D162" s="116" t="str">
        <f t="shared" si="16"/>
        <v/>
      </c>
      <c r="E162" s="120" t="str">
        <f t="shared" si="17"/>
        <v/>
      </c>
      <c r="F162" s="118" t="str">
        <f t="shared" si="18"/>
        <v/>
      </c>
      <c r="G162" s="126">
        <f t="shared" si="20"/>
        <v>42</v>
      </c>
      <c r="H162" s="116" t="str">
        <f t="shared" si="14"/>
        <v/>
      </c>
      <c r="I162" s="117" t="str" cm="1">
        <f t="array" ref="I16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Calculators'!$B$2+ICS4Test!$E160,""))</f>
        <v/>
      </c>
      <c r="J162" s="116" t="str" cm="1">
        <f t="array" ref="J162">IF(I162="","",INDEX('Test schedule'!$H:$H,ROW()+7))</f>
        <v/>
      </c>
      <c r="K162" s="120" t="str" cm="1">
        <f t="array" ref="K162">IF(I162="","",INDEX('Test schedule'!$J:$J,ROW()+7))</f>
        <v/>
      </c>
      <c r="L162" s="129" t="str" cm="1">
        <f t="array" ref="L162">IF(OR(I162="",INDEX('Test schedule'!$T:$T,ROW()+7)=""),"",INDEX('Test schedule'!$T:$T,ROW()+7))</f>
        <v/>
      </c>
    </row>
    <row r="163" spans="2:12" ht="15" customHeight="1">
      <c r="B163" s="116" t="str">
        <f t="shared" si="19"/>
        <v/>
      </c>
      <c r="C163" s="117" t="str">
        <f t="shared" si="15"/>
        <v/>
      </c>
      <c r="D163" s="116" t="str">
        <f t="shared" si="16"/>
        <v/>
      </c>
      <c r="E163" s="120" t="str">
        <f t="shared" si="17"/>
        <v/>
      </c>
      <c r="F163" s="118" t="str">
        <f t="shared" si="18"/>
        <v/>
      </c>
      <c r="G163" s="126">
        <f t="shared" si="20"/>
        <v>42</v>
      </c>
      <c r="H163" s="116" t="str">
        <f t="shared" si="14"/>
        <v/>
      </c>
      <c r="I163" s="117" t="str" cm="1">
        <f t="array" ref="I16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Calculators'!$B$2+ICS4Test!$E161,""))</f>
        <v/>
      </c>
      <c r="J163" s="116" t="str" cm="1">
        <f t="array" ref="J163">IF(I163="","",INDEX('Test schedule'!$H:$H,ROW()+7))</f>
        <v/>
      </c>
      <c r="K163" s="120" t="str" cm="1">
        <f t="array" ref="K163">IF(I163="","",INDEX('Test schedule'!$J:$J,ROW()+7))</f>
        <v/>
      </c>
      <c r="L163" s="129" t="str" cm="1">
        <f t="array" ref="L163">IF(OR(I163="",INDEX('Test schedule'!$T:$T,ROW()+7)=""),"",INDEX('Test schedule'!$T:$T,ROW()+7))</f>
        <v/>
      </c>
    </row>
    <row r="164" spans="2:12" ht="15" customHeight="1">
      <c r="B164" s="116" t="str">
        <f t="shared" si="19"/>
        <v/>
      </c>
      <c r="C164" s="117" t="str">
        <f t="shared" si="15"/>
        <v/>
      </c>
      <c r="D164" s="116" t="str">
        <f t="shared" si="16"/>
        <v/>
      </c>
      <c r="E164" s="120" t="str">
        <f t="shared" si="17"/>
        <v/>
      </c>
      <c r="F164" s="118" t="str">
        <f t="shared" si="18"/>
        <v/>
      </c>
      <c r="G164" s="126">
        <f t="shared" si="20"/>
        <v>42</v>
      </c>
      <c r="H164" s="116" t="str">
        <f t="shared" si="14"/>
        <v/>
      </c>
      <c r="I164" s="117" t="str" cm="1">
        <f t="array" ref="I16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Calculators'!$B$2+ICS4Test!$E162,""))</f>
        <v/>
      </c>
      <c r="J164" s="116" t="str" cm="1">
        <f t="array" ref="J164">IF(I164="","",INDEX('Test schedule'!$H:$H,ROW()+7))</f>
        <v/>
      </c>
      <c r="K164" s="120" t="str" cm="1">
        <f t="array" ref="K164">IF(I164="","",INDEX('Test schedule'!$J:$J,ROW()+7))</f>
        <v/>
      </c>
      <c r="L164" s="129" t="str" cm="1">
        <f t="array" ref="L164">IF(OR(I164="",INDEX('Test schedule'!$T:$T,ROW()+7)=""),"",INDEX('Test schedule'!$T:$T,ROW()+7))</f>
        <v/>
      </c>
    </row>
    <row r="165" spans="2:12" ht="15" customHeight="1">
      <c r="B165" s="116" t="str">
        <f t="shared" si="19"/>
        <v/>
      </c>
      <c r="C165" s="117" t="str">
        <f t="shared" si="15"/>
        <v/>
      </c>
      <c r="D165" s="116" t="str">
        <f t="shared" si="16"/>
        <v/>
      </c>
      <c r="E165" s="120" t="str">
        <f t="shared" si="17"/>
        <v/>
      </c>
      <c r="F165" s="118" t="str">
        <f t="shared" si="18"/>
        <v/>
      </c>
      <c r="G165" s="126">
        <f t="shared" si="20"/>
        <v>42</v>
      </c>
      <c r="H165" s="116" t="str">
        <f t="shared" si="14"/>
        <v/>
      </c>
      <c r="I165" s="117" t="str" cm="1">
        <f t="array" ref="I16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Calculators'!$B$2+ICS4Test!$E163,""))</f>
        <v/>
      </c>
      <c r="J165" s="116" t="str" cm="1">
        <f t="array" ref="J165">IF(I165="","",INDEX('Test schedule'!$H:$H,ROW()+7))</f>
        <v/>
      </c>
      <c r="K165" s="120" t="str" cm="1">
        <f t="array" ref="K165">IF(I165="","",INDEX('Test schedule'!$J:$J,ROW()+7))</f>
        <v/>
      </c>
      <c r="L165" s="129" t="str" cm="1">
        <f t="array" ref="L165">IF(OR(I165="",INDEX('Test schedule'!$T:$T,ROW()+7)=""),"",INDEX('Test schedule'!$T:$T,ROW()+7))</f>
        <v/>
      </c>
    </row>
    <row r="166" spans="2:12" ht="15" customHeight="1">
      <c r="B166" s="116" t="str">
        <f t="shared" si="19"/>
        <v/>
      </c>
      <c r="C166" s="117" t="str">
        <f t="shared" si="15"/>
        <v/>
      </c>
      <c r="D166" s="116" t="str">
        <f t="shared" si="16"/>
        <v/>
      </c>
      <c r="E166" s="120" t="str">
        <f t="shared" si="17"/>
        <v/>
      </c>
      <c r="F166" s="118" t="str">
        <f t="shared" si="18"/>
        <v/>
      </c>
      <c r="G166" s="126">
        <f t="shared" si="20"/>
        <v>42</v>
      </c>
      <c r="H166" s="116" t="str">
        <f t="shared" si="14"/>
        <v/>
      </c>
      <c r="I166" s="117" t="str" cm="1">
        <f t="array" ref="I16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Calculators'!$B$2+ICS4Test!$E164,""))</f>
        <v/>
      </c>
      <c r="J166" s="116" t="str" cm="1">
        <f t="array" ref="J166">IF(I166="","",INDEX('Test schedule'!$H:$H,ROW()+7))</f>
        <v/>
      </c>
      <c r="K166" s="120" t="str" cm="1">
        <f t="array" ref="K166">IF(I166="","",INDEX('Test schedule'!$J:$J,ROW()+7))</f>
        <v/>
      </c>
      <c r="L166" s="129" t="str" cm="1">
        <f t="array" ref="L166">IF(OR(I166="",INDEX('Test schedule'!$T:$T,ROW()+7)=""),"",INDEX('Test schedule'!$T:$T,ROW()+7))</f>
        <v/>
      </c>
    </row>
    <row r="167" spans="2:12" ht="15" customHeight="1">
      <c r="B167" s="116" t="str">
        <f t="shared" si="19"/>
        <v/>
      </c>
      <c r="C167" s="117" t="str">
        <f t="shared" si="15"/>
        <v/>
      </c>
      <c r="D167" s="116" t="str">
        <f t="shared" si="16"/>
        <v/>
      </c>
      <c r="E167" s="120" t="str">
        <f t="shared" si="17"/>
        <v/>
      </c>
      <c r="F167" s="118" t="str">
        <f t="shared" si="18"/>
        <v/>
      </c>
      <c r="G167" s="126">
        <f t="shared" si="20"/>
        <v>42</v>
      </c>
      <c r="H167" s="116" t="str">
        <f t="shared" si="14"/>
        <v/>
      </c>
      <c r="I167" s="117" t="str" cm="1">
        <f t="array" ref="I16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Calculators'!$B$2+ICS4Test!$E165,""))</f>
        <v/>
      </c>
      <c r="J167" s="116" t="str" cm="1">
        <f t="array" ref="J167">IF(I167="","",INDEX('Test schedule'!$H:$H,ROW()+7))</f>
        <v/>
      </c>
      <c r="K167" s="120" t="str" cm="1">
        <f t="array" ref="K167">IF(I167="","",INDEX('Test schedule'!$J:$J,ROW()+7))</f>
        <v/>
      </c>
      <c r="L167" s="129" t="str" cm="1">
        <f t="array" ref="L167">IF(OR(I167="",INDEX('Test schedule'!$T:$T,ROW()+7)=""),"",INDEX('Test schedule'!$T:$T,ROW()+7))</f>
        <v/>
      </c>
    </row>
    <row r="168" spans="2:12" ht="15" customHeight="1">
      <c r="B168" s="116" t="str">
        <f t="shared" si="19"/>
        <v/>
      </c>
      <c r="C168" s="117" t="str">
        <f t="shared" si="15"/>
        <v/>
      </c>
      <c r="D168" s="116" t="str">
        <f t="shared" si="16"/>
        <v/>
      </c>
      <c r="E168" s="120" t="str">
        <f t="shared" si="17"/>
        <v/>
      </c>
      <c r="F168" s="118" t="str">
        <f t="shared" si="18"/>
        <v/>
      </c>
      <c r="G168" s="126">
        <f t="shared" si="20"/>
        <v>42</v>
      </c>
      <c r="H168" s="116" t="str">
        <f t="shared" si="14"/>
        <v/>
      </c>
      <c r="I168" s="117" t="str" cm="1">
        <f t="array" ref="I16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Calculators'!$B$2+ICS4Test!$E166,""))</f>
        <v/>
      </c>
      <c r="J168" s="116" t="str" cm="1">
        <f t="array" ref="J168">IF(I168="","",INDEX('Test schedule'!$H:$H,ROW()+7))</f>
        <v/>
      </c>
      <c r="K168" s="120" t="str" cm="1">
        <f t="array" ref="K168">IF(I168="","",INDEX('Test schedule'!$J:$J,ROW()+7))</f>
        <v/>
      </c>
      <c r="L168" s="129" t="str" cm="1">
        <f t="array" ref="L168">IF(OR(I168="",INDEX('Test schedule'!$T:$T,ROW()+7)=""),"",INDEX('Test schedule'!$T:$T,ROW()+7))</f>
        <v/>
      </c>
    </row>
    <row r="169" spans="2:12" ht="15" customHeight="1">
      <c r="B169" s="116" t="str">
        <f t="shared" si="19"/>
        <v/>
      </c>
      <c r="C169" s="117" t="str">
        <f t="shared" si="15"/>
        <v/>
      </c>
      <c r="D169" s="116" t="str">
        <f t="shared" si="16"/>
        <v/>
      </c>
      <c r="E169" s="120" t="str">
        <f t="shared" si="17"/>
        <v/>
      </c>
      <c r="F169" s="118" t="str">
        <f t="shared" si="18"/>
        <v/>
      </c>
      <c r="G169" s="126">
        <f t="shared" si="20"/>
        <v>42</v>
      </c>
      <c r="H169" s="116" t="str">
        <f t="shared" si="14"/>
        <v/>
      </c>
      <c r="I169" s="117" t="str" cm="1">
        <f t="array" ref="I16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Calculators'!$B$2+ICS4Test!$E167,""))</f>
        <v/>
      </c>
      <c r="J169" s="116" t="str" cm="1">
        <f t="array" ref="J169">IF(I169="","",INDEX('Test schedule'!$H:$H,ROW()+7))</f>
        <v/>
      </c>
      <c r="K169" s="120" t="str" cm="1">
        <f t="array" ref="K169">IF(I169="","",INDEX('Test schedule'!$J:$J,ROW()+7))</f>
        <v/>
      </c>
      <c r="L169" s="129" t="str" cm="1">
        <f t="array" ref="L169">IF(OR(I169="",INDEX('Test schedule'!$T:$T,ROW()+7)=""),"",INDEX('Test schedule'!$T:$T,ROW()+7))</f>
        <v/>
      </c>
    </row>
    <row r="170" spans="2:12" ht="15" customHeight="1">
      <c r="B170" s="116" t="str">
        <f t="shared" si="19"/>
        <v/>
      </c>
      <c r="C170" s="117" t="str">
        <f t="shared" si="15"/>
        <v/>
      </c>
      <c r="D170" s="116" t="str">
        <f t="shared" si="16"/>
        <v/>
      </c>
      <c r="E170" s="120" t="str">
        <f t="shared" si="17"/>
        <v/>
      </c>
      <c r="F170" s="118" t="str">
        <f t="shared" si="18"/>
        <v/>
      </c>
      <c r="G170" s="126">
        <f t="shared" si="20"/>
        <v>42</v>
      </c>
      <c r="H170" s="116" t="str">
        <f t="shared" si="14"/>
        <v/>
      </c>
      <c r="I170" s="117" t="str" cm="1">
        <f t="array" ref="I17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Calculators'!$B$2+ICS4Test!$E168,""))</f>
        <v/>
      </c>
      <c r="J170" s="116" t="str" cm="1">
        <f t="array" ref="J170">IF(I170="","",INDEX('Test schedule'!$H:$H,ROW()+7))</f>
        <v/>
      </c>
      <c r="K170" s="120" t="str" cm="1">
        <f t="array" ref="K170">IF(I170="","",INDEX('Test schedule'!$J:$J,ROW()+7))</f>
        <v/>
      </c>
      <c r="L170" s="129" t="str" cm="1">
        <f t="array" ref="L170">IF(OR(I170="",INDEX('Test schedule'!$T:$T,ROW()+7)=""),"",INDEX('Test schedule'!$T:$T,ROW()+7))</f>
        <v/>
      </c>
    </row>
    <row r="171" spans="2:12" ht="15" customHeight="1">
      <c r="B171" s="116" t="str">
        <f t="shared" si="19"/>
        <v/>
      </c>
      <c r="C171" s="117" t="str">
        <f t="shared" si="15"/>
        <v/>
      </c>
      <c r="D171" s="116" t="str">
        <f t="shared" si="16"/>
        <v/>
      </c>
      <c r="E171" s="120" t="str">
        <f t="shared" si="17"/>
        <v/>
      </c>
      <c r="F171" s="118" t="str">
        <f t="shared" si="18"/>
        <v/>
      </c>
      <c r="G171" s="126">
        <f t="shared" si="20"/>
        <v>42</v>
      </c>
      <c r="H171" s="116" t="str">
        <f t="shared" si="14"/>
        <v/>
      </c>
      <c r="I171" s="117" t="str" cm="1">
        <f t="array" ref="I17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Calculators'!$B$2+ICS4Test!$E169,""))</f>
        <v/>
      </c>
      <c r="J171" s="116" t="str" cm="1">
        <f t="array" ref="J171">IF(I171="","",INDEX('Test schedule'!$H:$H,ROW()+7))</f>
        <v/>
      </c>
      <c r="K171" s="120" t="str" cm="1">
        <f t="array" ref="K171">IF(I171="","",INDEX('Test schedule'!$J:$J,ROW()+7))</f>
        <v/>
      </c>
      <c r="L171" s="129" t="str" cm="1">
        <f t="array" ref="L171">IF(OR(I171="",INDEX('Test schedule'!$T:$T,ROW()+7)=""),"",INDEX('Test schedule'!$T:$T,ROW()+7))</f>
        <v/>
      </c>
    </row>
    <row r="172" spans="2:12" ht="15" customHeight="1">
      <c r="B172" s="116" t="str">
        <f t="shared" si="19"/>
        <v/>
      </c>
      <c r="C172" s="117" t="str">
        <f t="shared" si="15"/>
        <v/>
      </c>
      <c r="D172" s="116" t="str">
        <f t="shared" si="16"/>
        <v/>
      </c>
      <c r="E172" s="120" t="str">
        <f t="shared" si="17"/>
        <v/>
      </c>
      <c r="F172" s="118" t="str">
        <f t="shared" si="18"/>
        <v/>
      </c>
      <c r="G172" s="126">
        <f t="shared" si="20"/>
        <v>42</v>
      </c>
      <c r="H172" s="116" t="str">
        <f t="shared" si="14"/>
        <v/>
      </c>
      <c r="I172" s="117" t="str" cm="1">
        <f t="array" ref="I17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Calculators'!$B$2+ICS4Test!$E170,""))</f>
        <v/>
      </c>
      <c r="J172" s="116" t="str" cm="1">
        <f t="array" ref="J172">IF(I172="","",INDEX('Test schedule'!$H:$H,ROW()+7))</f>
        <v/>
      </c>
      <c r="K172" s="120" t="str" cm="1">
        <f t="array" ref="K172">IF(I172="","",INDEX('Test schedule'!$J:$J,ROW()+7))</f>
        <v/>
      </c>
      <c r="L172" s="129" t="str" cm="1">
        <f t="array" ref="L172">IF(OR(I172="",INDEX('Test schedule'!$T:$T,ROW()+7)=""),"",INDEX('Test schedule'!$T:$T,ROW()+7))</f>
        <v/>
      </c>
    </row>
    <row r="173" spans="2:12" ht="15" customHeight="1">
      <c r="B173" s="116" t="str">
        <f t="shared" si="19"/>
        <v/>
      </c>
      <c r="C173" s="117" t="str">
        <f t="shared" si="15"/>
        <v/>
      </c>
      <c r="D173" s="116" t="str">
        <f t="shared" si="16"/>
        <v/>
      </c>
      <c r="E173" s="120" t="str">
        <f t="shared" si="17"/>
        <v/>
      </c>
      <c r="F173" s="118" t="str">
        <f t="shared" si="18"/>
        <v/>
      </c>
      <c r="G173" s="126">
        <f t="shared" si="20"/>
        <v>42</v>
      </c>
      <c r="H173" s="116" t="str">
        <f t="shared" ref="H173:H236" si="21">IF(I173="","",IF(I173="END","START",IF(OR(I172="END",I172=I173,I172=""),IF(OR(H172="",H172="START"),I173-$U$3,H172),IFERROR(IF(I172&gt;I173,I173-$U$3,I172),I172))))</f>
        <v/>
      </c>
      <c r="I173" s="117" t="str" cm="1">
        <f t="array" ref="I17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Calculators'!$B$2+ICS4Test!$E171,""))</f>
        <v/>
      </c>
      <c r="J173" s="116" t="str" cm="1">
        <f t="array" ref="J173">IF(I173="","",INDEX('Test schedule'!$H:$H,ROW()+7))</f>
        <v/>
      </c>
      <c r="K173" s="120" t="str" cm="1">
        <f t="array" ref="K173">IF(I173="","",INDEX('Test schedule'!$J:$J,ROW()+7))</f>
        <v/>
      </c>
      <c r="L173" s="129" t="str" cm="1">
        <f t="array" ref="L173">IF(OR(I173="",INDEX('Test schedule'!$T:$T,ROW()+7)=""),"",INDEX('Test schedule'!$T:$T,ROW()+7))</f>
        <v/>
      </c>
    </row>
    <row r="174" spans="2:12" ht="15" customHeight="1">
      <c r="B174" s="116" t="str">
        <f t="shared" si="19"/>
        <v/>
      </c>
      <c r="C174" s="117" t="str">
        <f t="shared" si="15"/>
        <v/>
      </c>
      <c r="D174" s="116" t="str">
        <f t="shared" si="16"/>
        <v/>
      </c>
      <c r="E174" s="120" t="str">
        <f t="shared" si="17"/>
        <v/>
      </c>
      <c r="F174" s="118" t="str">
        <f t="shared" si="18"/>
        <v/>
      </c>
      <c r="G174" s="126">
        <f t="shared" si="20"/>
        <v>42</v>
      </c>
      <c r="H174" s="116" t="str">
        <f t="shared" si="21"/>
        <v/>
      </c>
      <c r="I174" s="117" t="str" cm="1">
        <f t="array" ref="I17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Calculators'!$B$2+ICS4Test!$E172,""))</f>
        <v/>
      </c>
      <c r="J174" s="116" t="str" cm="1">
        <f t="array" ref="J174">IF(I174="","",INDEX('Test schedule'!$H:$H,ROW()+7))</f>
        <v/>
      </c>
      <c r="K174" s="120" t="str" cm="1">
        <f t="array" ref="K174">IF(I174="","",INDEX('Test schedule'!$J:$J,ROW()+7))</f>
        <v/>
      </c>
      <c r="L174" s="129" t="str" cm="1">
        <f t="array" ref="L174">IF(OR(I174="",INDEX('Test schedule'!$T:$T,ROW()+7)=""),"",INDEX('Test schedule'!$T:$T,ROW()+7))</f>
        <v/>
      </c>
    </row>
    <row r="175" spans="2:12" ht="15" customHeight="1">
      <c r="B175" s="116" t="str">
        <f t="shared" si="19"/>
        <v/>
      </c>
      <c r="C175" s="117" t="str">
        <f t="shared" si="15"/>
        <v/>
      </c>
      <c r="D175" s="116" t="str">
        <f t="shared" si="16"/>
        <v/>
      </c>
      <c r="E175" s="120" t="str">
        <f t="shared" si="17"/>
        <v/>
      </c>
      <c r="F175" s="118" t="str">
        <f t="shared" si="18"/>
        <v/>
      </c>
      <c r="G175" s="126">
        <f t="shared" si="20"/>
        <v>42</v>
      </c>
      <c r="H175" s="116" t="str">
        <f t="shared" si="21"/>
        <v/>
      </c>
      <c r="I175" s="117" t="str" cm="1">
        <f t="array" ref="I17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Calculators'!$B$2+ICS4Test!$E173,""))</f>
        <v/>
      </c>
      <c r="J175" s="116" t="str" cm="1">
        <f t="array" ref="J175">IF(I175="","",INDEX('Test schedule'!$H:$H,ROW()+7))</f>
        <v/>
      </c>
      <c r="K175" s="120" t="str" cm="1">
        <f t="array" ref="K175">IF(I175="","",INDEX('Test schedule'!$J:$J,ROW()+7))</f>
        <v/>
      </c>
      <c r="L175" s="129" t="str" cm="1">
        <f t="array" ref="L175">IF(OR(I175="",INDEX('Test schedule'!$T:$T,ROW()+7)=""),"",INDEX('Test schedule'!$T:$T,ROW()+7))</f>
        <v/>
      </c>
    </row>
    <row r="176" spans="2:12" ht="15" customHeight="1">
      <c r="B176" s="116" t="str">
        <f t="shared" si="19"/>
        <v/>
      </c>
      <c r="C176" s="117" t="str">
        <f t="shared" si="15"/>
        <v/>
      </c>
      <c r="D176" s="116" t="str">
        <f t="shared" si="16"/>
        <v/>
      </c>
      <c r="E176" s="120" t="str">
        <f t="shared" si="17"/>
        <v/>
      </c>
      <c r="F176" s="118" t="str">
        <f t="shared" si="18"/>
        <v/>
      </c>
      <c r="G176" s="126">
        <f t="shared" si="20"/>
        <v>42</v>
      </c>
      <c r="H176" s="116" t="str">
        <f t="shared" si="21"/>
        <v/>
      </c>
      <c r="I176" s="117" t="str" cm="1">
        <f t="array" ref="I17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Calculators'!$B$2+ICS4Test!$E174,""))</f>
        <v/>
      </c>
      <c r="J176" s="116" t="str" cm="1">
        <f t="array" ref="J176">IF(I176="","",INDEX('Test schedule'!$H:$H,ROW()+7))</f>
        <v/>
      </c>
      <c r="K176" s="120" t="str" cm="1">
        <f t="array" ref="K176">IF(I176="","",INDEX('Test schedule'!$J:$J,ROW()+7))</f>
        <v/>
      </c>
      <c r="L176" s="129" t="str" cm="1">
        <f t="array" ref="L176">IF(OR(I176="",INDEX('Test schedule'!$T:$T,ROW()+7)=""),"",INDEX('Test schedule'!$T:$T,ROW()+7))</f>
        <v/>
      </c>
    </row>
    <row r="177" spans="2:12" ht="15" customHeight="1">
      <c r="B177" s="116" t="str">
        <f t="shared" si="19"/>
        <v/>
      </c>
      <c r="C177" s="117" t="str">
        <f t="shared" si="15"/>
        <v/>
      </c>
      <c r="D177" s="116" t="str">
        <f t="shared" si="16"/>
        <v/>
      </c>
      <c r="E177" s="120" t="str">
        <f t="shared" si="17"/>
        <v/>
      </c>
      <c r="F177" s="118" t="str">
        <f t="shared" si="18"/>
        <v/>
      </c>
      <c r="G177" s="126">
        <f t="shared" si="20"/>
        <v>42</v>
      </c>
      <c r="H177" s="116" t="str">
        <f t="shared" si="21"/>
        <v/>
      </c>
      <c r="I177" s="117" t="str" cm="1">
        <f t="array" ref="I17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Calculators'!$B$2+ICS4Test!$E175,""))</f>
        <v/>
      </c>
      <c r="J177" s="116" t="str" cm="1">
        <f t="array" ref="J177">IF(I177="","",INDEX('Test schedule'!$H:$H,ROW()+7))</f>
        <v/>
      </c>
      <c r="K177" s="120" t="str" cm="1">
        <f t="array" ref="K177">IF(I177="","",INDEX('Test schedule'!$J:$J,ROW()+7))</f>
        <v/>
      </c>
      <c r="L177" s="129" t="str" cm="1">
        <f t="array" ref="L177">IF(OR(I177="",INDEX('Test schedule'!$T:$T,ROW()+7)=""),"",INDEX('Test schedule'!$T:$T,ROW()+7))</f>
        <v/>
      </c>
    </row>
    <row r="178" spans="2:12" ht="15" customHeight="1">
      <c r="B178" s="116" t="str">
        <f t="shared" si="19"/>
        <v/>
      </c>
      <c r="C178" s="117" t="str">
        <f t="shared" si="15"/>
        <v/>
      </c>
      <c r="D178" s="116" t="str">
        <f t="shared" si="16"/>
        <v/>
      </c>
      <c r="E178" s="120" t="str">
        <f t="shared" si="17"/>
        <v/>
      </c>
      <c r="F178" s="118" t="str">
        <f t="shared" si="18"/>
        <v/>
      </c>
      <c r="G178" s="126">
        <f t="shared" si="20"/>
        <v>42</v>
      </c>
      <c r="H178" s="116" t="str">
        <f t="shared" si="21"/>
        <v/>
      </c>
      <c r="I178" s="117" t="str" cm="1">
        <f t="array" ref="I17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Calculators'!$B$2+ICS4Test!$E176,""))</f>
        <v/>
      </c>
      <c r="J178" s="116" t="str" cm="1">
        <f t="array" ref="J178">IF(I178="","",INDEX('Test schedule'!$H:$H,ROW()+7))</f>
        <v/>
      </c>
      <c r="K178" s="120" t="str" cm="1">
        <f t="array" ref="K178">IF(I178="","",INDEX('Test schedule'!$J:$J,ROW()+7))</f>
        <v/>
      </c>
      <c r="L178" s="129" t="str" cm="1">
        <f t="array" ref="L178">IF(OR(I178="",INDEX('Test schedule'!$T:$T,ROW()+7)=""),"",INDEX('Test schedule'!$T:$T,ROW()+7))</f>
        <v/>
      </c>
    </row>
    <row r="179" spans="2:12" ht="15" customHeight="1">
      <c r="B179" s="116" t="str">
        <f t="shared" si="19"/>
        <v/>
      </c>
      <c r="C179" s="117" t="str">
        <f t="shared" si="15"/>
        <v/>
      </c>
      <c r="D179" s="116" t="str">
        <f t="shared" si="16"/>
        <v/>
      </c>
      <c r="E179" s="120" t="str">
        <f t="shared" si="17"/>
        <v/>
      </c>
      <c r="F179" s="118" t="str">
        <f t="shared" si="18"/>
        <v/>
      </c>
      <c r="G179" s="126">
        <f t="shared" si="20"/>
        <v>42</v>
      </c>
      <c r="H179" s="116" t="str">
        <f t="shared" si="21"/>
        <v/>
      </c>
      <c r="I179" s="117" t="str" cm="1">
        <f t="array" ref="I17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Calculators'!$B$2+ICS4Test!$E177,""))</f>
        <v/>
      </c>
      <c r="J179" s="116" t="str" cm="1">
        <f t="array" ref="J179">IF(I179="","",INDEX('Test schedule'!$H:$H,ROW()+7))</f>
        <v/>
      </c>
      <c r="K179" s="120" t="str" cm="1">
        <f t="array" ref="K179">IF(I179="","",INDEX('Test schedule'!$J:$J,ROW()+7))</f>
        <v/>
      </c>
      <c r="L179" s="129" t="str" cm="1">
        <f t="array" ref="L179">IF(OR(I179="",INDEX('Test schedule'!$T:$T,ROW()+7)=""),"",INDEX('Test schedule'!$T:$T,ROW()+7))</f>
        <v/>
      </c>
    </row>
    <row r="180" spans="2:12" ht="15" customHeight="1">
      <c r="B180" s="116" t="str">
        <f t="shared" si="19"/>
        <v/>
      </c>
      <c r="C180" s="117" t="str">
        <f t="shared" si="15"/>
        <v/>
      </c>
      <c r="D180" s="116" t="str">
        <f t="shared" si="16"/>
        <v/>
      </c>
      <c r="E180" s="120" t="str">
        <f t="shared" si="17"/>
        <v/>
      </c>
      <c r="F180" s="118" t="str">
        <f t="shared" si="18"/>
        <v/>
      </c>
      <c r="G180" s="126">
        <f t="shared" si="20"/>
        <v>42</v>
      </c>
      <c r="H180" s="116" t="str">
        <f t="shared" si="21"/>
        <v/>
      </c>
      <c r="I180" s="117" t="str" cm="1">
        <f t="array" ref="I18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Calculators'!$B$2+ICS4Test!$E178,""))</f>
        <v/>
      </c>
      <c r="J180" s="116" t="str" cm="1">
        <f t="array" ref="J180">IF(I180="","",INDEX('Test schedule'!$H:$H,ROW()+7))</f>
        <v/>
      </c>
      <c r="K180" s="120" t="str" cm="1">
        <f t="array" ref="K180">IF(I180="","",INDEX('Test schedule'!$J:$J,ROW()+7))</f>
        <v/>
      </c>
      <c r="L180" s="129" t="str" cm="1">
        <f t="array" ref="L180">IF(OR(I180="",INDEX('Test schedule'!$T:$T,ROW()+7)=""),"",INDEX('Test schedule'!$T:$T,ROW()+7))</f>
        <v/>
      </c>
    </row>
    <row r="181" spans="2:12" ht="15" customHeight="1">
      <c r="B181" s="116" t="str">
        <f t="shared" si="19"/>
        <v/>
      </c>
      <c r="C181" s="117" t="str">
        <f t="shared" si="15"/>
        <v/>
      </c>
      <c r="D181" s="116" t="str">
        <f t="shared" si="16"/>
        <v/>
      </c>
      <c r="E181" s="120" t="str">
        <f t="shared" si="17"/>
        <v/>
      </c>
      <c r="F181" s="118" t="str">
        <f t="shared" si="18"/>
        <v/>
      </c>
      <c r="G181" s="126">
        <f t="shared" si="20"/>
        <v>42</v>
      </c>
      <c r="H181" s="116" t="str">
        <f t="shared" si="21"/>
        <v/>
      </c>
      <c r="I181" s="117" t="str" cm="1">
        <f t="array" ref="I18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Calculators'!$B$2+ICS4Test!$E179,""))</f>
        <v/>
      </c>
      <c r="J181" s="116" t="str" cm="1">
        <f t="array" ref="J181">IF(I181="","",INDEX('Test schedule'!$H:$H,ROW()+7))</f>
        <v/>
      </c>
      <c r="K181" s="120" t="str" cm="1">
        <f t="array" ref="K181">IF(I181="","",INDEX('Test schedule'!$J:$J,ROW()+7))</f>
        <v/>
      </c>
      <c r="L181" s="129" t="str" cm="1">
        <f t="array" ref="L181">IF(OR(I181="",INDEX('Test schedule'!$T:$T,ROW()+7)=""),"",INDEX('Test schedule'!$T:$T,ROW()+7))</f>
        <v/>
      </c>
    </row>
    <row r="182" spans="2:12" ht="15" customHeight="1">
      <c r="B182" s="116" t="str">
        <f t="shared" si="19"/>
        <v/>
      </c>
      <c r="C182" s="117" t="str">
        <f t="shared" si="15"/>
        <v/>
      </c>
      <c r="D182" s="116" t="str">
        <f t="shared" si="16"/>
        <v/>
      </c>
      <c r="E182" s="120" t="str">
        <f t="shared" si="17"/>
        <v/>
      </c>
      <c r="F182" s="118" t="str">
        <f t="shared" si="18"/>
        <v/>
      </c>
      <c r="G182" s="126">
        <f t="shared" si="20"/>
        <v>42</v>
      </c>
      <c r="H182" s="116" t="str">
        <f t="shared" si="21"/>
        <v/>
      </c>
      <c r="I182" s="117" t="str" cm="1">
        <f t="array" ref="I18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Calculators'!$B$2+ICS4Test!$E180,""))</f>
        <v/>
      </c>
      <c r="J182" s="116" t="str" cm="1">
        <f t="array" ref="J182">IF(I182="","",INDEX('Test schedule'!$H:$H,ROW()+7))</f>
        <v/>
      </c>
      <c r="K182" s="120" t="str" cm="1">
        <f t="array" ref="K182">IF(I182="","",INDEX('Test schedule'!$J:$J,ROW()+7))</f>
        <v/>
      </c>
      <c r="L182" s="129" t="str" cm="1">
        <f t="array" ref="L182">IF(OR(I182="",INDEX('Test schedule'!$T:$T,ROW()+7)=""),"",INDEX('Test schedule'!$T:$T,ROW()+7))</f>
        <v/>
      </c>
    </row>
    <row r="183" spans="2:12" ht="15" customHeight="1">
      <c r="B183" s="116" t="str">
        <f t="shared" si="19"/>
        <v/>
      </c>
      <c r="C183" s="117" t="str">
        <f t="shared" si="15"/>
        <v/>
      </c>
      <c r="D183" s="116" t="str">
        <f t="shared" si="16"/>
        <v/>
      </c>
      <c r="E183" s="120" t="str">
        <f t="shared" si="17"/>
        <v/>
      </c>
      <c r="F183" s="118" t="str">
        <f t="shared" si="18"/>
        <v/>
      </c>
      <c r="G183" s="126">
        <f t="shared" si="20"/>
        <v>42</v>
      </c>
      <c r="H183" s="116" t="str">
        <f t="shared" si="21"/>
        <v/>
      </c>
      <c r="I183" s="117" t="str" cm="1">
        <f t="array" ref="I18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Calculators'!$B$2+ICS4Test!$E181,""))</f>
        <v/>
      </c>
      <c r="J183" s="116" t="str" cm="1">
        <f t="array" ref="J183">IF(I183="","",INDEX('Test schedule'!$H:$H,ROW()+7))</f>
        <v/>
      </c>
      <c r="K183" s="120" t="str" cm="1">
        <f t="array" ref="K183">IF(I183="","",INDEX('Test schedule'!$J:$J,ROW()+7))</f>
        <v/>
      </c>
      <c r="L183" s="129" t="str" cm="1">
        <f t="array" ref="L183">IF(OR(I183="",INDEX('Test schedule'!$T:$T,ROW()+7)=""),"",INDEX('Test schedule'!$T:$T,ROW()+7))</f>
        <v/>
      </c>
    </row>
    <row r="184" spans="2:12" ht="15" customHeight="1">
      <c r="B184" s="116" t="str">
        <f t="shared" si="19"/>
        <v/>
      </c>
      <c r="C184" s="117" t="str">
        <f t="shared" si="15"/>
        <v/>
      </c>
      <c r="D184" s="116" t="str">
        <f t="shared" si="16"/>
        <v/>
      </c>
      <c r="E184" s="120" t="str">
        <f t="shared" si="17"/>
        <v/>
      </c>
      <c r="F184" s="118" t="str">
        <f t="shared" si="18"/>
        <v/>
      </c>
      <c r="G184" s="126">
        <f t="shared" si="20"/>
        <v>42</v>
      </c>
      <c r="H184" s="116" t="str">
        <f t="shared" si="21"/>
        <v/>
      </c>
      <c r="I184" s="117" t="str" cm="1">
        <f t="array" ref="I18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Calculators'!$B$2+ICS4Test!$E182,""))</f>
        <v/>
      </c>
      <c r="J184" s="116" t="str" cm="1">
        <f t="array" ref="J184">IF(I184="","",INDEX('Test schedule'!$H:$H,ROW()+7))</f>
        <v/>
      </c>
      <c r="K184" s="120" t="str" cm="1">
        <f t="array" ref="K184">IF(I184="","",INDEX('Test schedule'!$J:$J,ROW()+7))</f>
        <v/>
      </c>
      <c r="L184" s="129" t="str" cm="1">
        <f t="array" ref="L184">IF(OR(I184="",INDEX('Test schedule'!$T:$T,ROW()+7)=""),"",INDEX('Test schedule'!$T:$T,ROW()+7))</f>
        <v/>
      </c>
    </row>
    <row r="185" spans="2:12" ht="15" customHeight="1">
      <c r="B185" s="116" t="str">
        <f t="shared" si="19"/>
        <v/>
      </c>
      <c r="C185" s="117" t="str">
        <f t="shared" si="15"/>
        <v/>
      </c>
      <c r="D185" s="116" t="str">
        <f t="shared" si="16"/>
        <v/>
      </c>
      <c r="E185" s="120" t="str">
        <f t="shared" si="17"/>
        <v/>
      </c>
      <c r="F185" s="118" t="str">
        <f t="shared" si="18"/>
        <v/>
      </c>
      <c r="G185" s="126">
        <f t="shared" si="20"/>
        <v>42</v>
      </c>
      <c r="H185" s="116" t="str">
        <f t="shared" si="21"/>
        <v/>
      </c>
      <c r="I185" s="117" t="str" cm="1">
        <f t="array" ref="I18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Calculators'!$B$2+ICS4Test!$E183,""))</f>
        <v/>
      </c>
      <c r="J185" s="116" t="str" cm="1">
        <f t="array" ref="J185">IF(I185="","",INDEX('Test schedule'!$H:$H,ROW()+7))</f>
        <v/>
      </c>
      <c r="K185" s="120" t="str" cm="1">
        <f t="array" ref="K185">IF(I185="","",INDEX('Test schedule'!$J:$J,ROW()+7))</f>
        <v/>
      </c>
      <c r="L185" s="129" t="str" cm="1">
        <f t="array" ref="L185">IF(OR(I185="",INDEX('Test schedule'!$T:$T,ROW()+7)=""),"",INDEX('Test schedule'!$T:$T,ROW()+7))</f>
        <v/>
      </c>
    </row>
    <row r="186" spans="2:12" ht="15" customHeight="1">
      <c r="B186" s="116" t="str">
        <f t="shared" si="19"/>
        <v/>
      </c>
      <c r="C186" s="117" t="str">
        <f t="shared" si="15"/>
        <v/>
      </c>
      <c r="D186" s="116" t="str">
        <f t="shared" si="16"/>
        <v/>
      </c>
      <c r="E186" s="120" t="str">
        <f t="shared" si="17"/>
        <v/>
      </c>
      <c r="F186" s="118" t="str">
        <f t="shared" si="18"/>
        <v/>
      </c>
      <c r="G186" s="126">
        <f t="shared" si="20"/>
        <v>42</v>
      </c>
      <c r="H186" s="116" t="str">
        <f t="shared" si="21"/>
        <v/>
      </c>
      <c r="I186" s="117" t="str" cm="1">
        <f t="array" ref="I18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Calculators'!$B$2+ICS4Test!$E184,""))</f>
        <v/>
      </c>
      <c r="J186" s="116" t="str" cm="1">
        <f t="array" ref="J186">IF(I186="","",INDEX('Test schedule'!$H:$H,ROW()+7))</f>
        <v/>
      </c>
      <c r="K186" s="120" t="str" cm="1">
        <f t="array" ref="K186">IF(I186="","",INDEX('Test schedule'!$J:$J,ROW()+7))</f>
        <v/>
      </c>
      <c r="L186" s="129" t="str" cm="1">
        <f t="array" ref="L186">IF(OR(I186="",INDEX('Test schedule'!$T:$T,ROW()+7)=""),"",INDEX('Test schedule'!$T:$T,ROW()+7))</f>
        <v/>
      </c>
    </row>
    <row r="187" spans="2:12" ht="15" customHeight="1">
      <c r="B187" s="116" t="str">
        <f t="shared" si="19"/>
        <v/>
      </c>
      <c r="C187" s="117" t="str">
        <f t="shared" si="15"/>
        <v/>
      </c>
      <c r="D187" s="116" t="str">
        <f t="shared" si="16"/>
        <v/>
      </c>
      <c r="E187" s="120" t="str">
        <f t="shared" si="17"/>
        <v/>
      </c>
      <c r="F187" s="118" t="str">
        <f t="shared" si="18"/>
        <v/>
      </c>
      <c r="G187" s="126">
        <f t="shared" si="20"/>
        <v>42</v>
      </c>
      <c r="H187" s="116" t="str">
        <f t="shared" si="21"/>
        <v/>
      </c>
      <c r="I187" s="117" t="str" cm="1">
        <f t="array" ref="I18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Calculators'!$B$2+ICS4Test!$E185,""))</f>
        <v/>
      </c>
      <c r="J187" s="116" t="str" cm="1">
        <f t="array" ref="J187">IF(I187="","",INDEX('Test schedule'!$H:$H,ROW()+7))</f>
        <v/>
      </c>
      <c r="K187" s="120" t="str" cm="1">
        <f t="array" ref="K187">IF(I187="","",INDEX('Test schedule'!$J:$J,ROW()+7))</f>
        <v/>
      </c>
      <c r="L187" s="129" t="str" cm="1">
        <f t="array" ref="L187">IF(OR(I187="",INDEX('Test schedule'!$T:$T,ROW()+7)=""),"",INDEX('Test schedule'!$T:$T,ROW()+7))</f>
        <v/>
      </c>
    </row>
    <row r="188" spans="2:12" ht="15" customHeight="1">
      <c r="B188" s="116" t="str">
        <f t="shared" si="19"/>
        <v/>
      </c>
      <c r="C188" s="117" t="str">
        <f t="shared" si="15"/>
        <v/>
      </c>
      <c r="D188" s="116" t="str">
        <f t="shared" si="16"/>
        <v/>
      </c>
      <c r="E188" s="120" t="str">
        <f t="shared" si="17"/>
        <v/>
      </c>
      <c r="F188" s="118" t="str">
        <f t="shared" si="18"/>
        <v/>
      </c>
      <c r="G188" s="126">
        <f t="shared" si="20"/>
        <v>42</v>
      </c>
      <c r="H188" s="116" t="str">
        <f t="shared" si="21"/>
        <v/>
      </c>
      <c r="I188" s="117" t="str" cm="1">
        <f t="array" ref="I18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Calculators'!$B$2+ICS4Test!$E186,""))</f>
        <v/>
      </c>
      <c r="J188" s="116" t="str" cm="1">
        <f t="array" ref="J188">IF(I188="","",INDEX('Test schedule'!$H:$H,ROW()+7))</f>
        <v/>
      </c>
      <c r="K188" s="120" t="str" cm="1">
        <f t="array" ref="K188">IF(I188="","",INDEX('Test schedule'!$J:$J,ROW()+7))</f>
        <v/>
      </c>
      <c r="L188" s="129" t="str" cm="1">
        <f t="array" ref="L188">IF(OR(I188="",INDEX('Test schedule'!$T:$T,ROW()+7)=""),"",INDEX('Test schedule'!$T:$T,ROW()+7))</f>
        <v/>
      </c>
    </row>
    <row r="189" spans="2:12" ht="15" customHeight="1">
      <c r="B189" s="116" t="str">
        <f t="shared" si="19"/>
        <v/>
      </c>
      <c r="C189" s="117" t="str">
        <f t="shared" si="15"/>
        <v/>
      </c>
      <c r="D189" s="116" t="str">
        <f t="shared" si="16"/>
        <v/>
      </c>
      <c r="E189" s="120" t="str">
        <f t="shared" si="17"/>
        <v/>
      </c>
      <c r="F189" s="118" t="str">
        <f t="shared" si="18"/>
        <v/>
      </c>
      <c r="G189" s="126">
        <f t="shared" si="20"/>
        <v>42</v>
      </c>
      <c r="H189" s="116" t="str">
        <f t="shared" si="21"/>
        <v/>
      </c>
      <c r="I189" s="117" t="str" cm="1">
        <f t="array" ref="I18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Calculators'!$B$2+ICS4Test!$E187,""))</f>
        <v/>
      </c>
      <c r="J189" s="116" t="str" cm="1">
        <f t="array" ref="J189">IF(I189="","",INDEX('Test schedule'!$H:$H,ROW()+7))</f>
        <v/>
      </c>
      <c r="K189" s="120" t="str" cm="1">
        <f t="array" ref="K189">IF(I189="","",INDEX('Test schedule'!$J:$J,ROW()+7))</f>
        <v/>
      </c>
      <c r="L189" s="129" t="str" cm="1">
        <f t="array" ref="L189">IF(OR(I189="",INDEX('Test schedule'!$T:$T,ROW()+7)=""),"",INDEX('Test schedule'!$T:$T,ROW()+7))</f>
        <v/>
      </c>
    </row>
    <row r="190" spans="2:12" ht="15" customHeight="1">
      <c r="B190" s="116" t="str">
        <f t="shared" si="19"/>
        <v/>
      </c>
      <c r="C190" s="117" t="str">
        <f t="shared" si="15"/>
        <v/>
      </c>
      <c r="D190" s="116" t="str">
        <f t="shared" si="16"/>
        <v/>
      </c>
      <c r="E190" s="120" t="str">
        <f t="shared" si="17"/>
        <v/>
      </c>
      <c r="F190" s="118" t="str">
        <f t="shared" si="18"/>
        <v/>
      </c>
      <c r="G190" s="126">
        <f t="shared" si="20"/>
        <v>42</v>
      </c>
      <c r="H190" s="116" t="str">
        <f t="shared" si="21"/>
        <v/>
      </c>
      <c r="I190" s="117" t="str" cm="1">
        <f t="array" ref="I19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Calculators'!$B$2+ICS4Test!$E188,""))</f>
        <v/>
      </c>
      <c r="J190" s="116" t="str" cm="1">
        <f t="array" ref="J190">IF(I190="","",INDEX('Test schedule'!$H:$H,ROW()+7))</f>
        <v/>
      </c>
      <c r="K190" s="120" t="str" cm="1">
        <f t="array" ref="K190">IF(I190="","",INDEX('Test schedule'!$J:$J,ROW()+7))</f>
        <v/>
      </c>
      <c r="L190" s="129" t="str" cm="1">
        <f t="array" ref="L190">IF(OR(I190="",INDEX('Test schedule'!$T:$T,ROW()+7)=""),"",INDEX('Test schedule'!$T:$T,ROW()+7))</f>
        <v/>
      </c>
    </row>
    <row r="191" spans="2:12" ht="15" customHeight="1">
      <c r="B191" s="116" t="str">
        <f t="shared" si="19"/>
        <v/>
      </c>
      <c r="C191" s="117" t="str">
        <f t="shared" si="15"/>
        <v/>
      </c>
      <c r="D191" s="116" t="str">
        <f t="shared" si="16"/>
        <v/>
      </c>
      <c r="E191" s="120" t="str">
        <f t="shared" si="17"/>
        <v/>
      </c>
      <c r="F191" s="118" t="str">
        <f t="shared" si="18"/>
        <v/>
      </c>
      <c r="G191" s="126">
        <f t="shared" si="20"/>
        <v>42</v>
      </c>
      <c r="H191" s="116" t="str">
        <f t="shared" si="21"/>
        <v/>
      </c>
      <c r="I191" s="117" t="str" cm="1">
        <f t="array" ref="I19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Calculators'!$B$2+ICS4Test!$E189,""))</f>
        <v/>
      </c>
      <c r="J191" s="116" t="str" cm="1">
        <f t="array" ref="J191">IF(I191="","",INDEX('Test schedule'!$H:$H,ROW()+7))</f>
        <v/>
      </c>
      <c r="K191" s="120" t="str" cm="1">
        <f t="array" ref="K191">IF(I191="","",INDEX('Test schedule'!$J:$J,ROW()+7))</f>
        <v/>
      </c>
      <c r="L191" s="129" t="str" cm="1">
        <f t="array" ref="L191">IF(OR(I191="",INDEX('Test schedule'!$T:$T,ROW()+7)=""),"",INDEX('Test schedule'!$T:$T,ROW()+7))</f>
        <v/>
      </c>
    </row>
    <row r="192" spans="2:12" ht="15" customHeight="1">
      <c r="B192" s="116" t="str">
        <f t="shared" si="19"/>
        <v/>
      </c>
      <c r="C192" s="117" t="str">
        <f t="shared" si="15"/>
        <v/>
      </c>
      <c r="D192" s="116" t="str">
        <f t="shared" si="16"/>
        <v/>
      </c>
      <c r="E192" s="120" t="str">
        <f t="shared" si="17"/>
        <v/>
      </c>
      <c r="F192" s="118" t="str">
        <f t="shared" si="18"/>
        <v/>
      </c>
      <c r="G192" s="126">
        <f t="shared" si="20"/>
        <v>42</v>
      </c>
      <c r="H192" s="116" t="str">
        <f t="shared" si="21"/>
        <v/>
      </c>
      <c r="I192" s="117" t="str" cm="1">
        <f t="array" ref="I19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Calculators'!$B$2+ICS4Test!$E190,""))</f>
        <v/>
      </c>
      <c r="J192" s="116" t="str" cm="1">
        <f t="array" ref="J192">IF(I192="","",INDEX('Test schedule'!$H:$H,ROW()+7))</f>
        <v/>
      </c>
      <c r="K192" s="120" t="str" cm="1">
        <f t="array" ref="K192">IF(I192="","",INDEX('Test schedule'!$J:$J,ROW()+7))</f>
        <v/>
      </c>
      <c r="L192" s="129" t="str" cm="1">
        <f t="array" ref="L192">IF(OR(I192="",INDEX('Test schedule'!$T:$T,ROW()+7)=""),"",INDEX('Test schedule'!$T:$T,ROW()+7))</f>
        <v/>
      </c>
    </row>
    <row r="193" spans="2:12" ht="15" customHeight="1">
      <c r="B193" s="116" t="str">
        <f t="shared" si="19"/>
        <v/>
      </c>
      <c r="C193" s="117" t="str">
        <f t="shared" si="15"/>
        <v/>
      </c>
      <c r="D193" s="116" t="str">
        <f t="shared" si="16"/>
        <v/>
      </c>
      <c r="E193" s="120" t="str">
        <f t="shared" si="17"/>
        <v/>
      </c>
      <c r="F193" s="118" t="str">
        <f t="shared" si="18"/>
        <v/>
      </c>
      <c r="G193" s="126">
        <f t="shared" si="20"/>
        <v>42</v>
      </c>
      <c r="H193" s="116" t="str">
        <f t="shared" si="21"/>
        <v/>
      </c>
      <c r="I193" s="117" t="str" cm="1">
        <f t="array" ref="I19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Calculators'!$B$2+ICS4Test!$E191,""))</f>
        <v/>
      </c>
      <c r="J193" s="116" t="str" cm="1">
        <f t="array" ref="J193">IF(I193="","",INDEX('Test schedule'!$H:$H,ROW()+7))</f>
        <v/>
      </c>
      <c r="K193" s="120" t="str" cm="1">
        <f t="array" ref="K193">IF(I193="","",INDEX('Test schedule'!$J:$J,ROW()+7))</f>
        <v/>
      </c>
      <c r="L193" s="129" t="str" cm="1">
        <f t="array" ref="L193">IF(OR(I193="",INDEX('Test schedule'!$T:$T,ROW()+7)=""),"",INDEX('Test schedule'!$T:$T,ROW()+7))</f>
        <v/>
      </c>
    </row>
    <row r="194" spans="2:12" ht="15" customHeight="1">
      <c r="B194" s="116" t="str">
        <f t="shared" si="19"/>
        <v/>
      </c>
      <c r="C194" s="117" t="str">
        <f t="shared" si="15"/>
        <v/>
      </c>
      <c r="D194" s="116" t="str">
        <f t="shared" si="16"/>
        <v/>
      </c>
      <c r="E194" s="120" t="str">
        <f t="shared" si="17"/>
        <v/>
      </c>
      <c r="F194" s="118" t="str">
        <f t="shared" si="18"/>
        <v/>
      </c>
      <c r="G194" s="126">
        <f t="shared" si="20"/>
        <v>42</v>
      </c>
      <c r="H194" s="116" t="str">
        <f t="shared" si="21"/>
        <v/>
      </c>
      <c r="I194" s="117" t="str" cm="1">
        <f t="array" ref="I19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Calculators'!$B$2+ICS4Test!$E192,""))</f>
        <v/>
      </c>
      <c r="J194" s="116" t="str" cm="1">
        <f t="array" ref="J194">IF(I194="","",INDEX('Test schedule'!$H:$H,ROW()+7))</f>
        <v/>
      </c>
      <c r="K194" s="120" t="str" cm="1">
        <f t="array" ref="K194">IF(I194="","",INDEX('Test schedule'!$J:$J,ROW()+7))</f>
        <v/>
      </c>
      <c r="L194" s="129" t="str" cm="1">
        <f t="array" ref="L194">IF(OR(I194="",INDEX('Test schedule'!$T:$T,ROW()+7)=""),"",INDEX('Test schedule'!$T:$T,ROW()+7))</f>
        <v/>
      </c>
    </row>
    <row r="195" spans="2:12" ht="15" customHeight="1">
      <c r="B195" s="116" t="str">
        <f t="shared" si="19"/>
        <v/>
      </c>
      <c r="C195" s="117" t="str">
        <f t="shared" si="15"/>
        <v/>
      </c>
      <c r="D195" s="116" t="str">
        <f t="shared" si="16"/>
        <v/>
      </c>
      <c r="E195" s="120" t="str">
        <f t="shared" si="17"/>
        <v/>
      </c>
      <c r="F195" s="118" t="str">
        <f t="shared" si="18"/>
        <v/>
      </c>
      <c r="G195" s="126">
        <f t="shared" si="20"/>
        <v>42</v>
      </c>
      <c r="H195" s="116" t="str">
        <f t="shared" si="21"/>
        <v/>
      </c>
      <c r="I195" s="117" t="str" cm="1">
        <f t="array" ref="I19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Calculators'!$B$2+ICS4Test!$E193,""))</f>
        <v/>
      </c>
      <c r="J195" s="116" t="str" cm="1">
        <f t="array" ref="J195">IF(I195="","",INDEX('Test schedule'!$H:$H,ROW()+7))</f>
        <v/>
      </c>
      <c r="K195" s="120" t="str" cm="1">
        <f t="array" ref="K195">IF(I195="","",INDEX('Test schedule'!$J:$J,ROW()+7))</f>
        <v/>
      </c>
      <c r="L195" s="129" t="str" cm="1">
        <f t="array" ref="L195">IF(OR(I195="",INDEX('Test schedule'!$T:$T,ROW()+7)=""),"",INDEX('Test schedule'!$T:$T,ROW()+7))</f>
        <v/>
      </c>
    </row>
    <row r="196" spans="2:12" ht="15" customHeight="1">
      <c r="B196" s="116" t="str">
        <f t="shared" si="19"/>
        <v/>
      </c>
      <c r="C196" s="117" t="str">
        <f t="shared" ref="C196:C259" si="22">IFERROR(INDEX($I$4:$I$500,MATCH(ROW()-3,$G$4:$G$500,0)),"")</f>
        <v/>
      </c>
      <c r="D196" s="116" t="str">
        <f t="shared" ref="D196:D259" si="23">IFERROR(INDEX($J$4:$J$500,MATCH(ROW()-3,$G$4:$G$500,0)),"")</f>
        <v/>
      </c>
      <c r="E196" s="120" t="str">
        <f t="shared" ref="E196:E259" si="24">IFERROR(INDEX($K$4:$K$500,MATCH(ROW()-3,$G$4:$G$500,0)),"")</f>
        <v/>
      </c>
      <c r="F196" s="118" t="str">
        <f t="shared" ref="F196:F259" si="25">IFERROR(INDEX($L$4:$L$500,MATCH(ROW()-3,$G$4:$G$500,0)),"")</f>
        <v/>
      </c>
      <c r="G196" s="126">
        <f t="shared" si="20"/>
        <v>42</v>
      </c>
      <c r="H196" s="116" t="str">
        <f t="shared" si="21"/>
        <v/>
      </c>
      <c r="I196" s="117" t="str" cm="1">
        <f t="array" ref="I19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Calculators'!$B$2+ICS4Test!$E194,""))</f>
        <v/>
      </c>
      <c r="J196" s="116" t="str" cm="1">
        <f t="array" ref="J196">IF(I196="","",INDEX('Test schedule'!$H:$H,ROW()+7))</f>
        <v/>
      </c>
      <c r="K196" s="120" t="str" cm="1">
        <f t="array" ref="K196">IF(I196="","",INDEX('Test schedule'!$J:$J,ROW()+7))</f>
        <v/>
      </c>
      <c r="L196" s="129" t="str" cm="1">
        <f t="array" ref="L196">IF(OR(I196="",INDEX('Test schedule'!$T:$T,ROW()+7)=""),"",INDEX('Test schedule'!$T:$T,ROW()+7))</f>
        <v/>
      </c>
    </row>
    <row r="197" spans="2:12" ht="15" customHeight="1">
      <c r="B197" s="116" t="str">
        <f t="shared" ref="B197:B260" si="26">IFERROR(IF(AND(INDEX($H$4:$H$500,MATCH(ROW()-3,$G$4:$G$500,0))&gt;C196,INDEX($I$4:$I$500,MATCH(ROW()-3,$G$4:$G$500,0))&lt;&gt;"END"),C196,INDEX($H$4:$H$500,MATCH(ROW()-3,$G$4:$G$500,0))),"")</f>
        <v/>
      </c>
      <c r="C197" s="117" t="str">
        <f t="shared" si="22"/>
        <v/>
      </c>
      <c r="D197" s="116" t="str">
        <f t="shared" si="23"/>
        <v/>
      </c>
      <c r="E197" s="120" t="str">
        <f t="shared" si="24"/>
        <v/>
      </c>
      <c r="F197" s="118" t="str">
        <f t="shared" si="25"/>
        <v/>
      </c>
      <c r="G197" s="126">
        <f t="shared" ref="G197:G260" si="27">G196+IF(I197&lt;&gt;"",1,0)</f>
        <v>42</v>
      </c>
      <c r="H197" s="116" t="str">
        <f t="shared" si="21"/>
        <v/>
      </c>
      <c r="I197" s="117" t="str" cm="1">
        <f t="array" ref="I19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Calculators'!$B$2+ICS4Test!$E195,""))</f>
        <v/>
      </c>
      <c r="J197" s="116" t="str" cm="1">
        <f t="array" ref="J197">IF(I197="","",INDEX('Test schedule'!$H:$H,ROW()+7))</f>
        <v/>
      </c>
      <c r="K197" s="120" t="str" cm="1">
        <f t="array" ref="K197">IF(I197="","",INDEX('Test schedule'!$J:$J,ROW()+7))</f>
        <v/>
      </c>
      <c r="L197" s="129" t="str" cm="1">
        <f t="array" ref="L197">IF(OR(I197="",INDEX('Test schedule'!$T:$T,ROW()+7)=""),"",INDEX('Test schedule'!$T:$T,ROW()+7))</f>
        <v/>
      </c>
    </row>
    <row r="198" spans="2:12" ht="15" customHeight="1">
      <c r="B198" s="116" t="str">
        <f t="shared" si="26"/>
        <v/>
      </c>
      <c r="C198" s="117" t="str">
        <f t="shared" si="22"/>
        <v/>
      </c>
      <c r="D198" s="116" t="str">
        <f t="shared" si="23"/>
        <v/>
      </c>
      <c r="E198" s="120" t="str">
        <f t="shared" si="24"/>
        <v/>
      </c>
      <c r="F198" s="118" t="str">
        <f t="shared" si="25"/>
        <v/>
      </c>
      <c r="G198" s="126">
        <f t="shared" si="27"/>
        <v>42</v>
      </c>
      <c r="H198" s="116" t="str">
        <f t="shared" si="21"/>
        <v/>
      </c>
      <c r="I198" s="117" t="str" cm="1">
        <f t="array" ref="I19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Calculators'!$B$2+ICS4Test!$E196,""))</f>
        <v/>
      </c>
      <c r="J198" s="116" t="str" cm="1">
        <f t="array" ref="J198">IF(I198="","",INDEX('Test schedule'!$H:$H,ROW()+7))</f>
        <v/>
      </c>
      <c r="K198" s="120" t="str" cm="1">
        <f t="array" ref="K198">IF(I198="","",INDEX('Test schedule'!$J:$J,ROW()+7))</f>
        <v/>
      </c>
      <c r="L198" s="129" t="str" cm="1">
        <f t="array" ref="L198">IF(OR(I198="",INDEX('Test schedule'!$T:$T,ROW()+7)=""),"",INDEX('Test schedule'!$T:$T,ROW()+7))</f>
        <v/>
      </c>
    </row>
    <row r="199" spans="2:12" ht="15" customHeight="1">
      <c r="B199" s="116" t="str">
        <f t="shared" si="26"/>
        <v/>
      </c>
      <c r="C199" s="117" t="str">
        <f t="shared" si="22"/>
        <v/>
      </c>
      <c r="D199" s="116" t="str">
        <f t="shared" si="23"/>
        <v/>
      </c>
      <c r="E199" s="120" t="str">
        <f t="shared" si="24"/>
        <v/>
      </c>
      <c r="F199" s="118" t="str">
        <f t="shared" si="25"/>
        <v/>
      </c>
      <c r="G199" s="126">
        <f t="shared" si="27"/>
        <v>42</v>
      </c>
      <c r="H199" s="116" t="str">
        <f t="shared" si="21"/>
        <v/>
      </c>
      <c r="I199" s="117" t="str" cm="1">
        <f t="array" ref="I19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Calculators'!$B$2+ICS4Test!$E197,""))</f>
        <v/>
      </c>
      <c r="J199" s="116" t="str" cm="1">
        <f t="array" ref="J199">IF(I199="","",INDEX('Test schedule'!$H:$H,ROW()+7))</f>
        <v/>
      </c>
      <c r="K199" s="120" t="str" cm="1">
        <f t="array" ref="K199">IF(I199="","",INDEX('Test schedule'!$J:$J,ROW()+7))</f>
        <v/>
      </c>
      <c r="L199" s="129" t="str" cm="1">
        <f t="array" ref="L199">IF(OR(I199="",INDEX('Test schedule'!$T:$T,ROW()+7)=""),"",INDEX('Test schedule'!$T:$T,ROW()+7))</f>
        <v/>
      </c>
    </row>
    <row r="200" spans="2:12" ht="15" customHeight="1">
      <c r="B200" s="116" t="str">
        <f t="shared" si="26"/>
        <v/>
      </c>
      <c r="C200" s="117" t="str">
        <f t="shared" si="22"/>
        <v/>
      </c>
      <c r="D200" s="116" t="str">
        <f t="shared" si="23"/>
        <v/>
      </c>
      <c r="E200" s="120" t="str">
        <f t="shared" si="24"/>
        <v/>
      </c>
      <c r="F200" s="118" t="str">
        <f t="shared" si="25"/>
        <v/>
      </c>
      <c r="G200" s="126">
        <f t="shared" si="27"/>
        <v>42</v>
      </c>
      <c r="H200" s="116" t="str">
        <f t="shared" si="21"/>
        <v/>
      </c>
      <c r="I200" s="117" t="str" cm="1">
        <f t="array" ref="I20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Calculators'!$B$2+ICS4Test!$E198,""))</f>
        <v/>
      </c>
      <c r="J200" s="116" t="str" cm="1">
        <f t="array" ref="J200">IF(I200="","",INDEX('Test schedule'!$H:$H,ROW()+7))</f>
        <v/>
      </c>
      <c r="K200" s="120" t="str" cm="1">
        <f t="array" ref="K200">IF(I200="","",INDEX('Test schedule'!$J:$J,ROW()+7))</f>
        <v/>
      </c>
      <c r="L200" s="129" t="str" cm="1">
        <f t="array" ref="L200">IF(OR(I200="",INDEX('Test schedule'!$T:$T,ROW()+7)=""),"",INDEX('Test schedule'!$T:$T,ROW()+7))</f>
        <v/>
      </c>
    </row>
    <row r="201" spans="2:12" ht="15" customHeight="1">
      <c r="B201" s="116" t="str">
        <f t="shared" si="26"/>
        <v/>
      </c>
      <c r="C201" s="117" t="str">
        <f t="shared" si="22"/>
        <v/>
      </c>
      <c r="D201" s="116" t="str">
        <f t="shared" si="23"/>
        <v/>
      </c>
      <c r="E201" s="120" t="str">
        <f t="shared" si="24"/>
        <v/>
      </c>
      <c r="F201" s="118" t="str">
        <f t="shared" si="25"/>
        <v/>
      </c>
      <c r="G201" s="126">
        <f t="shared" si="27"/>
        <v>42</v>
      </c>
      <c r="H201" s="116" t="str">
        <f t="shared" si="21"/>
        <v/>
      </c>
      <c r="I201" s="117" t="str" cm="1">
        <f t="array" ref="I20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Calculators'!$B$2+ICS4Test!$E199,""))</f>
        <v/>
      </c>
      <c r="J201" s="116" t="str" cm="1">
        <f t="array" ref="J201">IF(I201="","",INDEX('Test schedule'!$H:$H,ROW()+7))</f>
        <v/>
      </c>
      <c r="K201" s="120" t="str" cm="1">
        <f t="array" ref="K201">IF(I201="","",INDEX('Test schedule'!$J:$J,ROW()+7))</f>
        <v/>
      </c>
      <c r="L201" s="129" t="str" cm="1">
        <f t="array" ref="L201">IF(OR(I201="",INDEX('Test schedule'!$T:$T,ROW()+7)=""),"",INDEX('Test schedule'!$T:$T,ROW()+7))</f>
        <v/>
      </c>
    </row>
    <row r="202" spans="2:12" ht="15" customHeight="1">
      <c r="B202" s="116" t="str">
        <f t="shared" si="26"/>
        <v/>
      </c>
      <c r="C202" s="117" t="str">
        <f t="shared" si="22"/>
        <v/>
      </c>
      <c r="D202" s="116" t="str">
        <f t="shared" si="23"/>
        <v/>
      </c>
      <c r="E202" s="120" t="str">
        <f t="shared" si="24"/>
        <v/>
      </c>
      <c r="F202" s="118" t="str">
        <f t="shared" si="25"/>
        <v/>
      </c>
      <c r="G202" s="126">
        <f t="shared" si="27"/>
        <v>42</v>
      </c>
      <c r="H202" s="116" t="str">
        <f t="shared" si="21"/>
        <v/>
      </c>
      <c r="I202" s="117" t="str" cm="1">
        <f t="array" ref="I20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Calculators'!$B$2+ICS4Test!$E200,""))</f>
        <v/>
      </c>
      <c r="J202" s="116" t="str" cm="1">
        <f t="array" ref="J202">IF(I202="","",INDEX('Test schedule'!$H:$H,ROW()+7))</f>
        <v/>
      </c>
      <c r="K202" s="120" t="str" cm="1">
        <f t="array" ref="K202">IF(I202="","",INDEX('Test schedule'!$J:$J,ROW()+7))</f>
        <v/>
      </c>
      <c r="L202" s="129" t="str" cm="1">
        <f t="array" ref="L202">IF(OR(I202="",INDEX('Test schedule'!$T:$T,ROW()+7)=""),"",INDEX('Test schedule'!$T:$T,ROW()+7))</f>
        <v/>
      </c>
    </row>
    <row r="203" spans="2:12" ht="15" customHeight="1">
      <c r="B203" s="116" t="str">
        <f t="shared" si="26"/>
        <v/>
      </c>
      <c r="C203" s="117" t="str">
        <f t="shared" si="22"/>
        <v/>
      </c>
      <c r="D203" s="116" t="str">
        <f t="shared" si="23"/>
        <v/>
      </c>
      <c r="E203" s="120" t="str">
        <f t="shared" si="24"/>
        <v/>
      </c>
      <c r="F203" s="118" t="str">
        <f t="shared" si="25"/>
        <v/>
      </c>
      <c r="G203" s="126">
        <f t="shared" si="27"/>
        <v>42</v>
      </c>
      <c r="H203" s="116" t="str">
        <f t="shared" si="21"/>
        <v/>
      </c>
      <c r="I203" s="117" t="str" cm="1">
        <f t="array" ref="I20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Calculators'!$B$2+ICS4Test!$E201,""))</f>
        <v/>
      </c>
      <c r="J203" s="116" t="str" cm="1">
        <f t="array" ref="J203">IF(I203="","",INDEX('Test schedule'!$H:$H,ROW()+7))</f>
        <v/>
      </c>
      <c r="K203" s="120" t="str" cm="1">
        <f t="array" ref="K203">IF(I203="","",INDEX('Test schedule'!$J:$J,ROW()+7))</f>
        <v/>
      </c>
      <c r="L203" s="129" t="str" cm="1">
        <f t="array" ref="L203">IF(OR(I203="",INDEX('Test schedule'!$T:$T,ROW()+7)=""),"",INDEX('Test schedule'!$T:$T,ROW()+7))</f>
        <v/>
      </c>
    </row>
    <row r="204" spans="2:12" ht="15" customHeight="1">
      <c r="B204" s="116" t="str">
        <f t="shared" si="26"/>
        <v/>
      </c>
      <c r="C204" s="117" t="str">
        <f t="shared" si="22"/>
        <v/>
      </c>
      <c r="D204" s="116" t="str">
        <f t="shared" si="23"/>
        <v/>
      </c>
      <c r="E204" s="120" t="str">
        <f t="shared" si="24"/>
        <v/>
      </c>
      <c r="F204" s="118" t="str">
        <f t="shared" si="25"/>
        <v/>
      </c>
      <c r="G204" s="126">
        <f t="shared" si="27"/>
        <v>42</v>
      </c>
      <c r="H204" s="116" t="str">
        <f t="shared" si="21"/>
        <v/>
      </c>
      <c r="I204" s="117" t="str" cm="1">
        <f t="array" ref="I20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Calculators'!$B$2+ICS4Test!$E202,""))</f>
        <v/>
      </c>
      <c r="J204" s="116" t="str" cm="1">
        <f t="array" ref="J204">IF(I204="","",INDEX('Test schedule'!$H:$H,ROW()+7))</f>
        <v/>
      </c>
      <c r="K204" s="120" t="str" cm="1">
        <f t="array" ref="K204">IF(I204="","",INDEX('Test schedule'!$J:$J,ROW()+7))</f>
        <v/>
      </c>
      <c r="L204" s="129" t="str" cm="1">
        <f t="array" ref="L204">IF(OR(I204="",INDEX('Test schedule'!$T:$T,ROW()+7)=""),"",INDEX('Test schedule'!$T:$T,ROW()+7))</f>
        <v/>
      </c>
    </row>
    <row r="205" spans="2:12" ht="15" customHeight="1">
      <c r="B205" s="116" t="str">
        <f t="shared" si="26"/>
        <v/>
      </c>
      <c r="C205" s="117" t="str">
        <f t="shared" si="22"/>
        <v/>
      </c>
      <c r="D205" s="116" t="str">
        <f t="shared" si="23"/>
        <v/>
      </c>
      <c r="E205" s="120" t="str">
        <f t="shared" si="24"/>
        <v/>
      </c>
      <c r="F205" s="118" t="str">
        <f t="shared" si="25"/>
        <v/>
      </c>
      <c r="G205" s="126">
        <f t="shared" si="27"/>
        <v>42</v>
      </c>
      <c r="H205" s="116" t="str">
        <f t="shared" si="21"/>
        <v/>
      </c>
      <c r="I205" s="117" t="str" cm="1">
        <f t="array" ref="I20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Calculators'!$B$2+ICS4Test!$E203,""))</f>
        <v/>
      </c>
      <c r="J205" s="116" t="str" cm="1">
        <f t="array" ref="J205">IF(I205="","",INDEX('Test schedule'!$H:$H,ROW()+7))</f>
        <v/>
      </c>
      <c r="K205" s="120" t="str" cm="1">
        <f t="array" ref="K205">IF(I205="","",INDEX('Test schedule'!$J:$J,ROW()+7))</f>
        <v/>
      </c>
      <c r="L205" s="129" t="str" cm="1">
        <f t="array" ref="L205">IF(OR(I205="",INDEX('Test schedule'!$T:$T,ROW()+7)=""),"",INDEX('Test schedule'!$T:$T,ROW()+7))</f>
        <v/>
      </c>
    </row>
    <row r="206" spans="2:12" ht="15" customHeight="1">
      <c r="B206" s="116" t="str">
        <f t="shared" si="26"/>
        <v/>
      </c>
      <c r="C206" s="117" t="str">
        <f t="shared" si="22"/>
        <v/>
      </c>
      <c r="D206" s="116" t="str">
        <f t="shared" si="23"/>
        <v/>
      </c>
      <c r="E206" s="120" t="str">
        <f t="shared" si="24"/>
        <v/>
      </c>
      <c r="F206" s="118" t="str">
        <f t="shared" si="25"/>
        <v/>
      </c>
      <c r="G206" s="126">
        <f t="shared" si="27"/>
        <v>42</v>
      </c>
      <c r="H206" s="116" t="str">
        <f t="shared" si="21"/>
        <v/>
      </c>
      <c r="I206" s="117" t="str" cm="1">
        <f t="array" ref="I20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Calculators'!$B$2+ICS4Test!$E204,""))</f>
        <v/>
      </c>
      <c r="J206" s="116" t="str" cm="1">
        <f t="array" ref="J206">IF(I206="","",INDEX('Test schedule'!$H:$H,ROW()+7))</f>
        <v/>
      </c>
      <c r="K206" s="120" t="str" cm="1">
        <f t="array" ref="K206">IF(I206="","",INDEX('Test schedule'!$J:$J,ROW()+7))</f>
        <v/>
      </c>
      <c r="L206" s="129" t="str" cm="1">
        <f t="array" ref="L206">IF(OR(I206="",INDEX('Test schedule'!$T:$T,ROW()+7)=""),"",INDEX('Test schedule'!$T:$T,ROW()+7))</f>
        <v/>
      </c>
    </row>
    <row r="207" spans="2:12" ht="15" customHeight="1">
      <c r="B207" s="116" t="str">
        <f t="shared" si="26"/>
        <v/>
      </c>
      <c r="C207" s="117" t="str">
        <f t="shared" si="22"/>
        <v/>
      </c>
      <c r="D207" s="116" t="str">
        <f t="shared" si="23"/>
        <v/>
      </c>
      <c r="E207" s="120" t="str">
        <f t="shared" si="24"/>
        <v/>
      </c>
      <c r="F207" s="118" t="str">
        <f t="shared" si="25"/>
        <v/>
      </c>
      <c r="G207" s="126">
        <f t="shared" si="27"/>
        <v>42</v>
      </c>
      <c r="H207" s="116" t="str">
        <f t="shared" si="21"/>
        <v/>
      </c>
      <c r="I207" s="117" t="str" cm="1">
        <f t="array" ref="I20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Calculators'!$B$2+ICS4Test!$E205,""))</f>
        <v/>
      </c>
      <c r="J207" s="116" t="str" cm="1">
        <f t="array" ref="J207">IF(I207="","",INDEX('Test schedule'!$H:$H,ROW()+7))</f>
        <v/>
      </c>
      <c r="K207" s="120" t="str" cm="1">
        <f t="array" ref="K207">IF(I207="","",INDEX('Test schedule'!$J:$J,ROW()+7))</f>
        <v/>
      </c>
      <c r="L207" s="129" t="str" cm="1">
        <f t="array" ref="L207">IF(OR(I207="",INDEX('Test schedule'!$T:$T,ROW()+7)=""),"",INDEX('Test schedule'!$T:$T,ROW()+7))</f>
        <v/>
      </c>
    </row>
    <row r="208" spans="2:12" ht="15" customHeight="1">
      <c r="B208" s="116" t="str">
        <f t="shared" si="26"/>
        <v/>
      </c>
      <c r="C208" s="117" t="str">
        <f t="shared" si="22"/>
        <v/>
      </c>
      <c r="D208" s="116" t="str">
        <f t="shared" si="23"/>
        <v/>
      </c>
      <c r="E208" s="120" t="str">
        <f t="shared" si="24"/>
        <v/>
      </c>
      <c r="F208" s="118" t="str">
        <f t="shared" si="25"/>
        <v/>
      </c>
      <c r="G208" s="126">
        <f t="shared" si="27"/>
        <v>42</v>
      </c>
      <c r="H208" s="116" t="str">
        <f t="shared" si="21"/>
        <v/>
      </c>
      <c r="I208" s="117" t="str" cm="1">
        <f t="array" ref="I20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Calculators'!$B$2+ICS4Test!$E206,""))</f>
        <v/>
      </c>
      <c r="J208" s="116" t="str" cm="1">
        <f t="array" ref="J208">IF(I208="","",INDEX('Test schedule'!$H:$H,ROW()+7))</f>
        <v/>
      </c>
      <c r="K208" s="120" t="str" cm="1">
        <f t="array" ref="K208">IF(I208="","",INDEX('Test schedule'!$J:$J,ROW()+7))</f>
        <v/>
      </c>
      <c r="L208" s="129" t="str" cm="1">
        <f t="array" ref="L208">IF(OR(I208="",INDEX('Test schedule'!$T:$T,ROW()+7)=""),"",INDEX('Test schedule'!$T:$T,ROW()+7))</f>
        <v/>
      </c>
    </row>
    <row r="209" spans="2:12" ht="15" customHeight="1">
      <c r="B209" s="116" t="str">
        <f t="shared" si="26"/>
        <v/>
      </c>
      <c r="C209" s="117" t="str">
        <f t="shared" si="22"/>
        <v/>
      </c>
      <c r="D209" s="116" t="str">
        <f t="shared" si="23"/>
        <v/>
      </c>
      <c r="E209" s="120" t="str">
        <f t="shared" si="24"/>
        <v/>
      </c>
      <c r="F209" s="118" t="str">
        <f t="shared" si="25"/>
        <v/>
      </c>
      <c r="G209" s="126">
        <f t="shared" si="27"/>
        <v>42</v>
      </c>
      <c r="H209" s="116" t="str">
        <f t="shared" si="21"/>
        <v/>
      </c>
      <c r="I209" s="117" t="str" cm="1">
        <f t="array" ref="I20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Calculators'!$B$2+ICS4Test!$E207,""))</f>
        <v/>
      </c>
      <c r="J209" s="116" t="str" cm="1">
        <f t="array" ref="J209">IF(I209="","",INDEX('Test schedule'!$H:$H,ROW()+7))</f>
        <v/>
      </c>
      <c r="K209" s="120" t="str" cm="1">
        <f t="array" ref="K209">IF(I209="","",INDEX('Test schedule'!$J:$J,ROW()+7))</f>
        <v/>
      </c>
      <c r="L209" s="129" t="str" cm="1">
        <f t="array" ref="L209">IF(OR(I209="",INDEX('Test schedule'!$T:$T,ROW()+7)=""),"",INDEX('Test schedule'!$T:$T,ROW()+7))</f>
        <v/>
      </c>
    </row>
    <row r="210" spans="2:12" ht="15" customHeight="1">
      <c r="B210" s="116" t="str">
        <f t="shared" si="26"/>
        <v/>
      </c>
      <c r="C210" s="117" t="str">
        <f t="shared" si="22"/>
        <v/>
      </c>
      <c r="D210" s="116" t="str">
        <f t="shared" si="23"/>
        <v/>
      </c>
      <c r="E210" s="120" t="str">
        <f t="shared" si="24"/>
        <v/>
      </c>
      <c r="F210" s="118" t="str">
        <f t="shared" si="25"/>
        <v/>
      </c>
      <c r="G210" s="126">
        <f t="shared" si="27"/>
        <v>42</v>
      </c>
      <c r="H210" s="116" t="str">
        <f t="shared" si="21"/>
        <v/>
      </c>
      <c r="I210" s="117" t="str" cm="1">
        <f t="array" ref="I21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Calculators'!$B$2+ICS4Test!$E208,""))</f>
        <v/>
      </c>
      <c r="J210" s="116" t="str" cm="1">
        <f t="array" ref="J210">IF(I210="","",INDEX('Test schedule'!$H:$H,ROW()+7))</f>
        <v/>
      </c>
      <c r="K210" s="120" t="str" cm="1">
        <f t="array" ref="K210">IF(I210="","",INDEX('Test schedule'!$J:$J,ROW()+7))</f>
        <v/>
      </c>
      <c r="L210" s="129" t="str" cm="1">
        <f t="array" ref="L210">IF(OR(I210="",INDEX('Test schedule'!$T:$T,ROW()+7)=""),"",INDEX('Test schedule'!$T:$T,ROW()+7))</f>
        <v/>
      </c>
    </row>
    <row r="211" spans="2:12" ht="15" customHeight="1">
      <c r="B211" s="116" t="str">
        <f t="shared" si="26"/>
        <v/>
      </c>
      <c r="C211" s="117" t="str">
        <f t="shared" si="22"/>
        <v/>
      </c>
      <c r="D211" s="116" t="str">
        <f t="shared" si="23"/>
        <v/>
      </c>
      <c r="E211" s="120" t="str">
        <f t="shared" si="24"/>
        <v/>
      </c>
      <c r="F211" s="118" t="str">
        <f t="shared" si="25"/>
        <v/>
      </c>
      <c r="G211" s="126">
        <f t="shared" si="27"/>
        <v>42</v>
      </c>
      <c r="H211" s="116" t="str">
        <f t="shared" si="21"/>
        <v/>
      </c>
      <c r="I211" s="117" t="str" cm="1">
        <f t="array" ref="I21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Calculators'!$B$2+ICS4Test!$E209,""))</f>
        <v/>
      </c>
      <c r="J211" s="116" t="str" cm="1">
        <f t="array" ref="J211">IF(I211="","",INDEX('Test schedule'!$H:$H,ROW()+7))</f>
        <v/>
      </c>
      <c r="K211" s="120" t="str" cm="1">
        <f t="array" ref="K211">IF(I211="","",INDEX('Test schedule'!$J:$J,ROW()+7))</f>
        <v/>
      </c>
      <c r="L211" s="129" t="str" cm="1">
        <f t="array" ref="L211">IF(OR(I211="",INDEX('Test schedule'!$T:$T,ROW()+7)=""),"",INDEX('Test schedule'!$T:$T,ROW()+7))</f>
        <v/>
      </c>
    </row>
    <row r="212" spans="2:12" ht="15" customHeight="1">
      <c r="B212" s="116" t="str">
        <f t="shared" si="26"/>
        <v/>
      </c>
      <c r="C212" s="117" t="str">
        <f t="shared" si="22"/>
        <v/>
      </c>
      <c r="D212" s="116" t="str">
        <f t="shared" si="23"/>
        <v/>
      </c>
      <c r="E212" s="120" t="str">
        <f t="shared" si="24"/>
        <v/>
      </c>
      <c r="F212" s="118" t="str">
        <f t="shared" si="25"/>
        <v/>
      </c>
      <c r="G212" s="126">
        <f t="shared" si="27"/>
        <v>42</v>
      </c>
      <c r="H212" s="116" t="str">
        <f t="shared" si="21"/>
        <v/>
      </c>
      <c r="I212" s="117" t="str" cm="1">
        <f t="array" ref="I21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Calculators'!$B$2+ICS4Test!$E210,""))</f>
        <v/>
      </c>
      <c r="J212" s="116" t="str" cm="1">
        <f t="array" ref="J212">IF(I212="","",INDEX('Test schedule'!$H:$H,ROW()+7))</f>
        <v/>
      </c>
      <c r="K212" s="120" t="str" cm="1">
        <f t="array" ref="K212">IF(I212="","",INDEX('Test schedule'!$J:$J,ROW()+7))</f>
        <v/>
      </c>
      <c r="L212" s="129" t="str" cm="1">
        <f t="array" ref="L212">IF(OR(I212="",INDEX('Test schedule'!$T:$T,ROW()+7)=""),"",INDEX('Test schedule'!$T:$T,ROW()+7))</f>
        <v/>
      </c>
    </row>
    <row r="213" spans="2:12" ht="15" customHeight="1">
      <c r="B213" s="116" t="str">
        <f t="shared" si="26"/>
        <v/>
      </c>
      <c r="C213" s="117" t="str">
        <f t="shared" si="22"/>
        <v/>
      </c>
      <c r="D213" s="116" t="str">
        <f t="shared" si="23"/>
        <v/>
      </c>
      <c r="E213" s="120" t="str">
        <f t="shared" si="24"/>
        <v/>
      </c>
      <c r="F213" s="118" t="str">
        <f t="shared" si="25"/>
        <v/>
      </c>
      <c r="G213" s="126">
        <f t="shared" si="27"/>
        <v>42</v>
      </c>
      <c r="H213" s="116" t="str">
        <f t="shared" si="21"/>
        <v/>
      </c>
      <c r="I213" s="117" t="str" cm="1">
        <f t="array" ref="I21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Calculators'!$B$2+ICS4Test!$E211,""))</f>
        <v/>
      </c>
      <c r="J213" s="116" t="str" cm="1">
        <f t="array" ref="J213">IF(I213="","",INDEX('Test schedule'!$H:$H,ROW()+7))</f>
        <v/>
      </c>
      <c r="K213" s="120" t="str" cm="1">
        <f t="array" ref="K213">IF(I213="","",INDEX('Test schedule'!$J:$J,ROW()+7))</f>
        <v/>
      </c>
      <c r="L213" s="129" t="str" cm="1">
        <f t="array" ref="L213">IF(OR(I213="",INDEX('Test schedule'!$T:$T,ROW()+7)=""),"",INDEX('Test schedule'!$T:$T,ROW()+7))</f>
        <v/>
      </c>
    </row>
    <row r="214" spans="2:12" ht="15" customHeight="1">
      <c r="B214" s="116" t="str">
        <f t="shared" si="26"/>
        <v/>
      </c>
      <c r="C214" s="117" t="str">
        <f t="shared" si="22"/>
        <v/>
      </c>
      <c r="D214" s="116" t="str">
        <f t="shared" si="23"/>
        <v/>
      </c>
      <c r="E214" s="120" t="str">
        <f t="shared" si="24"/>
        <v/>
      </c>
      <c r="F214" s="118" t="str">
        <f t="shared" si="25"/>
        <v/>
      </c>
      <c r="G214" s="126">
        <f t="shared" si="27"/>
        <v>42</v>
      </c>
      <c r="H214" s="116" t="str">
        <f t="shared" si="21"/>
        <v/>
      </c>
      <c r="I214" s="117" t="str" cm="1">
        <f t="array" ref="I21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Calculators'!$B$2+ICS4Test!$E212,""))</f>
        <v/>
      </c>
      <c r="J214" s="116" t="str" cm="1">
        <f t="array" ref="J214">IF(I214="","",INDEX('Test schedule'!$H:$H,ROW()+7))</f>
        <v/>
      </c>
      <c r="K214" s="120" t="str" cm="1">
        <f t="array" ref="K214">IF(I214="","",INDEX('Test schedule'!$J:$J,ROW()+7))</f>
        <v/>
      </c>
      <c r="L214" s="129" t="str" cm="1">
        <f t="array" ref="L214">IF(OR(I214="",INDEX('Test schedule'!$T:$T,ROW()+7)=""),"",INDEX('Test schedule'!$T:$T,ROW()+7))</f>
        <v/>
      </c>
    </row>
    <row r="215" spans="2:12" ht="15" customHeight="1">
      <c r="B215" s="116" t="str">
        <f t="shared" si="26"/>
        <v/>
      </c>
      <c r="C215" s="117" t="str">
        <f t="shared" si="22"/>
        <v/>
      </c>
      <c r="D215" s="116" t="str">
        <f t="shared" si="23"/>
        <v/>
      </c>
      <c r="E215" s="120" t="str">
        <f t="shared" si="24"/>
        <v/>
      </c>
      <c r="F215" s="118" t="str">
        <f t="shared" si="25"/>
        <v/>
      </c>
      <c r="G215" s="126">
        <f t="shared" si="27"/>
        <v>42</v>
      </c>
      <c r="H215" s="116" t="str">
        <f t="shared" si="21"/>
        <v/>
      </c>
      <c r="I215" s="117" t="str" cm="1">
        <f t="array" ref="I21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Calculators'!$B$2+ICS4Test!$E213,""))</f>
        <v/>
      </c>
      <c r="J215" s="116" t="str" cm="1">
        <f t="array" ref="J215">IF(I215="","",INDEX('Test schedule'!$H:$H,ROW()+7))</f>
        <v/>
      </c>
      <c r="K215" s="120" t="str" cm="1">
        <f t="array" ref="K215">IF(I215="","",INDEX('Test schedule'!$J:$J,ROW()+7))</f>
        <v/>
      </c>
      <c r="L215" s="129" t="str" cm="1">
        <f t="array" ref="L215">IF(OR(I215="",INDEX('Test schedule'!$T:$T,ROW()+7)=""),"",INDEX('Test schedule'!$T:$T,ROW()+7))</f>
        <v/>
      </c>
    </row>
    <row r="216" spans="2:12" ht="15" customHeight="1">
      <c r="B216" s="116" t="str">
        <f t="shared" si="26"/>
        <v/>
      </c>
      <c r="C216" s="117" t="str">
        <f t="shared" si="22"/>
        <v/>
      </c>
      <c r="D216" s="116" t="str">
        <f t="shared" si="23"/>
        <v/>
      </c>
      <c r="E216" s="120" t="str">
        <f t="shared" si="24"/>
        <v/>
      </c>
      <c r="F216" s="118" t="str">
        <f t="shared" si="25"/>
        <v/>
      </c>
      <c r="G216" s="126">
        <f t="shared" si="27"/>
        <v>42</v>
      </c>
      <c r="H216" s="116" t="str">
        <f t="shared" si="21"/>
        <v/>
      </c>
      <c r="I216" s="117" t="str" cm="1">
        <f t="array" ref="I21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Calculators'!$B$2+ICS4Test!$E214,""))</f>
        <v/>
      </c>
      <c r="J216" s="116" t="str" cm="1">
        <f t="array" ref="J216">IF(I216="","",INDEX('Test schedule'!$H:$H,ROW()+7))</f>
        <v/>
      </c>
      <c r="K216" s="120" t="str" cm="1">
        <f t="array" ref="K216">IF(I216="","",INDEX('Test schedule'!$J:$J,ROW()+7))</f>
        <v/>
      </c>
      <c r="L216" s="129" t="str" cm="1">
        <f t="array" ref="L216">IF(OR(I216="",INDEX('Test schedule'!$T:$T,ROW()+7)=""),"",INDEX('Test schedule'!$T:$T,ROW()+7))</f>
        <v/>
      </c>
    </row>
    <row r="217" spans="2:12" ht="15" customHeight="1">
      <c r="B217" s="116" t="str">
        <f t="shared" si="26"/>
        <v/>
      </c>
      <c r="C217" s="117" t="str">
        <f t="shared" si="22"/>
        <v/>
      </c>
      <c r="D217" s="116" t="str">
        <f t="shared" si="23"/>
        <v/>
      </c>
      <c r="E217" s="120" t="str">
        <f t="shared" si="24"/>
        <v/>
      </c>
      <c r="F217" s="118" t="str">
        <f t="shared" si="25"/>
        <v/>
      </c>
      <c r="G217" s="126">
        <f t="shared" si="27"/>
        <v>42</v>
      </c>
      <c r="H217" s="116" t="str">
        <f t="shared" si="21"/>
        <v/>
      </c>
      <c r="I217" s="117" t="str" cm="1">
        <f t="array" ref="I21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Calculators'!$B$2+ICS4Test!$E215,""))</f>
        <v/>
      </c>
      <c r="J217" s="116" t="str" cm="1">
        <f t="array" ref="J217">IF(I217="","",INDEX('Test schedule'!$H:$H,ROW()+7))</f>
        <v/>
      </c>
      <c r="K217" s="120" t="str" cm="1">
        <f t="array" ref="K217">IF(I217="","",INDEX('Test schedule'!$J:$J,ROW()+7))</f>
        <v/>
      </c>
      <c r="L217" s="129" t="str" cm="1">
        <f t="array" ref="L217">IF(OR(I217="",INDEX('Test schedule'!$T:$T,ROW()+7)=""),"",INDEX('Test schedule'!$T:$T,ROW()+7))</f>
        <v/>
      </c>
    </row>
    <row r="218" spans="2:12" ht="15" customHeight="1">
      <c r="B218" s="116" t="str">
        <f t="shared" si="26"/>
        <v/>
      </c>
      <c r="C218" s="117" t="str">
        <f t="shared" si="22"/>
        <v/>
      </c>
      <c r="D218" s="116" t="str">
        <f t="shared" si="23"/>
        <v/>
      </c>
      <c r="E218" s="120" t="str">
        <f t="shared" si="24"/>
        <v/>
      </c>
      <c r="F218" s="118" t="str">
        <f t="shared" si="25"/>
        <v/>
      </c>
      <c r="G218" s="126">
        <f t="shared" si="27"/>
        <v>42</v>
      </c>
      <c r="H218" s="116" t="str">
        <f t="shared" si="21"/>
        <v/>
      </c>
      <c r="I218" s="117" t="str" cm="1">
        <f t="array" ref="I21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Calculators'!$B$2+ICS4Test!$E216,""))</f>
        <v/>
      </c>
      <c r="J218" s="116" t="str" cm="1">
        <f t="array" ref="J218">IF(I218="","",INDEX('Test schedule'!$H:$H,ROW()+7))</f>
        <v/>
      </c>
      <c r="K218" s="120" t="str" cm="1">
        <f t="array" ref="K218">IF(I218="","",INDEX('Test schedule'!$J:$J,ROW()+7))</f>
        <v/>
      </c>
      <c r="L218" s="129" t="str" cm="1">
        <f t="array" ref="L218">IF(OR(I218="",INDEX('Test schedule'!$T:$T,ROW()+7)=""),"",INDEX('Test schedule'!$T:$T,ROW()+7))</f>
        <v/>
      </c>
    </row>
    <row r="219" spans="2:12" ht="15" customHeight="1">
      <c r="B219" s="116" t="str">
        <f t="shared" si="26"/>
        <v/>
      </c>
      <c r="C219" s="117" t="str">
        <f t="shared" si="22"/>
        <v/>
      </c>
      <c r="D219" s="116" t="str">
        <f t="shared" si="23"/>
        <v/>
      </c>
      <c r="E219" s="120" t="str">
        <f t="shared" si="24"/>
        <v/>
      </c>
      <c r="F219" s="118" t="str">
        <f t="shared" si="25"/>
        <v/>
      </c>
      <c r="G219" s="126">
        <f t="shared" si="27"/>
        <v>42</v>
      </c>
      <c r="H219" s="116" t="str">
        <f t="shared" si="21"/>
        <v/>
      </c>
      <c r="I219" s="117" t="str" cm="1">
        <f t="array" ref="I21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Calculators'!$B$2+ICS4Test!$E217,""))</f>
        <v/>
      </c>
      <c r="J219" s="116" t="str" cm="1">
        <f t="array" ref="J219">IF(I219="","",INDEX('Test schedule'!$H:$H,ROW()+7))</f>
        <v/>
      </c>
      <c r="K219" s="120" t="str" cm="1">
        <f t="array" ref="K219">IF(I219="","",INDEX('Test schedule'!$J:$J,ROW()+7))</f>
        <v/>
      </c>
      <c r="L219" s="129" t="str" cm="1">
        <f t="array" ref="L219">IF(OR(I219="",INDEX('Test schedule'!$T:$T,ROW()+7)=""),"",INDEX('Test schedule'!$T:$T,ROW()+7))</f>
        <v/>
      </c>
    </row>
    <row r="220" spans="2:12" ht="15" customHeight="1">
      <c r="B220" s="116" t="str">
        <f t="shared" si="26"/>
        <v/>
      </c>
      <c r="C220" s="117" t="str">
        <f t="shared" si="22"/>
        <v/>
      </c>
      <c r="D220" s="116" t="str">
        <f t="shared" si="23"/>
        <v/>
      </c>
      <c r="E220" s="120" t="str">
        <f t="shared" si="24"/>
        <v/>
      </c>
      <c r="F220" s="118" t="str">
        <f t="shared" si="25"/>
        <v/>
      </c>
      <c r="G220" s="126">
        <f t="shared" si="27"/>
        <v>42</v>
      </c>
      <c r="H220" s="116" t="str">
        <f t="shared" si="21"/>
        <v/>
      </c>
      <c r="I220" s="117" t="str" cm="1">
        <f t="array" ref="I22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Calculators'!$B$2+ICS4Test!$E218,""))</f>
        <v/>
      </c>
      <c r="J220" s="116" t="str" cm="1">
        <f t="array" ref="J220">IF(I220="","",INDEX('Test schedule'!$H:$H,ROW()+7))</f>
        <v/>
      </c>
      <c r="K220" s="120" t="str" cm="1">
        <f t="array" ref="K220">IF(I220="","",INDEX('Test schedule'!$J:$J,ROW()+7))</f>
        <v/>
      </c>
      <c r="L220" s="129" t="str" cm="1">
        <f t="array" ref="L220">IF(OR(I220="",INDEX('Test schedule'!$T:$T,ROW()+7)=""),"",INDEX('Test schedule'!$T:$T,ROW()+7))</f>
        <v/>
      </c>
    </row>
    <row r="221" spans="2:12" ht="15" customHeight="1">
      <c r="B221" s="116" t="str">
        <f t="shared" si="26"/>
        <v/>
      </c>
      <c r="C221" s="117" t="str">
        <f t="shared" si="22"/>
        <v/>
      </c>
      <c r="D221" s="116" t="str">
        <f t="shared" si="23"/>
        <v/>
      </c>
      <c r="E221" s="120" t="str">
        <f t="shared" si="24"/>
        <v/>
      </c>
      <c r="F221" s="118" t="str">
        <f t="shared" si="25"/>
        <v/>
      </c>
      <c r="G221" s="126">
        <f t="shared" si="27"/>
        <v>42</v>
      </c>
      <c r="H221" s="116" t="str">
        <f t="shared" si="21"/>
        <v/>
      </c>
      <c r="I221" s="117" t="str" cm="1">
        <f t="array" ref="I22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Calculators'!$B$2+ICS4Test!$E219,""))</f>
        <v/>
      </c>
      <c r="J221" s="116" t="str" cm="1">
        <f t="array" ref="J221">IF(I221="","",INDEX('Test schedule'!$H:$H,ROW()+7))</f>
        <v/>
      </c>
      <c r="K221" s="120" t="str" cm="1">
        <f t="array" ref="K221">IF(I221="","",INDEX('Test schedule'!$J:$J,ROW()+7))</f>
        <v/>
      </c>
      <c r="L221" s="129" t="str" cm="1">
        <f t="array" ref="L221">IF(OR(I221="",INDEX('Test schedule'!$T:$T,ROW()+7)=""),"",INDEX('Test schedule'!$T:$T,ROW()+7))</f>
        <v/>
      </c>
    </row>
    <row r="222" spans="2:12" ht="15" customHeight="1">
      <c r="B222" s="116" t="str">
        <f t="shared" si="26"/>
        <v/>
      </c>
      <c r="C222" s="117" t="str">
        <f t="shared" si="22"/>
        <v/>
      </c>
      <c r="D222" s="116" t="str">
        <f t="shared" si="23"/>
        <v/>
      </c>
      <c r="E222" s="120" t="str">
        <f t="shared" si="24"/>
        <v/>
      </c>
      <c r="F222" s="118" t="str">
        <f t="shared" si="25"/>
        <v/>
      </c>
      <c r="G222" s="126">
        <f t="shared" si="27"/>
        <v>42</v>
      </c>
      <c r="H222" s="116" t="str">
        <f t="shared" si="21"/>
        <v/>
      </c>
      <c r="I222" s="117" t="str" cm="1">
        <f t="array" ref="I22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Calculators'!$B$2+ICS4Test!$E220,""))</f>
        <v/>
      </c>
      <c r="J222" s="116" t="str" cm="1">
        <f t="array" ref="J222">IF(I222="","",INDEX('Test schedule'!$H:$H,ROW()+7))</f>
        <v/>
      </c>
      <c r="K222" s="120" t="str" cm="1">
        <f t="array" ref="K222">IF(I222="","",INDEX('Test schedule'!$J:$J,ROW()+7))</f>
        <v/>
      </c>
      <c r="L222" s="129" t="str" cm="1">
        <f t="array" ref="L222">IF(OR(I222="",INDEX('Test schedule'!$T:$T,ROW()+7)=""),"",INDEX('Test schedule'!$T:$T,ROW()+7))</f>
        <v/>
      </c>
    </row>
    <row r="223" spans="2:12" ht="15" customHeight="1">
      <c r="B223" s="116" t="str">
        <f t="shared" si="26"/>
        <v/>
      </c>
      <c r="C223" s="117" t="str">
        <f t="shared" si="22"/>
        <v/>
      </c>
      <c r="D223" s="116" t="str">
        <f t="shared" si="23"/>
        <v/>
      </c>
      <c r="E223" s="120" t="str">
        <f t="shared" si="24"/>
        <v/>
      </c>
      <c r="F223" s="118" t="str">
        <f t="shared" si="25"/>
        <v/>
      </c>
      <c r="G223" s="126">
        <f t="shared" si="27"/>
        <v>42</v>
      </c>
      <c r="H223" s="116" t="str">
        <f t="shared" si="21"/>
        <v/>
      </c>
      <c r="I223" s="117" t="str" cm="1">
        <f t="array" ref="I22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Calculators'!$B$2+ICS4Test!$E221,""))</f>
        <v/>
      </c>
      <c r="J223" s="116" t="str" cm="1">
        <f t="array" ref="J223">IF(I223="","",INDEX('Test schedule'!$H:$H,ROW()+7))</f>
        <v/>
      </c>
      <c r="K223" s="120" t="str" cm="1">
        <f t="array" ref="K223">IF(I223="","",INDEX('Test schedule'!$J:$J,ROW()+7))</f>
        <v/>
      </c>
      <c r="L223" s="129" t="str" cm="1">
        <f t="array" ref="L223">IF(OR(I223="",INDEX('Test schedule'!$T:$T,ROW()+7)=""),"",INDEX('Test schedule'!$T:$T,ROW()+7))</f>
        <v/>
      </c>
    </row>
    <row r="224" spans="2:12" ht="15" customHeight="1">
      <c r="B224" s="116" t="str">
        <f t="shared" si="26"/>
        <v/>
      </c>
      <c r="C224" s="117" t="str">
        <f t="shared" si="22"/>
        <v/>
      </c>
      <c r="D224" s="116" t="str">
        <f t="shared" si="23"/>
        <v/>
      </c>
      <c r="E224" s="120" t="str">
        <f t="shared" si="24"/>
        <v/>
      </c>
      <c r="F224" s="118" t="str">
        <f t="shared" si="25"/>
        <v/>
      </c>
      <c r="G224" s="126">
        <f t="shared" si="27"/>
        <v>42</v>
      </c>
      <c r="H224" s="116" t="str">
        <f t="shared" si="21"/>
        <v/>
      </c>
      <c r="I224" s="117" t="str" cm="1">
        <f t="array" ref="I22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Calculators'!$B$2+ICS4Test!$E222,""))</f>
        <v/>
      </c>
      <c r="J224" s="116" t="str" cm="1">
        <f t="array" ref="J224">IF(I224="","",INDEX('Test schedule'!$H:$H,ROW()+7))</f>
        <v/>
      </c>
      <c r="K224" s="120" t="str" cm="1">
        <f t="array" ref="K224">IF(I224="","",INDEX('Test schedule'!$J:$J,ROW()+7))</f>
        <v/>
      </c>
      <c r="L224" s="129" t="str" cm="1">
        <f t="array" ref="L224">IF(OR(I224="",INDEX('Test schedule'!$T:$T,ROW()+7)=""),"",INDEX('Test schedule'!$T:$T,ROW()+7))</f>
        <v/>
      </c>
    </row>
    <row r="225" spans="2:12" ht="15" customHeight="1">
      <c r="B225" s="116" t="str">
        <f t="shared" si="26"/>
        <v/>
      </c>
      <c r="C225" s="117" t="str">
        <f t="shared" si="22"/>
        <v/>
      </c>
      <c r="D225" s="116" t="str">
        <f t="shared" si="23"/>
        <v/>
      </c>
      <c r="E225" s="120" t="str">
        <f t="shared" si="24"/>
        <v/>
      </c>
      <c r="F225" s="118" t="str">
        <f t="shared" si="25"/>
        <v/>
      </c>
      <c r="G225" s="126">
        <f t="shared" si="27"/>
        <v>42</v>
      </c>
      <c r="H225" s="116" t="str">
        <f t="shared" si="21"/>
        <v/>
      </c>
      <c r="I225" s="117" t="str" cm="1">
        <f t="array" ref="I22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Calculators'!$B$2+ICS4Test!$E223,""))</f>
        <v/>
      </c>
      <c r="J225" s="116" t="str" cm="1">
        <f t="array" ref="J225">IF(I225="","",INDEX('Test schedule'!$H:$H,ROW()+7))</f>
        <v/>
      </c>
      <c r="K225" s="120" t="str" cm="1">
        <f t="array" ref="K225">IF(I225="","",INDEX('Test schedule'!$J:$J,ROW()+7))</f>
        <v/>
      </c>
      <c r="L225" s="129" t="str" cm="1">
        <f t="array" ref="L225">IF(OR(I225="",INDEX('Test schedule'!$T:$T,ROW()+7)=""),"",INDEX('Test schedule'!$T:$T,ROW()+7))</f>
        <v/>
      </c>
    </row>
    <row r="226" spans="2:12" ht="15" customHeight="1">
      <c r="B226" s="116" t="str">
        <f t="shared" si="26"/>
        <v/>
      </c>
      <c r="C226" s="117" t="str">
        <f t="shared" si="22"/>
        <v/>
      </c>
      <c r="D226" s="116" t="str">
        <f t="shared" si="23"/>
        <v/>
      </c>
      <c r="E226" s="120" t="str">
        <f t="shared" si="24"/>
        <v/>
      </c>
      <c r="F226" s="118" t="str">
        <f t="shared" si="25"/>
        <v/>
      </c>
      <c r="G226" s="126">
        <f t="shared" si="27"/>
        <v>42</v>
      </c>
      <c r="H226" s="116" t="str">
        <f t="shared" si="21"/>
        <v/>
      </c>
      <c r="I226" s="117" t="str" cm="1">
        <f t="array" ref="I22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Calculators'!$B$2+ICS4Test!$E224,""))</f>
        <v/>
      </c>
      <c r="J226" s="116" t="str" cm="1">
        <f t="array" ref="J226">IF(I226="","",INDEX('Test schedule'!$H:$H,ROW()+7))</f>
        <v/>
      </c>
      <c r="K226" s="120" t="str" cm="1">
        <f t="array" ref="K226">IF(I226="","",INDEX('Test schedule'!$J:$J,ROW()+7))</f>
        <v/>
      </c>
      <c r="L226" s="129" t="str" cm="1">
        <f t="array" ref="L226">IF(OR(I226="",INDEX('Test schedule'!$T:$T,ROW()+7)=""),"",INDEX('Test schedule'!$T:$T,ROW()+7))</f>
        <v/>
      </c>
    </row>
    <row r="227" spans="2:12" ht="15" customHeight="1">
      <c r="B227" s="116" t="str">
        <f t="shared" si="26"/>
        <v/>
      </c>
      <c r="C227" s="117" t="str">
        <f t="shared" si="22"/>
        <v/>
      </c>
      <c r="D227" s="116" t="str">
        <f t="shared" si="23"/>
        <v/>
      </c>
      <c r="E227" s="120" t="str">
        <f t="shared" si="24"/>
        <v/>
      </c>
      <c r="F227" s="118" t="str">
        <f t="shared" si="25"/>
        <v/>
      </c>
      <c r="G227" s="126">
        <f t="shared" si="27"/>
        <v>42</v>
      </c>
      <c r="H227" s="116" t="str">
        <f t="shared" si="21"/>
        <v/>
      </c>
      <c r="I227" s="117" t="str" cm="1">
        <f t="array" ref="I22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Calculators'!$B$2+ICS4Test!$E225,""))</f>
        <v/>
      </c>
      <c r="J227" s="116" t="str" cm="1">
        <f t="array" ref="J227">IF(I227="","",INDEX('Test schedule'!$H:$H,ROW()+7))</f>
        <v/>
      </c>
      <c r="K227" s="120" t="str" cm="1">
        <f t="array" ref="K227">IF(I227="","",INDEX('Test schedule'!$J:$J,ROW()+7))</f>
        <v/>
      </c>
      <c r="L227" s="129" t="str" cm="1">
        <f t="array" ref="L227">IF(OR(I227="",INDEX('Test schedule'!$T:$T,ROW()+7)=""),"",INDEX('Test schedule'!$T:$T,ROW()+7))</f>
        <v/>
      </c>
    </row>
    <row r="228" spans="2:12" ht="15" customHeight="1">
      <c r="B228" s="116" t="str">
        <f t="shared" si="26"/>
        <v/>
      </c>
      <c r="C228" s="117" t="str">
        <f t="shared" si="22"/>
        <v/>
      </c>
      <c r="D228" s="116" t="str">
        <f t="shared" si="23"/>
        <v/>
      </c>
      <c r="E228" s="120" t="str">
        <f t="shared" si="24"/>
        <v/>
      </c>
      <c r="F228" s="118" t="str">
        <f t="shared" si="25"/>
        <v/>
      </c>
      <c r="G228" s="126">
        <f t="shared" si="27"/>
        <v>42</v>
      </c>
      <c r="H228" s="116" t="str">
        <f t="shared" si="21"/>
        <v/>
      </c>
      <c r="I228" s="117" t="str" cm="1">
        <f t="array" ref="I22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Calculators'!$B$2+ICS4Test!$E226,""))</f>
        <v/>
      </c>
      <c r="J228" s="116" t="str" cm="1">
        <f t="array" ref="J228">IF(I228="","",INDEX('Test schedule'!$H:$H,ROW()+7))</f>
        <v/>
      </c>
      <c r="K228" s="120" t="str" cm="1">
        <f t="array" ref="K228">IF(I228="","",INDEX('Test schedule'!$J:$J,ROW()+7))</f>
        <v/>
      </c>
      <c r="L228" s="129" t="str" cm="1">
        <f t="array" ref="L228">IF(OR(I228="",INDEX('Test schedule'!$T:$T,ROW()+7)=""),"",INDEX('Test schedule'!$T:$T,ROW()+7))</f>
        <v/>
      </c>
    </row>
    <row r="229" spans="2:12" ht="15" customHeight="1">
      <c r="B229" s="116" t="str">
        <f t="shared" si="26"/>
        <v/>
      </c>
      <c r="C229" s="117" t="str">
        <f t="shared" si="22"/>
        <v/>
      </c>
      <c r="D229" s="116" t="str">
        <f t="shared" si="23"/>
        <v/>
      </c>
      <c r="E229" s="120" t="str">
        <f t="shared" si="24"/>
        <v/>
      </c>
      <c r="F229" s="118" t="str">
        <f t="shared" si="25"/>
        <v/>
      </c>
      <c r="G229" s="126">
        <f t="shared" si="27"/>
        <v>42</v>
      </c>
      <c r="H229" s="116" t="str">
        <f t="shared" si="21"/>
        <v/>
      </c>
      <c r="I229" s="117" t="str" cm="1">
        <f t="array" ref="I22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Calculators'!$B$2+ICS4Test!$E227,""))</f>
        <v/>
      </c>
      <c r="J229" s="116" t="str" cm="1">
        <f t="array" ref="J229">IF(I229="","",INDEX('Test schedule'!$H:$H,ROW()+7))</f>
        <v/>
      </c>
      <c r="K229" s="120" t="str" cm="1">
        <f t="array" ref="K229">IF(I229="","",INDEX('Test schedule'!$J:$J,ROW()+7))</f>
        <v/>
      </c>
      <c r="L229" s="129" t="str" cm="1">
        <f t="array" ref="L229">IF(OR(I229="",INDEX('Test schedule'!$T:$T,ROW()+7)=""),"",INDEX('Test schedule'!$T:$T,ROW()+7))</f>
        <v/>
      </c>
    </row>
    <row r="230" spans="2:12" ht="15" customHeight="1">
      <c r="B230" s="116" t="str">
        <f t="shared" si="26"/>
        <v/>
      </c>
      <c r="C230" s="117" t="str">
        <f t="shared" si="22"/>
        <v/>
      </c>
      <c r="D230" s="116" t="str">
        <f t="shared" si="23"/>
        <v/>
      </c>
      <c r="E230" s="120" t="str">
        <f t="shared" si="24"/>
        <v/>
      </c>
      <c r="F230" s="118" t="str">
        <f t="shared" si="25"/>
        <v/>
      </c>
      <c r="G230" s="126">
        <f t="shared" si="27"/>
        <v>42</v>
      </c>
      <c r="H230" s="116" t="str">
        <f t="shared" si="21"/>
        <v/>
      </c>
      <c r="I230" s="117" t="str" cm="1">
        <f t="array" ref="I23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Calculators'!$B$2+ICS4Test!$E228,""))</f>
        <v/>
      </c>
      <c r="J230" s="116" t="str" cm="1">
        <f t="array" ref="J230">IF(I230="","",INDEX('Test schedule'!$H:$H,ROW()+7))</f>
        <v/>
      </c>
      <c r="K230" s="120" t="str" cm="1">
        <f t="array" ref="K230">IF(I230="","",INDEX('Test schedule'!$J:$J,ROW()+7))</f>
        <v/>
      </c>
      <c r="L230" s="129" t="str" cm="1">
        <f t="array" ref="L230">IF(OR(I230="",INDEX('Test schedule'!$T:$T,ROW()+7)=""),"",INDEX('Test schedule'!$T:$T,ROW()+7))</f>
        <v/>
      </c>
    </row>
    <row r="231" spans="2:12" ht="15" customHeight="1">
      <c r="B231" s="116" t="str">
        <f t="shared" si="26"/>
        <v/>
      </c>
      <c r="C231" s="117" t="str">
        <f t="shared" si="22"/>
        <v/>
      </c>
      <c r="D231" s="116" t="str">
        <f t="shared" si="23"/>
        <v/>
      </c>
      <c r="E231" s="120" t="str">
        <f t="shared" si="24"/>
        <v/>
      </c>
      <c r="F231" s="118" t="str">
        <f t="shared" si="25"/>
        <v/>
      </c>
      <c r="G231" s="126">
        <f t="shared" si="27"/>
        <v>42</v>
      </c>
      <c r="H231" s="116" t="str">
        <f t="shared" si="21"/>
        <v/>
      </c>
      <c r="I231" s="117" t="str" cm="1">
        <f t="array" ref="I23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Calculators'!$B$2+ICS4Test!$E229,""))</f>
        <v/>
      </c>
      <c r="J231" s="116" t="str" cm="1">
        <f t="array" ref="J231">IF(I231="","",INDEX('Test schedule'!$H:$H,ROW()+7))</f>
        <v/>
      </c>
      <c r="K231" s="120" t="str" cm="1">
        <f t="array" ref="K231">IF(I231="","",INDEX('Test schedule'!$J:$J,ROW()+7))</f>
        <v/>
      </c>
      <c r="L231" s="129" t="str" cm="1">
        <f t="array" ref="L231">IF(OR(I231="",INDEX('Test schedule'!$T:$T,ROW()+7)=""),"",INDEX('Test schedule'!$T:$T,ROW()+7))</f>
        <v/>
      </c>
    </row>
    <row r="232" spans="2:12" ht="15" customHeight="1">
      <c r="B232" s="116" t="str">
        <f t="shared" si="26"/>
        <v/>
      </c>
      <c r="C232" s="117" t="str">
        <f t="shared" si="22"/>
        <v/>
      </c>
      <c r="D232" s="116" t="str">
        <f t="shared" si="23"/>
        <v/>
      </c>
      <c r="E232" s="120" t="str">
        <f t="shared" si="24"/>
        <v/>
      </c>
      <c r="F232" s="118" t="str">
        <f t="shared" si="25"/>
        <v/>
      </c>
      <c r="G232" s="126">
        <f t="shared" si="27"/>
        <v>42</v>
      </c>
      <c r="H232" s="116" t="str">
        <f t="shared" si="21"/>
        <v/>
      </c>
      <c r="I232" s="117" t="str" cm="1">
        <f t="array" ref="I23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Calculators'!$B$2+ICS4Test!$E230,""))</f>
        <v/>
      </c>
      <c r="J232" s="116" t="str" cm="1">
        <f t="array" ref="J232">IF(I232="","",INDEX('Test schedule'!$H:$H,ROW()+7))</f>
        <v/>
      </c>
      <c r="K232" s="120" t="str" cm="1">
        <f t="array" ref="K232">IF(I232="","",INDEX('Test schedule'!$J:$J,ROW()+7))</f>
        <v/>
      </c>
      <c r="L232" s="129" t="str" cm="1">
        <f t="array" ref="L232">IF(OR(I232="",INDEX('Test schedule'!$T:$T,ROW()+7)=""),"",INDEX('Test schedule'!$T:$T,ROW()+7))</f>
        <v/>
      </c>
    </row>
    <row r="233" spans="2:12" ht="15" customHeight="1">
      <c r="B233" s="116" t="str">
        <f t="shared" si="26"/>
        <v/>
      </c>
      <c r="C233" s="117" t="str">
        <f t="shared" si="22"/>
        <v/>
      </c>
      <c r="D233" s="116" t="str">
        <f t="shared" si="23"/>
        <v/>
      </c>
      <c r="E233" s="120" t="str">
        <f t="shared" si="24"/>
        <v/>
      </c>
      <c r="F233" s="118" t="str">
        <f t="shared" si="25"/>
        <v/>
      </c>
      <c r="G233" s="126">
        <f t="shared" si="27"/>
        <v>42</v>
      </c>
      <c r="H233" s="116" t="str">
        <f t="shared" si="21"/>
        <v/>
      </c>
      <c r="I233" s="117" t="str" cm="1">
        <f t="array" ref="I23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Calculators'!$B$2+ICS4Test!$E231,""))</f>
        <v/>
      </c>
      <c r="J233" s="116" t="str" cm="1">
        <f t="array" ref="J233">IF(I233="","",INDEX('Test schedule'!$H:$H,ROW()+7))</f>
        <v/>
      </c>
      <c r="K233" s="120" t="str" cm="1">
        <f t="array" ref="K233">IF(I233="","",INDEX('Test schedule'!$J:$J,ROW()+7))</f>
        <v/>
      </c>
      <c r="L233" s="129" t="str" cm="1">
        <f t="array" ref="L233">IF(OR(I233="",INDEX('Test schedule'!$T:$T,ROW()+7)=""),"",INDEX('Test schedule'!$T:$T,ROW()+7))</f>
        <v/>
      </c>
    </row>
    <row r="234" spans="2:12" ht="15" customHeight="1">
      <c r="B234" s="116" t="str">
        <f t="shared" si="26"/>
        <v/>
      </c>
      <c r="C234" s="117" t="str">
        <f t="shared" si="22"/>
        <v/>
      </c>
      <c r="D234" s="116" t="str">
        <f t="shared" si="23"/>
        <v/>
      </c>
      <c r="E234" s="120" t="str">
        <f t="shared" si="24"/>
        <v/>
      </c>
      <c r="F234" s="118" t="str">
        <f t="shared" si="25"/>
        <v/>
      </c>
      <c r="G234" s="126">
        <f t="shared" si="27"/>
        <v>42</v>
      </c>
      <c r="H234" s="116" t="str">
        <f t="shared" si="21"/>
        <v/>
      </c>
      <c r="I234" s="117" t="str" cm="1">
        <f t="array" ref="I23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Calculators'!$B$2+ICS4Test!$E232,""))</f>
        <v/>
      </c>
      <c r="J234" s="116" t="str" cm="1">
        <f t="array" ref="J234">IF(I234="","",INDEX('Test schedule'!$H:$H,ROW()+7))</f>
        <v/>
      </c>
      <c r="K234" s="120" t="str" cm="1">
        <f t="array" ref="K234">IF(I234="","",INDEX('Test schedule'!$J:$J,ROW()+7))</f>
        <v/>
      </c>
      <c r="L234" s="129" t="str" cm="1">
        <f t="array" ref="L234">IF(OR(I234="",INDEX('Test schedule'!$T:$T,ROW()+7)=""),"",INDEX('Test schedule'!$T:$T,ROW()+7))</f>
        <v/>
      </c>
    </row>
    <row r="235" spans="2:12" ht="15" customHeight="1">
      <c r="B235" s="116" t="str">
        <f t="shared" si="26"/>
        <v/>
      </c>
      <c r="C235" s="117" t="str">
        <f t="shared" si="22"/>
        <v/>
      </c>
      <c r="D235" s="116" t="str">
        <f t="shared" si="23"/>
        <v/>
      </c>
      <c r="E235" s="120" t="str">
        <f t="shared" si="24"/>
        <v/>
      </c>
      <c r="F235" s="118" t="str">
        <f t="shared" si="25"/>
        <v/>
      </c>
      <c r="G235" s="126">
        <f t="shared" si="27"/>
        <v>42</v>
      </c>
      <c r="H235" s="116" t="str">
        <f t="shared" si="21"/>
        <v/>
      </c>
      <c r="I235" s="117" t="str" cm="1">
        <f t="array" ref="I23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Calculators'!$B$2+ICS4Test!$E233,""))</f>
        <v/>
      </c>
      <c r="J235" s="116" t="str" cm="1">
        <f t="array" ref="J235">IF(I235="","",INDEX('Test schedule'!$H:$H,ROW()+7))</f>
        <v/>
      </c>
      <c r="K235" s="120" t="str" cm="1">
        <f t="array" ref="K235">IF(I235="","",INDEX('Test schedule'!$J:$J,ROW()+7))</f>
        <v/>
      </c>
      <c r="L235" s="129" t="str" cm="1">
        <f t="array" ref="L235">IF(OR(I235="",INDEX('Test schedule'!$T:$T,ROW()+7)=""),"",INDEX('Test schedule'!$T:$T,ROW()+7))</f>
        <v/>
      </c>
    </row>
    <row r="236" spans="2:12" ht="15" customHeight="1">
      <c r="B236" s="116" t="str">
        <f t="shared" si="26"/>
        <v/>
      </c>
      <c r="C236" s="117" t="str">
        <f t="shared" si="22"/>
        <v/>
      </c>
      <c r="D236" s="116" t="str">
        <f t="shared" si="23"/>
        <v/>
      </c>
      <c r="E236" s="120" t="str">
        <f t="shared" si="24"/>
        <v/>
      </c>
      <c r="F236" s="118" t="str">
        <f t="shared" si="25"/>
        <v/>
      </c>
      <c r="G236" s="126">
        <f t="shared" si="27"/>
        <v>42</v>
      </c>
      <c r="H236" s="116" t="str">
        <f t="shared" si="21"/>
        <v/>
      </c>
      <c r="I236" s="117" t="str" cm="1">
        <f t="array" ref="I23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Calculators'!$B$2+ICS4Test!$E234,""))</f>
        <v/>
      </c>
      <c r="J236" s="116" t="str" cm="1">
        <f t="array" ref="J236">IF(I236="","",INDEX('Test schedule'!$H:$H,ROW()+7))</f>
        <v/>
      </c>
      <c r="K236" s="120" t="str" cm="1">
        <f t="array" ref="K236">IF(I236="","",INDEX('Test schedule'!$J:$J,ROW()+7))</f>
        <v/>
      </c>
      <c r="L236" s="129" t="str" cm="1">
        <f t="array" ref="L236">IF(OR(I236="",INDEX('Test schedule'!$T:$T,ROW()+7)=""),"",INDEX('Test schedule'!$T:$T,ROW()+7))</f>
        <v/>
      </c>
    </row>
    <row r="237" spans="2:12" ht="15" customHeight="1">
      <c r="B237" s="116" t="str">
        <f t="shared" si="26"/>
        <v/>
      </c>
      <c r="C237" s="117" t="str">
        <f t="shared" si="22"/>
        <v/>
      </c>
      <c r="D237" s="116" t="str">
        <f t="shared" si="23"/>
        <v/>
      </c>
      <c r="E237" s="120" t="str">
        <f t="shared" si="24"/>
        <v/>
      </c>
      <c r="F237" s="118" t="str">
        <f t="shared" si="25"/>
        <v/>
      </c>
      <c r="G237" s="126">
        <f t="shared" si="27"/>
        <v>42</v>
      </c>
      <c r="H237" s="116" t="str">
        <f t="shared" ref="H237:H300" si="28">IF(I237="","",IF(I237="END","START",IF(OR(I236="END",I236=I237,I236=""),IF(OR(H236="",H236="START"),I237-$U$3,H236),IFERROR(IF(I236&gt;I237,I237-$U$3,I236),I236))))</f>
        <v/>
      </c>
      <c r="I237" s="117" t="str" cm="1">
        <f t="array" ref="I23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Calculators'!$B$2+ICS4Test!$E235,""))</f>
        <v/>
      </c>
      <c r="J237" s="116" t="str" cm="1">
        <f t="array" ref="J237">IF(I237="","",INDEX('Test schedule'!$H:$H,ROW()+7))</f>
        <v/>
      </c>
      <c r="K237" s="120" t="str" cm="1">
        <f t="array" ref="K237">IF(I237="","",INDEX('Test schedule'!$J:$J,ROW()+7))</f>
        <v/>
      </c>
      <c r="L237" s="129" t="str" cm="1">
        <f t="array" ref="L237">IF(OR(I237="",INDEX('Test schedule'!$T:$T,ROW()+7)=""),"",INDEX('Test schedule'!$T:$T,ROW()+7))</f>
        <v/>
      </c>
    </row>
    <row r="238" spans="2:12" ht="15" customHeight="1">
      <c r="B238" s="116" t="str">
        <f t="shared" si="26"/>
        <v/>
      </c>
      <c r="C238" s="117" t="str">
        <f t="shared" si="22"/>
        <v/>
      </c>
      <c r="D238" s="116" t="str">
        <f t="shared" si="23"/>
        <v/>
      </c>
      <c r="E238" s="120" t="str">
        <f t="shared" si="24"/>
        <v/>
      </c>
      <c r="F238" s="118" t="str">
        <f t="shared" si="25"/>
        <v/>
      </c>
      <c r="G238" s="126">
        <f t="shared" si="27"/>
        <v>42</v>
      </c>
      <c r="H238" s="116" t="str">
        <f t="shared" si="28"/>
        <v/>
      </c>
      <c r="I238" s="117" t="str" cm="1">
        <f t="array" ref="I23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Calculators'!$B$2+ICS4Test!$E236,""))</f>
        <v/>
      </c>
      <c r="J238" s="116" t="str" cm="1">
        <f t="array" ref="J238">IF(I238="","",INDEX('Test schedule'!$H:$H,ROW()+7))</f>
        <v/>
      </c>
      <c r="K238" s="120" t="str" cm="1">
        <f t="array" ref="K238">IF(I238="","",INDEX('Test schedule'!$J:$J,ROW()+7))</f>
        <v/>
      </c>
      <c r="L238" s="129" t="str" cm="1">
        <f t="array" ref="L238">IF(OR(I238="",INDEX('Test schedule'!$T:$T,ROW()+7)=""),"",INDEX('Test schedule'!$T:$T,ROW()+7))</f>
        <v/>
      </c>
    </row>
    <row r="239" spans="2:12" ht="15" customHeight="1">
      <c r="B239" s="116" t="str">
        <f t="shared" si="26"/>
        <v/>
      </c>
      <c r="C239" s="117" t="str">
        <f t="shared" si="22"/>
        <v/>
      </c>
      <c r="D239" s="116" t="str">
        <f t="shared" si="23"/>
        <v/>
      </c>
      <c r="E239" s="120" t="str">
        <f t="shared" si="24"/>
        <v/>
      </c>
      <c r="F239" s="118" t="str">
        <f t="shared" si="25"/>
        <v/>
      </c>
      <c r="G239" s="126">
        <f t="shared" si="27"/>
        <v>42</v>
      </c>
      <c r="H239" s="116" t="str">
        <f t="shared" si="28"/>
        <v/>
      </c>
      <c r="I239" s="117" t="str" cm="1">
        <f t="array" ref="I23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Calculators'!$B$2+ICS4Test!$E237,""))</f>
        <v/>
      </c>
      <c r="J239" s="116" t="str" cm="1">
        <f t="array" ref="J239">IF(I239="","",INDEX('Test schedule'!$H:$H,ROW()+7))</f>
        <v/>
      </c>
      <c r="K239" s="120" t="str" cm="1">
        <f t="array" ref="K239">IF(I239="","",INDEX('Test schedule'!$J:$J,ROW()+7))</f>
        <v/>
      </c>
      <c r="L239" s="129" t="str" cm="1">
        <f t="array" ref="L239">IF(OR(I239="",INDEX('Test schedule'!$T:$T,ROW()+7)=""),"",INDEX('Test schedule'!$T:$T,ROW()+7))</f>
        <v/>
      </c>
    </row>
    <row r="240" spans="2:12" ht="15" customHeight="1">
      <c r="B240" s="116" t="str">
        <f t="shared" si="26"/>
        <v/>
      </c>
      <c r="C240" s="117" t="str">
        <f t="shared" si="22"/>
        <v/>
      </c>
      <c r="D240" s="116" t="str">
        <f t="shared" si="23"/>
        <v/>
      </c>
      <c r="E240" s="120" t="str">
        <f t="shared" si="24"/>
        <v/>
      </c>
      <c r="F240" s="118" t="str">
        <f t="shared" si="25"/>
        <v/>
      </c>
      <c r="G240" s="126">
        <f t="shared" si="27"/>
        <v>42</v>
      </c>
      <c r="H240" s="116" t="str">
        <f t="shared" si="28"/>
        <v/>
      </c>
      <c r="I240" s="117" t="str" cm="1">
        <f t="array" ref="I24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Calculators'!$B$2+ICS4Test!$E238,""))</f>
        <v/>
      </c>
      <c r="J240" s="116" t="str" cm="1">
        <f t="array" ref="J240">IF(I240="","",INDEX('Test schedule'!$H:$H,ROW()+7))</f>
        <v/>
      </c>
      <c r="K240" s="120" t="str" cm="1">
        <f t="array" ref="K240">IF(I240="","",INDEX('Test schedule'!$J:$J,ROW()+7))</f>
        <v/>
      </c>
      <c r="L240" s="129" t="str" cm="1">
        <f t="array" ref="L240">IF(OR(I240="",INDEX('Test schedule'!$T:$T,ROW()+7)=""),"",INDEX('Test schedule'!$T:$T,ROW()+7))</f>
        <v/>
      </c>
    </row>
    <row r="241" spans="2:12" ht="15" customHeight="1">
      <c r="B241" s="116" t="str">
        <f t="shared" si="26"/>
        <v/>
      </c>
      <c r="C241" s="117" t="str">
        <f t="shared" si="22"/>
        <v/>
      </c>
      <c r="D241" s="116" t="str">
        <f t="shared" si="23"/>
        <v/>
      </c>
      <c r="E241" s="120" t="str">
        <f t="shared" si="24"/>
        <v/>
      </c>
      <c r="F241" s="118" t="str">
        <f t="shared" si="25"/>
        <v/>
      </c>
      <c r="G241" s="126">
        <f t="shared" si="27"/>
        <v>42</v>
      </c>
      <c r="H241" s="116" t="str">
        <f t="shared" si="28"/>
        <v/>
      </c>
      <c r="I241" s="117" t="str" cm="1">
        <f t="array" ref="I24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Calculators'!$B$2+ICS4Test!$E239,""))</f>
        <v/>
      </c>
      <c r="J241" s="116" t="str" cm="1">
        <f t="array" ref="J241">IF(I241="","",INDEX('Test schedule'!$H:$H,ROW()+7))</f>
        <v/>
      </c>
      <c r="K241" s="120" t="str" cm="1">
        <f t="array" ref="K241">IF(I241="","",INDEX('Test schedule'!$J:$J,ROW()+7))</f>
        <v/>
      </c>
      <c r="L241" s="129" t="str" cm="1">
        <f t="array" ref="L241">IF(OR(I241="",INDEX('Test schedule'!$T:$T,ROW()+7)=""),"",INDEX('Test schedule'!$T:$T,ROW()+7))</f>
        <v/>
      </c>
    </row>
    <row r="242" spans="2:12" ht="15" customHeight="1">
      <c r="B242" s="116" t="str">
        <f t="shared" si="26"/>
        <v/>
      </c>
      <c r="C242" s="117" t="str">
        <f t="shared" si="22"/>
        <v/>
      </c>
      <c r="D242" s="116" t="str">
        <f t="shared" si="23"/>
        <v/>
      </c>
      <c r="E242" s="120" t="str">
        <f t="shared" si="24"/>
        <v/>
      </c>
      <c r="F242" s="118" t="str">
        <f t="shared" si="25"/>
        <v/>
      </c>
      <c r="G242" s="126">
        <f t="shared" si="27"/>
        <v>42</v>
      </c>
      <c r="H242" s="116" t="str">
        <f t="shared" si="28"/>
        <v/>
      </c>
      <c r="I242" s="117" t="str" cm="1">
        <f t="array" ref="I24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Calculators'!$B$2+ICS4Test!$E240,""))</f>
        <v/>
      </c>
      <c r="J242" s="116" t="str" cm="1">
        <f t="array" ref="J242">IF(I242="","",INDEX('Test schedule'!$H:$H,ROW()+7))</f>
        <v/>
      </c>
      <c r="K242" s="120" t="str" cm="1">
        <f t="array" ref="K242">IF(I242="","",INDEX('Test schedule'!$J:$J,ROW()+7))</f>
        <v/>
      </c>
      <c r="L242" s="129" t="str" cm="1">
        <f t="array" ref="L242">IF(OR(I242="",INDEX('Test schedule'!$T:$T,ROW()+7)=""),"",INDEX('Test schedule'!$T:$T,ROW()+7))</f>
        <v/>
      </c>
    </row>
    <row r="243" spans="2:12" ht="15" customHeight="1">
      <c r="B243" s="116" t="str">
        <f t="shared" si="26"/>
        <v/>
      </c>
      <c r="C243" s="117" t="str">
        <f t="shared" si="22"/>
        <v/>
      </c>
      <c r="D243" s="116" t="str">
        <f t="shared" si="23"/>
        <v/>
      </c>
      <c r="E243" s="120" t="str">
        <f t="shared" si="24"/>
        <v/>
      </c>
      <c r="F243" s="118" t="str">
        <f t="shared" si="25"/>
        <v/>
      </c>
      <c r="G243" s="126">
        <f t="shared" si="27"/>
        <v>42</v>
      </c>
      <c r="H243" s="116" t="str">
        <f t="shared" si="28"/>
        <v/>
      </c>
      <c r="I243" s="117" t="str" cm="1">
        <f t="array" ref="I24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Calculators'!$B$2+ICS4Test!$E241,""))</f>
        <v/>
      </c>
      <c r="J243" s="116" t="str" cm="1">
        <f t="array" ref="J243">IF(I243="","",INDEX('Test schedule'!$H:$H,ROW()+7))</f>
        <v/>
      </c>
      <c r="K243" s="120" t="str" cm="1">
        <f t="array" ref="K243">IF(I243="","",INDEX('Test schedule'!$J:$J,ROW()+7))</f>
        <v/>
      </c>
      <c r="L243" s="129" t="str" cm="1">
        <f t="array" ref="L243">IF(OR(I243="",INDEX('Test schedule'!$T:$T,ROW()+7)=""),"",INDEX('Test schedule'!$T:$T,ROW()+7))</f>
        <v/>
      </c>
    </row>
    <row r="244" spans="2:12" ht="15" customHeight="1">
      <c r="B244" s="116" t="str">
        <f t="shared" si="26"/>
        <v/>
      </c>
      <c r="C244" s="117" t="str">
        <f t="shared" si="22"/>
        <v/>
      </c>
      <c r="D244" s="116" t="str">
        <f t="shared" si="23"/>
        <v/>
      </c>
      <c r="E244" s="120" t="str">
        <f t="shared" si="24"/>
        <v/>
      </c>
      <c r="F244" s="118" t="str">
        <f t="shared" si="25"/>
        <v/>
      </c>
      <c r="G244" s="126">
        <f t="shared" si="27"/>
        <v>42</v>
      </c>
      <c r="H244" s="116" t="str">
        <f t="shared" si="28"/>
        <v/>
      </c>
      <c r="I244" s="117" t="str" cm="1">
        <f t="array" ref="I24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Calculators'!$B$2+ICS4Test!$E242,""))</f>
        <v/>
      </c>
      <c r="J244" s="116" t="str" cm="1">
        <f t="array" ref="J244">IF(I244="","",INDEX('Test schedule'!$H:$H,ROW()+7))</f>
        <v/>
      </c>
      <c r="K244" s="120" t="str" cm="1">
        <f t="array" ref="K244">IF(I244="","",INDEX('Test schedule'!$J:$J,ROW()+7))</f>
        <v/>
      </c>
      <c r="L244" s="129" t="str" cm="1">
        <f t="array" ref="L244">IF(OR(I244="",INDEX('Test schedule'!$T:$T,ROW()+7)=""),"",INDEX('Test schedule'!$T:$T,ROW()+7))</f>
        <v/>
      </c>
    </row>
    <row r="245" spans="2:12" ht="15" customHeight="1">
      <c r="B245" s="116" t="str">
        <f t="shared" si="26"/>
        <v/>
      </c>
      <c r="C245" s="117" t="str">
        <f t="shared" si="22"/>
        <v/>
      </c>
      <c r="D245" s="116" t="str">
        <f t="shared" si="23"/>
        <v/>
      </c>
      <c r="E245" s="120" t="str">
        <f t="shared" si="24"/>
        <v/>
      </c>
      <c r="F245" s="118" t="str">
        <f t="shared" si="25"/>
        <v/>
      </c>
      <c r="G245" s="126">
        <f t="shared" si="27"/>
        <v>42</v>
      </c>
      <c r="H245" s="116" t="str">
        <f t="shared" si="28"/>
        <v/>
      </c>
      <c r="I245" s="117" t="str" cm="1">
        <f t="array" ref="I24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Calculators'!$B$2+ICS4Test!$E243,""))</f>
        <v/>
      </c>
      <c r="J245" s="116" t="str" cm="1">
        <f t="array" ref="J245">IF(I245="","",INDEX('Test schedule'!$H:$H,ROW()+7))</f>
        <v/>
      </c>
      <c r="K245" s="120" t="str" cm="1">
        <f t="array" ref="K245">IF(I245="","",INDEX('Test schedule'!$J:$J,ROW()+7))</f>
        <v/>
      </c>
      <c r="L245" s="129" t="str" cm="1">
        <f t="array" ref="L245">IF(OR(I245="",INDEX('Test schedule'!$T:$T,ROW()+7)=""),"",INDEX('Test schedule'!$T:$T,ROW()+7))</f>
        <v/>
      </c>
    </row>
    <row r="246" spans="2:12" ht="15" customHeight="1">
      <c r="B246" s="116" t="str">
        <f t="shared" si="26"/>
        <v/>
      </c>
      <c r="C246" s="117" t="str">
        <f t="shared" si="22"/>
        <v/>
      </c>
      <c r="D246" s="116" t="str">
        <f t="shared" si="23"/>
        <v/>
      </c>
      <c r="E246" s="120" t="str">
        <f t="shared" si="24"/>
        <v/>
      </c>
      <c r="F246" s="118" t="str">
        <f t="shared" si="25"/>
        <v/>
      </c>
      <c r="G246" s="126">
        <f t="shared" si="27"/>
        <v>42</v>
      </c>
      <c r="H246" s="116" t="str">
        <f t="shared" si="28"/>
        <v/>
      </c>
      <c r="I246" s="117" t="str" cm="1">
        <f t="array" ref="I24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Calculators'!$B$2+ICS4Test!$E244,""))</f>
        <v/>
      </c>
      <c r="J246" s="116" t="str" cm="1">
        <f t="array" ref="J246">IF(I246="","",INDEX('Test schedule'!$H:$H,ROW()+7))</f>
        <v/>
      </c>
      <c r="K246" s="120" t="str" cm="1">
        <f t="array" ref="K246">IF(I246="","",INDEX('Test schedule'!$J:$J,ROW()+7))</f>
        <v/>
      </c>
      <c r="L246" s="129" t="str" cm="1">
        <f t="array" ref="L246">IF(OR(I246="",INDEX('Test schedule'!$T:$T,ROW()+7)=""),"",INDEX('Test schedule'!$T:$T,ROW()+7))</f>
        <v/>
      </c>
    </row>
    <row r="247" spans="2:12" ht="15" customHeight="1">
      <c r="B247" s="116" t="str">
        <f t="shared" si="26"/>
        <v/>
      </c>
      <c r="C247" s="117" t="str">
        <f t="shared" si="22"/>
        <v/>
      </c>
      <c r="D247" s="116" t="str">
        <f t="shared" si="23"/>
        <v/>
      </c>
      <c r="E247" s="120" t="str">
        <f t="shared" si="24"/>
        <v/>
      </c>
      <c r="F247" s="118" t="str">
        <f t="shared" si="25"/>
        <v/>
      </c>
      <c r="G247" s="126">
        <f t="shared" si="27"/>
        <v>42</v>
      </c>
      <c r="H247" s="116" t="str">
        <f t="shared" si="28"/>
        <v/>
      </c>
      <c r="I247" s="117" t="str" cm="1">
        <f t="array" ref="I24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Calculators'!$B$2+ICS4Test!$E245,""))</f>
        <v/>
      </c>
      <c r="J247" s="116" t="str" cm="1">
        <f t="array" ref="J247">IF(I247="","",INDEX('Test schedule'!$H:$H,ROW()+7))</f>
        <v/>
      </c>
      <c r="K247" s="120" t="str" cm="1">
        <f t="array" ref="K247">IF(I247="","",INDEX('Test schedule'!$J:$J,ROW()+7))</f>
        <v/>
      </c>
      <c r="L247" s="129" t="str" cm="1">
        <f t="array" ref="L247">IF(OR(I247="",INDEX('Test schedule'!$T:$T,ROW()+7)=""),"",INDEX('Test schedule'!$T:$T,ROW()+7))</f>
        <v/>
      </c>
    </row>
    <row r="248" spans="2:12" ht="15" customHeight="1">
      <c r="B248" s="116" t="str">
        <f t="shared" si="26"/>
        <v/>
      </c>
      <c r="C248" s="117" t="str">
        <f t="shared" si="22"/>
        <v/>
      </c>
      <c r="D248" s="116" t="str">
        <f t="shared" si="23"/>
        <v/>
      </c>
      <c r="E248" s="120" t="str">
        <f t="shared" si="24"/>
        <v/>
      </c>
      <c r="F248" s="118" t="str">
        <f t="shared" si="25"/>
        <v/>
      </c>
      <c r="G248" s="126">
        <f t="shared" si="27"/>
        <v>42</v>
      </c>
      <c r="H248" s="116" t="str">
        <f t="shared" si="28"/>
        <v/>
      </c>
      <c r="I248" s="117" t="str" cm="1">
        <f t="array" ref="I24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Calculators'!$B$2+ICS4Test!$E246,""))</f>
        <v/>
      </c>
      <c r="J248" s="116" t="str" cm="1">
        <f t="array" ref="J248">IF(I248="","",INDEX('Test schedule'!$H:$H,ROW()+7))</f>
        <v/>
      </c>
      <c r="K248" s="120" t="str" cm="1">
        <f t="array" ref="K248">IF(I248="","",INDEX('Test schedule'!$J:$J,ROW()+7))</f>
        <v/>
      </c>
      <c r="L248" s="129" t="str" cm="1">
        <f t="array" ref="L248">IF(OR(I248="",INDEX('Test schedule'!$T:$T,ROW()+7)=""),"",INDEX('Test schedule'!$T:$T,ROW()+7))</f>
        <v/>
      </c>
    </row>
    <row r="249" spans="2:12" ht="15" customHeight="1">
      <c r="B249" s="116" t="str">
        <f t="shared" si="26"/>
        <v/>
      </c>
      <c r="C249" s="117" t="str">
        <f t="shared" si="22"/>
        <v/>
      </c>
      <c r="D249" s="116" t="str">
        <f t="shared" si="23"/>
        <v/>
      </c>
      <c r="E249" s="120" t="str">
        <f t="shared" si="24"/>
        <v/>
      </c>
      <c r="F249" s="118" t="str">
        <f t="shared" si="25"/>
        <v/>
      </c>
      <c r="G249" s="126">
        <f t="shared" si="27"/>
        <v>42</v>
      </c>
      <c r="H249" s="116" t="str">
        <f t="shared" si="28"/>
        <v/>
      </c>
      <c r="I249" s="117" t="str" cm="1">
        <f t="array" ref="I24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Calculators'!$B$2+ICS4Test!$E247,""))</f>
        <v/>
      </c>
      <c r="J249" s="116" t="str" cm="1">
        <f t="array" ref="J249">IF(I249="","",INDEX('Test schedule'!$H:$H,ROW()+7))</f>
        <v/>
      </c>
      <c r="K249" s="120" t="str" cm="1">
        <f t="array" ref="K249">IF(I249="","",INDEX('Test schedule'!$J:$J,ROW()+7))</f>
        <v/>
      </c>
      <c r="L249" s="129" t="str" cm="1">
        <f t="array" ref="L249">IF(OR(I249="",INDEX('Test schedule'!$T:$T,ROW()+7)=""),"",INDEX('Test schedule'!$T:$T,ROW()+7))</f>
        <v/>
      </c>
    </row>
    <row r="250" spans="2:12" ht="15" customHeight="1">
      <c r="B250" s="116" t="str">
        <f t="shared" si="26"/>
        <v/>
      </c>
      <c r="C250" s="117" t="str">
        <f t="shared" si="22"/>
        <v/>
      </c>
      <c r="D250" s="116" t="str">
        <f t="shared" si="23"/>
        <v/>
      </c>
      <c r="E250" s="120" t="str">
        <f t="shared" si="24"/>
        <v/>
      </c>
      <c r="F250" s="118" t="str">
        <f t="shared" si="25"/>
        <v/>
      </c>
      <c r="G250" s="126">
        <f t="shared" si="27"/>
        <v>42</v>
      </c>
      <c r="H250" s="116" t="str">
        <f t="shared" si="28"/>
        <v/>
      </c>
      <c r="I250" s="117" t="str" cm="1">
        <f t="array" ref="I25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Calculators'!$B$2+ICS4Test!$E248,""))</f>
        <v/>
      </c>
      <c r="J250" s="116" t="str" cm="1">
        <f t="array" ref="J250">IF(I250="","",INDEX('Test schedule'!$H:$H,ROW()+7))</f>
        <v/>
      </c>
      <c r="K250" s="120" t="str" cm="1">
        <f t="array" ref="K250">IF(I250="","",INDEX('Test schedule'!$J:$J,ROW()+7))</f>
        <v/>
      </c>
      <c r="L250" s="129" t="str" cm="1">
        <f t="array" ref="L250">IF(OR(I250="",INDEX('Test schedule'!$T:$T,ROW()+7)=""),"",INDEX('Test schedule'!$T:$T,ROW()+7))</f>
        <v/>
      </c>
    </row>
    <row r="251" spans="2:12" ht="15" customHeight="1">
      <c r="B251" s="116" t="str">
        <f t="shared" si="26"/>
        <v/>
      </c>
      <c r="C251" s="117" t="str">
        <f t="shared" si="22"/>
        <v/>
      </c>
      <c r="D251" s="116" t="str">
        <f t="shared" si="23"/>
        <v/>
      </c>
      <c r="E251" s="120" t="str">
        <f t="shared" si="24"/>
        <v/>
      </c>
      <c r="F251" s="118" t="str">
        <f t="shared" si="25"/>
        <v/>
      </c>
      <c r="G251" s="126">
        <f t="shared" si="27"/>
        <v>42</v>
      </c>
      <c r="H251" s="116" t="str">
        <f t="shared" si="28"/>
        <v/>
      </c>
      <c r="I251" s="117" t="str" cm="1">
        <f t="array" ref="I25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Calculators'!$B$2+ICS4Test!$E249,""))</f>
        <v/>
      </c>
      <c r="J251" s="116" t="str" cm="1">
        <f t="array" ref="J251">IF(I251="","",INDEX('Test schedule'!$H:$H,ROW()+7))</f>
        <v/>
      </c>
      <c r="K251" s="120" t="str" cm="1">
        <f t="array" ref="K251">IF(I251="","",INDEX('Test schedule'!$J:$J,ROW()+7))</f>
        <v/>
      </c>
      <c r="L251" s="129" t="str" cm="1">
        <f t="array" ref="L251">IF(OR(I251="",INDEX('Test schedule'!$T:$T,ROW()+7)=""),"",INDEX('Test schedule'!$T:$T,ROW()+7))</f>
        <v/>
      </c>
    </row>
    <row r="252" spans="2:12" ht="15" customHeight="1">
      <c r="B252" s="116" t="str">
        <f t="shared" si="26"/>
        <v/>
      </c>
      <c r="C252" s="117" t="str">
        <f t="shared" si="22"/>
        <v/>
      </c>
      <c r="D252" s="116" t="str">
        <f t="shared" si="23"/>
        <v/>
      </c>
      <c r="E252" s="120" t="str">
        <f t="shared" si="24"/>
        <v/>
      </c>
      <c r="F252" s="118" t="str">
        <f t="shared" si="25"/>
        <v/>
      </c>
      <c r="G252" s="126">
        <f t="shared" si="27"/>
        <v>42</v>
      </c>
      <c r="H252" s="116" t="str">
        <f t="shared" si="28"/>
        <v/>
      </c>
      <c r="I252" s="117" t="str" cm="1">
        <f t="array" ref="I25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Calculators'!$B$2+ICS4Test!$E250,""))</f>
        <v/>
      </c>
      <c r="J252" s="116" t="str" cm="1">
        <f t="array" ref="J252">IF(I252="","",INDEX('Test schedule'!$H:$H,ROW()+7))</f>
        <v/>
      </c>
      <c r="K252" s="120" t="str" cm="1">
        <f t="array" ref="K252">IF(I252="","",INDEX('Test schedule'!$J:$J,ROW()+7))</f>
        <v/>
      </c>
      <c r="L252" s="129" t="str" cm="1">
        <f t="array" ref="L252">IF(OR(I252="",INDEX('Test schedule'!$T:$T,ROW()+7)=""),"",INDEX('Test schedule'!$T:$T,ROW()+7))</f>
        <v/>
      </c>
    </row>
    <row r="253" spans="2:12" ht="15" customHeight="1">
      <c r="B253" s="116" t="str">
        <f t="shared" si="26"/>
        <v/>
      </c>
      <c r="C253" s="117" t="str">
        <f t="shared" si="22"/>
        <v/>
      </c>
      <c r="D253" s="116" t="str">
        <f t="shared" si="23"/>
        <v/>
      </c>
      <c r="E253" s="120" t="str">
        <f t="shared" si="24"/>
        <v/>
      </c>
      <c r="F253" s="118" t="str">
        <f t="shared" si="25"/>
        <v/>
      </c>
      <c r="G253" s="126">
        <f t="shared" si="27"/>
        <v>42</v>
      </c>
      <c r="H253" s="116" t="str">
        <f t="shared" si="28"/>
        <v/>
      </c>
      <c r="I253" s="117" t="str" cm="1">
        <f t="array" ref="I25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Calculators'!$B$2+ICS4Test!$E251,""))</f>
        <v/>
      </c>
      <c r="J253" s="116" t="str" cm="1">
        <f t="array" ref="J253">IF(I253="","",INDEX('Test schedule'!$H:$H,ROW()+7))</f>
        <v/>
      </c>
      <c r="K253" s="120" t="str" cm="1">
        <f t="array" ref="K253">IF(I253="","",INDEX('Test schedule'!$J:$J,ROW()+7))</f>
        <v/>
      </c>
      <c r="L253" s="129" t="str" cm="1">
        <f t="array" ref="L253">IF(OR(I253="",INDEX('Test schedule'!$T:$T,ROW()+7)=""),"",INDEX('Test schedule'!$T:$T,ROW()+7))</f>
        <v/>
      </c>
    </row>
    <row r="254" spans="2:12" ht="15" customHeight="1">
      <c r="B254" s="116" t="str">
        <f t="shared" si="26"/>
        <v/>
      </c>
      <c r="C254" s="117" t="str">
        <f t="shared" si="22"/>
        <v/>
      </c>
      <c r="D254" s="116" t="str">
        <f t="shared" si="23"/>
        <v/>
      </c>
      <c r="E254" s="120" t="str">
        <f t="shared" si="24"/>
        <v/>
      </c>
      <c r="F254" s="118" t="str">
        <f t="shared" si="25"/>
        <v/>
      </c>
      <c r="G254" s="126">
        <f t="shared" si="27"/>
        <v>42</v>
      </c>
      <c r="H254" s="116" t="str">
        <f t="shared" si="28"/>
        <v/>
      </c>
      <c r="I254" s="117" t="str" cm="1">
        <f t="array" ref="I25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Calculators'!$B$2+ICS4Test!$E252,""))</f>
        <v/>
      </c>
      <c r="J254" s="116" t="str" cm="1">
        <f t="array" ref="J254">IF(I254="","",INDEX('Test schedule'!$H:$H,ROW()+7))</f>
        <v/>
      </c>
      <c r="K254" s="120" t="str" cm="1">
        <f t="array" ref="K254">IF(I254="","",INDEX('Test schedule'!$J:$J,ROW()+7))</f>
        <v/>
      </c>
      <c r="L254" s="129" t="str" cm="1">
        <f t="array" ref="L254">IF(OR(I254="",INDEX('Test schedule'!$T:$T,ROW()+7)=""),"",INDEX('Test schedule'!$T:$T,ROW()+7))</f>
        <v/>
      </c>
    </row>
    <row r="255" spans="2:12" ht="15" customHeight="1">
      <c r="B255" s="116" t="str">
        <f t="shared" si="26"/>
        <v/>
      </c>
      <c r="C255" s="117" t="str">
        <f t="shared" si="22"/>
        <v/>
      </c>
      <c r="D255" s="116" t="str">
        <f t="shared" si="23"/>
        <v/>
      </c>
      <c r="E255" s="120" t="str">
        <f t="shared" si="24"/>
        <v/>
      </c>
      <c r="F255" s="118" t="str">
        <f t="shared" si="25"/>
        <v/>
      </c>
      <c r="G255" s="126">
        <f t="shared" si="27"/>
        <v>42</v>
      </c>
      <c r="H255" s="116" t="str">
        <f t="shared" si="28"/>
        <v/>
      </c>
      <c r="I255" s="117" t="str" cm="1">
        <f t="array" ref="I25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Calculators'!$B$2+ICS4Test!$E253,""))</f>
        <v/>
      </c>
      <c r="J255" s="116" t="str" cm="1">
        <f t="array" ref="J255">IF(I255="","",INDEX('Test schedule'!$H:$H,ROW()+7))</f>
        <v/>
      </c>
      <c r="K255" s="120" t="str" cm="1">
        <f t="array" ref="K255">IF(I255="","",INDEX('Test schedule'!$J:$J,ROW()+7))</f>
        <v/>
      </c>
      <c r="L255" s="129" t="str" cm="1">
        <f t="array" ref="L255">IF(OR(I255="",INDEX('Test schedule'!$T:$T,ROW()+7)=""),"",INDEX('Test schedule'!$T:$T,ROW()+7))</f>
        <v/>
      </c>
    </row>
    <row r="256" spans="2:12" ht="15" customHeight="1">
      <c r="B256" s="116" t="str">
        <f t="shared" si="26"/>
        <v/>
      </c>
      <c r="C256" s="117" t="str">
        <f t="shared" si="22"/>
        <v/>
      </c>
      <c r="D256" s="116" t="str">
        <f t="shared" si="23"/>
        <v/>
      </c>
      <c r="E256" s="120" t="str">
        <f t="shared" si="24"/>
        <v/>
      </c>
      <c r="F256" s="118" t="str">
        <f t="shared" si="25"/>
        <v/>
      </c>
      <c r="G256" s="126">
        <f t="shared" si="27"/>
        <v>42</v>
      </c>
      <c r="H256" s="116" t="str">
        <f t="shared" si="28"/>
        <v/>
      </c>
      <c r="I256" s="117" t="str" cm="1">
        <f t="array" ref="I25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Calculators'!$B$2+ICS4Test!$E254,""))</f>
        <v/>
      </c>
      <c r="J256" s="116" t="str" cm="1">
        <f t="array" ref="J256">IF(I256="","",INDEX('Test schedule'!$H:$H,ROW()+7))</f>
        <v/>
      </c>
      <c r="K256" s="120" t="str" cm="1">
        <f t="array" ref="K256">IF(I256="","",INDEX('Test schedule'!$J:$J,ROW()+7))</f>
        <v/>
      </c>
      <c r="L256" s="129" t="str" cm="1">
        <f t="array" ref="L256">IF(OR(I256="",INDEX('Test schedule'!$T:$T,ROW()+7)=""),"",INDEX('Test schedule'!$T:$T,ROW()+7))</f>
        <v/>
      </c>
    </row>
    <row r="257" spans="2:12" ht="15" customHeight="1">
      <c r="B257" s="116" t="str">
        <f t="shared" si="26"/>
        <v/>
      </c>
      <c r="C257" s="117" t="str">
        <f t="shared" si="22"/>
        <v/>
      </c>
      <c r="D257" s="116" t="str">
        <f t="shared" si="23"/>
        <v/>
      </c>
      <c r="E257" s="120" t="str">
        <f t="shared" si="24"/>
        <v/>
      </c>
      <c r="F257" s="118" t="str">
        <f t="shared" si="25"/>
        <v/>
      </c>
      <c r="G257" s="126">
        <f t="shared" si="27"/>
        <v>42</v>
      </c>
      <c r="H257" s="116" t="str">
        <f t="shared" si="28"/>
        <v/>
      </c>
      <c r="I257" s="117" t="str" cm="1">
        <f t="array" ref="I25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Calculators'!$B$2+ICS4Test!$E255,""))</f>
        <v/>
      </c>
      <c r="J257" s="116" t="str" cm="1">
        <f t="array" ref="J257">IF(I257="","",INDEX('Test schedule'!$H:$H,ROW()+7))</f>
        <v/>
      </c>
      <c r="K257" s="120" t="str" cm="1">
        <f t="array" ref="K257">IF(I257="","",INDEX('Test schedule'!$J:$J,ROW()+7))</f>
        <v/>
      </c>
      <c r="L257" s="129" t="str" cm="1">
        <f t="array" ref="L257">IF(OR(I257="",INDEX('Test schedule'!$T:$T,ROW()+7)=""),"",INDEX('Test schedule'!$T:$T,ROW()+7))</f>
        <v/>
      </c>
    </row>
    <row r="258" spans="2:12" ht="15" customHeight="1">
      <c r="B258" s="116" t="str">
        <f t="shared" si="26"/>
        <v/>
      </c>
      <c r="C258" s="117" t="str">
        <f t="shared" si="22"/>
        <v/>
      </c>
      <c r="D258" s="116" t="str">
        <f t="shared" si="23"/>
        <v/>
      </c>
      <c r="E258" s="120" t="str">
        <f t="shared" si="24"/>
        <v/>
      </c>
      <c r="F258" s="118" t="str">
        <f t="shared" si="25"/>
        <v/>
      </c>
      <c r="G258" s="126">
        <f t="shared" si="27"/>
        <v>42</v>
      </c>
      <c r="H258" s="116" t="str">
        <f t="shared" si="28"/>
        <v/>
      </c>
      <c r="I258" s="117" t="str" cm="1">
        <f t="array" ref="I25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Calculators'!$B$2+ICS4Test!$E256,""))</f>
        <v/>
      </c>
      <c r="J258" s="116" t="str" cm="1">
        <f t="array" ref="J258">IF(I258="","",INDEX('Test schedule'!$H:$H,ROW()+7))</f>
        <v/>
      </c>
      <c r="K258" s="120" t="str" cm="1">
        <f t="array" ref="K258">IF(I258="","",INDEX('Test schedule'!$J:$J,ROW()+7))</f>
        <v/>
      </c>
      <c r="L258" s="129" t="str" cm="1">
        <f t="array" ref="L258">IF(OR(I258="",INDEX('Test schedule'!$T:$T,ROW()+7)=""),"",INDEX('Test schedule'!$T:$T,ROW()+7))</f>
        <v/>
      </c>
    </row>
    <row r="259" spans="2:12" ht="15" customHeight="1">
      <c r="B259" s="116" t="str">
        <f t="shared" si="26"/>
        <v/>
      </c>
      <c r="C259" s="117" t="str">
        <f t="shared" si="22"/>
        <v/>
      </c>
      <c r="D259" s="116" t="str">
        <f t="shared" si="23"/>
        <v/>
      </c>
      <c r="E259" s="120" t="str">
        <f t="shared" si="24"/>
        <v/>
      </c>
      <c r="F259" s="118" t="str">
        <f t="shared" si="25"/>
        <v/>
      </c>
      <c r="G259" s="126">
        <f t="shared" si="27"/>
        <v>42</v>
      </c>
      <c r="H259" s="116" t="str">
        <f t="shared" si="28"/>
        <v/>
      </c>
      <c r="I259" s="117" t="str" cm="1">
        <f t="array" ref="I25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Calculators'!$B$2+ICS4Test!$E257,""))</f>
        <v/>
      </c>
      <c r="J259" s="116" t="str" cm="1">
        <f t="array" ref="J259">IF(I259="","",INDEX('Test schedule'!$H:$H,ROW()+7))</f>
        <v/>
      </c>
      <c r="K259" s="120" t="str" cm="1">
        <f t="array" ref="K259">IF(I259="","",INDEX('Test schedule'!$J:$J,ROW()+7))</f>
        <v/>
      </c>
      <c r="L259" s="129" t="str" cm="1">
        <f t="array" ref="L259">IF(OR(I259="",INDEX('Test schedule'!$T:$T,ROW()+7)=""),"",INDEX('Test schedule'!$T:$T,ROW()+7))</f>
        <v/>
      </c>
    </row>
    <row r="260" spans="2:12" ht="15" customHeight="1">
      <c r="B260" s="116" t="str">
        <f t="shared" si="26"/>
        <v/>
      </c>
      <c r="C260" s="117" t="str">
        <f t="shared" ref="C260:C323" si="29">IFERROR(INDEX($I$4:$I$500,MATCH(ROW()-3,$G$4:$G$500,0)),"")</f>
        <v/>
      </c>
      <c r="D260" s="116" t="str">
        <f t="shared" ref="D260:D323" si="30">IFERROR(INDEX($J$4:$J$500,MATCH(ROW()-3,$G$4:$G$500,0)),"")</f>
        <v/>
      </c>
      <c r="E260" s="120" t="str">
        <f t="shared" ref="E260:E323" si="31">IFERROR(INDEX($K$4:$K$500,MATCH(ROW()-3,$G$4:$G$500,0)),"")</f>
        <v/>
      </c>
      <c r="F260" s="118" t="str">
        <f t="shared" ref="F260:F323" si="32">IFERROR(INDEX($L$4:$L$500,MATCH(ROW()-3,$G$4:$G$500,0)),"")</f>
        <v/>
      </c>
      <c r="G260" s="126">
        <f t="shared" si="27"/>
        <v>42</v>
      </c>
      <c r="H260" s="116" t="str">
        <f t="shared" si="28"/>
        <v/>
      </c>
      <c r="I260" s="117" t="str" cm="1">
        <f t="array" ref="I26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Calculators'!$B$2+ICS4Test!$E258,""))</f>
        <v/>
      </c>
      <c r="J260" s="116" t="str" cm="1">
        <f t="array" ref="J260">IF(I260="","",INDEX('Test schedule'!$H:$H,ROW()+7))</f>
        <v/>
      </c>
      <c r="K260" s="120" t="str" cm="1">
        <f t="array" ref="K260">IF(I260="","",INDEX('Test schedule'!$J:$J,ROW()+7))</f>
        <v/>
      </c>
      <c r="L260" s="129" t="str" cm="1">
        <f t="array" ref="L260">IF(OR(I260="",INDEX('Test schedule'!$T:$T,ROW()+7)=""),"",INDEX('Test schedule'!$T:$T,ROW()+7))</f>
        <v/>
      </c>
    </row>
    <row r="261" spans="2:12" ht="15" customHeight="1">
      <c r="B261" s="116" t="str">
        <f t="shared" ref="B261:B324" si="33">IFERROR(IF(AND(INDEX($H$4:$H$500,MATCH(ROW()-3,$G$4:$G$500,0))&gt;C260,INDEX($I$4:$I$500,MATCH(ROW()-3,$G$4:$G$500,0))&lt;&gt;"END"),C260,INDEX($H$4:$H$500,MATCH(ROW()-3,$G$4:$G$500,0))),"")</f>
        <v/>
      </c>
      <c r="C261" s="117" t="str">
        <f t="shared" si="29"/>
        <v/>
      </c>
      <c r="D261" s="116" t="str">
        <f t="shared" si="30"/>
        <v/>
      </c>
      <c r="E261" s="120" t="str">
        <f t="shared" si="31"/>
        <v/>
      </c>
      <c r="F261" s="118" t="str">
        <f t="shared" si="32"/>
        <v/>
      </c>
      <c r="G261" s="126">
        <f t="shared" ref="G261:G324" si="34">G260+IF(I261&lt;&gt;"",1,0)</f>
        <v>42</v>
      </c>
      <c r="H261" s="116" t="str">
        <f t="shared" si="28"/>
        <v/>
      </c>
      <c r="I261" s="117" t="str" cm="1">
        <f t="array" ref="I26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Calculators'!$B$2+ICS4Test!$E259,""))</f>
        <v/>
      </c>
      <c r="J261" s="116" t="str" cm="1">
        <f t="array" ref="J261">IF(I261="","",INDEX('Test schedule'!$H:$H,ROW()+7))</f>
        <v/>
      </c>
      <c r="K261" s="120" t="str" cm="1">
        <f t="array" ref="K261">IF(I261="","",INDEX('Test schedule'!$J:$J,ROW()+7))</f>
        <v/>
      </c>
      <c r="L261" s="129" t="str" cm="1">
        <f t="array" ref="L261">IF(OR(I261="",INDEX('Test schedule'!$T:$T,ROW()+7)=""),"",INDEX('Test schedule'!$T:$T,ROW()+7))</f>
        <v/>
      </c>
    </row>
    <row r="262" spans="2:12" ht="15" customHeight="1">
      <c r="B262" s="116" t="str">
        <f t="shared" si="33"/>
        <v/>
      </c>
      <c r="C262" s="117" t="str">
        <f t="shared" si="29"/>
        <v/>
      </c>
      <c r="D262" s="116" t="str">
        <f t="shared" si="30"/>
        <v/>
      </c>
      <c r="E262" s="120" t="str">
        <f t="shared" si="31"/>
        <v/>
      </c>
      <c r="F262" s="118" t="str">
        <f t="shared" si="32"/>
        <v/>
      </c>
      <c r="G262" s="126">
        <f t="shared" si="34"/>
        <v>42</v>
      </c>
      <c r="H262" s="116" t="str">
        <f t="shared" si="28"/>
        <v/>
      </c>
      <c r="I262" s="117" t="str" cm="1">
        <f t="array" ref="I26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Calculators'!$B$2+ICS4Test!$E260,""))</f>
        <v/>
      </c>
      <c r="J262" s="116" t="str" cm="1">
        <f t="array" ref="J262">IF(I262="","",INDEX('Test schedule'!$H:$H,ROW()+7))</f>
        <v/>
      </c>
      <c r="K262" s="120" t="str" cm="1">
        <f t="array" ref="K262">IF(I262="","",INDEX('Test schedule'!$J:$J,ROW()+7))</f>
        <v/>
      </c>
      <c r="L262" s="129" t="str" cm="1">
        <f t="array" ref="L262">IF(OR(I262="",INDEX('Test schedule'!$T:$T,ROW()+7)=""),"",INDEX('Test schedule'!$T:$T,ROW()+7))</f>
        <v/>
      </c>
    </row>
    <row r="263" spans="2:12" ht="15" customHeight="1">
      <c r="B263" s="116" t="str">
        <f t="shared" si="33"/>
        <v/>
      </c>
      <c r="C263" s="117" t="str">
        <f t="shared" si="29"/>
        <v/>
      </c>
      <c r="D263" s="116" t="str">
        <f t="shared" si="30"/>
        <v/>
      </c>
      <c r="E263" s="120" t="str">
        <f t="shared" si="31"/>
        <v/>
      </c>
      <c r="F263" s="118" t="str">
        <f t="shared" si="32"/>
        <v/>
      </c>
      <c r="G263" s="126">
        <f t="shared" si="34"/>
        <v>42</v>
      </c>
      <c r="H263" s="116" t="str">
        <f t="shared" si="28"/>
        <v/>
      </c>
      <c r="I263" s="117" t="str" cm="1">
        <f t="array" ref="I26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Calculators'!$B$2+ICS4Test!$E261,""))</f>
        <v/>
      </c>
      <c r="J263" s="116" t="str" cm="1">
        <f t="array" ref="J263">IF(I263="","",INDEX('Test schedule'!$H:$H,ROW()+7))</f>
        <v/>
      </c>
      <c r="K263" s="120" t="str" cm="1">
        <f t="array" ref="K263">IF(I263="","",INDEX('Test schedule'!$J:$J,ROW()+7))</f>
        <v/>
      </c>
      <c r="L263" s="129" t="str" cm="1">
        <f t="array" ref="L263">IF(OR(I263="",INDEX('Test schedule'!$T:$T,ROW()+7)=""),"",INDEX('Test schedule'!$T:$T,ROW()+7))</f>
        <v/>
      </c>
    </row>
    <row r="264" spans="2:12" ht="15" customHeight="1">
      <c r="B264" s="116" t="str">
        <f t="shared" si="33"/>
        <v/>
      </c>
      <c r="C264" s="117" t="str">
        <f t="shared" si="29"/>
        <v/>
      </c>
      <c r="D264" s="116" t="str">
        <f t="shared" si="30"/>
        <v/>
      </c>
      <c r="E264" s="120" t="str">
        <f t="shared" si="31"/>
        <v/>
      </c>
      <c r="F264" s="118" t="str">
        <f t="shared" si="32"/>
        <v/>
      </c>
      <c r="G264" s="126">
        <f t="shared" si="34"/>
        <v>42</v>
      </c>
      <c r="H264" s="116" t="str">
        <f t="shared" si="28"/>
        <v/>
      </c>
      <c r="I264" s="117" t="str" cm="1">
        <f t="array" ref="I26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Calculators'!$B$2+ICS4Test!$E262,""))</f>
        <v/>
      </c>
      <c r="J264" s="116" t="str" cm="1">
        <f t="array" ref="J264">IF(I264="","",INDEX('Test schedule'!$H:$H,ROW()+7))</f>
        <v/>
      </c>
      <c r="K264" s="120" t="str" cm="1">
        <f t="array" ref="K264">IF(I264="","",INDEX('Test schedule'!$J:$J,ROW()+7))</f>
        <v/>
      </c>
      <c r="L264" s="129" t="str" cm="1">
        <f t="array" ref="L264">IF(OR(I264="",INDEX('Test schedule'!$T:$T,ROW()+7)=""),"",INDEX('Test schedule'!$T:$T,ROW()+7))</f>
        <v/>
      </c>
    </row>
    <row r="265" spans="2:12" ht="15" customHeight="1">
      <c r="B265" s="116" t="str">
        <f t="shared" si="33"/>
        <v/>
      </c>
      <c r="C265" s="117" t="str">
        <f t="shared" si="29"/>
        <v/>
      </c>
      <c r="D265" s="116" t="str">
        <f t="shared" si="30"/>
        <v/>
      </c>
      <c r="E265" s="120" t="str">
        <f t="shared" si="31"/>
        <v/>
      </c>
      <c r="F265" s="118" t="str">
        <f t="shared" si="32"/>
        <v/>
      </c>
      <c r="G265" s="126">
        <f t="shared" si="34"/>
        <v>42</v>
      </c>
      <c r="H265" s="116" t="str">
        <f t="shared" si="28"/>
        <v/>
      </c>
      <c r="I265" s="117" t="str" cm="1">
        <f t="array" ref="I26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Calculators'!$B$2+ICS4Test!$E263,""))</f>
        <v/>
      </c>
      <c r="J265" s="116" t="str" cm="1">
        <f t="array" ref="J265">IF(I265="","",INDEX('Test schedule'!$H:$H,ROW()+7))</f>
        <v/>
      </c>
      <c r="K265" s="120" t="str" cm="1">
        <f t="array" ref="K265">IF(I265="","",INDEX('Test schedule'!$J:$J,ROW()+7))</f>
        <v/>
      </c>
      <c r="L265" s="129" t="str" cm="1">
        <f t="array" ref="L265">IF(OR(I265="",INDEX('Test schedule'!$T:$T,ROW()+7)=""),"",INDEX('Test schedule'!$T:$T,ROW()+7))</f>
        <v/>
      </c>
    </row>
    <row r="266" spans="2:12" ht="15" customHeight="1">
      <c r="B266" s="116" t="str">
        <f t="shared" si="33"/>
        <v/>
      </c>
      <c r="C266" s="117" t="str">
        <f t="shared" si="29"/>
        <v/>
      </c>
      <c r="D266" s="116" t="str">
        <f t="shared" si="30"/>
        <v/>
      </c>
      <c r="E266" s="120" t="str">
        <f t="shared" si="31"/>
        <v/>
      </c>
      <c r="F266" s="118" t="str">
        <f t="shared" si="32"/>
        <v/>
      </c>
      <c r="G266" s="126">
        <f t="shared" si="34"/>
        <v>42</v>
      </c>
      <c r="H266" s="116" t="str">
        <f t="shared" si="28"/>
        <v/>
      </c>
      <c r="I266" s="117" t="str" cm="1">
        <f t="array" ref="I26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Calculators'!$B$2+ICS4Test!$E264,""))</f>
        <v/>
      </c>
      <c r="J266" s="116" t="str" cm="1">
        <f t="array" ref="J266">IF(I266="","",INDEX('Test schedule'!$H:$H,ROW()+7))</f>
        <v/>
      </c>
      <c r="K266" s="120" t="str" cm="1">
        <f t="array" ref="K266">IF(I266="","",INDEX('Test schedule'!$J:$J,ROW()+7))</f>
        <v/>
      </c>
      <c r="L266" s="129" t="str" cm="1">
        <f t="array" ref="L266">IF(OR(I266="",INDEX('Test schedule'!$T:$T,ROW()+7)=""),"",INDEX('Test schedule'!$T:$T,ROW()+7))</f>
        <v/>
      </c>
    </row>
    <row r="267" spans="2:12" ht="15" customHeight="1">
      <c r="B267" s="116" t="str">
        <f t="shared" si="33"/>
        <v/>
      </c>
      <c r="C267" s="117" t="str">
        <f t="shared" si="29"/>
        <v/>
      </c>
      <c r="D267" s="116" t="str">
        <f t="shared" si="30"/>
        <v/>
      </c>
      <c r="E267" s="120" t="str">
        <f t="shared" si="31"/>
        <v/>
      </c>
      <c r="F267" s="118" t="str">
        <f t="shared" si="32"/>
        <v/>
      </c>
      <c r="G267" s="126">
        <f t="shared" si="34"/>
        <v>42</v>
      </c>
      <c r="H267" s="116" t="str">
        <f t="shared" si="28"/>
        <v/>
      </c>
      <c r="I267" s="117" t="str" cm="1">
        <f t="array" ref="I26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Calculators'!$B$2+ICS4Test!$E265,""))</f>
        <v/>
      </c>
      <c r="J267" s="116" t="str" cm="1">
        <f t="array" ref="J267">IF(I267="","",INDEX('Test schedule'!$H:$H,ROW()+7))</f>
        <v/>
      </c>
      <c r="K267" s="120" t="str" cm="1">
        <f t="array" ref="K267">IF(I267="","",INDEX('Test schedule'!$J:$J,ROW()+7))</f>
        <v/>
      </c>
      <c r="L267" s="129" t="str" cm="1">
        <f t="array" ref="L267">IF(OR(I267="",INDEX('Test schedule'!$T:$T,ROW()+7)=""),"",INDEX('Test schedule'!$T:$T,ROW()+7))</f>
        <v/>
      </c>
    </row>
    <row r="268" spans="2:12" ht="15" customHeight="1">
      <c r="B268" s="116" t="str">
        <f t="shared" si="33"/>
        <v/>
      </c>
      <c r="C268" s="117" t="str">
        <f t="shared" si="29"/>
        <v/>
      </c>
      <c r="D268" s="116" t="str">
        <f t="shared" si="30"/>
        <v/>
      </c>
      <c r="E268" s="120" t="str">
        <f t="shared" si="31"/>
        <v/>
      </c>
      <c r="F268" s="118" t="str">
        <f t="shared" si="32"/>
        <v/>
      </c>
      <c r="G268" s="126">
        <f t="shared" si="34"/>
        <v>42</v>
      </c>
      <c r="H268" s="116" t="str">
        <f t="shared" si="28"/>
        <v/>
      </c>
      <c r="I268" s="117" t="str" cm="1">
        <f t="array" ref="I26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Calculators'!$B$2+ICS4Test!$E266,""))</f>
        <v/>
      </c>
      <c r="J268" s="116" t="str" cm="1">
        <f t="array" ref="J268">IF(I268="","",INDEX('Test schedule'!$H:$H,ROW()+7))</f>
        <v/>
      </c>
      <c r="K268" s="120" t="str" cm="1">
        <f t="array" ref="K268">IF(I268="","",INDEX('Test schedule'!$J:$J,ROW()+7))</f>
        <v/>
      </c>
      <c r="L268" s="129" t="str" cm="1">
        <f t="array" ref="L268">IF(OR(I268="",INDEX('Test schedule'!$T:$T,ROW()+7)=""),"",INDEX('Test schedule'!$T:$T,ROW()+7))</f>
        <v/>
      </c>
    </row>
    <row r="269" spans="2:12" ht="15" customHeight="1">
      <c r="B269" s="116" t="str">
        <f t="shared" si="33"/>
        <v/>
      </c>
      <c r="C269" s="117" t="str">
        <f t="shared" si="29"/>
        <v/>
      </c>
      <c r="D269" s="116" t="str">
        <f t="shared" si="30"/>
        <v/>
      </c>
      <c r="E269" s="120" t="str">
        <f t="shared" si="31"/>
        <v/>
      </c>
      <c r="F269" s="118" t="str">
        <f t="shared" si="32"/>
        <v/>
      </c>
      <c r="G269" s="126">
        <f t="shared" si="34"/>
        <v>42</v>
      </c>
      <c r="H269" s="116" t="str">
        <f t="shared" si="28"/>
        <v/>
      </c>
      <c r="I269" s="117" t="str" cm="1">
        <f t="array" ref="I26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Calculators'!$B$2+ICS4Test!$E267,""))</f>
        <v/>
      </c>
      <c r="J269" s="116" t="str" cm="1">
        <f t="array" ref="J269">IF(I269="","",INDEX('Test schedule'!$H:$H,ROW()+7))</f>
        <v/>
      </c>
      <c r="K269" s="120" t="str" cm="1">
        <f t="array" ref="K269">IF(I269="","",INDEX('Test schedule'!$J:$J,ROW()+7))</f>
        <v/>
      </c>
      <c r="L269" s="129" t="str" cm="1">
        <f t="array" ref="L269">IF(OR(I269="",INDEX('Test schedule'!$T:$T,ROW()+7)=""),"",INDEX('Test schedule'!$T:$T,ROW()+7))</f>
        <v/>
      </c>
    </row>
    <row r="270" spans="2:12" ht="15" customHeight="1">
      <c r="B270" s="116" t="str">
        <f t="shared" si="33"/>
        <v/>
      </c>
      <c r="C270" s="117" t="str">
        <f t="shared" si="29"/>
        <v/>
      </c>
      <c r="D270" s="116" t="str">
        <f t="shared" si="30"/>
        <v/>
      </c>
      <c r="E270" s="120" t="str">
        <f t="shared" si="31"/>
        <v/>
      </c>
      <c r="F270" s="118" t="str">
        <f t="shared" si="32"/>
        <v/>
      </c>
      <c r="G270" s="126">
        <f t="shared" si="34"/>
        <v>42</v>
      </c>
      <c r="H270" s="116" t="str">
        <f t="shared" si="28"/>
        <v/>
      </c>
      <c r="I270" s="117" t="str" cm="1">
        <f t="array" ref="I27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Calculators'!$B$2+ICS4Test!$E268,""))</f>
        <v/>
      </c>
      <c r="J270" s="116" t="str" cm="1">
        <f t="array" ref="J270">IF(I270="","",INDEX('Test schedule'!$H:$H,ROW()+7))</f>
        <v/>
      </c>
      <c r="K270" s="120" t="str" cm="1">
        <f t="array" ref="K270">IF(I270="","",INDEX('Test schedule'!$J:$J,ROW()+7))</f>
        <v/>
      </c>
      <c r="L270" s="129" t="str" cm="1">
        <f t="array" ref="L270">IF(OR(I270="",INDEX('Test schedule'!$T:$T,ROW()+7)=""),"",INDEX('Test schedule'!$T:$T,ROW()+7))</f>
        <v/>
      </c>
    </row>
    <row r="271" spans="2:12" ht="15" customHeight="1">
      <c r="B271" s="116" t="str">
        <f t="shared" si="33"/>
        <v/>
      </c>
      <c r="C271" s="117" t="str">
        <f t="shared" si="29"/>
        <v/>
      </c>
      <c r="D271" s="116" t="str">
        <f t="shared" si="30"/>
        <v/>
      </c>
      <c r="E271" s="120" t="str">
        <f t="shared" si="31"/>
        <v/>
      </c>
      <c r="F271" s="118" t="str">
        <f t="shared" si="32"/>
        <v/>
      </c>
      <c r="G271" s="126">
        <f t="shared" si="34"/>
        <v>42</v>
      </c>
      <c r="H271" s="116" t="str">
        <f t="shared" si="28"/>
        <v/>
      </c>
      <c r="I271" s="117" t="str" cm="1">
        <f t="array" ref="I27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Calculators'!$B$2+ICS4Test!$E269,""))</f>
        <v/>
      </c>
      <c r="J271" s="116" t="str" cm="1">
        <f t="array" ref="J271">IF(I271="","",INDEX('Test schedule'!$H:$H,ROW()+7))</f>
        <v/>
      </c>
      <c r="K271" s="120" t="str" cm="1">
        <f t="array" ref="K271">IF(I271="","",INDEX('Test schedule'!$J:$J,ROW()+7))</f>
        <v/>
      </c>
      <c r="L271" s="129" t="str" cm="1">
        <f t="array" ref="L271">IF(OR(I271="",INDEX('Test schedule'!$T:$T,ROW()+7)=""),"",INDEX('Test schedule'!$T:$T,ROW()+7))</f>
        <v/>
      </c>
    </row>
    <row r="272" spans="2:12" ht="15" customHeight="1">
      <c r="B272" s="116" t="str">
        <f t="shared" si="33"/>
        <v/>
      </c>
      <c r="C272" s="117" t="str">
        <f t="shared" si="29"/>
        <v/>
      </c>
      <c r="D272" s="116" t="str">
        <f t="shared" si="30"/>
        <v/>
      </c>
      <c r="E272" s="120" t="str">
        <f t="shared" si="31"/>
        <v/>
      </c>
      <c r="F272" s="118" t="str">
        <f t="shared" si="32"/>
        <v/>
      </c>
      <c r="G272" s="126">
        <f t="shared" si="34"/>
        <v>42</v>
      </c>
      <c r="H272" s="116" t="str">
        <f t="shared" si="28"/>
        <v/>
      </c>
      <c r="I272" s="117" t="str" cm="1">
        <f t="array" ref="I27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Calculators'!$B$2+ICS4Test!$E270,""))</f>
        <v/>
      </c>
      <c r="J272" s="116" t="str" cm="1">
        <f t="array" ref="J272">IF(I272="","",INDEX('Test schedule'!$H:$H,ROW()+7))</f>
        <v/>
      </c>
      <c r="K272" s="120" t="str" cm="1">
        <f t="array" ref="K272">IF(I272="","",INDEX('Test schedule'!$J:$J,ROW()+7))</f>
        <v/>
      </c>
      <c r="L272" s="129" t="str" cm="1">
        <f t="array" ref="L272">IF(OR(I272="",INDEX('Test schedule'!$T:$T,ROW()+7)=""),"",INDEX('Test schedule'!$T:$T,ROW()+7))</f>
        <v/>
      </c>
    </row>
    <row r="273" spans="2:12" ht="15" customHeight="1">
      <c r="B273" s="116" t="str">
        <f t="shared" si="33"/>
        <v/>
      </c>
      <c r="C273" s="117" t="str">
        <f t="shared" si="29"/>
        <v/>
      </c>
      <c r="D273" s="116" t="str">
        <f t="shared" si="30"/>
        <v/>
      </c>
      <c r="E273" s="120" t="str">
        <f t="shared" si="31"/>
        <v/>
      </c>
      <c r="F273" s="118" t="str">
        <f t="shared" si="32"/>
        <v/>
      </c>
      <c r="G273" s="126">
        <f t="shared" si="34"/>
        <v>42</v>
      </c>
      <c r="H273" s="116" t="str">
        <f t="shared" si="28"/>
        <v/>
      </c>
      <c r="I273" s="117" t="str" cm="1">
        <f t="array" ref="I27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Calculators'!$B$2+ICS4Test!$E271,""))</f>
        <v/>
      </c>
      <c r="J273" s="116" t="str" cm="1">
        <f t="array" ref="J273">IF(I273="","",INDEX('Test schedule'!$H:$H,ROW()+7))</f>
        <v/>
      </c>
      <c r="K273" s="120" t="str" cm="1">
        <f t="array" ref="K273">IF(I273="","",INDEX('Test schedule'!$J:$J,ROW()+7))</f>
        <v/>
      </c>
      <c r="L273" s="129" t="str" cm="1">
        <f t="array" ref="L273">IF(OR(I273="",INDEX('Test schedule'!$T:$T,ROW()+7)=""),"",INDEX('Test schedule'!$T:$T,ROW()+7))</f>
        <v/>
      </c>
    </row>
    <row r="274" spans="2:12" ht="15" customHeight="1">
      <c r="B274" s="116" t="str">
        <f t="shared" si="33"/>
        <v/>
      </c>
      <c r="C274" s="117" t="str">
        <f t="shared" si="29"/>
        <v/>
      </c>
      <c r="D274" s="116" t="str">
        <f t="shared" si="30"/>
        <v/>
      </c>
      <c r="E274" s="120" t="str">
        <f t="shared" si="31"/>
        <v/>
      </c>
      <c r="F274" s="118" t="str">
        <f t="shared" si="32"/>
        <v/>
      </c>
      <c r="G274" s="126">
        <f t="shared" si="34"/>
        <v>42</v>
      </c>
      <c r="H274" s="116" t="str">
        <f t="shared" si="28"/>
        <v/>
      </c>
      <c r="I274" s="117" t="str" cm="1">
        <f t="array" ref="I27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Calculators'!$B$2+ICS4Test!$E272,""))</f>
        <v/>
      </c>
      <c r="J274" s="116" t="str" cm="1">
        <f t="array" ref="J274">IF(I274="","",INDEX('Test schedule'!$H:$H,ROW()+7))</f>
        <v/>
      </c>
      <c r="K274" s="120" t="str" cm="1">
        <f t="array" ref="K274">IF(I274="","",INDEX('Test schedule'!$J:$J,ROW()+7))</f>
        <v/>
      </c>
      <c r="L274" s="129" t="str" cm="1">
        <f t="array" ref="L274">IF(OR(I274="",INDEX('Test schedule'!$T:$T,ROW()+7)=""),"",INDEX('Test schedule'!$T:$T,ROW()+7))</f>
        <v/>
      </c>
    </row>
    <row r="275" spans="2:12" ht="15" customHeight="1">
      <c r="B275" s="116" t="str">
        <f t="shared" si="33"/>
        <v/>
      </c>
      <c r="C275" s="117" t="str">
        <f t="shared" si="29"/>
        <v/>
      </c>
      <c r="D275" s="116" t="str">
        <f t="shared" si="30"/>
        <v/>
      </c>
      <c r="E275" s="120" t="str">
        <f t="shared" si="31"/>
        <v/>
      </c>
      <c r="F275" s="118" t="str">
        <f t="shared" si="32"/>
        <v/>
      </c>
      <c r="G275" s="126">
        <f t="shared" si="34"/>
        <v>42</v>
      </c>
      <c r="H275" s="116" t="str">
        <f t="shared" si="28"/>
        <v/>
      </c>
      <c r="I275" s="117" t="str" cm="1">
        <f t="array" ref="I27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Calculators'!$B$2+ICS4Test!$E273,""))</f>
        <v/>
      </c>
      <c r="J275" s="116" t="str" cm="1">
        <f t="array" ref="J275">IF(I275="","",INDEX('Test schedule'!$H:$H,ROW()+7))</f>
        <v/>
      </c>
      <c r="K275" s="120" t="str" cm="1">
        <f t="array" ref="K275">IF(I275="","",INDEX('Test schedule'!$J:$J,ROW()+7))</f>
        <v/>
      </c>
      <c r="L275" s="129" t="str" cm="1">
        <f t="array" ref="L275">IF(OR(I275="",INDEX('Test schedule'!$T:$T,ROW()+7)=""),"",INDEX('Test schedule'!$T:$T,ROW()+7))</f>
        <v/>
      </c>
    </row>
    <row r="276" spans="2:12" ht="15" customHeight="1">
      <c r="B276" s="116" t="str">
        <f t="shared" si="33"/>
        <v/>
      </c>
      <c r="C276" s="117" t="str">
        <f t="shared" si="29"/>
        <v/>
      </c>
      <c r="D276" s="116" t="str">
        <f t="shared" si="30"/>
        <v/>
      </c>
      <c r="E276" s="120" t="str">
        <f t="shared" si="31"/>
        <v/>
      </c>
      <c r="F276" s="118" t="str">
        <f t="shared" si="32"/>
        <v/>
      </c>
      <c r="G276" s="126">
        <f t="shared" si="34"/>
        <v>42</v>
      </c>
      <c r="H276" s="116" t="str">
        <f t="shared" si="28"/>
        <v/>
      </c>
      <c r="I276" s="117" t="str" cm="1">
        <f t="array" ref="I27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Calculators'!$B$2+ICS4Test!$E274,""))</f>
        <v/>
      </c>
      <c r="J276" s="116" t="str" cm="1">
        <f t="array" ref="J276">IF(I276="","",INDEX('Test schedule'!$H:$H,ROW()+7))</f>
        <v/>
      </c>
      <c r="K276" s="120" t="str" cm="1">
        <f t="array" ref="K276">IF(I276="","",INDEX('Test schedule'!$J:$J,ROW()+7))</f>
        <v/>
      </c>
      <c r="L276" s="129" t="str" cm="1">
        <f t="array" ref="L276">IF(OR(I276="",INDEX('Test schedule'!$T:$T,ROW()+7)=""),"",INDEX('Test schedule'!$T:$T,ROW()+7))</f>
        <v/>
      </c>
    </row>
    <row r="277" spans="2:12" ht="15" customHeight="1">
      <c r="B277" s="116" t="str">
        <f t="shared" si="33"/>
        <v/>
      </c>
      <c r="C277" s="117" t="str">
        <f t="shared" si="29"/>
        <v/>
      </c>
      <c r="D277" s="116" t="str">
        <f t="shared" si="30"/>
        <v/>
      </c>
      <c r="E277" s="120" t="str">
        <f t="shared" si="31"/>
        <v/>
      </c>
      <c r="F277" s="118" t="str">
        <f t="shared" si="32"/>
        <v/>
      </c>
      <c r="G277" s="126">
        <f t="shared" si="34"/>
        <v>42</v>
      </c>
      <c r="H277" s="116" t="str">
        <f t="shared" si="28"/>
        <v/>
      </c>
      <c r="I277" s="117" t="str" cm="1">
        <f t="array" ref="I27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Calculators'!$B$2+ICS4Test!$E275,""))</f>
        <v/>
      </c>
      <c r="J277" s="116" t="str" cm="1">
        <f t="array" ref="J277">IF(I277="","",INDEX('Test schedule'!$H:$H,ROW()+7))</f>
        <v/>
      </c>
      <c r="K277" s="120" t="str" cm="1">
        <f t="array" ref="K277">IF(I277="","",INDEX('Test schedule'!$J:$J,ROW()+7))</f>
        <v/>
      </c>
      <c r="L277" s="129" t="str" cm="1">
        <f t="array" ref="L277">IF(OR(I277="",INDEX('Test schedule'!$T:$T,ROW()+7)=""),"",INDEX('Test schedule'!$T:$T,ROW()+7))</f>
        <v/>
      </c>
    </row>
    <row r="278" spans="2:12" ht="15" customHeight="1">
      <c r="B278" s="116" t="str">
        <f t="shared" si="33"/>
        <v/>
      </c>
      <c r="C278" s="117" t="str">
        <f t="shared" si="29"/>
        <v/>
      </c>
      <c r="D278" s="116" t="str">
        <f t="shared" si="30"/>
        <v/>
      </c>
      <c r="E278" s="120" t="str">
        <f t="shared" si="31"/>
        <v/>
      </c>
      <c r="F278" s="118" t="str">
        <f t="shared" si="32"/>
        <v/>
      </c>
      <c r="G278" s="126">
        <f t="shared" si="34"/>
        <v>42</v>
      </c>
      <c r="H278" s="116" t="str">
        <f t="shared" si="28"/>
        <v/>
      </c>
      <c r="I278" s="117" t="str" cm="1">
        <f t="array" ref="I27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Calculators'!$B$2+ICS4Test!$E276,""))</f>
        <v/>
      </c>
      <c r="J278" s="116" t="str" cm="1">
        <f t="array" ref="J278">IF(I278="","",INDEX('Test schedule'!$H:$H,ROW()+7))</f>
        <v/>
      </c>
      <c r="K278" s="120" t="str" cm="1">
        <f t="array" ref="K278">IF(I278="","",INDEX('Test schedule'!$J:$J,ROW()+7))</f>
        <v/>
      </c>
      <c r="L278" s="129" t="str" cm="1">
        <f t="array" ref="L278">IF(OR(I278="",INDEX('Test schedule'!$T:$T,ROW()+7)=""),"",INDEX('Test schedule'!$T:$T,ROW()+7))</f>
        <v/>
      </c>
    </row>
    <row r="279" spans="2:12" ht="15" customHeight="1">
      <c r="B279" s="116" t="str">
        <f t="shared" si="33"/>
        <v/>
      </c>
      <c r="C279" s="117" t="str">
        <f t="shared" si="29"/>
        <v/>
      </c>
      <c r="D279" s="116" t="str">
        <f t="shared" si="30"/>
        <v/>
      </c>
      <c r="E279" s="120" t="str">
        <f t="shared" si="31"/>
        <v/>
      </c>
      <c r="F279" s="118" t="str">
        <f t="shared" si="32"/>
        <v/>
      </c>
      <c r="G279" s="126">
        <f t="shared" si="34"/>
        <v>42</v>
      </c>
      <c r="H279" s="116" t="str">
        <f t="shared" si="28"/>
        <v/>
      </c>
      <c r="I279" s="117" t="str" cm="1">
        <f t="array" ref="I27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Calculators'!$B$2+ICS4Test!$E277,""))</f>
        <v/>
      </c>
      <c r="J279" s="116" t="str" cm="1">
        <f t="array" ref="J279">IF(I279="","",INDEX('Test schedule'!$H:$H,ROW()+7))</f>
        <v/>
      </c>
      <c r="K279" s="120" t="str" cm="1">
        <f t="array" ref="K279">IF(I279="","",INDEX('Test schedule'!$J:$J,ROW()+7))</f>
        <v/>
      </c>
      <c r="L279" s="129" t="str" cm="1">
        <f t="array" ref="L279">IF(OR(I279="",INDEX('Test schedule'!$T:$T,ROW()+7)=""),"",INDEX('Test schedule'!$T:$T,ROW()+7))</f>
        <v/>
      </c>
    </row>
    <row r="280" spans="2:12" ht="15" customHeight="1">
      <c r="B280" s="116" t="str">
        <f t="shared" si="33"/>
        <v/>
      </c>
      <c r="C280" s="117" t="str">
        <f t="shared" si="29"/>
        <v/>
      </c>
      <c r="D280" s="116" t="str">
        <f t="shared" si="30"/>
        <v/>
      </c>
      <c r="E280" s="120" t="str">
        <f t="shared" si="31"/>
        <v/>
      </c>
      <c r="F280" s="118" t="str">
        <f t="shared" si="32"/>
        <v/>
      </c>
      <c r="G280" s="126">
        <f t="shared" si="34"/>
        <v>42</v>
      </c>
      <c r="H280" s="116" t="str">
        <f t="shared" si="28"/>
        <v/>
      </c>
      <c r="I280" s="117" t="str" cm="1">
        <f t="array" ref="I28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Calculators'!$B$2+ICS4Test!$E278,""))</f>
        <v/>
      </c>
      <c r="J280" s="116" t="str" cm="1">
        <f t="array" ref="J280">IF(I280="","",INDEX('Test schedule'!$H:$H,ROW()+7))</f>
        <v/>
      </c>
      <c r="K280" s="120" t="str" cm="1">
        <f t="array" ref="K280">IF(I280="","",INDEX('Test schedule'!$J:$J,ROW()+7))</f>
        <v/>
      </c>
      <c r="L280" s="129" t="str" cm="1">
        <f t="array" ref="L280">IF(OR(I280="",INDEX('Test schedule'!$T:$T,ROW()+7)=""),"",INDEX('Test schedule'!$T:$T,ROW()+7))</f>
        <v/>
      </c>
    </row>
    <row r="281" spans="2:12" ht="15" customHeight="1">
      <c r="B281" s="116" t="str">
        <f t="shared" si="33"/>
        <v/>
      </c>
      <c r="C281" s="117" t="str">
        <f t="shared" si="29"/>
        <v/>
      </c>
      <c r="D281" s="116" t="str">
        <f t="shared" si="30"/>
        <v/>
      </c>
      <c r="E281" s="120" t="str">
        <f t="shared" si="31"/>
        <v/>
      </c>
      <c r="F281" s="118" t="str">
        <f t="shared" si="32"/>
        <v/>
      </c>
      <c r="G281" s="126">
        <f t="shared" si="34"/>
        <v>42</v>
      </c>
      <c r="H281" s="116" t="str">
        <f t="shared" si="28"/>
        <v/>
      </c>
      <c r="I281" s="117" t="str" cm="1">
        <f t="array" ref="I28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Calculators'!$B$2+ICS4Test!$E279,""))</f>
        <v/>
      </c>
      <c r="J281" s="116" t="str" cm="1">
        <f t="array" ref="J281">IF(I281="","",INDEX('Test schedule'!$H:$H,ROW()+7))</f>
        <v/>
      </c>
      <c r="K281" s="120" t="str" cm="1">
        <f t="array" ref="K281">IF(I281="","",INDEX('Test schedule'!$J:$J,ROW()+7))</f>
        <v/>
      </c>
      <c r="L281" s="129" t="str" cm="1">
        <f t="array" ref="L281">IF(OR(I281="",INDEX('Test schedule'!$T:$T,ROW()+7)=""),"",INDEX('Test schedule'!$T:$T,ROW()+7))</f>
        <v/>
      </c>
    </row>
    <row r="282" spans="2:12" ht="15" customHeight="1">
      <c r="B282" s="116" t="str">
        <f t="shared" si="33"/>
        <v/>
      </c>
      <c r="C282" s="117" t="str">
        <f t="shared" si="29"/>
        <v/>
      </c>
      <c r="D282" s="116" t="str">
        <f t="shared" si="30"/>
        <v/>
      </c>
      <c r="E282" s="120" t="str">
        <f t="shared" si="31"/>
        <v/>
      </c>
      <c r="F282" s="118" t="str">
        <f t="shared" si="32"/>
        <v/>
      </c>
      <c r="G282" s="126">
        <f t="shared" si="34"/>
        <v>42</v>
      </c>
      <c r="H282" s="116" t="str">
        <f t="shared" si="28"/>
        <v/>
      </c>
      <c r="I282" s="117" t="str" cm="1">
        <f t="array" ref="I28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Calculators'!$B$2+ICS4Test!$E280,""))</f>
        <v/>
      </c>
      <c r="J282" s="116" t="str" cm="1">
        <f t="array" ref="J282">IF(I282="","",INDEX('Test schedule'!$H:$H,ROW()+7))</f>
        <v/>
      </c>
      <c r="K282" s="120" t="str" cm="1">
        <f t="array" ref="K282">IF(I282="","",INDEX('Test schedule'!$J:$J,ROW()+7))</f>
        <v/>
      </c>
      <c r="L282" s="129" t="str" cm="1">
        <f t="array" ref="L282">IF(OR(I282="",INDEX('Test schedule'!$T:$T,ROW()+7)=""),"",INDEX('Test schedule'!$T:$T,ROW()+7))</f>
        <v/>
      </c>
    </row>
    <row r="283" spans="2:12" ht="15" customHeight="1">
      <c r="B283" s="116" t="str">
        <f t="shared" si="33"/>
        <v/>
      </c>
      <c r="C283" s="117" t="str">
        <f t="shared" si="29"/>
        <v/>
      </c>
      <c r="D283" s="116" t="str">
        <f t="shared" si="30"/>
        <v/>
      </c>
      <c r="E283" s="120" t="str">
        <f t="shared" si="31"/>
        <v/>
      </c>
      <c r="F283" s="118" t="str">
        <f t="shared" si="32"/>
        <v/>
      </c>
      <c r="G283" s="126">
        <f t="shared" si="34"/>
        <v>42</v>
      </c>
      <c r="H283" s="116" t="str">
        <f t="shared" si="28"/>
        <v/>
      </c>
      <c r="I283" s="117" t="str" cm="1">
        <f t="array" ref="I28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Calculators'!$B$2+ICS4Test!$E281,""))</f>
        <v/>
      </c>
      <c r="J283" s="116" t="str" cm="1">
        <f t="array" ref="J283">IF(I283="","",INDEX('Test schedule'!$H:$H,ROW()+7))</f>
        <v/>
      </c>
      <c r="K283" s="120" t="str" cm="1">
        <f t="array" ref="K283">IF(I283="","",INDEX('Test schedule'!$J:$J,ROW()+7))</f>
        <v/>
      </c>
      <c r="L283" s="129" t="str" cm="1">
        <f t="array" ref="L283">IF(OR(I283="",INDEX('Test schedule'!$T:$T,ROW()+7)=""),"",INDEX('Test schedule'!$T:$T,ROW()+7))</f>
        <v/>
      </c>
    </row>
    <row r="284" spans="2:12" ht="15" customHeight="1">
      <c r="B284" s="116" t="str">
        <f t="shared" si="33"/>
        <v/>
      </c>
      <c r="C284" s="117" t="str">
        <f t="shared" si="29"/>
        <v/>
      </c>
      <c r="D284" s="116" t="str">
        <f t="shared" si="30"/>
        <v/>
      </c>
      <c r="E284" s="120" t="str">
        <f t="shared" si="31"/>
        <v/>
      </c>
      <c r="F284" s="118" t="str">
        <f t="shared" si="32"/>
        <v/>
      </c>
      <c r="G284" s="126">
        <f t="shared" si="34"/>
        <v>42</v>
      </c>
      <c r="H284" s="116" t="str">
        <f t="shared" si="28"/>
        <v/>
      </c>
      <c r="I284" s="117" t="str" cm="1">
        <f t="array" ref="I28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Calculators'!$B$2+ICS4Test!$E282,""))</f>
        <v/>
      </c>
      <c r="J284" s="116" t="str" cm="1">
        <f t="array" ref="J284">IF(I284="","",INDEX('Test schedule'!$H:$H,ROW()+7))</f>
        <v/>
      </c>
      <c r="K284" s="120" t="str" cm="1">
        <f t="array" ref="K284">IF(I284="","",INDEX('Test schedule'!$J:$J,ROW()+7))</f>
        <v/>
      </c>
      <c r="L284" s="129" t="str" cm="1">
        <f t="array" ref="L284">IF(OR(I284="",INDEX('Test schedule'!$T:$T,ROW()+7)=""),"",INDEX('Test schedule'!$T:$T,ROW()+7))</f>
        <v/>
      </c>
    </row>
    <row r="285" spans="2:12" ht="15" customHeight="1">
      <c r="B285" s="116" t="str">
        <f t="shared" si="33"/>
        <v/>
      </c>
      <c r="C285" s="117" t="str">
        <f t="shared" si="29"/>
        <v/>
      </c>
      <c r="D285" s="116" t="str">
        <f t="shared" si="30"/>
        <v/>
      </c>
      <c r="E285" s="120" t="str">
        <f t="shared" si="31"/>
        <v/>
      </c>
      <c r="F285" s="118" t="str">
        <f t="shared" si="32"/>
        <v/>
      </c>
      <c r="G285" s="126">
        <f t="shared" si="34"/>
        <v>42</v>
      </c>
      <c r="H285" s="116" t="str">
        <f t="shared" si="28"/>
        <v/>
      </c>
      <c r="I285" s="117" t="str" cm="1">
        <f t="array" ref="I28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Calculators'!$B$2+ICS4Test!$E283,""))</f>
        <v/>
      </c>
      <c r="J285" s="116" t="str" cm="1">
        <f t="array" ref="J285">IF(I285="","",INDEX('Test schedule'!$H:$H,ROW()+7))</f>
        <v/>
      </c>
      <c r="K285" s="120" t="str" cm="1">
        <f t="array" ref="K285">IF(I285="","",INDEX('Test schedule'!$J:$J,ROW()+7))</f>
        <v/>
      </c>
      <c r="L285" s="129" t="str" cm="1">
        <f t="array" ref="L285">IF(OR(I285="",INDEX('Test schedule'!$T:$T,ROW()+7)=""),"",INDEX('Test schedule'!$T:$T,ROW()+7))</f>
        <v/>
      </c>
    </row>
    <row r="286" spans="2:12" ht="15" customHeight="1">
      <c r="B286" s="116" t="str">
        <f t="shared" si="33"/>
        <v/>
      </c>
      <c r="C286" s="117" t="str">
        <f t="shared" si="29"/>
        <v/>
      </c>
      <c r="D286" s="116" t="str">
        <f t="shared" si="30"/>
        <v/>
      </c>
      <c r="E286" s="120" t="str">
        <f t="shared" si="31"/>
        <v/>
      </c>
      <c r="F286" s="118" t="str">
        <f t="shared" si="32"/>
        <v/>
      </c>
      <c r="G286" s="126">
        <f t="shared" si="34"/>
        <v>42</v>
      </c>
      <c r="H286" s="116" t="str">
        <f t="shared" si="28"/>
        <v/>
      </c>
      <c r="I286" s="117" t="str" cm="1">
        <f t="array" ref="I28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Calculators'!$B$2+ICS4Test!$E284,""))</f>
        <v/>
      </c>
      <c r="J286" s="116" t="str" cm="1">
        <f t="array" ref="J286">IF(I286="","",INDEX('Test schedule'!$H:$H,ROW()+7))</f>
        <v/>
      </c>
      <c r="K286" s="120" t="str" cm="1">
        <f t="array" ref="K286">IF(I286="","",INDEX('Test schedule'!$J:$J,ROW()+7))</f>
        <v/>
      </c>
      <c r="L286" s="129" t="str" cm="1">
        <f t="array" ref="L286">IF(OR(I286="",INDEX('Test schedule'!$T:$T,ROW()+7)=""),"",INDEX('Test schedule'!$T:$T,ROW()+7))</f>
        <v/>
      </c>
    </row>
    <row r="287" spans="2:12" ht="15" customHeight="1">
      <c r="B287" s="116" t="str">
        <f t="shared" si="33"/>
        <v/>
      </c>
      <c r="C287" s="117" t="str">
        <f t="shared" si="29"/>
        <v/>
      </c>
      <c r="D287" s="116" t="str">
        <f t="shared" si="30"/>
        <v/>
      </c>
      <c r="E287" s="120" t="str">
        <f t="shared" si="31"/>
        <v/>
      </c>
      <c r="F287" s="118" t="str">
        <f t="shared" si="32"/>
        <v/>
      </c>
      <c r="G287" s="126">
        <f t="shared" si="34"/>
        <v>42</v>
      </c>
      <c r="H287" s="116" t="str">
        <f t="shared" si="28"/>
        <v/>
      </c>
      <c r="I287" s="117" t="str" cm="1">
        <f t="array" ref="I28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Calculators'!$B$2+ICS4Test!$E285,""))</f>
        <v/>
      </c>
      <c r="J287" s="116" t="str" cm="1">
        <f t="array" ref="J287">IF(I287="","",INDEX('Test schedule'!$H:$H,ROW()+7))</f>
        <v/>
      </c>
      <c r="K287" s="120" t="str" cm="1">
        <f t="array" ref="K287">IF(I287="","",INDEX('Test schedule'!$J:$J,ROW()+7))</f>
        <v/>
      </c>
      <c r="L287" s="129" t="str" cm="1">
        <f t="array" ref="L287">IF(OR(I287="",INDEX('Test schedule'!$T:$T,ROW()+7)=""),"",INDEX('Test schedule'!$T:$T,ROW()+7))</f>
        <v/>
      </c>
    </row>
    <row r="288" spans="2:12" ht="15" customHeight="1">
      <c r="B288" s="116" t="str">
        <f t="shared" si="33"/>
        <v/>
      </c>
      <c r="C288" s="117" t="str">
        <f t="shared" si="29"/>
        <v/>
      </c>
      <c r="D288" s="116" t="str">
        <f t="shared" si="30"/>
        <v/>
      </c>
      <c r="E288" s="120" t="str">
        <f t="shared" si="31"/>
        <v/>
      </c>
      <c r="F288" s="118" t="str">
        <f t="shared" si="32"/>
        <v/>
      </c>
      <c r="G288" s="126">
        <f t="shared" si="34"/>
        <v>42</v>
      </c>
      <c r="H288" s="116" t="str">
        <f t="shared" si="28"/>
        <v/>
      </c>
      <c r="I288" s="117" t="str" cm="1">
        <f t="array" ref="I28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Calculators'!$B$2+ICS4Test!$E286,""))</f>
        <v/>
      </c>
      <c r="J288" s="116" t="str" cm="1">
        <f t="array" ref="J288">IF(I288="","",INDEX('Test schedule'!$H:$H,ROW()+7))</f>
        <v/>
      </c>
      <c r="K288" s="120" t="str" cm="1">
        <f t="array" ref="K288">IF(I288="","",INDEX('Test schedule'!$J:$J,ROW()+7))</f>
        <v/>
      </c>
      <c r="L288" s="129" t="str" cm="1">
        <f t="array" ref="L288">IF(OR(I288="",INDEX('Test schedule'!$T:$T,ROW()+7)=""),"",INDEX('Test schedule'!$T:$T,ROW()+7))</f>
        <v/>
      </c>
    </row>
    <row r="289" spans="2:12" ht="15" customHeight="1">
      <c r="B289" s="116" t="str">
        <f t="shared" si="33"/>
        <v/>
      </c>
      <c r="C289" s="117" t="str">
        <f t="shared" si="29"/>
        <v/>
      </c>
      <c r="D289" s="116" t="str">
        <f t="shared" si="30"/>
        <v/>
      </c>
      <c r="E289" s="120" t="str">
        <f t="shared" si="31"/>
        <v/>
      </c>
      <c r="F289" s="118" t="str">
        <f t="shared" si="32"/>
        <v/>
      </c>
      <c r="G289" s="126">
        <f t="shared" si="34"/>
        <v>42</v>
      </c>
      <c r="H289" s="116" t="str">
        <f t="shared" si="28"/>
        <v/>
      </c>
      <c r="I289" s="117" t="str" cm="1">
        <f t="array" ref="I28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Calculators'!$B$2+ICS4Test!$E287,""))</f>
        <v/>
      </c>
      <c r="J289" s="116" t="str" cm="1">
        <f t="array" ref="J289">IF(I289="","",INDEX('Test schedule'!$H:$H,ROW()+7))</f>
        <v/>
      </c>
      <c r="K289" s="120" t="str" cm="1">
        <f t="array" ref="K289">IF(I289="","",INDEX('Test schedule'!$J:$J,ROW()+7))</f>
        <v/>
      </c>
      <c r="L289" s="129" t="str" cm="1">
        <f t="array" ref="L289">IF(OR(I289="",INDEX('Test schedule'!$T:$T,ROW()+7)=""),"",INDEX('Test schedule'!$T:$T,ROW()+7))</f>
        <v/>
      </c>
    </row>
    <row r="290" spans="2:12" ht="15" customHeight="1">
      <c r="B290" s="116" t="str">
        <f t="shared" si="33"/>
        <v/>
      </c>
      <c r="C290" s="117" t="str">
        <f t="shared" si="29"/>
        <v/>
      </c>
      <c r="D290" s="116" t="str">
        <f t="shared" si="30"/>
        <v/>
      </c>
      <c r="E290" s="120" t="str">
        <f t="shared" si="31"/>
        <v/>
      </c>
      <c r="F290" s="118" t="str">
        <f t="shared" si="32"/>
        <v/>
      </c>
      <c r="G290" s="126">
        <f t="shared" si="34"/>
        <v>42</v>
      </c>
      <c r="H290" s="116" t="str">
        <f t="shared" si="28"/>
        <v/>
      </c>
      <c r="I290" s="117" t="str" cm="1">
        <f t="array" ref="I29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Calculators'!$B$2+ICS4Test!$E288,""))</f>
        <v/>
      </c>
      <c r="J290" s="116" t="str" cm="1">
        <f t="array" ref="J290">IF(I290="","",INDEX('Test schedule'!$H:$H,ROW()+7))</f>
        <v/>
      </c>
      <c r="K290" s="120" t="str" cm="1">
        <f t="array" ref="K290">IF(I290="","",INDEX('Test schedule'!$J:$J,ROW()+7))</f>
        <v/>
      </c>
      <c r="L290" s="129" t="str" cm="1">
        <f t="array" ref="L290">IF(OR(I290="",INDEX('Test schedule'!$T:$T,ROW()+7)=""),"",INDEX('Test schedule'!$T:$T,ROW()+7))</f>
        <v/>
      </c>
    </row>
    <row r="291" spans="2:12" ht="15" customHeight="1">
      <c r="B291" s="116" t="str">
        <f t="shared" si="33"/>
        <v/>
      </c>
      <c r="C291" s="117" t="str">
        <f t="shared" si="29"/>
        <v/>
      </c>
      <c r="D291" s="116" t="str">
        <f t="shared" si="30"/>
        <v/>
      </c>
      <c r="E291" s="120" t="str">
        <f t="shared" si="31"/>
        <v/>
      </c>
      <c r="F291" s="118" t="str">
        <f t="shared" si="32"/>
        <v/>
      </c>
      <c r="G291" s="126">
        <f t="shared" si="34"/>
        <v>42</v>
      </c>
      <c r="H291" s="116" t="str">
        <f t="shared" si="28"/>
        <v/>
      </c>
      <c r="I291" s="117" t="str" cm="1">
        <f t="array" ref="I29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Calculators'!$B$2+ICS4Test!$E289,""))</f>
        <v/>
      </c>
      <c r="J291" s="116" t="str" cm="1">
        <f t="array" ref="J291">IF(I291="","",INDEX('Test schedule'!$H:$H,ROW()+7))</f>
        <v/>
      </c>
      <c r="K291" s="120" t="str" cm="1">
        <f t="array" ref="K291">IF(I291="","",INDEX('Test schedule'!$J:$J,ROW()+7))</f>
        <v/>
      </c>
      <c r="L291" s="129" t="str" cm="1">
        <f t="array" ref="L291">IF(OR(I291="",INDEX('Test schedule'!$T:$T,ROW()+7)=""),"",INDEX('Test schedule'!$T:$T,ROW()+7))</f>
        <v/>
      </c>
    </row>
    <row r="292" spans="2:12" ht="15" customHeight="1">
      <c r="B292" s="116" t="str">
        <f t="shared" si="33"/>
        <v/>
      </c>
      <c r="C292" s="117" t="str">
        <f t="shared" si="29"/>
        <v/>
      </c>
      <c r="D292" s="116" t="str">
        <f t="shared" si="30"/>
        <v/>
      </c>
      <c r="E292" s="120" t="str">
        <f t="shared" si="31"/>
        <v/>
      </c>
      <c r="F292" s="118" t="str">
        <f t="shared" si="32"/>
        <v/>
      </c>
      <c r="G292" s="126">
        <f t="shared" si="34"/>
        <v>42</v>
      </c>
      <c r="H292" s="116" t="str">
        <f t="shared" si="28"/>
        <v/>
      </c>
      <c r="I292" s="117" t="str" cm="1">
        <f t="array" ref="I29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Calculators'!$B$2+ICS4Test!$E290,""))</f>
        <v/>
      </c>
      <c r="J292" s="116" t="str" cm="1">
        <f t="array" ref="J292">IF(I292="","",INDEX('Test schedule'!$H:$H,ROW()+7))</f>
        <v/>
      </c>
      <c r="K292" s="120" t="str" cm="1">
        <f t="array" ref="K292">IF(I292="","",INDEX('Test schedule'!$J:$J,ROW()+7))</f>
        <v/>
      </c>
      <c r="L292" s="129" t="str" cm="1">
        <f t="array" ref="L292">IF(OR(I292="",INDEX('Test schedule'!$T:$T,ROW()+7)=""),"",INDEX('Test schedule'!$T:$T,ROW()+7))</f>
        <v/>
      </c>
    </row>
    <row r="293" spans="2:12" ht="15" customHeight="1">
      <c r="B293" s="116" t="str">
        <f t="shared" si="33"/>
        <v/>
      </c>
      <c r="C293" s="117" t="str">
        <f t="shared" si="29"/>
        <v/>
      </c>
      <c r="D293" s="116" t="str">
        <f t="shared" si="30"/>
        <v/>
      </c>
      <c r="E293" s="120" t="str">
        <f t="shared" si="31"/>
        <v/>
      </c>
      <c r="F293" s="118" t="str">
        <f t="shared" si="32"/>
        <v/>
      </c>
      <c r="G293" s="126">
        <f t="shared" si="34"/>
        <v>42</v>
      </c>
      <c r="H293" s="116" t="str">
        <f t="shared" si="28"/>
        <v/>
      </c>
      <c r="I293" s="117" t="str" cm="1">
        <f t="array" ref="I29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Calculators'!$B$2+ICS4Test!$E291,""))</f>
        <v/>
      </c>
      <c r="J293" s="116" t="str" cm="1">
        <f t="array" ref="J293">IF(I293="","",INDEX('Test schedule'!$H:$H,ROW()+7))</f>
        <v/>
      </c>
      <c r="K293" s="120" t="str" cm="1">
        <f t="array" ref="K293">IF(I293="","",INDEX('Test schedule'!$J:$J,ROW()+7))</f>
        <v/>
      </c>
      <c r="L293" s="129" t="str" cm="1">
        <f t="array" ref="L293">IF(OR(I293="",INDEX('Test schedule'!$T:$T,ROW()+7)=""),"",INDEX('Test schedule'!$T:$T,ROW()+7))</f>
        <v/>
      </c>
    </row>
    <row r="294" spans="2:12" ht="15" customHeight="1">
      <c r="B294" s="116" t="str">
        <f t="shared" si="33"/>
        <v/>
      </c>
      <c r="C294" s="117" t="str">
        <f t="shared" si="29"/>
        <v/>
      </c>
      <c r="D294" s="116" t="str">
        <f t="shared" si="30"/>
        <v/>
      </c>
      <c r="E294" s="120" t="str">
        <f t="shared" si="31"/>
        <v/>
      </c>
      <c r="F294" s="118" t="str">
        <f t="shared" si="32"/>
        <v/>
      </c>
      <c r="G294" s="126">
        <f t="shared" si="34"/>
        <v>42</v>
      </c>
      <c r="H294" s="116" t="str">
        <f t="shared" si="28"/>
        <v/>
      </c>
      <c r="I294" s="117" t="str" cm="1">
        <f t="array" ref="I29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Calculators'!$B$2+ICS4Test!$E292,""))</f>
        <v/>
      </c>
      <c r="J294" s="116" t="str" cm="1">
        <f t="array" ref="J294">IF(I294="","",INDEX('Test schedule'!$H:$H,ROW()+7))</f>
        <v/>
      </c>
      <c r="K294" s="120" t="str" cm="1">
        <f t="array" ref="K294">IF(I294="","",INDEX('Test schedule'!$J:$J,ROW()+7))</f>
        <v/>
      </c>
      <c r="L294" s="129" t="str" cm="1">
        <f t="array" ref="L294">IF(OR(I294="",INDEX('Test schedule'!$T:$T,ROW()+7)=""),"",INDEX('Test schedule'!$T:$T,ROW()+7))</f>
        <v/>
      </c>
    </row>
    <row r="295" spans="2:12" ht="15" customHeight="1">
      <c r="B295" s="116" t="str">
        <f t="shared" si="33"/>
        <v/>
      </c>
      <c r="C295" s="117" t="str">
        <f t="shared" si="29"/>
        <v/>
      </c>
      <c r="D295" s="116" t="str">
        <f t="shared" si="30"/>
        <v/>
      </c>
      <c r="E295" s="120" t="str">
        <f t="shared" si="31"/>
        <v/>
      </c>
      <c r="F295" s="118" t="str">
        <f t="shared" si="32"/>
        <v/>
      </c>
      <c r="G295" s="126">
        <f t="shared" si="34"/>
        <v>42</v>
      </c>
      <c r="H295" s="116" t="str">
        <f t="shared" si="28"/>
        <v/>
      </c>
      <c r="I295" s="117" t="str" cm="1">
        <f t="array" ref="I29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Calculators'!$B$2+ICS4Test!$E293,""))</f>
        <v/>
      </c>
      <c r="J295" s="116" t="str" cm="1">
        <f t="array" ref="J295">IF(I295="","",INDEX('Test schedule'!$H:$H,ROW()+7))</f>
        <v/>
      </c>
      <c r="K295" s="120" t="str" cm="1">
        <f t="array" ref="K295">IF(I295="","",INDEX('Test schedule'!$J:$J,ROW()+7))</f>
        <v/>
      </c>
      <c r="L295" s="129" t="str" cm="1">
        <f t="array" ref="L295">IF(OR(I295="",INDEX('Test schedule'!$T:$T,ROW()+7)=""),"",INDEX('Test schedule'!$T:$T,ROW()+7))</f>
        <v/>
      </c>
    </row>
    <row r="296" spans="2:12" ht="15" customHeight="1">
      <c r="B296" s="116" t="str">
        <f t="shared" si="33"/>
        <v/>
      </c>
      <c r="C296" s="117" t="str">
        <f t="shared" si="29"/>
        <v/>
      </c>
      <c r="D296" s="116" t="str">
        <f t="shared" si="30"/>
        <v/>
      </c>
      <c r="E296" s="120" t="str">
        <f t="shared" si="31"/>
        <v/>
      </c>
      <c r="F296" s="118" t="str">
        <f t="shared" si="32"/>
        <v/>
      </c>
      <c r="G296" s="126">
        <f t="shared" si="34"/>
        <v>42</v>
      </c>
      <c r="H296" s="116" t="str">
        <f t="shared" si="28"/>
        <v/>
      </c>
      <c r="I296" s="117" t="str" cm="1">
        <f t="array" ref="I29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Calculators'!$B$2+ICS4Test!$E294,""))</f>
        <v/>
      </c>
      <c r="J296" s="116" t="str" cm="1">
        <f t="array" ref="J296">IF(I296="","",INDEX('Test schedule'!$H:$H,ROW()+7))</f>
        <v/>
      </c>
      <c r="K296" s="120" t="str" cm="1">
        <f t="array" ref="K296">IF(I296="","",INDEX('Test schedule'!$J:$J,ROW()+7))</f>
        <v/>
      </c>
      <c r="L296" s="129" t="str" cm="1">
        <f t="array" ref="L296">IF(OR(I296="",INDEX('Test schedule'!$T:$T,ROW()+7)=""),"",INDEX('Test schedule'!$T:$T,ROW()+7))</f>
        <v/>
      </c>
    </row>
    <row r="297" spans="2:12" ht="15" customHeight="1">
      <c r="B297" s="116" t="str">
        <f t="shared" si="33"/>
        <v/>
      </c>
      <c r="C297" s="117" t="str">
        <f t="shared" si="29"/>
        <v/>
      </c>
      <c r="D297" s="116" t="str">
        <f t="shared" si="30"/>
        <v/>
      </c>
      <c r="E297" s="120" t="str">
        <f t="shared" si="31"/>
        <v/>
      </c>
      <c r="F297" s="118" t="str">
        <f t="shared" si="32"/>
        <v/>
      </c>
      <c r="G297" s="126">
        <f t="shared" si="34"/>
        <v>42</v>
      </c>
      <c r="H297" s="116" t="str">
        <f t="shared" si="28"/>
        <v/>
      </c>
      <c r="I297" s="117" t="str" cm="1">
        <f t="array" ref="I29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Calculators'!$B$2+ICS4Test!$E295,""))</f>
        <v/>
      </c>
      <c r="J297" s="116" t="str" cm="1">
        <f t="array" ref="J297">IF(I297="","",INDEX('Test schedule'!$H:$H,ROW()+7))</f>
        <v/>
      </c>
      <c r="K297" s="120" t="str" cm="1">
        <f t="array" ref="K297">IF(I297="","",INDEX('Test schedule'!$J:$J,ROW()+7))</f>
        <v/>
      </c>
      <c r="L297" s="129" t="str" cm="1">
        <f t="array" ref="L297">IF(OR(I297="",INDEX('Test schedule'!$T:$T,ROW()+7)=""),"",INDEX('Test schedule'!$T:$T,ROW()+7))</f>
        <v/>
      </c>
    </row>
    <row r="298" spans="2:12" ht="15" customHeight="1">
      <c r="B298" s="116" t="str">
        <f t="shared" si="33"/>
        <v/>
      </c>
      <c r="C298" s="117" t="str">
        <f t="shared" si="29"/>
        <v/>
      </c>
      <c r="D298" s="116" t="str">
        <f t="shared" si="30"/>
        <v/>
      </c>
      <c r="E298" s="120" t="str">
        <f t="shared" si="31"/>
        <v/>
      </c>
      <c r="F298" s="118" t="str">
        <f t="shared" si="32"/>
        <v/>
      </c>
      <c r="G298" s="126">
        <f t="shared" si="34"/>
        <v>42</v>
      </c>
      <c r="H298" s="116" t="str">
        <f t="shared" si="28"/>
        <v/>
      </c>
      <c r="I298" s="117" t="str" cm="1">
        <f t="array" ref="I29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Calculators'!$B$2+ICS4Test!$E296,""))</f>
        <v/>
      </c>
      <c r="J298" s="116" t="str" cm="1">
        <f t="array" ref="J298">IF(I298="","",INDEX('Test schedule'!$H:$H,ROW()+7))</f>
        <v/>
      </c>
      <c r="K298" s="120" t="str" cm="1">
        <f t="array" ref="K298">IF(I298="","",INDEX('Test schedule'!$J:$J,ROW()+7))</f>
        <v/>
      </c>
      <c r="L298" s="129" t="str" cm="1">
        <f t="array" ref="L298">IF(OR(I298="",INDEX('Test schedule'!$T:$T,ROW()+7)=""),"",INDEX('Test schedule'!$T:$T,ROW()+7))</f>
        <v/>
      </c>
    </row>
    <row r="299" spans="2:12" ht="15" customHeight="1">
      <c r="B299" s="116" t="str">
        <f t="shared" si="33"/>
        <v/>
      </c>
      <c r="C299" s="117" t="str">
        <f t="shared" si="29"/>
        <v/>
      </c>
      <c r="D299" s="116" t="str">
        <f t="shared" si="30"/>
        <v/>
      </c>
      <c r="E299" s="120" t="str">
        <f t="shared" si="31"/>
        <v/>
      </c>
      <c r="F299" s="118" t="str">
        <f t="shared" si="32"/>
        <v/>
      </c>
      <c r="G299" s="126">
        <f t="shared" si="34"/>
        <v>42</v>
      </c>
      <c r="H299" s="116" t="str">
        <f t="shared" si="28"/>
        <v/>
      </c>
      <c r="I299" s="117" t="str" cm="1">
        <f t="array" ref="I29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Calculators'!$B$2+ICS4Test!$E297,""))</f>
        <v/>
      </c>
      <c r="J299" s="116" t="str" cm="1">
        <f t="array" ref="J299">IF(I299="","",INDEX('Test schedule'!$H:$H,ROW()+7))</f>
        <v/>
      </c>
      <c r="K299" s="120" t="str" cm="1">
        <f t="array" ref="K299">IF(I299="","",INDEX('Test schedule'!$J:$J,ROW()+7))</f>
        <v/>
      </c>
      <c r="L299" s="129" t="str" cm="1">
        <f t="array" ref="L299">IF(OR(I299="",INDEX('Test schedule'!$T:$T,ROW()+7)=""),"",INDEX('Test schedule'!$T:$T,ROW()+7))</f>
        <v/>
      </c>
    </row>
    <row r="300" spans="2:12" ht="15" customHeight="1">
      <c r="B300" s="116" t="str">
        <f t="shared" si="33"/>
        <v/>
      </c>
      <c r="C300" s="117" t="str">
        <f t="shared" si="29"/>
        <v/>
      </c>
      <c r="D300" s="116" t="str">
        <f t="shared" si="30"/>
        <v/>
      </c>
      <c r="E300" s="120" t="str">
        <f t="shared" si="31"/>
        <v/>
      </c>
      <c r="F300" s="118" t="str">
        <f t="shared" si="32"/>
        <v/>
      </c>
      <c r="G300" s="126">
        <f t="shared" si="34"/>
        <v>42</v>
      </c>
      <c r="H300" s="116" t="str">
        <f t="shared" si="28"/>
        <v/>
      </c>
      <c r="I300" s="117" t="str" cm="1">
        <f t="array" ref="I30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Calculators'!$B$2+ICS4Test!$E298,""))</f>
        <v/>
      </c>
      <c r="J300" s="116" t="str" cm="1">
        <f t="array" ref="J300">IF(I300="","",INDEX('Test schedule'!$H:$H,ROW()+7))</f>
        <v/>
      </c>
      <c r="K300" s="120" t="str" cm="1">
        <f t="array" ref="K300">IF(I300="","",INDEX('Test schedule'!$J:$J,ROW()+7))</f>
        <v/>
      </c>
      <c r="L300" s="129" t="str" cm="1">
        <f t="array" ref="L300">IF(OR(I300="",INDEX('Test schedule'!$T:$T,ROW()+7)=""),"",INDEX('Test schedule'!$T:$T,ROW()+7))</f>
        <v/>
      </c>
    </row>
    <row r="301" spans="2:12" ht="15" customHeight="1">
      <c r="B301" s="116" t="str">
        <f t="shared" si="33"/>
        <v/>
      </c>
      <c r="C301" s="117" t="str">
        <f t="shared" si="29"/>
        <v/>
      </c>
      <c r="D301" s="116" t="str">
        <f t="shared" si="30"/>
        <v/>
      </c>
      <c r="E301" s="120" t="str">
        <f t="shared" si="31"/>
        <v/>
      </c>
      <c r="F301" s="118" t="str">
        <f t="shared" si="32"/>
        <v/>
      </c>
      <c r="G301" s="126">
        <f t="shared" si="34"/>
        <v>42</v>
      </c>
      <c r="H301" s="116" t="str">
        <f t="shared" ref="H301:H364" si="35">IF(I301="","",IF(I301="END","START",IF(OR(I300="END",I300=I301,I300=""),IF(OR(H300="",H300="START"),I301-$U$3,H300),IFERROR(IF(I300&gt;I301,I301-$U$3,I300),I300))))</f>
        <v/>
      </c>
      <c r="I301" s="117" t="str" cm="1">
        <f t="array" ref="I30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Calculators'!$B$2+ICS4Test!$E299,""))</f>
        <v/>
      </c>
      <c r="J301" s="116" t="str" cm="1">
        <f t="array" ref="J301">IF(I301="","",INDEX('Test schedule'!$H:$H,ROW()+7))</f>
        <v/>
      </c>
      <c r="K301" s="120" t="str" cm="1">
        <f t="array" ref="K301">IF(I301="","",INDEX('Test schedule'!$J:$J,ROW()+7))</f>
        <v/>
      </c>
      <c r="L301" s="129" t="str" cm="1">
        <f t="array" ref="L301">IF(OR(I301="",INDEX('Test schedule'!$T:$T,ROW()+7)=""),"",INDEX('Test schedule'!$T:$T,ROW()+7))</f>
        <v/>
      </c>
    </row>
    <row r="302" spans="2:12" ht="15" customHeight="1">
      <c r="B302" s="116" t="str">
        <f t="shared" si="33"/>
        <v/>
      </c>
      <c r="C302" s="117" t="str">
        <f t="shared" si="29"/>
        <v/>
      </c>
      <c r="D302" s="116" t="str">
        <f t="shared" si="30"/>
        <v/>
      </c>
      <c r="E302" s="120" t="str">
        <f t="shared" si="31"/>
        <v/>
      </c>
      <c r="F302" s="118" t="str">
        <f t="shared" si="32"/>
        <v/>
      </c>
      <c r="G302" s="126">
        <f t="shared" si="34"/>
        <v>42</v>
      </c>
      <c r="H302" s="116" t="str">
        <f t="shared" si="35"/>
        <v/>
      </c>
      <c r="I302" s="117" t="str" cm="1">
        <f t="array" ref="I30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Calculators'!$B$2+ICS4Test!$E300,""))</f>
        <v/>
      </c>
      <c r="J302" s="116" t="str" cm="1">
        <f t="array" ref="J302">IF(I302="","",INDEX('Test schedule'!$H:$H,ROW()+7))</f>
        <v/>
      </c>
      <c r="K302" s="120" t="str" cm="1">
        <f t="array" ref="K302">IF(I302="","",INDEX('Test schedule'!$J:$J,ROW()+7))</f>
        <v/>
      </c>
      <c r="L302" s="129" t="str" cm="1">
        <f t="array" ref="L302">IF(OR(I302="",INDEX('Test schedule'!$T:$T,ROW()+7)=""),"",INDEX('Test schedule'!$T:$T,ROW()+7))</f>
        <v/>
      </c>
    </row>
    <row r="303" spans="2:12" ht="15" customHeight="1">
      <c r="B303" s="116" t="str">
        <f t="shared" si="33"/>
        <v/>
      </c>
      <c r="C303" s="117" t="str">
        <f t="shared" si="29"/>
        <v/>
      </c>
      <c r="D303" s="116" t="str">
        <f t="shared" si="30"/>
        <v/>
      </c>
      <c r="E303" s="120" t="str">
        <f t="shared" si="31"/>
        <v/>
      </c>
      <c r="F303" s="118" t="str">
        <f t="shared" si="32"/>
        <v/>
      </c>
      <c r="G303" s="126">
        <f t="shared" si="34"/>
        <v>42</v>
      </c>
      <c r="H303" s="116" t="str">
        <f t="shared" si="35"/>
        <v/>
      </c>
      <c r="I303" s="117" t="str" cm="1">
        <f t="array" ref="I30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Calculators'!$B$2+ICS4Test!$E301,""))</f>
        <v/>
      </c>
      <c r="J303" s="116" t="str" cm="1">
        <f t="array" ref="J303">IF(I303="","",INDEX('Test schedule'!$H:$H,ROW()+7))</f>
        <v/>
      </c>
      <c r="K303" s="120" t="str" cm="1">
        <f t="array" ref="K303">IF(I303="","",INDEX('Test schedule'!$J:$J,ROW()+7))</f>
        <v/>
      </c>
      <c r="L303" s="129" t="str" cm="1">
        <f t="array" ref="L303">IF(OR(I303="",INDEX('Test schedule'!$T:$T,ROW()+7)=""),"",INDEX('Test schedule'!$T:$T,ROW()+7))</f>
        <v/>
      </c>
    </row>
    <row r="304" spans="2:12" ht="15" customHeight="1">
      <c r="B304" s="116" t="str">
        <f t="shared" si="33"/>
        <v/>
      </c>
      <c r="C304" s="117" t="str">
        <f t="shared" si="29"/>
        <v/>
      </c>
      <c r="D304" s="116" t="str">
        <f t="shared" si="30"/>
        <v/>
      </c>
      <c r="E304" s="120" t="str">
        <f t="shared" si="31"/>
        <v/>
      </c>
      <c r="F304" s="118" t="str">
        <f t="shared" si="32"/>
        <v/>
      </c>
      <c r="G304" s="126">
        <f t="shared" si="34"/>
        <v>42</v>
      </c>
      <c r="H304" s="116" t="str">
        <f t="shared" si="35"/>
        <v/>
      </c>
      <c r="I304" s="117" t="str" cm="1">
        <f t="array" ref="I30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Calculators'!$B$2+ICS4Test!$E302,""))</f>
        <v/>
      </c>
      <c r="J304" s="116" t="str" cm="1">
        <f t="array" ref="J304">IF(I304="","",INDEX('Test schedule'!$H:$H,ROW()+7))</f>
        <v/>
      </c>
      <c r="K304" s="120" t="str" cm="1">
        <f t="array" ref="K304">IF(I304="","",INDEX('Test schedule'!$J:$J,ROW()+7))</f>
        <v/>
      </c>
      <c r="L304" s="129" t="str" cm="1">
        <f t="array" ref="L304">IF(OR(I304="",INDEX('Test schedule'!$T:$T,ROW()+7)=""),"",INDEX('Test schedule'!$T:$T,ROW()+7))</f>
        <v/>
      </c>
    </row>
    <row r="305" spans="2:12" ht="15" customHeight="1">
      <c r="B305" s="116" t="str">
        <f t="shared" si="33"/>
        <v/>
      </c>
      <c r="C305" s="117" t="str">
        <f t="shared" si="29"/>
        <v/>
      </c>
      <c r="D305" s="116" t="str">
        <f t="shared" si="30"/>
        <v/>
      </c>
      <c r="E305" s="120" t="str">
        <f t="shared" si="31"/>
        <v/>
      </c>
      <c r="F305" s="118" t="str">
        <f t="shared" si="32"/>
        <v/>
      </c>
      <c r="G305" s="126">
        <f t="shared" si="34"/>
        <v>42</v>
      </c>
      <c r="H305" s="116" t="str">
        <f t="shared" si="35"/>
        <v/>
      </c>
      <c r="I305" s="117" t="str" cm="1">
        <f t="array" ref="I30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Calculators'!$B$2+ICS4Test!$E303,""))</f>
        <v/>
      </c>
      <c r="J305" s="116" t="str" cm="1">
        <f t="array" ref="J305">IF(I305="","",INDEX('Test schedule'!$H:$H,ROW()+7))</f>
        <v/>
      </c>
      <c r="K305" s="120" t="str" cm="1">
        <f t="array" ref="K305">IF(I305="","",INDEX('Test schedule'!$J:$J,ROW()+7))</f>
        <v/>
      </c>
      <c r="L305" s="129" t="str" cm="1">
        <f t="array" ref="L305">IF(OR(I305="",INDEX('Test schedule'!$T:$T,ROW()+7)=""),"",INDEX('Test schedule'!$T:$T,ROW()+7))</f>
        <v/>
      </c>
    </row>
    <row r="306" spans="2:12" ht="15" customHeight="1">
      <c r="B306" s="116" t="str">
        <f t="shared" si="33"/>
        <v/>
      </c>
      <c r="C306" s="117" t="str">
        <f t="shared" si="29"/>
        <v/>
      </c>
      <c r="D306" s="116" t="str">
        <f t="shared" si="30"/>
        <v/>
      </c>
      <c r="E306" s="120" t="str">
        <f t="shared" si="31"/>
        <v/>
      </c>
      <c r="F306" s="118" t="str">
        <f t="shared" si="32"/>
        <v/>
      </c>
      <c r="G306" s="126">
        <f t="shared" si="34"/>
        <v>42</v>
      </c>
      <c r="H306" s="116" t="str">
        <f t="shared" si="35"/>
        <v/>
      </c>
      <c r="I306" s="117" t="str" cm="1">
        <f t="array" ref="I30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Calculators'!$B$2+ICS4Test!$E304,""))</f>
        <v/>
      </c>
      <c r="J306" s="116" t="str" cm="1">
        <f t="array" ref="J306">IF(I306="","",INDEX('Test schedule'!$H:$H,ROW()+7))</f>
        <v/>
      </c>
      <c r="K306" s="120" t="str" cm="1">
        <f t="array" ref="K306">IF(I306="","",INDEX('Test schedule'!$J:$J,ROW()+7))</f>
        <v/>
      </c>
      <c r="L306" s="129" t="str" cm="1">
        <f t="array" ref="L306">IF(OR(I306="",INDEX('Test schedule'!$T:$T,ROW()+7)=""),"",INDEX('Test schedule'!$T:$T,ROW()+7))</f>
        <v/>
      </c>
    </row>
    <row r="307" spans="2:12" ht="15" customHeight="1">
      <c r="B307" s="116" t="str">
        <f t="shared" si="33"/>
        <v/>
      </c>
      <c r="C307" s="117" t="str">
        <f t="shared" si="29"/>
        <v/>
      </c>
      <c r="D307" s="116" t="str">
        <f t="shared" si="30"/>
        <v/>
      </c>
      <c r="E307" s="120" t="str">
        <f t="shared" si="31"/>
        <v/>
      </c>
      <c r="F307" s="118" t="str">
        <f t="shared" si="32"/>
        <v/>
      </c>
      <c r="G307" s="126">
        <f t="shared" si="34"/>
        <v>42</v>
      </c>
      <c r="H307" s="116" t="str">
        <f t="shared" si="35"/>
        <v/>
      </c>
      <c r="I307" s="117" t="str" cm="1">
        <f t="array" ref="I30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Calculators'!$B$2+ICS4Test!$E305,""))</f>
        <v/>
      </c>
      <c r="J307" s="116" t="str" cm="1">
        <f t="array" ref="J307">IF(I307="","",INDEX('Test schedule'!$H:$H,ROW()+7))</f>
        <v/>
      </c>
      <c r="K307" s="120" t="str" cm="1">
        <f t="array" ref="K307">IF(I307="","",INDEX('Test schedule'!$J:$J,ROW()+7))</f>
        <v/>
      </c>
      <c r="L307" s="129" t="str" cm="1">
        <f t="array" ref="L307">IF(OR(I307="",INDEX('Test schedule'!$T:$T,ROW()+7)=""),"",INDEX('Test schedule'!$T:$T,ROW()+7))</f>
        <v/>
      </c>
    </row>
    <row r="308" spans="2:12" ht="15" customHeight="1">
      <c r="B308" s="116" t="str">
        <f t="shared" si="33"/>
        <v/>
      </c>
      <c r="C308" s="117" t="str">
        <f t="shared" si="29"/>
        <v/>
      </c>
      <c r="D308" s="116" t="str">
        <f t="shared" si="30"/>
        <v/>
      </c>
      <c r="E308" s="120" t="str">
        <f t="shared" si="31"/>
        <v/>
      </c>
      <c r="F308" s="118" t="str">
        <f t="shared" si="32"/>
        <v/>
      </c>
      <c r="G308" s="126">
        <f t="shared" si="34"/>
        <v>42</v>
      </c>
      <c r="H308" s="116" t="str">
        <f t="shared" si="35"/>
        <v/>
      </c>
      <c r="I308" s="117" t="str" cm="1">
        <f t="array" ref="I30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Calculators'!$B$2+ICS4Test!$E306,""))</f>
        <v/>
      </c>
      <c r="J308" s="116" t="str" cm="1">
        <f t="array" ref="J308">IF(I308="","",INDEX('Test schedule'!$H:$H,ROW()+7))</f>
        <v/>
      </c>
      <c r="K308" s="120" t="str" cm="1">
        <f t="array" ref="K308">IF(I308="","",INDEX('Test schedule'!$J:$J,ROW()+7))</f>
        <v/>
      </c>
      <c r="L308" s="129" t="str" cm="1">
        <f t="array" ref="L308">IF(OR(I308="",INDEX('Test schedule'!$T:$T,ROW()+7)=""),"",INDEX('Test schedule'!$T:$T,ROW()+7))</f>
        <v/>
      </c>
    </row>
    <row r="309" spans="2:12" ht="15" customHeight="1">
      <c r="B309" s="116" t="str">
        <f t="shared" si="33"/>
        <v/>
      </c>
      <c r="C309" s="117" t="str">
        <f t="shared" si="29"/>
        <v/>
      </c>
      <c r="D309" s="116" t="str">
        <f t="shared" si="30"/>
        <v/>
      </c>
      <c r="E309" s="120" t="str">
        <f t="shared" si="31"/>
        <v/>
      </c>
      <c r="F309" s="118" t="str">
        <f t="shared" si="32"/>
        <v/>
      </c>
      <c r="G309" s="126">
        <f t="shared" si="34"/>
        <v>42</v>
      </c>
      <c r="H309" s="116" t="str">
        <f t="shared" si="35"/>
        <v/>
      </c>
      <c r="I309" s="117" t="str" cm="1">
        <f t="array" ref="I30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Calculators'!$B$2+ICS4Test!$E307,""))</f>
        <v/>
      </c>
      <c r="J309" s="116" t="str" cm="1">
        <f t="array" ref="J309">IF(I309="","",INDEX('Test schedule'!$H:$H,ROW()+7))</f>
        <v/>
      </c>
      <c r="K309" s="120" t="str" cm="1">
        <f t="array" ref="K309">IF(I309="","",INDEX('Test schedule'!$J:$J,ROW()+7))</f>
        <v/>
      </c>
      <c r="L309" s="129" t="str" cm="1">
        <f t="array" ref="L309">IF(OR(I309="",INDEX('Test schedule'!$T:$T,ROW()+7)=""),"",INDEX('Test schedule'!$T:$T,ROW()+7))</f>
        <v/>
      </c>
    </row>
    <row r="310" spans="2:12" ht="15" customHeight="1">
      <c r="B310" s="116" t="str">
        <f t="shared" si="33"/>
        <v/>
      </c>
      <c r="C310" s="117" t="str">
        <f t="shared" si="29"/>
        <v/>
      </c>
      <c r="D310" s="116" t="str">
        <f t="shared" si="30"/>
        <v/>
      </c>
      <c r="E310" s="120" t="str">
        <f t="shared" si="31"/>
        <v/>
      </c>
      <c r="F310" s="118" t="str">
        <f t="shared" si="32"/>
        <v/>
      </c>
      <c r="G310" s="126">
        <f t="shared" si="34"/>
        <v>42</v>
      </c>
      <c r="H310" s="116" t="str">
        <f t="shared" si="35"/>
        <v/>
      </c>
      <c r="I310" s="117" t="str" cm="1">
        <f t="array" ref="I31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Calculators'!$B$2+ICS4Test!$E308,""))</f>
        <v/>
      </c>
      <c r="J310" s="116" t="str" cm="1">
        <f t="array" ref="J310">IF(I310="","",INDEX('Test schedule'!$H:$H,ROW()+7))</f>
        <v/>
      </c>
      <c r="K310" s="120" t="str" cm="1">
        <f t="array" ref="K310">IF(I310="","",INDEX('Test schedule'!$J:$J,ROW()+7))</f>
        <v/>
      </c>
      <c r="L310" s="129" t="str" cm="1">
        <f t="array" ref="L310">IF(OR(I310="",INDEX('Test schedule'!$T:$T,ROW()+7)=""),"",INDEX('Test schedule'!$T:$T,ROW()+7))</f>
        <v/>
      </c>
    </row>
    <row r="311" spans="2:12" ht="15" customHeight="1">
      <c r="B311" s="116" t="str">
        <f t="shared" si="33"/>
        <v/>
      </c>
      <c r="C311" s="117" t="str">
        <f t="shared" si="29"/>
        <v/>
      </c>
      <c r="D311" s="116" t="str">
        <f t="shared" si="30"/>
        <v/>
      </c>
      <c r="E311" s="120" t="str">
        <f t="shared" si="31"/>
        <v/>
      </c>
      <c r="F311" s="118" t="str">
        <f t="shared" si="32"/>
        <v/>
      </c>
      <c r="G311" s="126">
        <f t="shared" si="34"/>
        <v>42</v>
      </c>
      <c r="H311" s="116" t="str">
        <f t="shared" si="35"/>
        <v/>
      </c>
      <c r="I311" s="117" t="str" cm="1">
        <f t="array" ref="I31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Calculators'!$B$2+ICS4Test!$E309,""))</f>
        <v/>
      </c>
      <c r="J311" s="116" t="str" cm="1">
        <f t="array" ref="J311">IF(I311="","",INDEX('Test schedule'!$H:$H,ROW()+7))</f>
        <v/>
      </c>
      <c r="K311" s="120" t="str" cm="1">
        <f t="array" ref="K311">IF(I311="","",INDEX('Test schedule'!$J:$J,ROW()+7))</f>
        <v/>
      </c>
      <c r="L311" s="129" t="str" cm="1">
        <f t="array" ref="L311">IF(OR(I311="",INDEX('Test schedule'!$T:$T,ROW()+7)=""),"",INDEX('Test schedule'!$T:$T,ROW()+7))</f>
        <v/>
      </c>
    </row>
    <row r="312" spans="2:12" ht="15" customHeight="1">
      <c r="B312" s="116" t="str">
        <f t="shared" si="33"/>
        <v/>
      </c>
      <c r="C312" s="117" t="str">
        <f t="shared" si="29"/>
        <v/>
      </c>
      <c r="D312" s="116" t="str">
        <f t="shared" si="30"/>
        <v/>
      </c>
      <c r="E312" s="120" t="str">
        <f t="shared" si="31"/>
        <v/>
      </c>
      <c r="F312" s="118" t="str">
        <f t="shared" si="32"/>
        <v/>
      </c>
      <c r="G312" s="126">
        <f t="shared" si="34"/>
        <v>42</v>
      </c>
      <c r="H312" s="116" t="str">
        <f t="shared" si="35"/>
        <v/>
      </c>
      <c r="I312" s="117" t="str" cm="1">
        <f t="array" ref="I31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Calculators'!$B$2+ICS4Test!$E310,""))</f>
        <v/>
      </c>
      <c r="J312" s="116" t="str" cm="1">
        <f t="array" ref="J312">IF(I312="","",INDEX('Test schedule'!$H:$H,ROW()+7))</f>
        <v/>
      </c>
      <c r="K312" s="120" t="str" cm="1">
        <f t="array" ref="K312">IF(I312="","",INDEX('Test schedule'!$J:$J,ROW()+7))</f>
        <v/>
      </c>
      <c r="L312" s="129" t="str" cm="1">
        <f t="array" ref="L312">IF(OR(I312="",INDEX('Test schedule'!$T:$T,ROW()+7)=""),"",INDEX('Test schedule'!$T:$T,ROW()+7))</f>
        <v/>
      </c>
    </row>
    <row r="313" spans="2:12" ht="15" customHeight="1">
      <c r="B313" s="116" t="str">
        <f t="shared" si="33"/>
        <v/>
      </c>
      <c r="C313" s="117" t="str">
        <f t="shared" si="29"/>
        <v/>
      </c>
      <c r="D313" s="116" t="str">
        <f t="shared" si="30"/>
        <v/>
      </c>
      <c r="E313" s="120" t="str">
        <f t="shared" si="31"/>
        <v/>
      </c>
      <c r="F313" s="118" t="str">
        <f t="shared" si="32"/>
        <v/>
      </c>
      <c r="G313" s="126">
        <f t="shared" si="34"/>
        <v>42</v>
      </c>
      <c r="H313" s="116" t="str">
        <f t="shared" si="35"/>
        <v/>
      </c>
      <c r="I313" s="117" t="str" cm="1">
        <f t="array" ref="I31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Calculators'!$B$2+ICS4Test!$E311,""))</f>
        <v/>
      </c>
      <c r="J313" s="116" t="str" cm="1">
        <f t="array" ref="J313">IF(I313="","",INDEX('Test schedule'!$H:$H,ROW()+7))</f>
        <v/>
      </c>
      <c r="K313" s="120" t="str" cm="1">
        <f t="array" ref="K313">IF(I313="","",INDEX('Test schedule'!$J:$J,ROW()+7))</f>
        <v/>
      </c>
      <c r="L313" s="129" t="str" cm="1">
        <f t="array" ref="L313">IF(OR(I313="",INDEX('Test schedule'!$T:$T,ROW()+7)=""),"",INDEX('Test schedule'!$T:$T,ROW()+7))</f>
        <v/>
      </c>
    </row>
    <row r="314" spans="2:12" ht="15" customHeight="1">
      <c r="B314" s="116" t="str">
        <f t="shared" si="33"/>
        <v/>
      </c>
      <c r="C314" s="117" t="str">
        <f t="shared" si="29"/>
        <v/>
      </c>
      <c r="D314" s="116" t="str">
        <f t="shared" si="30"/>
        <v/>
      </c>
      <c r="E314" s="120" t="str">
        <f t="shared" si="31"/>
        <v/>
      </c>
      <c r="F314" s="118" t="str">
        <f t="shared" si="32"/>
        <v/>
      </c>
      <c r="G314" s="126">
        <f t="shared" si="34"/>
        <v>42</v>
      </c>
      <c r="H314" s="116" t="str">
        <f t="shared" si="35"/>
        <v/>
      </c>
      <c r="I314" s="117" t="str" cm="1">
        <f t="array" ref="I31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Calculators'!$B$2+ICS4Test!$E312,""))</f>
        <v/>
      </c>
      <c r="J314" s="116" t="str" cm="1">
        <f t="array" ref="J314">IF(I314="","",INDEX('Test schedule'!$H:$H,ROW()+7))</f>
        <v/>
      </c>
      <c r="K314" s="120" t="str" cm="1">
        <f t="array" ref="K314">IF(I314="","",INDEX('Test schedule'!$J:$J,ROW()+7))</f>
        <v/>
      </c>
      <c r="L314" s="129" t="str" cm="1">
        <f t="array" ref="L314">IF(OR(I314="",INDEX('Test schedule'!$T:$T,ROW()+7)=""),"",INDEX('Test schedule'!$T:$T,ROW()+7))</f>
        <v/>
      </c>
    </row>
    <row r="315" spans="2:12" ht="15" customHeight="1">
      <c r="B315" s="116" t="str">
        <f t="shared" si="33"/>
        <v/>
      </c>
      <c r="C315" s="117" t="str">
        <f t="shared" si="29"/>
        <v/>
      </c>
      <c r="D315" s="116" t="str">
        <f t="shared" si="30"/>
        <v/>
      </c>
      <c r="E315" s="120" t="str">
        <f t="shared" si="31"/>
        <v/>
      </c>
      <c r="F315" s="118" t="str">
        <f t="shared" si="32"/>
        <v/>
      </c>
      <c r="G315" s="126">
        <f t="shared" si="34"/>
        <v>42</v>
      </c>
      <c r="H315" s="116" t="str">
        <f t="shared" si="35"/>
        <v/>
      </c>
      <c r="I315" s="117" t="str" cm="1">
        <f t="array" ref="I31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Calculators'!$B$2+ICS4Test!$E313,""))</f>
        <v/>
      </c>
      <c r="J315" s="116" t="str" cm="1">
        <f t="array" ref="J315">IF(I315="","",INDEX('Test schedule'!$H:$H,ROW()+7))</f>
        <v/>
      </c>
      <c r="K315" s="120" t="str" cm="1">
        <f t="array" ref="K315">IF(I315="","",INDEX('Test schedule'!$J:$J,ROW()+7))</f>
        <v/>
      </c>
      <c r="L315" s="129" t="str" cm="1">
        <f t="array" ref="L315">IF(OR(I315="",INDEX('Test schedule'!$T:$T,ROW()+7)=""),"",INDEX('Test schedule'!$T:$T,ROW()+7))</f>
        <v/>
      </c>
    </row>
    <row r="316" spans="2:12" ht="15" customHeight="1">
      <c r="B316" s="116" t="str">
        <f t="shared" si="33"/>
        <v/>
      </c>
      <c r="C316" s="117" t="str">
        <f t="shared" si="29"/>
        <v/>
      </c>
      <c r="D316" s="116" t="str">
        <f t="shared" si="30"/>
        <v/>
      </c>
      <c r="E316" s="120" t="str">
        <f t="shared" si="31"/>
        <v/>
      </c>
      <c r="F316" s="118" t="str">
        <f t="shared" si="32"/>
        <v/>
      </c>
      <c r="G316" s="126">
        <f t="shared" si="34"/>
        <v>42</v>
      </c>
      <c r="H316" s="116" t="str">
        <f t="shared" si="35"/>
        <v/>
      </c>
      <c r="I316" s="117" t="str" cm="1">
        <f t="array" ref="I31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Calculators'!$B$2+ICS4Test!$E314,""))</f>
        <v/>
      </c>
      <c r="J316" s="116" t="str" cm="1">
        <f t="array" ref="J316">IF(I316="","",INDEX('Test schedule'!$H:$H,ROW()+7))</f>
        <v/>
      </c>
      <c r="K316" s="120" t="str" cm="1">
        <f t="array" ref="K316">IF(I316="","",INDEX('Test schedule'!$J:$J,ROW()+7))</f>
        <v/>
      </c>
      <c r="L316" s="129" t="str" cm="1">
        <f t="array" ref="L316">IF(OR(I316="",INDEX('Test schedule'!$T:$T,ROW()+7)=""),"",INDEX('Test schedule'!$T:$T,ROW()+7))</f>
        <v/>
      </c>
    </row>
    <row r="317" spans="2:12" ht="15" customHeight="1">
      <c r="B317" s="116" t="str">
        <f t="shared" si="33"/>
        <v/>
      </c>
      <c r="C317" s="117" t="str">
        <f t="shared" si="29"/>
        <v/>
      </c>
      <c r="D317" s="116" t="str">
        <f t="shared" si="30"/>
        <v/>
      </c>
      <c r="E317" s="120" t="str">
        <f t="shared" si="31"/>
        <v/>
      </c>
      <c r="F317" s="118" t="str">
        <f t="shared" si="32"/>
        <v/>
      </c>
      <c r="G317" s="126">
        <f t="shared" si="34"/>
        <v>42</v>
      </c>
      <c r="H317" s="116" t="str">
        <f t="shared" si="35"/>
        <v/>
      </c>
      <c r="I317" s="117" t="str" cm="1">
        <f t="array" ref="I31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Calculators'!$B$2+ICS4Test!$E315,""))</f>
        <v/>
      </c>
      <c r="J317" s="116" t="str" cm="1">
        <f t="array" ref="J317">IF(I317="","",INDEX('Test schedule'!$H:$H,ROW()+7))</f>
        <v/>
      </c>
      <c r="K317" s="120" t="str" cm="1">
        <f t="array" ref="K317">IF(I317="","",INDEX('Test schedule'!$J:$J,ROW()+7))</f>
        <v/>
      </c>
      <c r="L317" s="129" t="str" cm="1">
        <f t="array" ref="L317">IF(OR(I317="",INDEX('Test schedule'!$T:$T,ROW()+7)=""),"",INDEX('Test schedule'!$T:$T,ROW()+7))</f>
        <v/>
      </c>
    </row>
    <row r="318" spans="2:12" ht="15" customHeight="1">
      <c r="B318" s="116" t="str">
        <f t="shared" si="33"/>
        <v/>
      </c>
      <c r="C318" s="117" t="str">
        <f t="shared" si="29"/>
        <v/>
      </c>
      <c r="D318" s="116" t="str">
        <f t="shared" si="30"/>
        <v/>
      </c>
      <c r="E318" s="120" t="str">
        <f t="shared" si="31"/>
        <v/>
      </c>
      <c r="F318" s="118" t="str">
        <f t="shared" si="32"/>
        <v/>
      </c>
      <c r="G318" s="126">
        <f t="shared" si="34"/>
        <v>42</v>
      </c>
      <c r="H318" s="116" t="str">
        <f t="shared" si="35"/>
        <v/>
      </c>
      <c r="I318" s="117" t="str" cm="1">
        <f t="array" ref="I31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Calculators'!$B$2+ICS4Test!$E316,""))</f>
        <v/>
      </c>
      <c r="J318" s="116" t="str" cm="1">
        <f t="array" ref="J318">IF(I318="","",INDEX('Test schedule'!$H:$H,ROW()+7))</f>
        <v/>
      </c>
      <c r="K318" s="120" t="str" cm="1">
        <f t="array" ref="K318">IF(I318="","",INDEX('Test schedule'!$J:$J,ROW()+7))</f>
        <v/>
      </c>
      <c r="L318" s="129" t="str" cm="1">
        <f t="array" ref="L318">IF(OR(I318="",INDEX('Test schedule'!$T:$T,ROW()+7)=""),"",INDEX('Test schedule'!$T:$T,ROW()+7))</f>
        <v/>
      </c>
    </row>
    <row r="319" spans="2:12" ht="15" customHeight="1">
      <c r="B319" s="116" t="str">
        <f t="shared" si="33"/>
        <v/>
      </c>
      <c r="C319" s="117" t="str">
        <f t="shared" si="29"/>
        <v/>
      </c>
      <c r="D319" s="116" t="str">
        <f t="shared" si="30"/>
        <v/>
      </c>
      <c r="E319" s="120" t="str">
        <f t="shared" si="31"/>
        <v/>
      </c>
      <c r="F319" s="118" t="str">
        <f t="shared" si="32"/>
        <v/>
      </c>
      <c r="G319" s="126">
        <f t="shared" si="34"/>
        <v>42</v>
      </c>
      <c r="H319" s="116" t="str">
        <f t="shared" si="35"/>
        <v/>
      </c>
      <c r="I319" s="117" t="str" cm="1">
        <f t="array" ref="I31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Calculators'!$B$2+ICS4Test!$E317,""))</f>
        <v/>
      </c>
      <c r="J319" s="116" t="str" cm="1">
        <f t="array" ref="J319">IF(I319="","",INDEX('Test schedule'!$H:$H,ROW()+7))</f>
        <v/>
      </c>
      <c r="K319" s="120" t="str" cm="1">
        <f t="array" ref="K319">IF(I319="","",INDEX('Test schedule'!$J:$J,ROW()+7))</f>
        <v/>
      </c>
      <c r="L319" s="129" t="str" cm="1">
        <f t="array" ref="L319">IF(OR(I319="",INDEX('Test schedule'!$T:$T,ROW()+7)=""),"",INDEX('Test schedule'!$T:$T,ROW()+7))</f>
        <v/>
      </c>
    </row>
    <row r="320" spans="2:12" ht="15" customHeight="1">
      <c r="B320" s="116" t="str">
        <f t="shared" si="33"/>
        <v/>
      </c>
      <c r="C320" s="117" t="str">
        <f t="shared" si="29"/>
        <v/>
      </c>
      <c r="D320" s="116" t="str">
        <f t="shared" si="30"/>
        <v/>
      </c>
      <c r="E320" s="120" t="str">
        <f t="shared" si="31"/>
        <v/>
      </c>
      <c r="F320" s="118" t="str">
        <f t="shared" si="32"/>
        <v/>
      </c>
      <c r="G320" s="126">
        <f t="shared" si="34"/>
        <v>42</v>
      </c>
      <c r="H320" s="116" t="str">
        <f t="shared" si="35"/>
        <v/>
      </c>
      <c r="I320" s="117" t="str" cm="1">
        <f t="array" ref="I32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Calculators'!$B$2+ICS4Test!$E318,""))</f>
        <v/>
      </c>
      <c r="J320" s="116" t="str" cm="1">
        <f t="array" ref="J320">IF(I320="","",INDEX('Test schedule'!$H:$H,ROW()+7))</f>
        <v/>
      </c>
      <c r="K320" s="120" t="str" cm="1">
        <f t="array" ref="K320">IF(I320="","",INDEX('Test schedule'!$J:$J,ROW()+7))</f>
        <v/>
      </c>
      <c r="L320" s="129" t="str" cm="1">
        <f t="array" ref="L320">IF(OR(I320="",INDEX('Test schedule'!$T:$T,ROW()+7)=""),"",INDEX('Test schedule'!$T:$T,ROW()+7))</f>
        <v/>
      </c>
    </row>
    <row r="321" spans="2:12" ht="15" customHeight="1">
      <c r="B321" s="116" t="str">
        <f t="shared" si="33"/>
        <v/>
      </c>
      <c r="C321" s="117" t="str">
        <f t="shared" si="29"/>
        <v/>
      </c>
      <c r="D321" s="116" t="str">
        <f t="shared" si="30"/>
        <v/>
      </c>
      <c r="E321" s="120" t="str">
        <f t="shared" si="31"/>
        <v/>
      </c>
      <c r="F321" s="118" t="str">
        <f t="shared" si="32"/>
        <v/>
      </c>
      <c r="G321" s="126">
        <f t="shared" si="34"/>
        <v>42</v>
      </c>
      <c r="H321" s="116" t="str">
        <f t="shared" si="35"/>
        <v/>
      </c>
      <c r="I321" s="117" t="str" cm="1">
        <f t="array" ref="I32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Calculators'!$B$2+ICS4Test!$E319,""))</f>
        <v/>
      </c>
      <c r="J321" s="116" t="str" cm="1">
        <f t="array" ref="J321">IF(I321="","",INDEX('Test schedule'!$H:$H,ROW()+7))</f>
        <v/>
      </c>
      <c r="K321" s="120" t="str" cm="1">
        <f t="array" ref="K321">IF(I321="","",INDEX('Test schedule'!$J:$J,ROW()+7))</f>
        <v/>
      </c>
      <c r="L321" s="129" t="str" cm="1">
        <f t="array" ref="L321">IF(OR(I321="",INDEX('Test schedule'!$T:$T,ROW()+7)=""),"",INDEX('Test schedule'!$T:$T,ROW()+7))</f>
        <v/>
      </c>
    </row>
    <row r="322" spans="2:12" ht="15" customHeight="1">
      <c r="B322" s="116" t="str">
        <f t="shared" si="33"/>
        <v/>
      </c>
      <c r="C322" s="117" t="str">
        <f t="shared" si="29"/>
        <v/>
      </c>
      <c r="D322" s="116" t="str">
        <f t="shared" si="30"/>
        <v/>
      </c>
      <c r="E322" s="120" t="str">
        <f t="shared" si="31"/>
        <v/>
      </c>
      <c r="F322" s="118" t="str">
        <f t="shared" si="32"/>
        <v/>
      </c>
      <c r="G322" s="126">
        <f t="shared" si="34"/>
        <v>42</v>
      </c>
      <c r="H322" s="116" t="str">
        <f t="shared" si="35"/>
        <v/>
      </c>
      <c r="I322" s="117" t="str" cm="1">
        <f t="array" ref="I32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Calculators'!$B$2+ICS4Test!$E320,""))</f>
        <v/>
      </c>
      <c r="J322" s="116" t="str" cm="1">
        <f t="array" ref="J322">IF(I322="","",INDEX('Test schedule'!$H:$H,ROW()+7))</f>
        <v/>
      </c>
      <c r="K322" s="120" t="str" cm="1">
        <f t="array" ref="K322">IF(I322="","",INDEX('Test schedule'!$J:$J,ROW()+7))</f>
        <v/>
      </c>
      <c r="L322" s="129" t="str" cm="1">
        <f t="array" ref="L322">IF(OR(I322="",INDEX('Test schedule'!$T:$T,ROW()+7)=""),"",INDEX('Test schedule'!$T:$T,ROW()+7))</f>
        <v/>
      </c>
    </row>
    <row r="323" spans="2:12" ht="15" customHeight="1">
      <c r="B323" s="116" t="str">
        <f t="shared" si="33"/>
        <v/>
      </c>
      <c r="C323" s="117" t="str">
        <f t="shared" si="29"/>
        <v/>
      </c>
      <c r="D323" s="116" t="str">
        <f t="shared" si="30"/>
        <v/>
      </c>
      <c r="E323" s="120" t="str">
        <f t="shared" si="31"/>
        <v/>
      </c>
      <c r="F323" s="118" t="str">
        <f t="shared" si="32"/>
        <v/>
      </c>
      <c r="G323" s="126">
        <f t="shared" si="34"/>
        <v>42</v>
      </c>
      <c r="H323" s="116" t="str">
        <f t="shared" si="35"/>
        <v/>
      </c>
      <c r="I323" s="117" t="str" cm="1">
        <f t="array" ref="I32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Calculators'!$B$2+ICS4Test!$E321,""))</f>
        <v/>
      </c>
      <c r="J323" s="116" t="str" cm="1">
        <f t="array" ref="J323">IF(I323="","",INDEX('Test schedule'!$H:$H,ROW()+7))</f>
        <v/>
      </c>
      <c r="K323" s="120" t="str" cm="1">
        <f t="array" ref="K323">IF(I323="","",INDEX('Test schedule'!$J:$J,ROW()+7))</f>
        <v/>
      </c>
      <c r="L323" s="129" t="str" cm="1">
        <f t="array" ref="L323">IF(OR(I323="",INDEX('Test schedule'!$T:$T,ROW()+7)=""),"",INDEX('Test schedule'!$T:$T,ROW()+7))</f>
        <v/>
      </c>
    </row>
    <row r="324" spans="2:12" ht="15" customHeight="1">
      <c r="B324" s="116" t="str">
        <f t="shared" si="33"/>
        <v/>
      </c>
      <c r="C324" s="117" t="str">
        <f t="shared" ref="C324:C387" si="36">IFERROR(INDEX($I$4:$I$500,MATCH(ROW()-3,$G$4:$G$500,0)),"")</f>
        <v/>
      </c>
      <c r="D324" s="116" t="str">
        <f t="shared" ref="D324:D387" si="37">IFERROR(INDEX($J$4:$J$500,MATCH(ROW()-3,$G$4:$G$500,0)),"")</f>
        <v/>
      </c>
      <c r="E324" s="120" t="str">
        <f t="shared" ref="E324:E387" si="38">IFERROR(INDEX($K$4:$K$500,MATCH(ROW()-3,$G$4:$G$500,0)),"")</f>
        <v/>
      </c>
      <c r="F324" s="118" t="str">
        <f t="shared" ref="F324:F387" si="39">IFERROR(INDEX($L$4:$L$500,MATCH(ROW()-3,$G$4:$G$500,0)),"")</f>
        <v/>
      </c>
      <c r="G324" s="126">
        <f t="shared" si="34"/>
        <v>42</v>
      </c>
      <c r="H324" s="116" t="str">
        <f t="shared" si="35"/>
        <v/>
      </c>
      <c r="I324" s="117" t="str" cm="1">
        <f t="array" ref="I32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Calculators'!$B$2+ICS4Test!$E322,""))</f>
        <v/>
      </c>
      <c r="J324" s="116" t="str" cm="1">
        <f t="array" ref="J324">IF(I324="","",INDEX('Test schedule'!$H:$H,ROW()+7))</f>
        <v/>
      </c>
      <c r="K324" s="120" t="str" cm="1">
        <f t="array" ref="K324">IF(I324="","",INDEX('Test schedule'!$J:$J,ROW()+7))</f>
        <v/>
      </c>
      <c r="L324" s="129" t="str" cm="1">
        <f t="array" ref="L324">IF(OR(I324="",INDEX('Test schedule'!$T:$T,ROW()+7)=""),"",INDEX('Test schedule'!$T:$T,ROW()+7))</f>
        <v/>
      </c>
    </row>
    <row r="325" spans="2:12" ht="15" customHeight="1">
      <c r="B325" s="116" t="str">
        <f t="shared" ref="B325:B388" si="40">IFERROR(IF(AND(INDEX($H$4:$H$500,MATCH(ROW()-3,$G$4:$G$500,0))&gt;C324,INDEX($I$4:$I$500,MATCH(ROW()-3,$G$4:$G$500,0))&lt;&gt;"END"),C324,INDEX($H$4:$H$500,MATCH(ROW()-3,$G$4:$G$500,0))),"")</f>
        <v/>
      </c>
      <c r="C325" s="117" t="str">
        <f t="shared" si="36"/>
        <v/>
      </c>
      <c r="D325" s="116" t="str">
        <f t="shared" si="37"/>
        <v/>
      </c>
      <c r="E325" s="120" t="str">
        <f t="shared" si="38"/>
        <v/>
      </c>
      <c r="F325" s="118" t="str">
        <f t="shared" si="39"/>
        <v/>
      </c>
      <c r="G325" s="126">
        <f t="shared" ref="G325:G388" si="41">G324+IF(I325&lt;&gt;"",1,0)</f>
        <v>42</v>
      </c>
      <c r="H325" s="116" t="str">
        <f t="shared" si="35"/>
        <v/>
      </c>
      <c r="I325" s="117" t="str" cm="1">
        <f t="array" ref="I32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Calculators'!$B$2+ICS4Test!$E323,""))</f>
        <v/>
      </c>
      <c r="J325" s="116" t="str" cm="1">
        <f t="array" ref="J325">IF(I325="","",INDEX('Test schedule'!$H:$H,ROW()+7))</f>
        <v/>
      </c>
      <c r="K325" s="120" t="str" cm="1">
        <f t="array" ref="K325">IF(I325="","",INDEX('Test schedule'!$J:$J,ROW()+7))</f>
        <v/>
      </c>
      <c r="L325" s="129" t="str" cm="1">
        <f t="array" ref="L325">IF(OR(I325="",INDEX('Test schedule'!$T:$T,ROW()+7)=""),"",INDEX('Test schedule'!$T:$T,ROW()+7))</f>
        <v/>
      </c>
    </row>
    <row r="326" spans="2:12" ht="15" customHeight="1">
      <c r="B326" s="116" t="str">
        <f t="shared" si="40"/>
        <v/>
      </c>
      <c r="C326" s="117" t="str">
        <f t="shared" si="36"/>
        <v/>
      </c>
      <c r="D326" s="116" t="str">
        <f t="shared" si="37"/>
        <v/>
      </c>
      <c r="E326" s="120" t="str">
        <f t="shared" si="38"/>
        <v/>
      </c>
      <c r="F326" s="118" t="str">
        <f t="shared" si="39"/>
        <v/>
      </c>
      <c r="G326" s="126">
        <f t="shared" si="41"/>
        <v>42</v>
      </c>
      <c r="H326" s="116" t="str">
        <f t="shared" si="35"/>
        <v/>
      </c>
      <c r="I326" s="117" t="str" cm="1">
        <f t="array" ref="I32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Calculators'!$B$2+ICS4Test!$E324,""))</f>
        <v/>
      </c>
      <c r="J326" s="116" t="str" cm="1">
        <f t="array" ref="J326">IF(I326="","",INDEX('Test schedule'!$H:$H,ROW()+7))</f>
        <v/>
      </c>
      <c r="K326" s="120" t="str" cm="1">
        <f t="array" ref="K326">IF(I326="","",INDEX('Test schedule'!$J:$J,ROW()+7))</f>
        <v/>
      </c>
      <c r="L326" s="129" t="str" cm="1">
        <f t="array" ref="L326">IF(OR(I326="",INDEX('Test schedule'!$T:$T,ROW()+7)=""),"",INDEX('Test schedule'!$T:$T,ROW()+7))</f>
        <v/>
      </c>
    </row>
    <row r="327" spans="2:12" ht="15" customHeight="1">
      <c r="B327" s="116" t="str">
        <f t="shared" si="40"/>
        <v/>
      </c>
      <c r="C327" s="117" t="str">
        <f t="shared" si="36"/>
        <v/>
      </c>
      <c r="D327" s="116" t="str">
        <f t="shared" si="37"/>
        <v/>
      </c>
      <c r="E327" s="120" t="str">
        <f t="shared" si="38"/>
        <v/>
      </c>
      <c r="F327" s="118" t="str">
        <f t="shared" si="39"/>
        <v/>
      </c>
      <c r="G327" s="126">
        <f t="shared" si="41"/>
        <v>42</v>
      </c>
      <c r="H327" s="116" t="str">
        <f t="shared" si="35"/>
        <v/>
      </c>
      <c r="I327" s="117" t="str" cm="1">
        <f t="array" ref="I32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Calculators'!$B$2+ICS4Test!$E325,""))</f>
        <v/>
      </c>
      <c r="J327" s="116" t="str" cm="1">
        <f t="array" ref="J327">IF(I327="","",INDEX('Test schedule'!$H:$H,ROW()+7))</f>
        <v/>
      </c>
      <c r="K327" s="120" t="str" cm="1">
        <f t="array" ref="K327">IF(I327="","",INDEX('Test schedule'!$J:$J,ROW()+7))</f>
        <v/>
      </c>
      <c r="L327" s="129" t="str" cm="1">
        <f t="array" ref="L327">IF(OR(I327="",INDEX('Test schedule'!$T:$T,ROW()+7)=""),"",INDEX('Test schedule'!$T:$T,ROW()+7))</f>
        <v/>
      </c>
    </row>
    <row r="328" spans="2:12" ht="15" customHeight="1">
      <c r="B328" s="116" t="str">
        <f t="shared" si="40"/>
        <v/>
      </c>
      <c r="C328" s="117" t="str">
        <f t="shared" si="36"/>
        <v/>
      </c>
      <c r="D328" s="116" t="str">
        <f t="shared" si="37"/>
        <v/>
      </c>
      <c r="E328" s="120" t="str">
        <f t="shared" si="38"/>
        <v/>
      </c>
      <c r="F328" s="118" t="str">
        <f t="shared" si="39"/>
        <v/>
      </c>
      <c r="G328" s="126">
        <f t="shared" si="41"/>
        <v>42</v>
      </c>
      <c r="H328" s="116" t="str">
        <f t="shared" si="35"/>
        <v/>
      </c>
      <c r="I328" s="117" t="str" cm="1">
        <f t="array" ref="I32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Calculators'!$B$2+ICS4Test!$E326,""))</f>
        <v/>
      </c>
      <c r="J328" s="116" t="str" cm="1">
        <f t="array" ref="J328">IF(I328="","",INDEX('Test schedule'!$H:$H,ROW()+7))</f>
        <v/>
      </c>
      <c r="K328" s="120" t="str" cm="1">
        <f t="array" ref="K328">IF(I328="","",INDEX('Test schedule'!$J:$J,ROW()+7))</f>
        <v/>
      </c>
      <c r="L328" s="129" t="str" cm="1">
        <f t="array" ref="L328">IF(OR(I328="",INDEX('Test schedule'!$T:$T,ROW()+7)=""),"",INDEX('Test schedule'!$T:$T,ROW()+7))</f>
        <v/>
      </c>
    </row>
    <row r="329" spans="2:12" ht="15" customHeight="1">
      <c r="B329" s="116" t="str">
        <f t="shared" si="40"/>
        <v/>
      </c>
      <c r="C329" s="117" t="str">
        <f t="shared" si="36"/>
        <v/>
      </c>
      <c r="D329" s="116" t="str">
        <f t="shared" si="37"/>
        <v/>
      </c>
      <c r="E329" s="120" t="str">
        <f t="shared" si="38"/>
        <v/>
      </c>
      <c r="F329" s="118" t="str">
        <f t="shared" si="39"/>
        <v/>
      </c>
      <c r="G329" s="126">
        <f t="shared" si="41"/>
        <v>42</v>
      </c>
      <c r="H329" s="116" t="str">
        <f t="shared" si="35"/>
        <v/>
      </c>
      <c r="I329" s="117" t="str" cm="1">
        <f t="array" ref="I32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Calculators'!$B$2+ICS4Test!$E327,""))</f>
        <v/>
      </c>
      <c r="J329" s="116" t="str" cm="1">
        <f t="array" ref="J329">IF(I329="","",INDEX('Test schedule'!$H:$H,ROW()+7))</f>
        <v/>
      </c>
      <c r="K329" s="120" t="str" cm="1">
        <f t="array" ref="K329">IF(I329="","",INDEX('Test schedule'!$J:$J,ROW()+7))</f>
        <v/>
      </c>
      <c r="L329" s="129" t="str" cm="1">
        <f t="array" ref="L329">IF(OR(I329="",INDEX('Test schedule'!$T:$T,ROW()+7)=""),"",INDEX('Test schedule'!$T:$T,ROW()+7))</f>
        <v/>
      </c>
    </row>
    <row r="330" spans="2:12" ht="15" customHeight="1">
      <c r="B330" s="116" t="str">
        <f t="shared" si="40"/>
        <v/>
      </c>
      <c r="C330" s="117" t="str">
        <f t="shared" si="36"/>
        <v/>
      </c>
      <c r="D330" s="116" t="str">
        <f t="shared" si="37"/>
        <v/>
      </c>
      <c r="E330" s="120" t="str">
        <f t="shared" si="38"/>
        <v/>
      </c>
      <c r="F330" s="118" t="str">
        <f t="shared" si="39"/>
        <v/>
      </c>
      <c r="G330" s="126">
        <f t="shared" si="41"/>
        <v>42</v>
      </c>
      <c r="H330" s="116" t="str">
        <f t="shared" si="35"/>
        <v/>
      </c>
      <c r="I330" s="117" t="str" cm="1">
        <f t="array" ref="I33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Calculators'!$B$2+ICS4Test!$E328,""))</f>
        <v/>
      </c>
      <c r="J330" s="116" t="str" cm="1">
        <f t="array" ref="J330">IF(I330="","",INDEX('Test schedule'!$H:$H,ROW()+7))</f>
        <v/>
      </c>
      <c r="K330" s="120" t="str" cm="1">
        <f t="array" ref="K330">IF(I330="","",INDEX('Test schedule'!$J:$J,ROW()+7))</f>
        <v/>
      </c>
      <c r="L330" s="129" t="str" cm="1">
        <f t="array" ref="L330">IF(OR(I330="",INDEX('Test schedule'!$T:$T,ROW()+7)=""),"",INDEX('Test schedule'!$T:$T,ROW()+7))</f>
        <v/>
      </c>
    </row>
    <row r="331" spans="2:12" ht="15" customHeight="1">
      <c r="B331" s="116" t="str">
        <f t="shared" si="40"/>
        <v/>
      </c>
      <c r="C331" s="117" t="str">
        <f t="shared" si="36"/>
        <v/>
      </c>
      <c r="D331" s="116" t="str">
        <f t="shared" si="37"/>
        <v/>
      </c>
      <c r="E331" s="120" t="str">
        <f t="shared" si="38"/>
        <v/>
      </c>
      <c r="F331" s="118" t="str">
        <f t="shared" si="39"/>
        <v/>
      </c>
      <c r="G331" s="126">
        <f t="shared" si="41"/>
        <v>42</v>
      </c>
      <c r="H331" s="116" t="str">
        <f t="shared" si="35"/>
        <v/>
      </c>
      <c r="I331" s="117" t="str" cm="1">
        <f t="array" ref="I33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Calculators'!$B$2+ICS4Test!$E329,""))</f>
        <v/>
      </c>
      <c r="J331" s="116" t="str" cm="1">
        <f t="array" ref="J331">IF(I331="","",INDEX('Test schedule'!$H:$H,ROW()+7))</f>
        <v/>
      </c>
      <c r="K331" s="120" t="str" cm="1">
        <f t="array" ref="K331">IF(I331="","",INDEX('Test schedule'!$J:$J,ROW()+7))</f>
        <v/>
      </c>
      <c r="L331" s="129" t="str" cm="1">
        <f t="array" ref="L331">IF(OR(I331="",INDEX('Test schedule'!$T:$T,ROW()+7)=""),"",INDEX('Test schedule'!$T:$T,ROW()+7))</f>
        <v/>
      </c>
    </row>
    <row r="332" spans="2:12" ht="15" customHeight="1">
      <c r="B332" s="116" t="str">
        <f t="shared" si="40"/>
        <v/>
      </c>
      <c r="C332" s="117" t="str">
        <f t="shared" si="36"/>
        <v/>
      </c>
      <c r="D332" s="116" t="str">
        <f t="shared" si="37"/>
        <v/>
      </c>
      <c r="E332" s="120" t="str">
        <f t="shared" si="38"/>
        <v/>
      </c>
      <c r="F332" s="118" t="str">
        <f t="shared" si="39"/>
        <v/>
      </c>
      <c r="G332" s="126">
        <f t="shared" si="41"/>
        <v>42</v>
      </c>
      <c r="H332" s="116" t="str">
        <f t="shared" si="35"/>
        <v/>
      </c>
      <c r="I332" s="117" t="str" cm="1">
        <f t="array" ref="I33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Calculators'!$B$2+ICS4Test!$E330,""))</f>
        <v/>
      </c>
      <c r="J332" s="116" t="str" cm="1">
        <f t="array" ref="J332">IF(I332="","",INDEX('Test schedule'!$H:$H,ROW()+7))</f>
        <v/>
      </c>
      <c r="K332" s="120" t="str" cm="1">
        <f t="array" ref="K332">IF(I332="","",INDEX('Test schedule'!$J:$J,ROW()+7))</f>
        <v/>
      </c>
      <c r="L332" s="129" t="str" cm="1">
        <f t="array" ref="L332">IF(OR(I332="",INDEX('Test schedule'!$T:$T,ROW()+7)=""),"",INDEX('Test schedule'!$T:$T,ROW()+7))</f>
        <v/>
      </c>
    </row>
    <row r="333" spans="2:12" ht="15" customHeight="1">
      <c r="B333" s="116" t="str">
        <f t="shared" si="40"/>
        <v/>
      </c>
      <c r="C333" s="117" t="str">
        <f t="shared" si="36"/>
        <v/>
      </c>
      <c r="D333" s="116" t="str">
        <f t="shared" si="37"/>
        <v/>
      </c>
      <c r="E333" s="120" t="str">
        <f t="shared" si="38"/>
        <v/>
      </c>
      <c r="F333" s="118" t="str">
        <f t="shared" si="39"/>
        <v/>
      </c>
      <c r="G333" s="126">
        <f t="shared" si="41"/>
        <v>42</v>
      </c>
      <c r="H333" s="116" t="str">
        <f t="shared" si="35"/>
        <v/>
      </c>
      <c r="I333" s="117" t="str" cm="1">
        <f t="array" ref="I33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Calculators'!$B$2+ICS4Test!$E331,""))</f>
        <v/>
      </c>
      <c r="J333" s="116" t="str" cm="1">
        <f t="array" ref="J333">IF(I333="","",INDEX('Test schedule'!$H:$H,ROW()+7))</f>
        <v/>
      </c>
      <c r="K333" s="120" t="str" cm="1">
        <f t="array" ref="K333">IF(I333="","",INDEX('Test schedule'!$J:$J,ROW()+7))</f>
        <v/>
      </c>
      <c r="L333" s="129" t="str" cm="1">
        <f t="array" ref="L333">IF(OR(I333="",INDEX('Test schedule'!$T:$T,ROW()+7)=""),"",INDEX('Test schedule'!$T:$T,ROW()+7))</f>
        <v/>
      </c>
    </row>
    <row r="334" spans="2:12" ht="15" customHeight="1">
      <c r="B334" s="116" t="str">
        <f t="shared" si="40"/>
        <v/>
      </c>
      <c r="C334" s="117" t="str">
        <f t="shared" si="36"/>
        <v/>
      </c>
      <c r="D334" s="116" t="str">
        <f t="shared" si="37"/>
        <v/>
      </c>
      <c r="E334" s="120" t="str">
        <f t="shared" si="38"/>
        <v/>
      </c>
      <c r="F334" s="118" t="str">
        <f t="shared" si="39"/>
        <v/>
      </c>
      <c r="G334" s="126">
        <f t="shared" si="41"/>
        <v>42</v>
      </c>
      <c r="H334" s="116" t="str">
        <f t="shared" si="35"/>
        <v/>
      </c>
      <c r="I334" s="117" t="str" cm="1">
        <f t="array" ref="I33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Calculators'!$B$2+ICS4Test!$E332,""))</f>
        <v/>
      </c>
      <c r="J334" s="116" t="str" cm="1">
        <f t="array" ref="J334">IF(I334="","",INDEX('Test schedule'!$H:$H,ROW()+7))</f>
        <v/>
      </c>
      <c r="K334" s="120" t="str" cm="1">
        <f t="array" ref="K334">IF(I334="","",INDEX('Test schedule'!$J:$J,ROW()+7))</f>
        <v/>
      </c>
      <c r="L334" s="129" t="str" cm="1">
        <f t="array" ref="L334">IF(OR(I334="",INDEX('Test schedule'!$T:$T,ROW()+7)=""),"",INDEX('Test schedule'!$T:$T,ROW()+7))</f>
        <v/>
      </c>
    </row>
    <row r="335" spans="2:12" ht="15" customHeight="1">
      <c r="B335" s="116" t="str">
        <f t="shared" si="40"/>
        <v/>
      </c>
      <c r="C335" s="117" t="str">
        <f t="shared" si="36"/>
        <v/>
      </c>
      <c r="D335" s="116" t="str">
        <f t="shared" si="37"/>
        <v/>
      </c>
      <c r="E335" s="120" t="str">
        <f t="shared" si="38"/>
        <v/>
      </c>
      <c r="F335" s="118" t="str">
        <f t="shared" si="39"/>
        <v/>
      </c>
      <c r="G335" s="126">
        <f t="shared" si="41"/>
        <v>42</v>
      </c>
      <c r="H335" s="116" t="str">
        <f t="shared" si="35"/>
        <v/>
      </c>
      <c r="I335" s="117" t="str" cm="1">
        <f t="array" ref="I33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Calculators'!$B$2+ICS4Test!$E333,""))</f>
        <v/>
      </c>
      <c r="J335" s="116" t="str" cm="1">
        <f t="array" ref="J335">IF(I335="","",INDEX('Test schedule'!$H:$H,ROW()+7))</f>
        <v/>
      </c>
      <c r="K335" s="120" t="str" cm="1">
        <f t="array" ref="K335">IF(I335="","",INDEX('Test schedule'!$J:$J,ROW()+7))</f>
        <v/>
      </c>
      <c r="L335" s="129" t="str" cm="1">
        <f t="array" ref="L335">IF(OR(I335="",INDEX('Test schedule'!$T:$T,ROW()+7)=""),"",INDEX('Test schedule'!$T:$T,ROW()+7))</f>
        <v/>
      </c>
    </row>
    <row r="336" spans="2:12" ht="15" customHeight="1">
      <c r="B336" s="116" t="str">
        <f t="shared" si="40"/>
        <v/>
      </c>
      <c r="C336" s="117" t="str">
        <f t="shared" si="36"/>
        <v/>
      </c>
      <c r="D336" s="116" t="str">
        <f t="shared" si="37"/>
        <v/>
      </c>
      <c r="E336" s="120" t="str">
        <f t="shared" si="38"/>
        <v/>
      </c>
      <c r="F336" s="118" t="str">
        <f t="shared" si="39"/>
        <v/>
      </c>
      <c r="G336" s="126">
        <f t="shared" si="41"/>
        <v>42</v>
      </c>
      <c r="H336" s="116" t="str">
        <f t="shared" si="35"/>
        <v/>
      </c>
      <c r="I336" s="117" t="str" cm="1">
        <f t="array" ref="I33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Calculators'!$B$2+ICS4Test!$E334,""))</f>
        <v/>
      </c>
      <c r="J336" s="116" t="str" cm="1">
        <f t="array" ref="J336">IF(I336="","",INDEX('Test schedule'!$H:$H,ROW()+7))</f>
        <v/>
      </c>
      <c r="K336" s="120" t="str" cm="1">
        <f t="array" ref="K336">IF(I336="","",INDEX('Test schedule'!$J:$J,ROW()+7))</f>
        <v/>
      </c>
      <c r="L336" s="129" t="str" cm="1">
        <f t="array" ref="L336">IF(OR(I336="",INDEX('Test schedule'!$T:$T,ROW()+7)=""),"",INDEX('Test schedule'!$T:$T,ROW()+7))</f>
        <v/>
      </c>
    </row>
    <row r="337" spans="2:12" ht="15" customHeight="1">
      <c r="B337" s="116" t="str">
        <f t="shared" si="40"/>
        <v/>
      </c>
      <c r="C337" s="117" t="str">
        <f t="shared" si="36"/>
        <v/>
      </c>
      <c r="D337" s="116" t="str">
        <f t="shared" si="37"/>
        <v/>
      </c>
      <c r="E337" s="120" t="str">
        <f t="shared" si="38"/>
        <v/>
      </c>
      <c r="F337" s="118" t="str">
        <f t="shared" si="39"/>
        <v/>
      </c>
      <c r="G337" s="126">
        <f t="shared" si="41"/>
        <v>42</v>
      </c>
      <c r="H337" s="116" t="str">
        <f t="shared" si="35"/>
        <v/>
      </c>
      <c r="I337" s="117" t="str" cm="1">
        <f t="array" ref="I33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Calculators'!$B$2+ICS4Test!$E335,""))</f>
        <v/>
      </c>
      <c r="J337" s="116" t="str" cm="1">
        <f t="array" ref="J337">IF(I337="","",INDEX('Test schedule'!$H:$H,ROW()+7))</f>
        <v/>
      </c>
      <c r="K337" s="120" t="str" cm="1">
        <f t="array" ref="K337">IF(I337="","",INDEX('Test schedule'!$J:$J,ROW()+7))</f>
        <v/>
      </c>
      <c r="L337" s="129" t="str" cm="1">
        <f t="array" ref="L337">IF(OR(I337="",INDEX('Test schedule'!$T:$T,ROW()+7)=""),"",INDEX('Test schedule'!$T:$T,ROW()+7))</f>
        <v/>
      </c>
    </row>
    <row r="338" spans="2:12" ht="15" customHeight="1">
      <c r="B338" s="116" t="str">
        <f t="shared" si="40"/>
        <v/>
      </c>
      <c r="C338" s="117" t="str">
        <f t="shared" si="36"/>
        <v/>
      </c>
      <c r="D338" s="116" t="str">
        <f t="shared" si="37"/>
        <v/>
      </c>
      <c r="E338" s="120" t="str">
        <f t="shared" si="38"/>
        <v/>
      </c>
      <c r="F338" s="118" t="str">
        <f t="shared" si="39"/>
        <v/>
      </c>
      <c r="G338" s="126">
        <f t="shared" si="41"/>
        <v>42</v>
      </c>
      <c r="H338" s="116" t="str">
        <f t="shared" si="35"/>
        <v/>
      </c>
      <c r="I338" s="117" t="str" cm="1">
        <f t="array" ref="I33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Calculators'!$B$2+ICS4Test!$E336,""))</f>
        <v/>
      </c>
      <c r="J338" s="116" t="str" cm="1">
        <f t="array" ref="J338">IF(I338="","",INDEX('Test schedule'!$H:$H,ROW()+7))</f>
        <v/>
      </c>
      <c r="K338" s="120" t="str" cm="1">
        <f t="array" ref="K338">IF(I338="","",INDEX('Test schedule'!$J:$J,ROW()+7))</f>
        <v/>
      </c>
      <c r="L338" s="129" t="str" cm="1">
        <f t="array" ref="L338">IF(OR(I338="",INDEX('Test schedule'!$T:$T,ROW()+7)=""),"",INDEX('Test schedule'!$T:$T,ROW()+7))</f>
        <v/>
      </c>
    </row>
    <row r="339" spans="2:12" ht="15" customHeight="1">
      <c r="B339" s="116" t="str">
        <f t="shared" si="40"/>
        <v/>
      </c>
      <c r="C339" s="117" t="str">
        <f t="shared" si="36"/>
        <v/>
      </c>
      <c r="D339" s="116" t="str">
        <f t="shared" si="37"/>
        <v/>
      </c>
      <c r="E339" s="120" t="str">
        <f t="shared" si="38"/>
        <v/>
      </c>
      <c r="F339" s="118" t="str">
        <f t="shared" si="39"/>
        <v/>
      </c>
      <c r="G339" s="126">
        <f t="shared" si="41"/>
        <v>42</v>
      </c>
      <c r="H339" s="116" t="str">
        <f t="shared" si="35"/>
        <v/>
      </c>
      <c r="I339" s="117" t="str" cm="1">
        <f t="array" ref="I33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Calculators'!$B$2+ICS4Test!$E337,""))</f>
        <v/>
      </c>
      <c r="J339" s="116" t="str" cm="1">
        <f t="array" ref="J339">IF(I339="","",INDEX('Test schedule'!$H:$H,ROW()+7))</f>
        <v/>
      </c>
      <c r="K339" s="120" t="str" cm="1">
        <f t="array" ref="K339">IF(I339="","",INDEX('Test schedule'!$J:$J,ROW()+7))</f>
        <v/>
      </c>
      <c r="L339" s="129" t="str" cm="1">
        <f t="array" ref="L339">IF(OR(I339="",INDEX('Test schedule'!$T:$T,ROW()+7)=""),"",INDEX('Test schedule'!$T:$T,ROW()+7))</f>
        <v/>
      </c>
    </row>
    <row r="340" spans="2:12" ht="15" customHeight="1">
      <c r="B340" s="116" t="str">
        <f t="shared" si="40"/>
        <v/>
      </c>
      <c r="C340" s="117" t="str">
        <f t="shared" si="36"/>
        <v/>
      </c>
      <c r="D340" s="116" t="str">
        <f t="shared" si="37"/>
        <v/>
      </c>
      <c r="E340" s="120" t="str">
        <f t="shared" si="38"/>
        <v/>
      </c>
      <c r="F340" s="118" t="str">
        <f t="shared" si="39"/>
        <v/>
      </c>
      <c r="G340" s="126">
        <f t="shared" si="41"/>
        <v>42</v>
      </c>
      <c r="H340" s="116" t="str">
        <f t="shared" si="35"/>
        <v/>
      </c>
      <c r="I340" s="117" t="str" cm="1">
        <f t="array" ref="I34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Calculators'!$B$2+ICS4Test!$E338,""))</f>
        <v/>
      </c>
      <c r="J340" s="116" t="str" cm="1">
        <f t="array" ref="J340">IF(I340="","",INDEX('Test schedule'!$H:$H,ROW()+7))</f>
        <v/>
      </c>
      <c r="K340" s="120" t="str" cm="1">
        <f t="array" ref="K340">IF(I340="","",INDEX('Test schedule'!$J:$J,ROW()+7))</f>
        <v/>
      </c>
      <c r="L340" s="129" t="str" cm="1">
        <f t="array" ref="L340">IF(OR(I340="",INDEX('Test schedule'!$T:$T,ROW()+7)=""),"",INDEX('Test schedule'!$T:$T,ROW()+7))</f>
        <v/>
      </c>
    </row>
    <row r="341" spans="2:12" ht="15" customHeight="1">
      <c r="B341" s="116" t="str">
        <f t="shared" si="40"/>
        <v/>
      </c>
      <c r="C341" s="117" t="str">
        <f t="shared" si="36"/>
        <v/>
      </c>
      <c r="D341" s="116" t="str">
        <f t="shared" si="37"/>
        <v/>
      </c>
      <c r="E341" s="120" t="str">
        <f t="shared" si="38"/>
        <v/>
      </c>
      <c r="F341" s="118" t="str">
        <f t="shared" si="39"/>
        <v/>
      </c>
      <c r="G341" s="126">
        <f t="shared" si="41"/>
        <v>42</v>
      </c>
      <c r="H341" s="116" t="str">
        <f t="shared" si="35"/>
        <v/>
      </c>
      <c r="I341" s="117" t="str" cm="1">
        <f t="array" ref="I34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Calculators'!$B$2+ICS4Test!$E339,""))</f>
        <v/>
      </c>
      <c r="J341" s="116" t="str" cm="1">
        <f t="array" ref="J341">IF(I341="","",INDEX('Test schedule'!$H:$H,ROW()+7))</f>
        <v/>
      </c>
      <c r="K341" s="120" t="str" cm="1">
        <f t="array" ref="K341">IF(I341="","",INDEX('Test schedule'!$J:$J,ROW()+7))</f>
        <v/>
      </c>
      <c r="L341" s="129" t="str" cm="1">
        <f t="array" ref="L341">IF(OR(I341="",INDEX('Test schedule'!$T:$T,ROW()+7)=""),"",INDEX('Test schedule'!$T:$T,ROW()+7))</f>
        <v/>
      </c>
    </row>
    <row r="342" spans="2:12" ht="15" customHeight="1">
      <c r="B342" s="116" t="str">
        <f t="shared" si="40"/>
        <v/>
      </c>
      <c r="C342" s="117" t="str">
        <f t="shared" si="36"/>
        <v/>
      </c>
      <c r="D342" s="116" t="str">
        <f t="shared" si="37"/>
        <v/>
      </c>
      <c r="E342" s="120" t="str">
        <f t="shared" si="38"/>
        <v/>
      </c>
      <c r="F342" s="118" t="str">
        <f t="shared" si="39"/>
        <v/>
      </c>
      <c r="G342" s="126">
        <f t="shared" si="41"/>
        <v>42</v>
      </c>
      <c r="H342" s="116" t="str">
        <f t="shared" si="35"/>
        <v/>
      </c>
      <c r="I342" s="117" t="str" cm="1">
        <f t="array" ref="I34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Calculators'!$B$2+ICS4Test!$E340,""))</f>
        <v/>
      </c>
      <c r="J342" s="116" t="str" cm="1">
        <f t="array" ref="J342">IF(I342="","",INDEX('Test schedule'!$H:$H,ROW()+7))</f>
        <v/>
      </c>
      <c r="K342" s="120" t="str" cm="1">
        <f t="array" ref="K342">IF(I342="","",INDEX('Test schedule'!$J:$J,ROW()+7))</f>
        <v/>
      </c>
      <c r="L342" s="129" t="str" cm="1">
        <f t="array" ref="L342">IF(OR(I342="",INDEX('Test schedule'!$T:$T,ROW()+7)=""),"",INDEX('Test schedule'!$T:$T,ROW()+7))</f>
        <v/>
      </c>
    </row>
    <row r="343" spans="2:12" ht="15" customHeight="1">
      <c r="B343" s="116" t="str">
        <f t="shared" si="40"/>
        <v/>
      </c>
      <c r="C343" s="117" t="str">
        <f t="shared" si="36"/>
        <v/>
      </c>
      <c r="D343" s="116" t="str">
        <f t="shared" si="37"/>
        <v/>
      </c>
      <c r="E343" s="120" t="str">
        <f t="shared" si="38"/>
        <v/>
      </c>
      <c r="F343" s="118" t="str">
        <f t="shared" si="39"/>
        <v/>
      </c>
      <c r="G343" s="126">
        <f t="shared" si="41"/>
        <v>42</v>
      </c>
      <c r="H343" s="116" t="str">
        <f t="shared" si="35"/>
        <v/>
      </c>
      <c r="I343" s="117" t="str" cm="1">
        <f t="array" ref="I34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Calculators'!$B$2+ICS4Test!$E341,""))</f>
        <v/>
      </c>
      <c r="J343" s="116" t="str" cm="1">
        <f t="array" ref="J343">IF(I343="","",INDEX('Test schedule'!$H:$H,ROW()+7))</f>
        <v/>
      </c>
      <c r="K343" s="120" t="str" cm="1">
        <f t="array" ref="K343">IF(I343="","",INDEX('Test schedule'!$J:$J,ROW()+7))</f>
        <v/>
      </c>
      <c r="L343" s="129" t="str" cm="1">
        <f t="array" ref="L343">IF(OR(I343="",INDEX('Test schedule'!$T:$T,ROW()+7)=""),"",INDEX('Test schedule'!$T:$T,ROW()+7))</f>
        <v/>
      </c>
    </row>
    <row r="344" spans="2:12" ht="15" customHeight="1">
      <c r="B344" s="116" t="str">
        <f t="shared" si="40"/>
        <v/>
      </c>
      <c r="C344" s="117" t="str">
        <f t="shared" si="36"/>
        <v/>
      </c>
      <c r="D344" s="116" t="str">
        <f t="shared" si="37"/>
        <v/>
      </c>
      <c r="E344" s="120" t="str">
        <f t="shared" si="38"/>
        <v/>
      </c>
      <c r="F344" s="118" t="str">
        <f t="shared" si="39"/>
        <v/>
      </c>
      <c r="G344" s="126">
        <f t="shared" si="41"/>
        <v>42</v>
      </c>
      <c r="H344" s="116" t="str">
        <f t="shared" si="35"/>
        <v/>
      </c>
      <c r="I344" s="117" t="str" cm="1">
        <f t="array" ref="I34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Calculators'!$B$2+ICS4Test!$E342,""))</f>
        <v/>
      </c>
      <c r="J344" s="116" t="str" cm="1">
        <f t="array" ref="J344">IF(I344="","",INDEX('Test schedule'!$H:$H,ROW()+7))</f>
        <v/>
      </c>
      <c r="K344" s="120" t="str" cm="1">
        <f t="array" ref="K344">IF(I344="","",INDEX('Test schedule'!$J:$J,ROW()+7))</f>
        <v/>
      </c>
      <c r="L344" s="129" t="str" cm="1">
        <f t="array" ref="L344">IF(OR(I344="",INDEX('Test schedule'!$T:$T,ROW()+7)=""),"",INDEX('Test schedule'!$T:$T,ROW()+7))</f>
        <v/>
      </c>
    </row>
    <row r="345" spans="2:12" ht="15" customHeight="1">
      <c r="B345" s="116" t="str">
        <f t="shared" si="40"/>
        <v/>
      </c>
      <c r="C345" s="117" t="str">
        <f t="shared" si="36"/>
        <v/>
      </c>
      <c r="D345" s="116" t="str">
        <f t="shared" si="37"/>
        <v/>
      </c>
      <c r="E345" s="120" t="str">
        <f t="shared" si="38"/>
        <v/>
      </c>
      <c r="F345" s="118" t="str">
        <f t="shared" si="39"/>
        <v/>
      </c>
      <c r="G345" s="126">
        <f t="shared" si="41"/>
        <v>42</v>
      </c>
      <c r="H345" s="116" t="str">
        <f t="shared" si="35"/>
        <v/>
      </c>
      <c r="I345" s="117" t="str" cm="1">
        <f t="array" ref="I34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Calculators'!$B$2+ICS4Test!$E343,""))</f>
        <v/>
      </c>
      <c r="J345" s="116" t="str" cm="1">
        <f t="array" ref="J345">IF(I345="","",INDEX('Test schedule'!$H:$H,ROW()+7))</f>
        <v/>
      </c>
      <c r="K345" s="120" t="str" cm="1">
        <f t="array" ref="K345">IF(I345="","",INDEX('Test schedule'!$J:$J,ROW()+7))</f>
        <v/>
      </c>
      <c r="L345" s="129" t="str" cm="1">
        <f t="array" ref="L345">IF(OR(I345="",INDEX('Test schedule'!$T:$T,ROW()+7)=""),"",INDEX('Test schedule'!$T:$T,ROW()+7))</f>
        <v/>
      </c>
    </row>
    <row r="346" spans="2:12" ht="15" customHeight="1">
      <c r="B346" s="116" t="str">
        <f t="shared" si="40"/>
        <v/>
      </c>
      <c r="C346" s="117" t="str">
        <f t="shared" si="36"/>
        <v/>
      </c>
      <c r="D346" s="116" t="str">
        <f t="shared" si="37"/>
        <v/>
      </c>
      <c r="E346" s="120" t="str">
        <f t="shared" si="38"/>
        <v/>
      </c>
      <c r="F346" s="118" t="str">
        <f t="shared" si="39"/>
        <v/>
      </c>
      <c r="G346" s="126">
        <f t="shared" si="41"/>
        <v>42</v>
      </c>
      <c r="H346" s="116" t="str">
        <f t="shared" si="35"/>
        <v/>
      </c>
      <c r="I346" s="117" t="str" cm="1">
        <f t="array" ref="I34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Calculators'!$B$2+ICS4Test!$E344,""))</f>
        <v/>
      </c>
      <c r="J346" s="116" t="str" cm="1">
        <f t="array" ref="J346">IF(I346="","",INDEX('Test schedule'!$H:$H,ROW()+7))</f>
        <v/>
      </c>
      <c r="K346" s="120" t="str" cm="1">
        <f t="array" ref="K346">IF(I346="","",INDEX('Test schedule'!$J:$J,ROW()+7))</f>
        <v/>
      </c>
      <c r="L346" s="129" t="str" cm="1">
        <f t="array" ref="L346">IF(OR(I346="",INDEX('Test schedule'!$T:$T,ROW()+7)=""),"",INDEX('Test schedule'!$T:$T,ROW()+7))</f>
        <v/>
      </c>
    </row>
    <row r="347" spans="2:12" ht="15" customHeight="1">
      <c r="B347" s="116" t="str">
        <f t="shared" si="40"/>
        <v/>
      </c>
      <c r="C347" s="117" t="str">
        <f t="shared" si="36"/>
        <v/>
      </c>
      <c r="D347" s="116" t="str">
        <f t="shared" si="37"/>
        <v/>
      </c>
      <c r="E347" s="120" t="str">
        <f t="shared" si="38"/>
        <v/>
      </c>
      <c r="F347" s="118" t="str">
        <f t="shared" si="39"/>
        <v/>
      </c>
      <c r="G347" s="126">
        <f t="shared" si="41"/>
        <v>42</v>
      </c>
      <c r="H347" s="116" t="str">
        <f t="shared" si="35"/>
        <v/>
      </c>
      <c r="I347" s="117" t="str" cm="1">
        <f t="array" ref="I34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Calculators'!$B$2+ICS4Test!$E345,""))</f>
        <v/>
      </c>
      <c r="J347" s="116" t="str" cm="1">
        <f t="array" ref="J347">IF(I347="","",INDEX('Test schedule'!$H:$H,ROW()+7))</f>
        <v/>
      </c>
      <c r="K347" s="120" t="str" cm="1">
        <f t="array" ref="K347">IF(I347="","",INDEX('Test schedule'!$J:$J,ROW()+7))</f>
        <v/>
      </c>
      <c r="L347" s="129" t="str" cm="1">
        <f t="array" ref="L347">IF(OR(I347="",INDEX('Test schedule'!$T:$T,ROW()+7)=""),"",INDEX('Test schedule'!$T:$T,ROW()+7))</f>
        <v/>
      </c>
    </row>
    <row r="348" spans="2:12" ht="15" customHeight="1">
      <c r="B348" s="116" t="str">
        <f t="shared" si="40"/>
        <v/>
      </c>
      <c r="C348" s="117" t="str">
        <f t="shared" si="36"/>
        <v/>
      </c>
      <c r="D348" s="116" t="str">
        <f t="shared" si="37"/>
        <v/>
      </c>
      <c r="E348" s="120" t="str">
        <f t="shared" si="38"/>
        <v/>
      </c>
      <c r="F348" s="118" t="str">
        <f t="shared" si="39"/>
        <v/>
      </c>
      <c r="G348" s="126">
        <f t="shared" si="41"/>
        <v>42</v>
      </c>
      <c r="H348" s="116" t="str">
        <f t="shared" si="35"/>
        <v/>
      </c>
      <c r="I348" s="117" t="str" cm="1">
        <f t="array" ref="I34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Calculators'!$B$2+ICS4Test!$E346,""))</f>
        <v/>
      </c>
      <c r="J348" s="116" t="str" cm="1">
        <f t="array" ref="J348">IF(I348="","",INDEX('Test schedule'!$H:$H,ROW()+7))</f>
        <v/>
      </c>
      <c r="K348" s="120" t="str" cm="1">
        <f t="array" ref="K348">IF(I348="","",INDEX('Test schedule'!$J:$J,ROW()+7))</f>
        <v/>
      </c>
      <c r="L348" s="129" t="str" cm="1">
        <f t="array" ref="L348">IF(OR(I348="",INDEX('Test schedule'!$T:$T,ROW()+7)=""),"",INDEX('Test schedule'!$T:$T,ROW()+7))</f>
        <v/>
      </c>
    </row>
    <row r="349" spans="2:12" ht="15" customHeight="1">
      <c r="B349" s="116" t="str">
        <f t="shared" si="40"/>
        <v/>
      </c>
      <c r="C349" s="117" t="str">
        <f t="shared" si="36"/>
        <v/>
      </c>
      <c r="D349" s="116" t="str">
        <f t="shared" si="37"/>
        <v/>
      </c>
      <c r="E349" s="120" t="str">
        <f t="shared" si="38"/>
        <v/>
      </c>
      <c r="F349" s="118" t="str">
        <f t="shared" si="39"/>
        <v/>
      </c>
      <c r="G349" s="126">
        <f t="shared" si="41"/>
        <v>42</v>
      </c>
      <c r="H349" s="116" t="str">
        <f t="shared" si="35"/>
        <v/>
      </c>
      <c r="I349" s="117" t="str" cm="1">
        <f t="array" ref="I34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Calculators'!$B$2+ICS4Test!$E347,""))</f>
        <v/>
      </c>
      <c r="J349" s="116" t="str" cm="1">
        <f t="array" ref="J349">IF(I349="","",INDEX('Test schedule'!$H:$H,ROW()+7))</f>
        <v/>
      </c>
      <c r="K349" s="120" t="str" cm="1">
        <f t="array" ref="K349">IF(I349="","",INDEX('Test schedule'!$J:$J,ROW()+7))</f>
        <v/>
      </c>
      <c r="L349" s="129" t="str" cm="1">
        <f t="array" ref="L349">IF(OR(I349="",INDEX('Test schedule'!$T:$T,ROW()+7)=""),"",INDEX('Test schedule'!$T:$T,ROW()+7))</f>
        <v/>
      </c>
    </row>
    <row r="350" spans="2:12" ht="15" customHeight="1">
      <c r="B350" s="116" t="str">
        <f t="shared" si="40"/>
        <v/>
      </c>
      <c r="C350" s="117" t="str">
        <f t="shared" si="36"/>
        <v/>
      </c>
      <c r="D350" s="116" t="str">
        <f t="shared" si="37"/>
        <v/>
      </c>
      <c r="E350" s="120" t="str">
        <f t="shared" si="38"/>
        <v/>
      </c>
      <c r="F350" s="118" t="str">
        <f t="shared" si="39"/>
        <v/>
      </c>
      <c r="G350" s="126">
        <f t="shared" si="41"/>
        <v>42</v>
      </c>
      <c r="H350" s="116" t="str">
        <f t="shared" si="35"/>
        <v/>
      </c>
      <c r="I350" s="117" t="str" cm="1">
        <f t="array" ref="I35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Calculators'!$B$2+ICS4Test!$E348,""))</f>
        <v/>
      </c>
      <c r="J350" s="116" t="str" cm="1">
        <f t="array" ref="J350">IF(I350="","",INDEX('Test schedule'!$H:$H,ROW()+7))</f>
        <v/>
      </c>
      <c r="K350" s="120" t="str" cm="1">
        <f t="array" ref="K350">IF(I350="","",INDEX('Test schedule'!$J:$J,ROW()+7))</f>
        <v/>
      </c>
      <c r="L350" s="129" t="str" cm="1">
        <f t="array" ref="L350">IF(OR(I350="",INDEX('Test schedule'!$T:$T,ROW()+7)=""),"",INDEX('Test schedule'!$T:$T,ROW()+7))</f>
        <v/>
      </c>
    </row>
    <row r="351" spans="2:12" ht="15" customHeight="1">
      <c r="B351" s="116" t="str">
        <f t="shared" si="40"/>
        <v/>
      </c>
      <c r="C351" s="117" t="str">
        <f t="shared" si="36"/>
        <v/>
      </c>
      <c r="D351" s="116" t="str">
        <f t="shared" si="37"/>
        <v/>
      </c>
      <c r="E351" s="120" t="str">
        <f t="shared" si="38"/>
        <v/>
      </c>
      <c r="F351" s="118" t="str">
        <f t="shared" si="39"/>
        <v/>
      </c>
      <c r="G351" s="126">
        <f t="shared" si="41"/>
        <v>42</v>
      </c>
      <c r="H351" s="116" t="str">
        <f t="shared" si="35"/>
        <v/>
      </c>
      <c r="I351" s="117" t="str" cm="1">
        <f t="array" ref="I35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Calculators'!$B$2+ICS4Test!$E349,""))</f>
        <v/>
      </c>
      <c r="J351" s="116" t="str" cm="1">
        <f t="array" ref="J351">IF(I351="","",INDEX('Test schedule'!$H:$H,ROW()+7))</f>
        <v/>
      </c>
      <c r="K351" s="120" t="str" cm="1">
        <f t="array" ref="K351">IF(I351="","",INDEX('Test schedule'!$J:$J,ROW()+7))</f>
        <v/>
      </c>
      <c r="L351" s="129" t="str" cm="1">
        <f t="array" ref="L351">IF(OR(I351="",INDEX('Test schedule'!$T:$T,ROW()+7)=""),"",INDEX('Test schedule'!$T:$T,ROW()+7))</f>
        <v/>
      </c>
    </row>
    <row r="352" spans="2:12" ht="15" customHeight="1">
      <c r="B352" s="116" t="str">
        <f t="shared" si="40"/>
        <v/>
      </c>
      <c r="C352" s="117" t="str">
        <f t="shared" si="36"/>
        <v/>
      </c>
      <c r="D352" s="116" t="str">
        <f t="shared" si="37"/>
        <v/>
      </c>
      <c r="E352" s="120" t="str">
        <f t="shared" si="38"/>
        <v/>
      </c>
      <c r="F352" s="118" t="str">
        <f t="shared" si="39"/>
        <v/>
      </c>
      <c r="G352" s="126">
        <f t="shared" si="41"/>
        <v>42</v>
      </c>
      <c r="H352" s="116" t="str">
        <f t="shared" si="35"/>
        <v/>
      </c>
      <c r="I352" s="117" t="str" cm="1">
        <f t="array" ref="I35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Calculators'!$B$2+ICS4Test!$E350,""))</f>
        <v/>
      </c>
      <c r="J352" s="116" t="str" cm="1">
        <f t="array" ref="J352">IF(I352="","",INDEX('Test schedule'!$H:$H,ROW()+7))</f>
        <v/>
      </c>
      <c r="K352" s="120" t="str" cm="1">
        <f t="array" ref="K352">IF(I352="","",INDEX('Test schedule'!$J:$J,ROW()+7))</f>
        <v/>
      </c>
      <c r="L352" s="129" t="str" cm="1">
        <f t="array" ref="L352">IF(OR(I352="",INDEX('Test schedule'!$T:$T,ROW()+7)=""),"",INDEX('Test schedule'!$T:$T,ROW()+7))</f>
        <v/>
      </c>
    </row>
    <row r="353" spans="2:12" ht="15" customHeight="1">
      <c r="B353" s="116" t="str">
        <f t="shared" si="40"/>
        <v/>
      </c>
      <c r="C353" s="117" t="str">
        <f t="shared" si="36"/>
        <v/>
      </c>
      <c r="D353" s="116" t="str">
        <f t="shared" si="37"/>
        <v/>
      </c>
      <c r="E353" s="120" t="str">
        <f t="shared" si="38"/>
        <v/>
      </c>
      <c r="F353" s="118" t="str">
        <f t="shared" si="39"/>
        <v/>
      </c>
      <c r="G353" s="126">
        <f t="shared" si="41"/>
        <v>42</v>
      </c>
      <c r="H353" s="116" t="str">
        <f t="shared" si="35"/>
        <v/>
      </c>
      <c r="I353" s="117" t="str" cm="1">
        <f t="array" ref="I35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Calculators'!$B$2+ICS4Test!$E351,""))</f>
        <v/>
      </c>
      <c r="J353" s="116" t="str" cm="1">
        <f t="array" ref="J353">IF(I353="","",INDEX('Test schedule'!$H:$H,ROW()+7))</f>
        <v/>
      </c>
      <c r="K353" s="120" t="str" cm="1">
        <f t="array" ref="K353">IF(I353="","",INDEX('Test schedule'!$J:$J,ROW()+7))</f>
        <v/>
      </c>
      <c r="L353" s="129" t="str" cm="1">
        <f t="array" ref="L353">IF(OR(I353="",INDEX('Test schedule'!$T:$T,ROW()+7)=""),"",INDEX('Test schedule'!$T:$T,ROW()+7))</f>
        <v/>
      </c>
    </row>
    <row r="354" spans="2:12" ht="15" customHeight="1">
      <c r="B354" s="116" t="str">
        <f t="shared" si="40"/>
        <v/>
      </c>
      <c r="C354" s="117" t="str">
        <f t="shared" si="36"/>
        <v/>
      </c>
      <c r="D354" s="116" t="str">
        <f t="shared" si="37"/>
        <v/>
      </c>
      <c r="E354" s="120" t="str">
        <f t="shared" si="38"/>
        <v/>
      </c>
      <c r="F354" s="118" t="str">
        <f t="shared" si="39"/>
        <v/>
      </c>
      <c r="G354" s="126">
        <f t="shared" si="41"/>
        <v>42</v>
      </c>
      <c r="H354" s="116" t="str">
        <f t="shared" si="35"/>
        <v/>
      </c>
      <c r="I354" s="117" t="str" cm="1">
        <f t="array" ref="I35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Calculators'!$B$2+ICS4Test!$E352,""))</f>
        <v/>
      </c>
      <c r="J354" s="116" t="str" cm="1">
        <f t="array" ref="J354">IF(I354="","",INDEX('Test schedule'!$H:$H,ROW()+7))</f>
        <v/>
      </c>
      <c r="K354" s="120" t="str" cm="1">
        <f t="array" ref="K354">IF(I354="","",INDEX('Test schedule'!$J:$J,ROW()+7))</f>
        <v/>
      </c>
      <c r="L354" s="129" t="str" cm="1">
        <f t="array" ref="L354">IF(OR(I354="",INDEX('Test schedule'!$T:$T,ROW()+7)=""),"",INDEX('Test schedule'!$T:$T,ROW()+7))</f>
        <v/>
      </c>
    </row>
    <row r="355" spans="2:12" ht="15" customHeight="1">
      <c r="B355" s="116" t="str">
        <f t="shared" si="40"/>
        <v/>
      </c>
      <c r="C355" s="117" t="str">
        <f t="shared" si="36"/>
        <v/>
      </c>
      <c r="D355" s="116" t="str">
        <f t="shared" si="37"/>
        <v/>
      </c>
      <c r="E355" s="120" t="str">
        <f t="shared" si="38"/>
        <v/>
      </c>
      <c r="F355" s="118" t="str">
        <f t="shared" si="39"/>
        <v/>
      </c>
      <c r="G355" s="126">
        <f t="shared" si="41"/>
        <v>42</v>
      </c>
      <c r="H355" s="116" t="str">
        <f t="shared" si="35"/>
        <v/>
      </c>
      <c r="I355" s="117" t="str" cm="1">
        <f t="array" ref="I35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Calculators'!$B$2+ICS4Test!$E353,""))</f>
        <v/>
      </c>
      <c r="J355" s="116" t="str" cm="1">
        <f t="array" ref="J355">IF(I355="","",INDEX('Test schedule'!$H:$H,ROW()+7))</f>
        <v/>
      </c>
      <c r="K355" s="120" t="str" cm="1">
        <f t="array" ref="K355">IF(I355="","",INDEX('Test schedule'!$J:$J,ROW()+7))</f>
        <v/>
      </c>
      <c r="L355" s="129" t="str" cm="1">
        <f t="array" ref="L355">IF(OR(I355="",INDEX('Test schedule'!$T:$T,ROW()+7)=""),"",INDEX('Test schedule'!$T:$T,ROW()+7))</f>
        <v/>
      </c>
    </row>
    <row r="356" spans="2:12" ht="15" customHeight="1">
      <c r="B356" s="116" t="str">
        <f t="shared" si="40"/>
        <v/>
      </c>
      <c r="C356" s="117" t="str">
        <f t="shared" si="36"/>
        <v/>
      </c>
      <c r="D356" s="116" t="str">
        <f t="shared" si="37"/>
        <v/>
      </c>
      <c r="E356" s="120" t="str">
        <f t="shared" si="38"/>
        <v/>
      </c>
      <c r="F356" s="118" t="str">
        <f t="shared" si="39"/>
        <v/>
      </c>
      <c r="G356" s="126">
        <f t="shared" si="41"/>
        <v>42</v>
      </c>
      <c r="H356" s="116" t="str">
        <f t="shared" si="35"/>
        <v/>
      </c>
      <c r="I356" s="117" t="str" cm="1">
        <f t="array" ref="I35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Calculators'!$B$2+ICS4Test!$E354,""))</f>
        <v/>
      </c>
      <c r="J356" s="116" t="str" cm="1">
        <f t="array" ref="J356">IF(I356="","",INDEX('Test schedule'!$H:$H,ROW()+7))</f>
        <v/>
      </c>
      <c r="K356" s="120" t="str" cm="1">
        <f t="array" ref="K356">IF(I356="","",INDEX('Test schedule'!$J:$J,ROW()+7))</f>
        <v/>
      </c>
      <c r="L356" s="129" t="str" cm="1">
        <f t="array" ref="L356">IF(OR(I356="",INDEX('Test schedule'!$T:$T,ROW()+7)=""),"",INDEX('Test schedule'!$T:$T,ROW()+7))</f>
        <v/>
      </c>
    </row>
    <row r="357" spans="2:12" ht="15" customHeight="1">
      <c r="B357" s="116" t="str">
        <f t="shared" si="40"/>
        <v/>
      </c>
      <c r="C357" s="117" t="str">
        <f t="shared" si="36"/>
        <v/>
      </c>
      <c r="D357" s="116" t="str">
        <f t="shared" si="37"/>
        <v/>
      </c>
      <c r="E357" s="120" t="str">
        <f t="shared" si="38"/>
        <v/>
      </c>
      <c r="F357" s="118" t="str">
        <f t="shared" si="39"/>
        <v/>
      </c>
      <c r="G357" s="126">
        <f t="shared" si="41"/>
        <v>42</v>
      </c>
      <c r="H357" s="116" t="str">
        <f t="shared" si="35"/>
        <v/>
      </c>
      <c r="I357" s="117" t="str" cm="1">
        <f t="array" ref="I35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Calculators'!$B$2+ICS4Test!$E355,""))</f>
        <v/>
      </c>
      <c r="J357" s="116" t="str" cm="1">
        <f t="array" ref="J357">IF(I357="","",INDEX('Test schedule'!$H:$H,ROW()+7))</f>
        <v/>
      </c>
      <c r="K357" s="120" t="str" cm="1">
        <f t="array" ref="K357">IF(I357="","",INDEX('Test schedule'!$J:$J,ROW()+7))</f>
        <v/>
      </c>
      <c r="L357" s="129" t="str" cm="1">
        <f t="array" ref="L357">IF(OR(I357="",INDEX('Test schedule'!$T:$T,ROW()+7)=""),"",INDEX('Test schedule'!$T:$T,ROW()+7))</f>
        <v/>
      </c>
    </row>
    <row r="358" spans="2:12" ht="15" customHeight="1">
      <c r="B358" s="116" t="str">
        <f t="shared" si="40"/>
        <v/>
      </c>
      <c r="C358" s="117" t="str">
        <f t="shared" si="36"/>
        <v/>
      </c>
      <c r="D358" s="116" t="str">
        <f t="shared" si="37"/>
        <v/>
      </c>
      <c r="E358" s="120" t="str">
        <f t="shared" si="38"/>
        <v/>
      </c>
      <c r="F358" s="118" t="str">
        <f t="shared" si="39"/>
        <v/>
      </c>
      <c r="G358" s="126">
        <f t="shared" si="41"/>
        <v>42</v>
      </c>
      <c r="H358" s="116" t="str">
        <f t="shared" si="35"/>
        <v/>
      </c>
      <c r="I358" s="117" t="str" cm="1">
        <f t="array" ref="I35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Calculators'!$B$2+ICS4Test!$E356,""))</f>
        <v/>
      </c>
      <c r="J358" s="116" t="str" cm="1">
        <f t="array" ref="J358">IF(I358="","",INDEX('Test schedule'!$H:$H,ROW()+7))</f>
        <v/>
      </c>
      <c r="K358" s="120" t="str" cm="1">
        <f t="array" ref="K358">IF(I358="","",INDEX('Test schedule'!$J:$J,ROW()+7))</f>
        <v/>
      </c>
      <c r="L358" s="129" t="str" cm="1">
        <f t="array" ref="L358">IF(OR(I358="",INDEX('Test schedule'!$T:$T,ROW()+7)=""),"",INDEX('Test schedule'!$T:$T,ROW()+7))</f>
        <v/>
      </c>
    </row>
    <row r="359" spans="2:12" ht="15" customHeight="1">
      <c r="B359" s="116" t="str">
        <f t="shared" si="40"/>
        <v/>
      </c>
      <c r="C359" s="117" t="str">
        <f t="shared" si="36"/>
        <v/>
      </c>
      <c r="D359" s="116" t="str">
        <f t="shared" si="37"/>
        <v/>
      </c>
      <c r="E359" s="120" t="str">
        <f t="shared" si="38"/>
        <v/>
      </c>
      <c r="F359" s="118" t="str">
        <f t="shared" si="39"/>
        <v/>
      </c>
      <c r="G359" s="126">
        <f t="shared" si="41"/>
        <v>42</v>
      </c>
      <c r="H359" s="116" t="str">
        <f t="shared" si="35"/>
        <v/>
      </c>
      <c r="I359" s="117" t="str" cm="1">
        <f t="array" ref="I35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Calculators'!$B$2+ICS4Test!$E357,""))</f>
        <v/>
      </c>
      <c r="J359" s="116" t="str" cm="1">
        <f t="array" ref="J359">IF(I359="","",INDEX('Test schedule'!$H:$H,ROW()+7))</f>
        <v/>
      </c>
      <c r="K359" s="120" t="str" cm="1">
        <f t="array" ref="K359">IF(I359="","",INDEX('Test schedule'!$J:$J,ROW()+7))</f>
        <v/>
      </c>
      <c r="L359" s="129" t="str" cm="1">
        <f t="array" ref="L359">IF(OR(I359="",INDEX('Test schedule'!$T:$T,ROW()+7)=""),"",INDEX('Test schedule'!$T:$T,ROW()+7))</f>
        <v/>
      </c>
    </row>
    <row r="360" spans="2:12" ht="15" customHeight="1">
      <c r="B360" s="116" t="str">
        <f t="shared" si="40"/>
        <v/>
      </c>
      <c r="C360" s="117" t="str">
        <f t="shared" si="36"/>
        <v/>
      </c>
      <c r="D360" s="116" t="str">
        <f t="shared" si="37"/>
        <v/>
      </c>
      <c r="E360" s="120" t="str">
        <f t="shared" si="38"/>
        <v/>
      </c>
      <c r="F360" s="118" t="str">
        <f t="shared" si="39"/>
        <v/>
      </c>
      <c r="G360" s="126">
        <f t="shared" si="41"/>
        <v>42</v>
      </c>
      <c r="H360" s="116" t="str">
        <f t="shared" si="35"/>
        <v/>
      </c>
      <c r="I360" s="117" t="str" cm="1">
        <f t="array" ref="I36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Calculators'!$B$2+ICS4Test!$E358,""))</f>
        <v/>
      </c>
      <c r="J360" s="116" t="str" cm="1">
        <f t="array" ref="J360">IF(I360="","",INDEX('Test schedule'!$H:$H,ROW()+7))</f>
        <v/>
      </c>
      <c r="K360" s="120" t="str" cm="1">
        <f t="array" ref="K360">IF(I360="","",INDEX('Test schedule'!$J:$J,ROW()+7))</f>
        <v/>
      </c>
      <c r="L360" s="129" t="str" cm="1">
        <f t="array" ref="L360">IF(OR(I360="",INDEX('Test schedule'!$T:$T,ROW()+7)=""),"",INDEX('Test schedule'!$T:$T,ROW()+7))</f>
        <v/>
      </c>
    </row>
    <row r="361" spans="2:12" ht="15" customHeight="1">
      <c r="B361" s="116" t="str">
        <f t="shared" si="40"/>
        <v/>
      </c>
      <c r="C361" s="117" t="str">
        <f t="shared" si="36"/>
        <v/>
      </c>
      <c r="D361" s="116" t="str">
        <f t="shared" si="37"/>
        <v/>
      </c>
      <c r="E361" s="120" t="str">
        <f t="shared" si="38"/>
        <v/>
      </c>
      <c r="F361" s="118" t="str">
        <f t="shared" si="39"/>
        <v/>
      </c>
      <c r="G361" s="126">
        <f t="shared" si="41"/>
        <v>42</v>
      </c>
      <c r="H361" s="116" t="str">
        <f t="shared" si="35"/>
        <v/>
      </c>
      <c r="I361" s="117" t="str" cm="1">
        <f t="array" ref="I36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Calculators'!$B$2+ICS4Test!$E359,""))</f>
        <v/>
      </c>
      <c r="J361" s="116" t="str" cm="1">
        <f t="array" ref="J361">IF(I361="","",INDEX('Test schedule'!$H:$H,ROW()+7))</f>
        <v/>
      </c>
      <c r="K361" s="120" t="str" cm="1">
        <f t="array" ref="K361">IF(I361="","",INDEX('Test schedule'!$J:$J,ROW()+7))</f>
        <v/>
      </c>
      <c r="L361" s="129" t="str" cm="1">
        <f t="array" ref="L361">IF(OR(I361="",INDEX('Test schedule'!$T:$T,ROW()+7)=""),"",INDEX('Test schedule'!$T:$T,ROW()+7))</f>
        <v/>
      </c>
    </row>
    <row r="362" spans="2:12" ht="15" customHeight="1">
      <c r="B362" s="116" t="str">
        <f t="shared" si="40"/>
        <v/>
      </c>
      <c r="C362" s="117" t="str">
        <f t="shared" si="36"/>
        <v/>
      </c>
      <c r="D362" s="116" t="str">
        <f t="shared" si="37"/>
        <v/>
      </c>
      <c r="E362" s="120" t="str">
        <f t="shared" si="38"/>
        <v/>
      </c>
      <c r="F362" s="118" t="str">
        <f t="shared" si="39"/>
        <v/>
      </c>
      <c r="G362" s="126">
        <f t="shared" si="41"/>
        <v>42</v>
      </c>
      <c r="H362" s="116" t="str">
        <f t="shared" si="35"/>
        <v/>
      </c>
      <c r="I362" s="117" t="str" cm="1">
        <f t="array" ref="I36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Calculators'!$B$2+ICS4Test!$E360,""))</f>
        <v/>
      </c>
      <c r="J362" s="116" t="str" cm="1">
        <f t="array" ref="J362">IF(I362="","",INDEX('Test schedule'!$H:$H,ROW()+7))</f>
        <v/>
      </c>
      <c r="K362" s="120" t="str" cm="1">
        <f t="array" ref="K362">IF(I362="","",INDEX('Test schedule'!$J:$J,ROW()+7))</f>
        <v/>
      </c>
      <c r="L362" s="129" t="str" cm="1">
        <f t="array" ref="L362">IF(OR(I362="",INDEX('Test schedule'!$T:$T,ROW()+7)=""),"",INDEX('Test schedule'!$T:$T,ROW()+7))</f>
        <v/>
      </c>
    </row>
    <row r="363" spans="2:12" ht="15" customHeight="1">
      <c r="B363" s="116" t="str">
        <f t="shared" si="40"/>
        <v/>
      </c>
      <c r="C363" s="117" t="str">
        <f t="shared" si="36"/>
        <v/>
      </c>
      <c r="D363" s="116" t="str">
        <f t="shared" si="37"/>
        <v/>
      </c>
      <c r="E363" s="120" t="str">
        <f t="shared" si="38"/>
        <v/>
      </c>
      <c r="F363" s="118" t="str">
        <f t="shared" si="39"/>
        <v/>
      </c>
      <c r="G363" s="126">
        <f t="shared" si="41"/>
        <v>42</v>
      </c>
      <c r="H363" s="116" t="str">
        <f t="shared" si="35"/>
        <v/>
      </c>
      <c r="I363" s="117" t="str" cm="1">
        <f t="array" ref="I36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Calculators'!$B$2+ICS4Test!$E361,""))</f>
        <v/>
      </c>
      <c r="J363" s="116" t="str" cm="1">
        <f t="array" ref="J363">IF(I363="","",INDEX('Test schedule'!$H:$H,ROW()+7))</f>
        <v/>
      </c>
      <c r="K363" s="120" t="str" cm="1">
        <f t="array" ref="K363">IF(I363="","",INDEX('Test schedule'!$J:$J,ROW()+7))</f>
        <v/>
      </c>
      <c r="L363" s="129" t="str" cm="1">
        <f t="array" ref="L363">IF(OR(I363="",INDEX('Test schedule'!$T:$T,ROW()+7)=""),"",INDEX('Test schedule'!$T:$T,ROW()+7))</f>
        <v/>
      </c>
    </row>
    <row r="364" spans="2:12" ht="15" customHeight="1">
      <c r="B364" s="116" t="str">
        <f t="shared" si="40"/>
        <v/>
      </c>
      <c r="C364" s="117" t="str">
        <f t="shared" si="36"/>
        <v/>
      </c>
      <c r="D364" s="116" t="str">
        <f t="shared" si="37"/>
        <v/>
      </c>
      <c r="E364" s="120" t="str">
        <f t="shared" si="38"/>
        <v/>
      </c>
      <c r="F364" s="118" t="str">
        <f t="shared" si="39"/>
        <v/>
      </c>
      <c r="G364" s="126">
        <f t="shared" si="41"/>
        <v>42</v>
      </c>
      <c r="H364" s="116" t="str">
        <f t="shared" si="35"/>
        <v/>
      </c>
      <c r="I364" s="117" t="str" cm="1">
        <f t="array" ref="I36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Calculators'!$B$2+ICS4Test!$E362,""))</f>
        <v/>
      </c>
      <c r="J364" s="116" t="str" cm="1">
        <f t="array" ref="J364">IF(I364="","",INDEX('Test schedule'!$H:$H,ROW()+7))</f>
        <v/>
      </c>
      <c r="K364" s="120" t="str" cm="1">
        <f t="array" ref="K364">IF(I364="","",INDEX('Test schedule'!$J:$J,ROW()+7))</f>
        <v/>
      </c>
      <c r="L364" s="129" t="str" cm="1">
        <f t="array" ref="L364">IF(OR(I364="",INDEX('Test schedule'!$T:$T,ROW()+7)=""),"",INDEX('Test schedule'!$T:$T,ROW()+7))</f>
        <v/>
      </c>
    </row>
    <row r="365" spans="2:12" ht="15" customHeight="1">
      <c r="B365" s="116" t="str">
        <f t="shared" si="40"/>
        <v/>
      </c>
      <c r="C365" s="117" t="str">
        <f t="shared" si="36"/>
        <v/>
      </c>
      <c r="D365" s="116" t="str">
        <f t="shared" si="37"/>
        <v/>
      </c>
      <c r="E365" s="120" t="str">
        <f t="shared" si="38"/>
        <v/>
      </c>
      <c r="F365" s="118" t="str">
        <f t="shared" si="39"/>
        <v/>
      </c>
      <c r="G365" s="126">
        <f t="shared" si="41"/>
        <v>42</v>
      </c>
      <c r="H365" s="116" t="str">
        <f t="shared" ref="H365:H428" si="42">IF(I365="","",IF(I365="END","START",IF(OR(I364="END",I364=I365,I364=""),IF(OR(H364="",H364="START"),I365-$U$3,H364),IFERROR(IF(I364&gt;I365,I365-$U$3,I364),I364))))</f>
        <v/>
      </c>
      <c r="I365" s="117" t="str" cm="1">
        <f t="array" ref="I36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Calculators'!$B$2+ICS4Test!$E363,""))</f>
        <v/>
      </c>
      <c r="J365" s="116" t="str" cm="1">
        <f t="array" ref="J365">IF(I365="","",INDEX('Test schedule'!$H:$H,ROW()+7))</f>
        <v/>
      </c>
      <c r="K365" s="120" t="str" cm="1">
        <f t="array" ref="K365">IF(I365="","",INDEX('Test schedule'!$J:$J,ROW()+7))</f>
        <v/>
      </c>
      <c r="L365" s="129" t="str" cm="1">
        <f t="array" ref="L365">IF(OR(I365="",INDEX('Test schedule'!$T:$T,ROW()+7)=""),"",INDEX('Test schedule'!$T:$T,ROW()+7))</f>
        <v/>
      </c>
    </row>
    <row r="366" spans="2:12" ht="15" customHeight="1">
      <c r="B366" s="116" t="str">
        <f t="shared" si="40"/>
        <v/>
      </c>
      <c r="C366" s="117" t="str">
        <f t="shared" si="36"/>
        <v/>
      </c>
      <c r="D366" s="116" t="str">
        <f t="shared" si="37"/>
        <v/>
      </c>
      <c r="E366" s="120" t="str">
        <f t="shared" si="38"/>
        <v/>
      </c>
      <c r="F366" s="118" t="str">
        <f t="shared" si="39"/>
        <v/>
      </c>
      <c r="G366" s="126">
        <f t="shared" si="41"/>
        <v>42</v>
      </c>
      <c r="H366" s="116" t="str">
        <f t="shared" si="42"/>
        <v/>
      </c>
      <c r="I366" s="117" t="str" cm="1">
        <f t="array" ref="I36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Calculators'!$B$2+ICS4Test!$E364,""))</f>
        <v/>
      </c>
      <c r="J366" s="116" t="str" cm="1">
        <f t="array" ref="J366">IF(I366="","",INDEX('Test schedule'!$H:$H,ROW()+7))</f>
        <v/>
      </c>
      <c r="K366" s="120" t="str" cm="1">
        <f t="array" ref="K366">IF(I366="","",INDEX('Test schedule'!$J:$J,ROW()+7))</f>
        <v/>
      </c>
      <c r="L366" s="129" t="str" cm="1">
        <f t="array" ref="L366">IF(OR(I366="",INDEX('Test schedule'!$T:$T,ROW()+7)=""),"",INDEX('Test schedule'!$T:$T,ROW()+7))</f>
        <v/>
      </c>
    </row>
    <row r="367" spans="2:12" ht="15" customHeight="1">
      <c r="B367" s="116" t="str">
        <f t="shared" si="40"/>
        <v/>
      </c>
      <c r="C367" s="117" t="str">
        <f t="shared" si="36"/>
        <v/>
      </c>
      <c r="D367" s="116" t="str">
        <f t="shared" si="37"/>
        <v/>
      </c>
      <c r="E367" s="120" t="str">
        <f t="shared" si="38"/>
        <v/>
      </c>
      <c r="F367" s="118" t="str">
        <f t="shared" si="39"/>
        <v/>
      </c>
      <c r="G367" s="126">
        <f t="shared" si="41"/>
        <v>42</v>
      </c>
      <c r="H367" s="116" t="str">
        <f t="shared" si="42"/>
        <v/>
      </c>
      <c r="I367" s="117" t="str" cm="1">
        <f t="array" ref="I36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Calculators'!$B$2+ICS4Test!$E365,""))</f>
        <v/>
      </c>
      <c r="J367" s="116" t="str" cm="1">
        <f t="array" ref="J367">IF(I367="","",INDEX('Test schedule'!$H:$H,ROW()+7))</f>
        <v/>
      </c>
      <c r="K367" s="120" t="str" cm="1">
        <f t="array" ref="K367">IF(I367="","",INDEX('Test schedule'!$J:$J,ROW()+7))</f>
        <v/>
      </c>
      <c r="L367" s="129" t="str" cm="1">
        <f t="array" ref="L367">IF(OR(I367="",INDEX('Test schedule'!$T:$T,ROW()+7)=""),"",INDEX('Test schedule'!$T:$T,ROW()+7))</f>
        <v/>
      </c>
    </row>
    <row r="368" spans="2:12" ht="15" customHeight="1">
      <c r="B368" s="116" t="str">
        <f t="shared" si="40"/>
        <v/>
      </c>
      <c r="C368" s="117" t="str">
        <f t="shared" si="36"/>
        <v/>
      </c>
      <c r="D368" s="116" t="str">
        <f t="shared" si="37"/>
        <v/>
      </c>
      <c r="E368" s="120" t="str">
        <f t="shared" si="38"/>
        <v/>
      </c>
      <c r="F368" s="118" t="str">
        <f t="shared" si="39"/>
        <v/>
      </c>
      <c r="G368" s="126">
        <f t="shared" si="41"/>
        <v>42</v>
      </c>
      <c r="H368" s="116" t="str">
        <f t="shared" si="42"/>
        <v/>
      </c>
      <c r="I368" s="117" t="str" cm="1">
        <f t="array" ref="I36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Calculators'!$B$2+ICS4Test!$E366,""))</f>
        <v/>
      </c>
      <c r="J368" s="116" t="str" cm="1">
        <f t="array" ref="J368">IF(I368="","",INDEX('Test schedule'!$H:$H,ROW()+7))</f>
        <v/>
      </c>
      <c r="K368" s="120" t="str" cm="1">
        <f t="array" ref="K368">IF(I368="","",INDEX('Test schedule'!$J:$J,ROW()+7))</f>
        <v/>
      </c>
      <c r="L368" s="129" t="str" cm="1">
        <f t="array" ref="L368">IF(OR(I368="",INDEX('Test schedule'!$T:$T,ROW()+7)=""),"",INDEX('Test schedule'!$T:$T,ROW()+7))</f>
        <v/>
      </c>
    </row>
    <row r="369" spans="2:12" ht="15" customHeight="1">
      <c r="B369" s="116" t="str">
        <f t="shared" si="40"/>
        <v/>
      </c>
      <c r="C369" s="117" t="str">
        <f t="shared" si="36"/>
        <v/>
      </c>
      <c r="D369" s="116" t="str">
        <f t="shared" si="37"/>
        <v/>
      </c>
      <c r="E369" s="120" t="str">
        <f t="shared" si="38"/>
        <v/>
      </c>
      <c r="F369" s="118" t="str">
        <f t="shared" si="39"/>
        <v/>
      </c>
      <c r="G369" s="126">
        <f t="shared" si="41"/>
        <v>42</v>
      </c>
      <c r="H369" s="116" t="str">
        <f t="shared" si="42"/>
        <v/>
      </c>
      <c r="I369" s="117" t="str" cm="1">
        <f t="array" ref="I36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Calculators'!$B$2+ICS4Test!$E367,""))</f>
        <v/>
      </c>
      <c r="J369" s="116" t="str" cm="1">
        <f t="array" ref="J369">IF(I369="","",INDEX('Test schedule'!$H:$H,ROW()+7))</f>
        <v/>
      </c>
      <c r="K369" s="120" t="str" cm="1">
        <f t="array" ref="K369">IF(I369="","",INDEX('Test schedule'!$J:$J,ROW()+7))</f>
        <v/>
      </c>
      <c r="L369" s="129" t="str" cm="1">
        <f t="array" ref="L369">IF(OR(I369="",INDEX('Test schedule'!$T:$T,ROW()+7)=""),"",INDEX('Test schedule'!$T:$T,ROW()+7))</f>
        <v/>
      </c>
    </row>
    <row r="370" spans="2:12" ht="15" customHeight="1">
      <c r="B370" s="116" t="str">
        <f t="shared" si="40"/>
        <v/>
      </c>
      <c r="C370" s="117" t="str">
        <f t="shared" si="36"/>
        <v/>
      </c>
      <c r="D370" s="116" t="str">
        <f t="shared" si="37"/>
        <v/>
      </c>
      <c r="E370" s="120" t="str">
        <f t="shared" si="38"/>
        <v/>
      </c>
      <c r="F370" s="118" t="str">
        <f t="shared" si="39"/>
        <v/>
      </c>
      <c r="G370" s="126">
        <f t="shared" si="41"/>
        <v>42</v>
      </c>
      <c r="H370" s="116" t="str">
        <f t="shared" si="42"/>
        <v/>
      </c>
      <c r="I370" s="117" t="str" cm="1">
        <f t="array" ref="I37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Calculators'!$B$2+ICS4Test!$E368,""))</f>
        <v/>
      </c>
      <c r="J370" s="116" t="str" cm="1">
        <f t="array" ref="J370">IF(I370="","",INDEX('Test schedule'!$H:$H,ROW()+7))</f>
        <v/>
      </c>
      <c r="K370" s="120" t="str" cm="1">
        <f t="array" ref="K370">IF(I370="","",INDEX('Test schedule'!$J:$J,ROW()+7))</f>
        <v/>
      </c>
      <c r="L370" s="129" t="str" cm="1">
        <f t="array" ref="L370">IF(OR(I370="",INDEX('Test schedule'!$T:$T,ROW()+7)=""),"",INDEX('Test schedule'!$T:$T,ROW()+7))</f>
        <v/>
      </c>
    </row>
    <row r="371" spans="2:12" ht="15" customHeight="1">
      <c r="B371" s="116" t="str">
        <f t="shared" si="40"/>
        <v/>
      </c>
      <c r="C371" s="117" t="str">
        <f t="shared" si="36"/>
        <v/>
      </c>
      <c r="D371" s="116" t="str">
        <f t="shared" si="37"/>
        <v/>
      </c>
      <c r="E371" s="120" t="str">
        <f t="shared" si="38"/>
        <v/>
      </c>
      <c r="F371" s="118" t="str">
        <f t="shared" si="39"/>
        <v/>
      </c>
      <c r="G371" s="126">
        <f t="shared" si="41"/>
        <v>42</v>
      </c>
      <c r="H371" s="116" t="str">
        <f t="shared" si="42"/>
        <v/>
      </c>
      <c r="I371" s="117" t="str" cm="1">
        <f t="array" ref="I37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Calculators'!$B$2+ICS4Test!$E369,""))</f>
        <v/>
      </c>
      <c r="J371" s="116" t="str" cm="1">
        <f t="array" ref="J371">IF(I371="","",INDEX('Test schedule'!$H:$H,ROW()+7))</f>
        <v/>
      </c>
      <c r="K371" s="120" t="str" cm="1">
        <f t="array" ref="K371">IF(I371="","",INDEX('Test schedule'!$J:$J,ROW()+7))</f>
        <v/>
      </c>
      <c r="L371" s="129" t="str" cm="1">
        <f t="array" ref="L371">IF(OR(I371="",INDEX('Test schedule'!$T:$T,ROW()+7)=""),"",INDEX('Test schedule'!$T:$T,ROW()+7))</f>
        <v/>
      </c>
    </row>
    <row r="372" spans="2:12" ht="15" customHeight="1">
      <c r="B372" s="116" t="str">
        <f t="shared" si="40"/>
        <v/>
      </c>
      <c r="C372" s="117" t="str">
        <f t="shared" si="36"/>
        <v/>
      </c>
      <c r="D372" s="116" t="str">
        <f t="shared" si="37"/>
        <v/>
      </c>
      <c r="E372" s="120" t="str">
        <f t="shared" si="38"/>
        <v/>
      </c>
      <c r="F372" s="118" t="str">
        <f t="shared" si="39"/>
        <v/>
      </c>
      <c r="G372" s="126">
        <f t="shared" si="41"/>
        <v>42</v>
      </c>
      <c r="H372" s="116" t="str">
        <f t="shared" si="42"/>
        <v/>
      </c>
      <c r="I372" s="117" t="str" cm="1">
        <f t="array" ref="I37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Calculators'!$B$2+ICS4Test!$E370,""))</f>
        <v/>
      </c>
      <c r="J372" s="116" t="str" cm="1">
        <f t="array" ref="J372">IF(I372="","",INDEX('Test schedule'!$H:$H,ROW()+7))</f>
        <v/>
      </c>
      <c r="K372" s="120" t="str" cm="1">
        <f t="array" ref="K372">IF(I372="","",INDEX('Test schedule'!$J:$J,ROW()+7))</f>
        <v/>
      </c>
      <c r="L372" s="129" t="str" cm="1">
        <f t="array" ref="L372">IF(OR(I372="",INDEX('Test schedule'!$T:$T,ROW()+7)=""),"",INDEX('Test schedule'!$T:$T,ROW()+7))</f>
        <v/>
      </c>
    </row>
    <row r="373" spans="2:12" ht="15" customHeight="1">
      <c r="B373" s="116" t="str">
        <f t="shared" si="40"/>
        <v/>
      </c>
      <c r="C373" s="117" t="str">
        <f t="shared" si="36"/>
        <v/>
      </c>
      <c r="D373" s="116" t="str">
        <f t="shared" si="37"/>
        <v/>
      </c>
      <c r="E373" s="120" t="str">
        <f t="shared" si="38"/>
        <v/>
      </c>
      <c r="F373" s="118" t="str">
        <f t="shared" si="39"/>
        <v/>
      </c>
      <c r="G373" s="126">
        <f t="shared" si="41"/>
        <v>42</v>
      </c>
      <c r="H373" s="116" t="str">
        <f t="shared" si="42"/>
        <v/>
      </c>
      <c r="I373" s="117" t="str" cm="1">
        <f t="array" ref="I37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Calculators'!$B$2+ICS4Test!$E371,""))</f>
        <v/>
      </c>
      <c r="J373" s="116" t="str" cm="1">
        <f t="array" ref="J373">IF(I373="","",INDEX('Test schedule'!$H:$H,ROW()+7))</f>
        <v/>
      </c>
      <c r="K373" s="120" t="str" cm="1">
        <f t="array" ref="K373">IF(I373="","",INDEX('Test schedule'!$J:$J,ROW()+7))</f>
        <v/>
      </c>
      <c r="L373" s="129" t="str" cm="1">
        <f t="array" ref="L373">IF(OR(I373="",INDEX('Test schedule'!$T:$T,ROW()+7)=""),"",INDEX('Test schedule'!$T:$T,ROW()+7))</f>
        <v/>
      </c>
    </row>
    <row r="374" spans="2:12" ht="15" customHeight="1">
      <c r="B374" s="116" t="str">
        <f t="shared" si="40"/>
        <v/>
      </c>
      <c r="C374" s="117" t="str">
        <f t="shared" si="36"/>
        <v/>
      </c>
      <c r="D374" s="116" t="str">
        <f t="shared" si="37"/>
        <v/>
      </c>
      <c r="E374" s="120" t="str">
        <f t="shared" si="38"/>
        <v/>
      </c>
      <c r="F374" s="118" t="str">
        <f t="shared" si="39"/>
        <v/>
      </c>
      <c r="G374" s="126">
        <f t="shared" si="41"/>
        <v>42</v>
      </c>
      <c r="H374" s="116" t="str">
        <f t="shared" si="42"/>
        <v/>
      </c>
      <c r="I374" s="117" t="str" cm="1">
        <f t="array" ref="I37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Calculators'!$B$2+ICS4Test!$E372,""))</f>
        <v/>
      </c>
      <c r="J374" s="116" t="str" cm="1">
        <f t="array" ref="J374">IF(I374="","",INDEX('Test schedule'!$H:$H,ROW()+7))</f>
        <v/>
      </c>
      <c r="K374" s="120" t="str" cm="1">
        <f t="array" ref="K374">IF(I374="","",INDEX('Test schedule'!$J:$J,ROW()+7))</f>
        <v/>
      </c>
      <c r="L374" s="129" t="str" cm="1">
        <f t="array" ref="L374">IF(OR(I374="",INDEX('Test schedule'!$T:$T,ROW()+7)=""),"",INDEX('Test schedule'!$T:$T,ROW()+7))</f>
        <v/>
      </c>
    </row>
    <row r="375" spans="2:12" ht="15" customHeight="1">
      <c r="B375" s="116" t="str">
        <f t="shared" si="40"/>
        <v/>
      </c>
      <c r="C375" s="117" t="str">
        <f t="shared" si="36"/>
        <v/>
      </c>
      <c r="D375" s="116" t="str">
        <f t="shared" si="37"/>
        <v/>
      </c>
      <c r="E375" s="120" t="str">
        <f t="shared" si="38"/>
        <v/>
      </c>
      <c r="F375" s="118" t="str">
        <f t="shared" si="39"/>
        <v/>
      </c>
      <c r="G375" s="126">
        <f t="shared" si="41"/>
        <v>42</v>
      </c>
      <c r="H375" s="116" t="str">
        <f t="shared" si="42"/>
        <v/>
      </c>
      <c r="I375" s="117" t="str" cm="1">
        <f t="array" ref="I37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Calculators'!$B$2+ICS4Test!$E373,""))</f>
        <v/>
      </c>
      <c r="J375" s="116" t="str" cm="1">
        <f t="array" ref="J375">IF(I375="","",INDEX('Test schedule'!$H:$H,ROW()+7))</f>
        <v/>
      </c>
      <c r="K375" s="120" t="str" cm="1">
        <f t="array" ref="K375">IF(I375="","",INDEX('Test schedule'!$J:$J,ROW()+7))</f>
        <v/>
      </c>
      <c r="L375" s="129" t="str" cm="1">
        <f t="array" ref="L375">IF(OR(I375="",INDEX('Test schedule'!$T:$T,ROW()+7)=""),"",INDEX('Test schedule'!$T:$T,ROW()+7))</f>
        <v/>
      </c>
    </row>
    <row r="376" spans="2:12" ht="15" customHeight="1">
      <c r="B376" s="116" t="str">
        <f t="shared" si="40"/>
        <v/>
      </c>
      <c r="C376" s="117" t="str">
        <f t="shared" si="36"/>
        <v/>
      </c>
      <c r="D376" s="116" t="str">
        <f t="shared" si="37"/>
        <v/>
      </c>
      <c r="E376" s="120" t="str">
        <f t="shared" si="38"/>
        <v/>
      </c>
      <c r="F376" s="118" t="str">
        <f t="shared" si="39"/>
        <v/>
      </c>
      <c r="G376" s="126">
        <f t="shared" si="41"/>
        <v>42</v>
      </c>
      <c r="H376" s="116" t="str">
        <f t="shared" si="42"/>
        <v/>
      </c>
      <c r="I376" s="117" t="str" cm="1">
        <f t="array" ref="I37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Calculators'!$B$2+ICS4Test!$E374,""))</f>
        <v/>
      </c>
      <c r="J376" s="116" t="str" cm="1">
        <f t="array" ref="J376">IF(I376="","",INDEX('Test schedule'!$H:$H,ROW()+7))</f>
        <v/>
      </c>
      <c r="K376" s="120" t="str" cm="1">
        <f t="array" ref="K376">IF(I376="","",INDEX('Test schedule'!$J:$J,ROW()+7))</f>
        <v/>
      </c>
      <c r="L376" s="129" t="str" cm="1">
        <f t="array" ref="L376">IF(OR(I376="",INDEX('Test schedule'!$T:$T,ROW()+7)=""),"",INDEX('Test schedule'!$T:$T,ROW()+7))</f>
        <v/>
      </c>
    </row>
    <row r="377" spans="2:12" ht="15" customHeight="1">
      <c r="B377" s="116" t="str">
        <f t="shared" si="40"/>
        <v/>
      </c>
      <c r="C377" s="117" t="str">
        <f t="shared" si="36"/>
        <v/>
      </c>
      <c r="D377" s="116" t="str">
        <f t="shared" si="37"/>
        <v/>
      </c>
      <c r="E377" s="120" t="str">
        <f t="shared" si="38"/>
        <v/>
      </c>
      <c r="F377" s="118" t="str">
        <f t="shared" si="39"/>
        <v/>
      </c>
      <c r="G377" s="126">
        <f t="shared" si="41"/>
        <v>42</v>
      </c>
      <c r="H377" s="116" t="str">
        <f t="shared" si="42"/>
        <v/>
      </c>
      <c r="I377" s="117" t="str" cm="1">
        <f t="array" ref="I37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Calculators'!$B$2+ICS4Test!$E375,""))</f>
        <v/>
      </c>
      <c r="J377" s="116" t="str" cm="1">
        <f t="array" ref="J377">IF(I377="","",INDEX('Test schedule'!$H:$H,ROW()+7))</f>
        <v/>
      </c>
      <c r="K377" s="120" t="str" cm="1">
        <f t="array" ref="K377">IF(I377="","",INDEX('Test schedule'!$J:$J,ROW()+7))</f>
        <v/>
      </c>
      <c r="L377" s="129" t="str" cm="1">
        <f t="array" ref="L377">IF(OR(I377="",INDEX('Test schedule'!$T:$T,ROW()+7)=""),"",INDEX('Test schedule'!$T:$T,ROW()+7))</f>
        <v/>
      </c>
    </row>
    <row r="378" spans="2:12" ht="15" customHeight="1">
      <c r="B378" s="116" t="str">
        <f t="shared" si="40"/>
        <v/>
      </c>
      <c r="C378" s="117" t="str">
        <f t="shared" si="36"/>
        <v/>
      </c>
      <c r="D378" s="116" t="str">
        <f t="shared" si="37"/>
        <v/>
      </c>
      <c r="E378" s="120" t="str">
        <f t="shared" si="38"/>
        <v/>
      </c>
      <c r="F378" s="118" t="str">
        <f t="shared" si="39"/>
        <v/>
      </c>
      <c r="G378" s="126">
        <f t="shared" si="41"/>
        <v>42</v>
      </c>
      <c r="H378" s="116" t="str">
        <f t="shared" si="42"/>
        <v/>
      </c>
      <c r="I378" s="117" t="str" cm="1">
        <f t="array" ref="I37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Calculators'!$B$2+ICS4Test!$E376,""))</f>
        <v/>
      </c>
      <c r="J378" s="116" t="str" cm="1">
        <f t="array" ref="J378">IF(I378="","",INDEX('Test schedule'!$H:$H,ROW()+7))</f>
        <v/>
      </c>
      <c r="K378" s="120" t="str" cm="1">
        <f t="array" ref="K378">IF(I378="","",INDEX('Test schedule'!$J:$J,ROW()+7))</f>
        <v/>
      </c>
      <c r="L378" s="129" t="str" cm="1">
        <f t="array" ref="L378">IF(OR(I378="",INDEX('Test schedule'!$T:$T,ROW()+7)=""),"",INDEX('Test schedule'!$T:$T,ROW()+7))</f>
        <v/>
      </c>
    </row>
    <row r="379" spans="2:12" ht="15" customHeight="1">
      <c r="B379" s="116" t="str">
        <f t="shared" si="40"/>
        <v/>
      </c>
      <c r="C379" s="117" t="str">
        <f t="shared" si="36"/>
        <v/>
      </c>
      <c r="D379" s="116" t="str">
        <f t="shared" si="37"/>
        <v/>
      </c>
      <c r="E379" s="120" t="str">
        <f t="shared" si="38"/>
        <v/>
      </c>
      <c r="F379" s="118" t="str">
        <f t="shared" si="39"/>
        <v/>
      </c>
      <c r="G379" s="126">
        <f t="shared" si="41"/>
        <v>42</v>
      </c>
      <c r="H379" s="116" t="str">
        <f t="shared" si="42"/>
        <v/>
      </c>
      <c r="I379" s="117" t="str" cm="1">
        <f t="array" ref="I37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Calculators'!$B$2+ICS4Test!$E377,""))</f>
        <v/>
      </c>
      <c r="J379" s="116" t="str" cm="1">
        <f t="array" ref="J379">IF(I379="","",INDEX('Test schedule'!$H:$H,ROW()+7))</f>
        <v/>
      </c>
      <c r="K379" s="120" t="str" cm="1">
        <f t="array" ref="K379">IF(I379="","",INDEX('Test schedule'!$J:$J,ROW()+7))</f>
        <v/>
      </c>
      <c r="L379" s="129" t="str" cm="1">
        <f t="array" ref="L379">IF(OR(I379="",INDEX('Test schedule'!$T:$T,ROW()+7)=""),"",INDEX('Test schedule'!$T:$T,ROW()+7))</f>
        <v/>
      </c>
    </row>
    <row r="380" spans="2:12" ht="15" customHeight="1">
      <c r="B380" s="116" t="str">
        <f t="shared" si="40"/>
        <v/>
      </c>
      <c r="C380" s="117" t="str">
        <f t="shared" si="36"/>
        <v/>
      </c>
      <c r="D380" s="116" t="str">
        <f t="shared" si="37"/>
        <v/>
      </c>
      <c r="E380" s="120" t="str">
        <f t="shared" si="38"/>
        <v/>
      </c>
      <c r="F380" s="118" t="str">
        <f t="shared" si="39"/>
        <v/>
      </c>
      <c r="G380" s="126">
        <f t="shared" si="41"/>
        <v>42</v>
      </c>
      <c r="H380" s="116" t="str">
        <f t="shared" si="42"/>
        <v/>
      </c>
      <c r="I380" s="117" t="str" cm="1">
        <f t="array" ref="I38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Calculators'!$B$2+ICS4Test!$E378,""))</f>
        <v/>
      </c>
      <c r="J380" s="116" t="str" cm="1">
        <f t="array" ref="J380">IF(I380="","",INDEX('Test schedule'!$H:$H,ROW()+7))</f>
        <v/>
      </c>
      <c r="K380" s="120" t="str" cm="1">
        <f t="array" ref="K380">IF(I380="","",INDEX('Test schedule'!$J:$J,ROW()+7))</f>
        <v/>
      </c>
      <c r="L380" s="129" t="str" cm="1">
        <f t="array" ref="L380">IF(OR(I380="",INDEX('Test schedule'!$T:$T,ROW()+7)=""),"",INDEX('Test schedule'!$T:$T,ROW()+7))</f>
        <v/>
      </c>
    </row>
    <row r="381" spans="2:12" ht="15" customHeight="1">
      <c r="B381" s="116" t="str">
        <f t="shared" si="40"/>
        <v/>
      </c>
      <c r="C381" s="117" t="str">
        <f t="shared" si="36"/>
        <v/>
      </c>
      <c r="D381" s="116" t="str">
        <f t="shared" si="37"/>
        <v/>
      </c>
      <c r="E381" s="120" t="str">
        <f t="shared" si="38"/>
        <v/>
      </c>
      <c r="F381" s="118" t="str">
        <f t="shared" si="39"/>
        <v/>
      </c>
      <c r="G381" s="126">
        <f t="shared" si="41"/>
        <v>42</v>
      </c>
      <c r="H381" s="116" t="str">
        <f t="shared" si="42"/>
        <v/>
      </c>
      <c r="I381" s="117" t="str" cm="1">
        <f t="array" ref="I38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Calculators'!$B$2+ICS4Test!$E379,""))</f>
        <v/>
      </c>
      <c r="J381" s="116" t="str" cm="1">
        <f t="array" ref="J381">IF(I381="","",INDEX('Test schedule'!$H:$H,ROW()+7))</f>
        <v/>
      </c>
      <c r="K381" s="120" t="str" cm="1">
        <f t="array" ref="K381">IF(I381="","",INDEX('Test schedule'!$J:$J,ROW()+7))</f>
        <v/>
      </c>
      <c r="L381" s="129" t="str" cm="1">
        <f t="array" ref="L381">IF(OR(I381="",INDEX('Test schedule'!$T:$T,ROW()+7)=""),"",INDEX('Test schedule'!$T:$T,ROW()+7))</f>
        <v/>
      </c>
    </row>
    <row r="382" spans="2:12" ht="15" customHeight="1">
      <c r="B382" s="116" t="str">
        <f t="shared" si="40"/>
        <v/>
      </c>
      <c r="C382" s="117" t="str">
        <f t="shared" si="36"/>
        <v/>
      </c>
      <c r="D382" s="116" t="str">
        <f t="shared" si="37"/>
        <v/>
      </c>
      <c r="E382" s="120" t="str">
        <f t="shared" si="38"/>
        <v/>
      </c>
      <c r="F382" s="118" t="str">
        <f t="shared" si="39"/>
        <v/>
      </c>
      <c r="G382" s="126">
        <f t="shared" si="41"/>
        <v>42</v>
      </c>
      <c r="H382" s="116" t="str">
        <f t="shared" si="42"/>
        <v/>
      </c>
      <c r="I382" s="117" t="str" cm="1">
        <f t="array" ref="I38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Calculators'!$B$2+ICS4Test!$E380,""))</f>
        <v/>
      </c>
      <c r="J382" s="116" t="str" cm="1">
        <f t="array" ref="J382">IF(I382="","",INDEX('Test schedule'!$H:$H,ROW()+7))</f>
        <v/>
      </c>
      <c r="K382" s="120" t="str" cm="1">
        <f t="array" ref="K382">IF(I382="","",INDEX('Test schedule'!$J:$J,ROW()+7))</f>
        <v/>
      </c>
      <c r="L382" s="129" t="str" cm="1">
        <f t="array" ref="L382">IF(OR(I382="",INDEX('Test schedule'!$T:$T,ROW()+7)=""),"",INDEX('Test schedule'!$T:$T,ROW()+7))</f>
        <v/>
      </c>
    </row>
    <row r="383" spans="2:12" ht="15" customHeight="1">
      <c r="B383" s="116" t="str">
        <f t="shared" si="40"/>
        <v/>
      </c>
      <c r="C383" s="117" t="str">
        <f t="shared" si="36"/>
        <v/>
      </c>
      <c r="D383" s="116" t="str">
        <f t="shared" si="37"/>
        <v/>
      </c>
      <c r="E383" s="120" t="str">
        <f t="shared" si="38"/>
        <v/>
      </c>
      <c r="F383" s="118" t="str">
        <f t="shared" si="39"/>
        <v/>
      </c>
      <c r="G383" s="126">
        <f t="shared" si="41"/>
        <v>42</v>
      </c>
      <c r="H383" s="116" t="str">
        <f t="shared" si="42"/>
        <v/>
      </c>
      <c r="I383" s="117" t="str" cm="1">
        <f t="array" ref="I38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Calculators'!$B$2+ICS4Test!$E381,""))</f>
        <v/>
      </c>
      <c r="J383" s="116" t="str" cm="1">
        <f t="array" ref="J383">IF(I383="","",INDEX('Test schedule'!$H:$H,ROW()+7))</f>
        <v/>
      </c>
      <c r="K383" s="120" t="str" cm="1">
        <f t="array" ref="K383">IF(I383="","",INDEX('Test schedule'!$J:$J,ROW()+7))</f>
        <v/>
      </c>
      <c r="L383" s="129" t="str" cm="1">
        <f t="array" ref="L383">IF(OR(I383="",INDEX('Test schedule'!$T:$T,ROW()+7)=""),"",INDEX('Test schedule'!$T:$T,ROW()+7))</f>
        <v/>
      </c>
    </row>
    <row r="384" spans="2:12" ht="15" customHeight="1">
      <c r="B384" s="116" t="str">
        <f t="shared" si="40"/>
        <v/>
      </c>
      <c r="C384" s="117" t="str">
        <f t="shared" si="36"/>
        <v/>
      </c>
      <c r="D384" s="116" t="str">
        <f t="shared" si="37"/>
        <v/>
      </c>
      <c r="E384" s="120" t="str">
        <f t="shared" si="38"/>
        <v/>
      </c>
      <c r="F384" s="118" t="str">
        <f t="shared" si="39"/>
        <v/>
      </c>
      <c r="G384" s="126">
        <f t="shared" si="41"/>
        <v>42</v>
      </c>
      <c r="H384" s="116" t="str">
        <f t="shared" si="42"/>
        <v/>
      </c>
      <c r="I384" s="117" t="str" cm="1">
        <f t="array" ref="I38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Calculators'!$B$2+ICS4Test!$E382,""))</f>
        <v/>
      </c>
      <c r="J384" s="116" t="str" cm="1">
        <f t="array" ref="J384">IF(I384="","",INDEX('Test schedule'!$H:$H,ROW()+7))</f>
        <v/>
      </c>
      <c r="K384" s="120" t="str" cm="1">
        <f t="array" ref="K384">IF(I384="","",INDEX('Test schedule'!$J:$J,ROW()+7))</f>
        <v/>
      </c>
      <c r="L384" s="129" t="str" cm="1">
        <f t="array" ref="L384">IF(OR(I384="",INDEX('Test schedule'!$T:$T,ROW()+7)=""),"",INDEX('Test schedule'!$T:$T,ROW()+7))</f>
        <v/>
      </c>
    </row>
    <row r="385" spans="2:12" ht="15" customHeight="1">
      <c r="B385" s="116" t="str">
        <f t="shared" si="40"/>
        <v/>
      </c>
      <c r="C385" s="117" t="str">
        <f t="shared" si="36"/>
        <v/>
      </c>
      <c r="D385" s="116" t="str">
        <f t="shared" si="37"/>
        <v/>
      </c>
      <c r="E385" s="120" t="str">
        <f t="shared" si="38"/>
        <v/>
      </c>
      <c r="F385" s="118" t="str">
        <f t="shared" si="39"/>
        <v/>
      </c>
      <c r="G385" s="126">
        <f t="shared" si="41"/>
        <v>42</v>
      </c>
      <c r="H385" s="116" t="str">
        <f t="shared" si="42"/>
        <v/>
      </c>
      <c r="I385" s="117" t="str" cm="1">
        <f t="array" ref="I38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Calculators'!$B$2+ICS4Test!$E383,""))</f>
        <v/>
      </c>
      <c r="J385" s="116" t="str" cm="1">
        <f t="array" ref="J385">IF(I385="","",INDEX('Test schedule'!$H:$H,ROW()+7))</f>
        <v/>
      </c>
      <c r="K385" s="120" t="str" cm="1">
        <f t="array" ref="K385">IF(I385="","",INDEX('Test schedule'!$J:$J,ROW()+7))</f>
        <v/>
      </c>
      <c r="L385" s="129" t="str" cm="1">
        <f t="array" ref="L385">IF(OR(I385="",INDEX('Test schedule'!$T:$T,ROW()+7)=""),"",INDEX('Test schedule'!$T:$T,ROW()+7))</f>
        <v/>
      </c>
    </row>
    <row r="386" spans="2:12" ht="15" customHeight="1">
      <c r="B386" s="116" t="str">
        <f t="shared" si="40"/>
        <v/>
      </c>
      <c r="C386" s="117" t="str">
        <f t="shared" si="36"/>
        <v/>
      </c>
      <c r="D386" s="116" t="str">
        <f t="shared" si="37"/>
        <v/>
      </c>
      <c r="E386" s="120" t="str">
        <f t="shared" si="38"/>
        <v/>
      </c>
      <c r="F386" s="118" t="str">
        <f t="shared" si="39"/>
        <v/>
      </c>
      <c r="G386" s="126">
        <f t="shared" si="41"/>
        <v>42</v>
      </c>
      <c r="H386" s="116" t="str">
        <f t="shared" si="42"/>
        <v/>
      </c>
      <c r="I386" s="117" t="str" cm="1">
        <f t="array" ref="I38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Calculators'!$B$2+ICS4Test!$E384,""))</f>
        <v/>
      </c>
      <c r="J386" s="116" t="str" cm="1">
        <f t="array" ref="J386">IF(I386="","",INDEX('Test schedule'!$H:$H,ROW()+7))</f>
        <v/>
      </c>
      <c r="K386" s="120" t="str" cm="1">
        <f t="array" ref="K386">IF(I386="","",INDEX('Test schedule'!$J:$J,ROW()+7))</f>
        <v/>
      </c>
      <c r="L386" s="129" t="str" cm="1">
        <f t="array" ref="L386">IF(OR(I386="",INDEX('Test schedule'!$T:$T,ROW()+7)=""),"",INDEX('Test schedule'!$T:$T,ROW()+7))</f>
        <v/>
      </c>
    </row>
    <row r="387" spans="2:12" ht="15" customHeight="1">
      <c r="B387" s="116" t="str">
        <f t="shared" si="40"/>
        <v/>
      </c>
      <c r="C387" s="117" t="str">
        <f t="shared" si="36"/>
        <v/>
      </c>
      <c r="D387" s="116" t="str">
        <f t="shared" si="37"/>
        <v/>
      </c>
      <c r="E387" s="120" t="str">
        <f t="shared" si="38"/>
        <v/>
      </c>
      <c r="F387" s="118" t="str">
        <f t="shared" si="39"/>
        <v/>
      </c>
      <c r="G387" s="126">
        <f t="shared" si="41"/>
        <v>42</v>
      </c>
      <c r="H387" s="116" t="str">
        <f t="shared" si="42"/>
        <v/>
      </c>
      <c r="I387" s="117" t="str" cm="1">
        <f t="array" ref="I38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Calculators'!$B$2+ICS4Test!$E385,""))</f>
        <v/>
      </c>
      <c r="J387" s="116" t="str" cm="1">
        <f t="array" ref="J387">IF(I387="","",INDEX('Test schedule'!$H:$H,ROW()+7))</f>
        <v/>
      </c>
      <c r="K387" s="120" t="str" cm="1">
        <f t="array" ref="K387">IF(I387="","",INDEX('Test schedule'!$J:$J,ROW()+7))</f>
        <v/>
      </c>
      <c r="L387" s="129" t="str" cm="1">
        <f t="array" ref="L387">IF(OR(I387="",INDEX('Test schedule'!$T:$T,ROW()+7)=""),"",INDEX('Test schedule'!$T:$T,ROW()+7))</f>
        <v/>
      </c>
    </row>
    <row r="388" spans="2:12" ht="15" customHeight="1">
      <c r="B388" s="116" t="str">
        <f t="shared" si="40"/>
        <v/>
      </c>
      <c r="C388" s="117" t="str">
        <f t="shared" ref="C388:C451" si="43">IFERROR(INDEX($I$4:$I$500,MATCH(ROW()-3,$G$4:$G$500,0)),"")</f>
        <v/>
      </c>
      <c r="D388" s="116" t="str">
        <f t="shared" ref="D388:D451" si="44">IFERROR(INDEX($J$4:$J$500,MATCH(ROW()-3,$G$4:$G$500,0)),"")</f>
        <v/>
      </c>
      <c r="E388" s="120" t="str">
        <f t="shared" ref="E388:E451" si="45">IFERROR(INDEX($K$4:$K$500,MATCH(ROW()-3,$G$4:$G$500,0)),"")</f>
        <v/>
      </c>
      <c r="F388" s="118" t="str">
        <f t="shared" ref="F388:F451" si="46">IFERROR(INDEX($L$4:$L$500,MATCH(ROW()-3,$G$4:$G$500,0)),"")</f>
        <v/>
      </c>
      <c r="G388" s="126">
        <f t="shared" si="41"/>
        <v>42</v>
      </c>
      <c r="H388" s="116" t="str">
        <f t="shared" si="42"/>
        <v/>
      </c>
      <c r="I388" s="117" t="str" cm="1">
        <f t="array" ref="I38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Calculators'!$B$2+ICS4Test!$E386,""))</f>
        <v/>
      </c>
      <c r="J388" s="116" t="str" cm="1">
        <f t="array" ref="J388">IF(I388="","",INDEX('Test schedule'!$H:$H,ROW()+7))</f>
        <v/>
      </c>
      <c r="K388" s="120" t="str" cm="1">
        <f t="array" ref="K388">IF(I388="","",INDEX('Test schedule'!$J:$J,ROW()+7))</f>
        <v/>
      </c>
      <c r="L388" s="129" t="str" cm="1">
        <f t="array" ref="L388">IF(OR(I388="",INDEX('Test schedule'!$T:$T,ROW()+7)=""),"",INDEX('Test schedule'!$T:$T,ROW()+7))</f>
        <v/>
      </c>
    </row>
    <row r="389" spans="2:12" ht="15" customHeight="1">
      <c r="B389" s="116" t="str">
        <f t="shared" ref="B389:B452" si="47">IFERROR(IF(AND(INDEX($H$4:$H$500,MATCH(ROW()-3,$G$4:$G$500,0))&gt;C388,INDEX($I$4:$I$500,MATCH(ROW()-3,$G$4:$G$500,0))&lt;&gt;"END"),C388,INDEX($H$4:$H$500,MATCH(ROW()-3,$G$4:$G$500,0))),"")</f>
        <v/>
      </c>
      <c r="C389" s="117" t="str">
        <f t="shared" si="43"/>
        <v/>
      </c>
      <c r="D389" s="116" t="str">
        <f t="shared" si="44"/>
        <v/>
      </c>
      <c r="E389" s="120" t="str">
        <f t="shared" si="45"/>
        <v/>
      </c>
      <c r="F389" s="118" t="str">
        <f t="shared" si="46"/>
        <v/>
      </c>
      <c r="G389" s="126">
        <f t="shared" ref="G389:G452" si="48">G388+IF(I389&lt;&gt;"",1,0)</f>
        <v>42</v>
      </c>
      <c r="H389" s="116" t="str">
        <f t="shared" si="42"/>
        <v/>
      </c>
      <c r="I389" s="117" t="str" cm="1">
        <f t="array" ref="I38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Calculators'!$B$2+ICS4Test!$E387,""))</f>
        <v/>
      </c>
      <c r="J389" s="116" t="str" cm="1">
        <f t="array" ref="J389">IF(I389="","",INDEX('Test schedule'!$H:$H,ROW()+7))</f>
        <v/>
      </c>
      <c r="K389" s="120" t="str" cm="1">
        <f t="array" ref="K389">IF(I389="","",INDEX('Test schedule'!$J:$J,ROW()+7))</f>
        <v/>
      </c>
      <c r="L389" s="129" t="str" cm="1">
        <f t="array" ref="L389">IF(OR(I389="",INDEX('Test schedule'!$T:$T,ROW()+7)=""),"",INDEX('Test schedule'!$T:$T,ROW()+7))</f>
        <v/>
      </c>
    </row>
    <row r="390" spans="2:12" ht="15" customHeight="1">
      <c r="B390" s="116" t="str">
        <f t="shared" si="47"/>
        <v/>
      </c>
      <c r="C390" s="117" t="str">
        <f t="shared" si="43"/>
        <v/>
      </c>
      <c r="D390" s="116" t="str">
        <f t="shared" si="44"/>
        <v/>
      </c>
      <c r="E390" s="120" t="str">
        <f t="shared" si="45"/>
        <v/>
      </c>
      <c r="F390" s="118" t="str">
        <f t="shared" si="46"/>
        <v/>
      </c>
      <c r="G390" s="126">
        <f t="shared" si="48"/>
        <v>42</v>
      </c>
      <c r="H390" s="116" t="str">
        <f t="shared" si="42"/>
        <v/>
      </c>
      <c r="I390" s="117" t="str" cm="1">
        <f t="array" ref="I39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Calculators'!$B$2+ICS4Test!$E388,""))</f>
        <v/>
      </c>
      <c r="J390" s="116" t="str" cm="1">
        <f t="array" ref="J390">IF(I390="","",INDEX('Test schedule'!$H:$H,ROW()+7))</f>
        <v/>
      </c>
      <c r="K390" s="120" t="str" cm="1">
        <f t="array" ref="K390">IF(I390="","",INDEX('Test schedule'!$J:$J,ROW()+7))</f>
        <v/>
      </c>
      <c r="L390" s="129" t="str" cm="1">
        <f t="array" ref="L390">IF(OR(I390="",INDEX('Test schedule'!$T:$T,ROW()+7)=""),"",INDEX('Test schedule'!$T:$T,ROW()+7))</f>
        <v/>
      </c>
    </row>
    <row r="391" spans="2:12" ht="15" customHeight="1">
      <c r="B391" s="116" t="str">
        <f t="shared" si="47"/>
        <v/>
      </c>
      <c r="C391" s="117" t="str">
        <f t="shared" si="43"/>
        <v/>
      </c>
      <c r="D391" s="116" t="str">
        <f t="shared" si="44"/>
        <v/>
      </c>
      <c r="E391" s="120" t="str">
        <f t="shared" si="45"/>
        <v/>
      </c>
      <c r="F391" s="118" t="str">
        <f t="shared" si="46"/>
        <v/>
      </c>
      <c r="G391" s="126">
        <f t="shared" si="48"/>
        <v>42</v>
      </c>
      <c r="H391" s="116" t="str">
        <f t="shared" si="42"/>
        <v/>
      </c>
      <c r="I391" s="117" t="str" cm="1">
        <f t="array" ref="I39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Calculators'!$B$2+ICS4Test!$E389,""))</f>
        <v/>
      </c>
      <c r="J391" s="116" t="str" cm="1">
        <f t="array" ref="J391">IF(I391="","",INDEX('Test schedule'!$H:$H,ROW()+7))</f>
        <v/>
      </c>
      <c r="K391" s="120" t="str" cm="1">
        <f t="array" ref="K391">IF(I391="","",INDEX('Test schedule'!$J:$J,ROW()+7))</f>
        <v/>
      </c>
      <c r="L391" s="129" t="str" cm="1">
        <f t="array" ref="L391">IF(OR(I391="",INDEX('Test schedule'!$T:$T,ROW()+7)=""),"",INDEX('Test schedule'!$T:$T,ROW()+7))</f>
        <v/>
      </c>
    </row>
    <row r="392" spans="2:12" ht="15" customHeight="1">
      <c r="B392" s="116" t="str">
        <f t="shared" si="47"/>
        <v/>
      </c>
      <c r="C392" s="117" t="str">
        <f t="shared" si="43"/>
        <v/>
      </c>
      <c r="D392" s="116" t="str">
        <f t="shared" si="44"/>
        <v/>
      </c>
      <c r="E392" s="120" t="str">
        <f t="shared" si="45"/>
        <v/>
      </c>
      <c r="F392" s="118" t="str">
        <f t="shared" si="46"/>
        <v/>
      </c>
      <c r="G392" s="126">
        <f t="shared" si="48"/>
        <v>42</v>
      </c>
      <c r="H392" s="116" t="str">
        <f t="shared" si="42"/>
        <v/>
      </c>
      <c r="I392" s="117" t="str" cm="1">
        <f t="array" ref="I39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Calculators'!$B$2+ICS4Test!$E390,""))</f>
        <v/>
      </c>
      <c r="J392" s="116" t="str" cm="1">
        <f t="array" ref="J392">IF(I392="","",INDEX('Test schedule'!$H:$H,ROW()+7))</f>
        <v/>
      </c>
      <c r="K392" s="120" t="str" cm="1">
        <f t="array" ref="K392">IF(I392="","",INDEX('Test schedule'!$J:$J,ROW()+7))</f>
        <v/>
      </c>
      <c r="L392" s="129" t="str" cm="1">
        <f t="array" ref="L392">IF(OR(I392="",INDEX('Test schedule'!$T:$T,ROW()+7)=""),"",INDEX('Test schedule'!$T:$T,ROW()+7))</f>
        <v/>
      </c>
    </row>
    <row r="393" spans="2:12" ht="15" customHeight="1">
      <c r="B393" s="116" t="str">
        <f t="shared" si="47"/>
        <v/>
      </c>
      <c r="C393" s="117" t="str">
        <f t="shared" si="43"/>
        <v/>
      </c>
      <c r="D393" s="116" t="str">
        <f t="shared" si="44"/>
        <v/>
      </c>
      <c r="E393" s="120" t="str">
        <f t="shared" si="45"/>
        <v/>
      </c>
      <c r="F393" s="118" t="str">
        <f t="shared" si="46"/>
        <v/>
      </c>
      <c r="G393" s="126">
        <f t="shared" si="48"/>
        <v>42</v>
      </c>
      <c r="H393" s="116" t="str">
        <f t="shared" si="42"/>
        <v/>
      </c>
      <c r="I393" s="117" t="str" cm="1">
        <f t="array" ref="I39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Calculators'!$B$2+ICS4Test!$E391,""))</f>
        <v/>
      </c>
      <c r="J393" s="116" t="str" cm="1">
        <f t="array" ref="J393">IF(I393="","",INDEX('Test schedule'!$H:$H,ROW()+7))</f>
        <v/>
      </c>
      <c r="K393" s="120" t="str" cm="1">
        <f t="array" ref="K393">IF(I393="","",INDEX('Test schedule'!$J:$J,ROW()+7))</f>
        <v/>
      </c>
      <c r="L393" s="129" t="str" cm="1">
        <f t="array" ref="L393">IF(OR(I393="",INDEX('Test schedule'!$T:$T,ROW()+7)=""),"",INDEX('Test schedule'!$T:$T,ROW()+7))</f>
        <v/>
      </c>
    </row>
    <row r="394" spans="2:12" ht="15" customHeight="1">
      <c r="B394" s="116" t="str">
        <f t="shared" si="47"/>
        <v/>
      </c>
      <c r="C394" s="117" t="str">
        <f t="shared" si="43"/>
        <v/>
      </c>
      <c r="D394" s="116" t="str">
        <f t="shared" si="44"/>
        <v/>
      </c>
      <c r="E394" s="120" t="str">
        <f t="shared" si="45"/>
        <v/>
      </c>
      <c r="F394" s="118" t="str">
        <f t="shared" si="46"/>
        <v/>
      </c>
      <c r="G394" s="126">
        <f t="shared" si="48"/>
        <v>42</v>
      </c>
      <c r="H394" s="116" t="str">
        <f t="shared" si="42"/>
        <v/>
      </c>
      <c r="I394" s="117" t="str" cm="1">
        <f t="array" ref="I39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Calculators'!$B$2+ICS4Test!$E392,""))</f>
        <v/>
      </c>
      <c r="J394" s="116" t="str" cm="1">
        <f t="array" ref="J394">IF(I394="","",INDEX('Test schedule'!$H:$H,ROW()+7))</f>
        <v/>
      </c>
      <c r="K394" s="120" t="str" cm="1">
        <f t="array" ref="K394">IF(I394="","",INDEX('Test schedule'!$J:$J,ROW()+7))</f>
        <v/>
      </c>
      <c r="L394" s="129" t="str" cm="1">
        <f t="array" ref="L394">IF(OR(I394="",INDEX('Test schedule'!$T:$T,ROW()+7)=""),"",INDEX('Test schedule'!$T:$T,ROW()+7))</f>
        <v/>
      </c>
    </row>
    <row r="395" spans="2:12" ht="15" customHeight="1">
      <c r="B395" s="116" t="str">
        <f t="shared" si="47"/>
        <v/>
      </c>
      <c r="C395" s="117" t="str">
        <f t="shared" si="43"/>
        <v/>
      </c>
      <c r="D395" s="116" t="str">
        <f t="shared" si="44"/>
        <v/>
      </c>
      <c r="E395" s="120" t="str">
        <f t="shared" si="45"/>
        <v/>
      </c>
      <c r="F395" s="118" t="str">
        <f t="shared" si="46"/>
        <v/>
      </c>
      <c r="G395" s="126">
        <f t="shared" si="48"/>
        <v>42</v>
      </c>
      <c r="H395" s="116" t="str">
        <f t="shared" si="42"/>
        <v/>
      </c>
      <c r="I395" s="117" t="str" cm="1">
        <f t="array" ref="I39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Calculators'!$B$2+ICS4Test!$E393,""))</f>
        <v/>
      </c>
      <c r="J395" s="116" t="str" cm="1">
        <f t="array" ref="J395">IF(I395="","",INDEX('Test schedule'!$H:$H,ROW()+7))</f>
        <v/>
      </c>
      <c r="K395" s="120" t="str" cm="1">
        <f t="array" ref="K395">IF(I395="","",INDEX('Test schedule'!$J:$J,ROW()+7))</f>
        <v/>
      </c>
      <c r="L395" s="129" t="str" cm="1">
        <f t="array" ref="L395">IF(OR(I395="",INDEX('Test schedule'!$T:$T,ROW()+7)=""),"",INDEX('Test schedule'!$T:$T,ROW()+7))</f>
        <v/>
      </c>
    </row>
    <row r="396" spans="2:12" ht="15" customHeight="1">
      <c r="B396" s="116" t="str">
        <f t="shared" si="47"/>
        <v/>
      </c>
      <c r="C396" s="117" t="str">
        <f t="shared" si="43"/>
        <v/>
      </c>
      <c r="D396" s="116" t="str">
        <f t="shared" si="44"/>
        <v/>
      </c>
      <c r="E396" s="120" t="str">
        <f t="shared" si="45"/>
        <v/>
      </c>
      <c r="F396" s="118" t="str">
        <f t="shared" si="46"/>
        <v/>
      </c>
      <c r="G396" s="126">
        <f t="shared" si="48"/>
        <v>42</v>
      </c>
      <c r="H396" s="116" t="str">
        <f t="shared" si="42"/>
        <v/>
      </c>
      <c r="I396" s="117" t="str" cm="1">
        <f t="array" ref="I39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Calculators'!$B$2+ICS4Test!$E394,""))</f>
        <v/>
      </c>
      <c r="J396" s="116" t="str" cm="1">
        <f t="array" ref="J396">IF(I396="","",INDEX('Test schedule'!$H:$H,ROW()+7))</f>
        <v/>
      </c>
      <c r="K396" s="120" t="str" cm="1">
        <f t="array" ref="K396">IF(I396="","",INDEX('Test schedule'!$J:$J,ROW()+7))</f>
        <v/>
      </c>
      <c r="L396" s="129" t="str" cm="1">
        <f t="array" ref="L396">IF(OR(I396="",INDEX('Test schedule'!$T:$T,ROW()+7)=""),"",INDEX('Test schedule'!$T:$T,ROW()+7))</f>
        <v/>
      </c>
    </row>
    <row r="397" spans="2:12" ht="15" customHeight="1">
      <c r="B397" s="116" t="str">
        <f t="shared" si="47"/>
        <v/>
      </c>
      <c r="C397" s="117" t="str">
        <f t="shared" si="43"/>
        <v/>
      </c>
      <c r="D397" s="116" t="str">
        <f t="shared" si="44"/>
        <v/>
      </c>
      <c r="E397" s="120" t="str">
        <f t="shared" si="45"/>
        <v/>
      </c>
      <c r="F397" s="118" t="str">
        <f t="shared" si="46"/>
        <v/>
      </c>
      <c r="G397" s="126">
        <f t="shared" si="48"/>
        <v>42</v>
      </c>
      <c r="H397" s="116" t="str">
        <f t="shared" si="42"/>
        <v/>
      </c>
      <c r="I397" s="117" t="str" cm="1">
        <f t="array" ref="I39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Calculators'!$B$2+ICS4Test!$E395,""))</f>
        <v/>
      </c>
      <c r="J397" s="116" t="str" cm="1">
        <f t="array" ref="J397">IF(I397="","",INDEX('Test schedule'!$H:$H,ROW()+7))</f>
        <v/>
      </c>
      <c r="K397" s="120" t="str" cm="1">
        <f t="array" ref="K397">IF(I397="","",INDEX('Test schedule'!$J:$J,ROW()+7))</f>
        <v/>
      </c>
      <c r="L397" s="129" t="str" cm="1">
        <f t="array" ref="L397">IF(OR(I397="",INDEX('Test schedule'!$T:$T,ROW()+7)=""),"",INDEX('Test schedule'!$T:$T,ROW()+7))</f>
        <v/>
      </c>
    </row>
    <row r="398" spans="2:12" ht="15" customHeight="1">
      <c r="B398" s="116" t="str">
        <f t="shared" si="47"/>
        <v/>
      </c>
      <c r="C398" s="117" t="str">
        <f t="shared" si="43"/>
        <v/>
      </c>
      <c r="D398" s="116" t="str">
        <f t="shared" si="44"/>
        <v/>
      </c>
      <c r="E398" s="120" t="str">
        <f t="shared" si="45"/>
        <v/>
      </c>
      <c r="F398" s="118" t="str">
        <f t="shared" si="46"/>
        <v/>
      </c>
      <c r="G398" s="126">
        <f t="shared" si="48"/>
        <v>42</v>
      </c>
      <c r="H398" s="116" t="str">
        <f t="shared" si="42"/>
        <v/>
      </c>
      <c r="I398" s="117" t="str" cm="1">
        <f t="array" ref="I39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Calculators'!$B$2+ICS4Test!$E396,""))</f>
        <v/>
      </c>
      <c r="J398" s="116" t="str" cm="1">
        <f t="array" ref="J398">IF(I398="","",INDEX('Test schedule'!$H:$H,ROW()+7))</f>
        <v/>
      </c>
      <c r="K398" s="120" t="str" cm="1">
        <f t="array" ref="K398">IF(I398="","",INDEX('Test schedule'!$J:$J,ROW()+7))</f>
        <v/>
      </c>
      <c r="L398" s="129" t="str" cm="1">
        <f t="array" ref="L398">IF(OR(I398="",INDEX('Test schedule'!$T:$T,ROW()+7)=""),"",INDEX('Test schedule'!$T:$T,ROW()+7))</f>
        <v/>
      </c>
    </row>
    <row r="399" spans="2:12" ht="15" customHeight="1">
      <c r="B399" s="116" t="str">
        <f t="shared" si="47"/>
        <v/>
      </c>
      <c r="C399" s="117" t="str">
        <f t="shared" si="43"/>
        <v/>
      </c>
      <c r="D399" s="116" t="str">
        <f t="shared" si="44"/>
        <v/>
      </c>
      <c r="E399" s="120" t="str">
        <f t="shared" si="45"/>
        <v/>
      </c>
      <c r="F399" s="118" t="str">
        <f t="shared" si="46"/>
        <v/>
      </c>
      <c r="G399" s="126">
        <f t="shared" si="48"/>
        <v>42</v>
      </c>
      <c r="H399" s="116" t="str">
        <f t="shared" si="42"/>
        <v/>
      </c>
      <c r="I399" s="117" t="str" cm="1">
        <f t="array" ref="I39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Calculators'!$B$2+ICS4Test!$E397,""))</f>
        <v/>
      </c>
      <c r="J399" s="116" t="str" cm="1">
        <f t="array" ref="J399">IF(I399="","",INDEX('Test schedule'!$H:$H,ROW()+7))</f>
        <v/>
      </c>
      <c r="K399" s="120" t="str" cm="1">
        <f t="array" ref="K399">IF(I399="","",INDEX('Test schedule'!$J:$J,ROW()+7))</f>
        <v/>
      </c>
      <c r="L399" s="129" t="str" cm="1">
        <f t="array" ref="L399">IF(OR(I399="",INDEX('Test schedule'!$T:$T,ROW()+7)=""),"",INDEX('Test schedule'!$T:$T,ROW()+7))</f>
        <v/>
      </c>
    </row>
    <row r="400" spans="2:12" ht="15" customHeight="1">
      <c r="B400" s="116" t="str">
        <f t="shared" si="47"/>
        <v/>
      </c>
      <c r="C400" s="117" t="str">
        <f t="shared" si="43"/>
        <v/>
      </c>
      <c r="D400" s="116" t="str">
        <f t="shared" si="44"/>
        <v/>
      </c>
      <c r="E400" s="120" t="str">
        <f t="shared" si="45"/>
        <v/>
      </c>
      <c r="F400" s="118" t="str">
        <f t="shared" si="46"/>
        <v/>
      </c>
      <c r="G400" s="126">
        <f t="shared" si="48"/>
        <v>42</v>
      </c>
      <c r="H400" s="116" t="str">
        <f t="shared" si="42"/>
        <v/>
      </c>
      <c r="I400" s="117" t="str" cm="1">
        <f t="array" ref="I40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Calculators'!$B$2+ICS4Test!$E398,""))</f>
        <v/>
      </c>
      <c r="J400" s="116" t="str" cm="1">
        <f t="array" ref="J400">IF(I400="","",INDEX('Test schedule'!$H:$H,ROW()+7))</f>
        <v/>
      </c>
      <c r="K400" s="120" t="str" cm="1">
        <f t="array" ref="K400">IF(I400="","",INDEX('Test schedule'!$J:$J,ROW()+7))</f>
        <v/>
      </c>
      <c r="L400" s="129" t="str" cm="1">
        <f t="array" ref="L400">IF(OR(I400="",INDEX('Test schedule'!$T:$T,ROW()+7)=""),"",INDEX('Test schedule'!$T:$T,ROW()+7))</f>
        <v/>
      </c>
    </row>
    <row r="401" spans="2:12" ht="15" customHeight="1">
      <c r="B401" s="116" t="str">
        <f t="shared" si="47"/>
        <v/>
      </c>
      <c r="C401" s="117" t="str">
        <f t="shared" si="43"/>
        <v/>
      </c>
      <c r="D401" s="116" t="str">
        <f t="shared" si="44"/>
        <v/>
      </c>
      <c r="E401" s="120" t="str">
        <f t="shared" si="45"/>
        <v/>
      </c>
      <c r="F401" s="118" t="str">
        <f t="shared" si="46"/>
        <v/>
      </c>
      <c r="G401" s="126">
        <f t="shared" si="48"/>
        <v>42</v>
      </c>
      <c r="H401" s="116" t="str">
        <f t="shared" si="42"/>
        <v/>
      </c>
      <c r="I401" s="117" t="str" cm="1">
        <f t="array" ref="I40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Calculators'!$B$2+ICS4Test!$E399,""))</f>
        <v/>
      </c>
      <c r="J401" s="116" t="str" cm="1">
        <f t="array" ref="J401">IF(I401="","",INDEX('Test schedule'!$H:$H,ROW()+7))</f>
        <v/>
      </c>
      <c r="K401" s="120" t="str" cm="1">
        <f t="array" ref="K401">IF(I401="","",INDEX('Test schedule'!$J:$J,ROW()+7))</f>
        <v/>
      </c>
      <c r="L401" s="129" t="str" cm="1">
        <f t="array" ref="L401">IF(OR(I401="",INDEX('Test schedule'!$T:$T,ROW()+7)=""),"",INDEX('Test schedule'!$T:$T,ROW()+7))</f>
        <v/>
      </c>
    </row>
    <row r="402" spans="2:12" ht="15" customHeight="1">
      <c r="B402" s="116" t="str">
        <f t="shared" si="47"/>
        <v/>
      </c>
      <c r="C402" s="117" t="str">
        <f t="shared" si="43"/>
        <v/>
      </c>
      <c r="D402" s="116" t="str">
        <f t="shared" si="44"/>
        <v/>
      </c>
      <c r="E402" s="120" t="str">
        <f t="shared" si="45"/>
        <v/>
      </c>
      <c r="F402" s="118" t="str">
        <f t="shared" si="46"/>
        <v/>
      </c>
      <c r="G402" s="126">
        <f t="shared" si="48"/>
        <v>42</v>
      </c>
      <c r="H402" s="116" t="str">
        <f t="shared" si="42"/>
        <v/>
      </c>
      <c r="I402" s="117" t="str" cm="1">
        <f t="array" ref="I40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Calculators'!$B$2+ICS4Test!$E400,""))</f>
        <v/>
      </c>
      <c r="J402" s="116" t="str" cm="1">
        <f t="array" ref="J402">IF(I402="","",INDEX('Test schedule'!$H:$H,ROW()+7))</f>
        <v/>
      </c>
      <c r="K402" s="120" t="str" cm="1">
        <f t="array" ref="K402">IF(I402="","",INDEX('Test schedule'!$J:$J,ROW()+7))</f>
        <v/>
      </c>
      <c r="L402" s="129" t="str" cm="1">
        <f t="array" ref="L402">IF(OR(I402="",INDEX('Test schedule'!$T:$T,ROW()+7)=""),"",INDEX('Test schedule'!$T:$T,ROW()+7))</f>
        <v/>
      </c>
    </row>
    <row r="403" spans="2:12" ht="15" customHeight="1">
      <c r="B403" s="116" t="str">
        <f t="shared" si="47"/>
        <v/>
      </c>
      <c r="C403" s="117" t="str">
        <f t="shared" si="43"/>
        <v/>
      </c>
      <c r="D403" s="116" t="str">
        <f t="shared" si="44"/>
        <v/>
      </c>
      <c r="E403" s="120" t="str">
        <f t="shared" si="45"/>
        <v/>
      </c>
      <c r="F403" s="118" t="str">
        <f t="shared" si="46"/>
        <v/>
      </c>
      <c r="G403" s="126">
        <f t="shared" si="48"/>
        <v>42</v>
      </c>
      <c r="H403" s="116" t="str">
        <f t="shared" si="42"/>
        <v/>
      </c>
      <c r="I403" s="117" t="str" cm="1">
        <f t="array" ref="I40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Calculators'!$B$2+ICS4Test!$E401,""))</f>
        <v/>
      </c>
      <c r="J403" s="116" t="str" cm="1">
        <f t="array" ref="J403">IF(I403="","",INDEX('Test schedule'!$H:$H,ROW()+7))</f>
        <v/>
      </c>
      <c r="K403" s="120" t="str" cm="1">
        <f t="array" ref="K403">IF(I403="","",INDEX('Test schedule'!$J:$J,ROW()+7))</f>
        <v/>
      </c>
      <c r="L403" s="129" t="str" cm="1">
        <f t="array" ref="L403">IF(OR(I403="",INDEX('Test schedule'!$T:$T,ROW()+7)=""),"",INDEX('Test schedule'!$T:$T,ROW()+7))</f>
        <v/>
      </c>
    </row>
    <row r="404" spans="2:12" ht="15" customHeight="1">
      <c r="B404" s="116" t="str">
        <f t="shared" si="47"/>
        <v/>
      </c>
      <c r="C404" s="117" t="str">
        <f t="shared" si="43"/>
        <v/>
      </c>
      <c r="D404" s="116" t="str">
        <f t="shared" si="44"/>
        <v/>
      </c>
      <c r="E404" s="120" t="str">
        <f t="shared" si="45"/>
        <v/>
      </c>
      <c r="F404" s="118" t="str">
        <f t="shared" si="46"/>
        <v/>
      </c>
      <c r="G404" s="126">
        <f t="shared" si="48"/>
        <v>42</v>
      </c>
      <c r="H404" s="116" t="str">
        <f t="shared" si="42"/>
        <v/>
      </c>
      <c r="I404" s="117" t="str" cm="1">
        <f t="array" ref="I40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Calculators'!$B$2+ICS4Test!$E402,""))</f>
        <v/>
      </c>
      <c r="J404" s="116" t="str" cm="1">
        <f t="array" ref="J404">IF(I404="","",INDEX('Test schedule'!$H:$H,ROW()+7))</f>
        <v/>
      </c>
      <c r="K404" s="120" t="str" cm="1">
        <f t="array" ref="K404">IF(I404="","",INDEX('Test schedule'!$J:$J,ROW()+7))</f>
        <v/>
      </c>
      <c r="L404" s="129" t="str" cm="1">
        <f t="array" ref="L404">IF(OR(I404="",INDEX('Test schedule'!$T:$T,ROW()+7)=""),"",INDEX('Test schedule'!$T:$T,ROW()+7))</f>
        <v/>
      </c>
    </row>
    <row r="405" spans="2:12" ht="15" customHeight="1">
      <c r="B405" s="116" t="str">
        <f t="shared" si="47"/>
        <v/>
      </c>
      <c r="C405" s="117" t="str">
        <f t="shared" si="43"/>
        <v/>
      </c>
      <c r="D405" s="116" t="str">
        <f t="shared" si="44"/>
        <v/>
      </c>
      <c r="E405" s="120" t="str">
        <f t="shared" si="45"/>
        <v/>
      </c>
      <c r="F405" s="118" t="str">
        <f t="shared" si="46"/>
        <v/>
      </c>
      <c r="G405" s="126">
        <f t="shared" si="48"/>
        <v>42</v>
      </c>
      <c r="H405" s="116" t="str">
        <f t="shared" si="42"/>
        <v/>
      </c>
      <c r="I405" s="117" t="str" cm="1">
        <f t="array" ref="I40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Calculators'!$B$2+ICS4Test!$E403,""))</f>
        <v/>
      </c>
      <c r="J405" s="116" t="str" cm="1">
        <f t="array" ref="J405">IF(I405="","",INDEX('Test schedule'!$H:$H,ROW()+7))</f>
        <v/>
      </c>
      <c r="K405" s="120" t="str" cm="1">
        <f t="array" ref="K405">IF(I405="","",INDEX('Test schedule'!$J:$J,ROW()+7))</f>
        <v/>
      </c>
      <c r="L405" s="129" t="str" cm="1">
        <f t="array" ref="L405">IF(OR(I405="",INDEX('Test schedule'!$T:$T,ROW()+7)=""),"",INDEX('Test schedule'!$T:$T,ROW()+7))</f>
        <v/>
      </c>
    </row>
    <row r="406" spans="2:12" ht="15" customHeight="1">
      <c r="B406" s="116" t="str">
        <f t="shared" si="47"/>
        <v/>
      </c>
      <c r="C406" s="117" t="str">
        <f t="shared" si="43"/>
        <v/>
      </c>
      <c r="D406" s="116" t="str">
        <f t="shared" si="44"/>
        <v/>
      </c>
      <c r="E406" s="120" t="str">
        <f t="shared" si="45"/>
        <v/>
      </c>
      <c r="F406" s="118" t="str">
        <f t="shared" si="46"/>
        <v/>
      </c>
      <c r="G406" s="126">
        <f t="shared" si="48"/>
        <v>42</v>
      </c>
      <c r="H406" s="116" t="str">
        <f t="shared" si="42"/>
        <v/>
      </c>
      <c r="I406" s="117" t="str" cm="1">
        <f t="array" ref="I40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Calculators'!$B$2+ICS4Test!$E404,""))</f>
        <v/>
      </c>
      <c r="J406" s="116" t="str" cm="1">
        <f t="array" ref="J406">IF(I406="","",INDEX('Test schedule'!$H:$H,ROW()+7))</f>
        <v/>
      </c>
      <c r="K406" s="120" t="str" cm="1">
        <f t="array" ref="K406">IF(I406="","",INDEX('Test schedule'!$J:$J,ROW()+7))</f>
        <v/>
      </c>
      <c r="L406" s="129" t="str" cm="1">
        <f t="array" ref="L406">IF(OR(I406="",INDEX('Test schedule'!$T:$T,ROW()+7)=""),"",INDEX('Test schedule'!$T:$T,ROW()+7))</f>
        <v/>
      </c>
    </row>
    <row r="407" spans="2:12" ht="15" customHeight="1">
      <c r="B407" s="116" t="str">
        <f t="shared" si="47"/>
        <v/>
      </c>
      <c r="C407" s="117" t="str">
        <f t="shared" si="43"/>
        <v/>
      </c>
      <c r="D407" s="116" t="str">
        <f t="shared" si="44"/>
        <v/>
      </c>
      <c r="E407" s="120" t="str">
        <f t="shared" si="45"/>
        <v/>
      </c>
      <c r="F407" s="118" t="str">
        <f t="shared" si="46"/>
        <v/>
      </c>
      <c r="G407" s="126">
        <f t="shared" si="48"/>
        <v>42</v>
      </c>
      <c r="H407" s="116" t="str">
        <f t="shared" si="42"/>
        <v/>
      </c>
      <c r="I407" s="117" t="str" cm="1">
        <f t="array" ref="I40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Calculators'!$B$2+ICS4Test!$E405,""))</f>
        <v/>
      </c>
      <c r="J407" s="116" t="str" cm="1">
        <f t="array" ref="J407">IF(I407="","",INDEX('Test schedule'!$H:$H,ROW()+7))</f>
        <v/>
      </c>
      <c r="K407" s="120" t="str" cm="1">
        <f t="array" ref="K407">IF(I407="","",INDEX('Test schedule'!$J:$J,ROW()+7))</f>
        <v/>
      </c>
      <c r="L407" s="129" t="str" cm="1">
        <f t="array" ref="L407">IF(OR(I407="",INDEX('Test schedule'!$T:$T,ROW()+7)=""),"",INDEX('Test schedule'!$T:$T,ROW()+7))</f>
        <v/>
      </c>
    </row>
    <row r="408" spans="2:12" ht="15" customHeight="1">
      <c r="B408" s="116" t="str">
        <f t="shared" si="47"/>
        <v/>
      </c>
      <c r="C408" s="117" t="str">
        <f t="shared" si="43"/>
        <v/>
      </c>
      <c r="D408" s="116" t="str">
        <f t="shared" si="44"/>
        <v/>
      </c>
      <c r="E408" s="120" t="str">
        <f t="shared" si="45"/>
        <v/>
      </c>
      <c r="F408" s="118" t="str">
        <f t="shared" si="46"/>
        <v/>
      </c>
      <c r="G408" s="126">
        <f t="shared" si="48"/>
        <v>42</v>
      </c>
      <c r="H408" s="116" t="str">
        <f t="shared" si="42"/>
        <v/>
      </c>
      <c r="I408" s="117" t="str" cm="1">
        <f t="array" ref="I40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Calculators'!$B$2+ICS4Test!$E406,""))</f>
        <v/>
      </c>
      <c r="J408" s="116" t="str" cm="1">
        <f t="array" ref="J408">IF(I408="","",INDEX('Test schedule'!$H:$H,ROW()+7))</f>
        <v/>
      </c>
      <c r="K408" s="120" t="str" cm="1">
        <f t="array" ref="K408">IF(I408="","",INDEX('Test schedule'!$J:$J,ROW()+7))</f>
        <v/>
      </c>
      <c r="L408" s="129" t="str" cm="1">
        <f t="array" ref="L408">IF(OR(I408="",INDEX('Test schedule'!$T:$T,ROW()+7)=""),"",INDEX('Test schedule'!$T:$T,ROW()+7))</f>
        <v/>
      </c>
    </row>
    <row r="409" spans="2:12" ht="15" customHeight="1">
      <c r="B409" s="116" t="str">
        <f t="shared" si="47"/>
        <v/>
      </c>
      <c r="C409" s="117" t="str">
        <f t="shared" si="43"/>
        <v/>
      </c>
      <c r="D409" s="116" t="str">
        <f t="shared" si="44"/>
        <v/>
      </c>
      <c r="E409" s="120" t="str">
        <f t="shared" si="45"/>
        <v/>
      </c>
      <c r="F409" s="118" t="str">
        <f t="shared" si="46"/>
        <v/>
      </c>
      <c r="G409" s="126">
        <f t="shared" si="48"/>
        <v>42</v>
      </c>
      <c r="H409" s="116" t="str">
        <f t="shared" si="42"/>
        <v/>
      </c>
      <c r="I409" s="117" t="str" cm="1">
        <f t="array" ref="I40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Calculators'!$B$2+ICS4Test!$E407,""))</f>
        <v/>
      </c>
      <c r="J409" s="116" t="str" cm="1">
        <f t="array" ref="J409">IF(I409="","",INDEX('Test schedule'!$H:$H,ROW()+7))</f>
        <v/>
      </c>
      <c r="K409" s="120" t="str" cm="1">
        <f t="array" ref="K409">IF(I409="","",INDEX('Test schedule'!$J:$J,ROW()+7))</f>
        <v/>
      </c>
      <c r="L409" s="129" t="str" cm="1">
        <f t="array" ref="L409">IF(OR(I409="",INDEX('Test schedule'!$T:$T,ROW()+7)=""),"",INDEX('Test schedule'!$T:$T,ROW()+7))</f>
        <v/>
      </c>
    </row>
    <row r="410" spans="2:12" ht="15" customHeight="1">
      <c r="B410" s="116" t="str">
        <f t="shared" si="47"/>
        <v/>
      </c>
      <c r="C410" s="117" t="str">
        <f t="shared" si="43"/>
        <v/>
      </c>
      <c r="D410" s="116" t="str">
        <f t="shared" si="44"/>
        <v/>
      </c>
      <c r="E410" s="120" t="str">
        <f t="shared" si="45"/>
        <v/>
      </c>
      <c r="F410" s="118" t="str">
        <f t="shared" si="46"/>
        <v/>
      </c>
      <c r="G410" s="126">
        <f t="shared" si="48"/>
        <v>42</v>
      </c>
      <c r="H410" s="116" t="str">
        <f t="shared" si="42"/>
        <v/>
      </c>
      <c r="I410" s="117" t="str" cm="1">
        <f t="array" ref="I41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Calculators'!$B$2+ICS4Test!$E408,""))</f>
        <v/>
      </c>
      <c r="J410" s="116" t="str" cm="1">
        <f t="array" ref="J410">IF(I410="","",INDEX('Test schedule'!$H:$H,ROW()+7))</f>
        <v/>
      </c>
      <c r="K410" s="120" t="str" cm="1">
        <f t="array" ref="K410">IF(I410="","",INDEX('Test schedule'!$J:$J,ROW()+7))</f>
        <v/>
      </c>
      <c r="L410" s="129" t="str" cm="1">
        <f t="array" ref="L410">IF(OR(I410="",INDEX('Test schedule'!$T:$T,ROW()+7)=""),"",INDEX('Test schedule'!$T:$T,ROW()+7))</f>
        <v/>
      </c>
    </row>
    <row r="411" spans="2:12" ht="15" customHeight="1">
      <c r="B411" s="116" t="str">
        <f t="shared" si="47"/>
        <v/>
      </c>
      <c r="C411" s="117" t="str">
        <f t="shared" si="43"/>
        <v/>
      </c>
      <c r="D411" s="116" t="str">
        <f t="shared" si="44"/>
        <v/>
      </c>
      <c r="E411" s="120" t="str">
        <f t="shared" si="45"/>
        <v/>
      </c>
      <c r="F411" s="118" t="str">
        <f t="shared" si="46"/>
        <v/>
      </c>
      <c r="G411" s="126">
        <f t="shared" si="48"/>
        <v>42</v>
      </c>
      <c r="H411" s="116" t="str">
        <f t="shared" si="42"/>
        <v/>
      </c>
      <c r="I411" s="117" t="str" cm="1">
        <f t="array" ref="I41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Calculators'!$B$2+ICS4Test!$E409,""))</f>
        <v/>
      </c>
      <c r="J411" s="116" t="str" cm="1">
        <f t="array" ref="J411">IF(I411="","",INDEX('Test schedule'!$H:$H,ROW()+7))</f>
        <v/>
      </c>
      <c r="K411" s="120" t="str" cm="1">
        <f t="array" ref="K411">IF(I411="","",INDEX('Test schedule'!$J:$J,ROW()+7))</f>
        <v/>
      </c>
      <c r="L411" s="129" t="str" cm="1">
        <f t="array" ref="L411">IF(OR(I411="",INDEX('Test schedule'!$T:$T,ROW()+7)=""),"",INDEX('Test schedule'!$T:$T,ROW()+7))</f>
        <v/>
      </c>
    </row>
    <row r="412" spans="2:12" ht="15" customHeight="1">
      <c r="B412" s="116" t="str">
        <f t="shared" si="47"/>
        <v/>
      </c>
      <c r="C412" s="117" t="str">
        <f t="shared" si="43"/>
        <v/>
      </c>
      <c r="D412" s="116" t="str">
        <f t="shared" si="44"/>
        <v/>
      </c>
      <c r="E412" s="120" t="str">
        <f t="shared" si="45"/>
        <v/>
      </c>
      <c r="F412" s="118" t="str">
        <f t="shared" si="46"/>
        <v/>
      </c>
      <c r="G412" s="126">
        <f t="shared" si="48"/>
        <v>42</v>
      </c>
      <c r="H412" s="116" t="str">
        <f t="shared" si="42"/>
        <v/>
      </c>
      <c r="I412" s="117" t="str" cm="1">
        <f t="array" ref="I41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Calculators'!$B$2+ICS4Test!$E410,""))</f>
        <v/>
      </c>
      <c r="J412" s="116" t="str" cm="1">
        <f t="array" ref="J412">IF(I412="","",INDEX('Test schedule'!$H:$H,ROW()+7))</f>
        <v/>
      </c>
      <c r="K412" s="120" t="str" cm="1">
        <f t="array" ref="K412">IF(I412="","",INDEX('Test schedule'!$J:$J,ROW()+7))</f>
        <v/>
      </c>
      <c r="L412" s="129" t="str" cm="1">
        <f t="array" ref="L412">IF(OR(I412="",INDEX('Test schedule'!$T:$T,ROW()+7)=""),"",INDEX('Test schedule'!$T:$T,ROW()+7))</f>
        <v/>
      </c>
    </row>
    <row r="413" spans="2:12" ht="15" customHeight="1">
      <c r="B413" s="116" t="str">
        <f t="shared" si="47"/>
        <v/>
      </c>
      <c r="C413" s="117" t="str">
        <f t="shared" si="43"/>
        <v/>
      </c>
      <c r="D413" s="116" t="str">
        <f t="shared" si="44"/>
        <v/>
      </c>
      <c r="E413" s="120" t="str">
        <f t="shared" si="45"/>
        <v/>
      </c>
      <c r="F413" s="118" t="str">
        <f t="shared" si="46"/>
        <v/>
      </c>
      <c r="G413" s="126">
        <f t="shared" si="48"/>
        <v>42</v>
      </c>
      <c r="H413" s="116" t="str">
        <f t="shared" si="42"/>
        <v/>
      </c>
      <c r="I413" s="117" t="str" cm="1">
        <f t="array" ref="I41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Calculators'!$B$2+ICS4Test!$E411,""))</f>
        <v/>
      </c>
      <c r="J413" s="116" t="str" cm="1">
        <f t="array" ref="J413">IF(I413="","",INDEX('Test schedule'!$H:$H,ROW()+7))</f>
        <v/>
      </c>
      <c r="K413" s="120" t="str" cm="1">
        <f t="array" ref="K413">IF(I413="","",INDEX('Test schedule'!$J:$J,ROW()+7))</f>
        <v/>
      </c>
      <c r="L413" s="129" t="str" cm="1">
        <f t="array" ref="L413">IF(OR(I413="",INDEX('Test schedule'!$T:$T,ROW()+7)=""),"",INDEX('Test schedule'!$T:$T,ROW()+7))</f>
        <v/>
      </c>
    </row>
    <row r="414" spans="2:12" ht="15" customHeight="1">
      <c r="B414" s="116" t="str">
        <f t="shared" si="47"/>
        <v/>
      </c>
      <c r="C414" s="117" t="str">
        <f t="shared" si="43"/>
        <v/>
      </c>
      <c r="D414" s="116" t="str">
        <f t="shared" si="44"/>
        <v/>
      </c>
      <c r="E414" s="120" t="str">
        <f t="shared" si="45"/>
        <v/>
      </c>
      <c r="F414" s="118" t="str">
        <f t="shared" si="46"/>
        <v/>
      </c>
      <c r="G414" s="126">
        <f t="shared" si="48"/>
        <v>42</v>
      </c>
      <c r="H414" s="116" t="str">
        <f t="shared" si="42"/>
        <v/>
      </c>
      <c r="I414" s="117" t="str" cm="1">
        <f t="array" ref="I41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Calculators'!$B$2+ICS4Test!$E412,""))</f>
        <v/>
      </c>
      <c r="J414" s="116" t="str" cm="1">
        <f t="array" ref="J414">IF(I414="","",INDEX('Test schedule'!$H:$H,ROW()+7))</f>
        <v/>
      </c>
      <c r="K414" s="120" t="str" cm="1">
        <f t="array" ref="K414">IF(I414="","",INDEX('Test schedule'!$J:$J,ROW()+7))</f>
        <v/>
      </c>
      <c r="L414" s="129" t="str" cm="1">
        <f t="array" ref="L414">IF(OR(I414="",INDEX('Test schedule'!$T:$T,ROW()+7)=""),"",INDEX('Test schedule'!$T:$T,ROW()+7))</f>
        <v/>
      </c>
    </row>
    <row r="415" spans="2:12" ht="15" customHeight="1">
      <c r="B415" s="116" t="str">
        <f t="shared" si="47"/>
        <v/>
      </c>
      <c r="C415" s="117" t="str">
        <f t="shared" si="43"/>
        <v/>
      </c>
      <c r="D415" s="116" t="str">
        <f t="shared" si="44"/>
        <v/>
      </c>
      <c r="E415" s="120" t="str">
        <f t="shared" si="45"/>
        <v/>
      </c>
      <c r="F415" s="118" t="str">
        <f t="shared" si="46"/>
        <v/>
      </c>
      <c r="G415" s="126">
        <f t="shared" si="48"/>
        <v>42</v>
      </c>
      <c r="H415" s="116" t="str">
        <f t="shared" si="42"/>
        <v/>
      </c>
      <c r="I415" s="117" t="str" cm="1">
        <f t="array" ref="I41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Calculators'!$B$2+ICS4Test!$E413,""))</f>
        <v/>
      </c>
      <c r="J415" s="116" t="str" cm="1">
        <f t="array" ref="J415">IF(I415="","",INDEX('Test schedule'!$H:$H,ROW()+7))</f>
        <v/>
      </c>
      <c r="K415" s="120" t="str" cm="1">
        <f t="array" ref="K415">IF(I415="","",INDEX('Test schedule'!$J:$J,ROW()+7))</f>
        <v/>
      </c>
      <c r="L415" s="129" t="str" cm="1">
        <f t="array" ref="L415">IF(OR(I415="",INDEX('Test schedule'!$T:$T,ROW()+7)=""),"",INDEX('Test schedule'!$T:$T,ROW()+7))</f>
        <v/>
      </c>
    </row>
    <row r="416" spans="2:12" ht="15" customHeight="1">
      <c r="B416" s="116" t="str">
        <f t="shared" si="47"/>
        <v/>
      </c>
      <c r="C416" s="117" t="str">
        <f t="shared" si="43"/>
        <v/>
      </c>
      <c r="D416" s="116" t="str">
        <f t="shared" si="44"/>
        <v/>
      </c>
      <c r="E416" s="120" t="str">
        <f t="shared" si="45"/>
        <v/>
      </c>
      <c r="F416" s="118" t="str">
        <f t="shared" si="46"/>
        <v/>
      </c>
      <c r="G416" s="126">
        <f t="shared" si="48"/>
        <v>42</v>
      </c>
      <c r="H416" s="116" t="str">
        <f t="shared" si="42"/>
        <v/>
      </c>
      <c r="I416" s="117" t="str" cm="1">
        <f t="array" ref="I41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Calculators'!$B$2+ICS4Test!$E414,""))</f>
        <v/>
      </c>
      <c r="J416" s="116" t="str" cm="1">
        <f t="array" ref="J416">IF(I416="","",INDEX('Test schedule'!$H:$H,ROW()+7))</f>
        <v/>
      </c>
      <c r="K416" s="120" t="str" cm="1">
        <f t="array" ref="K416">IF(I416="","",INDEX('Test schedule'!$J:$J,ROW()+7))</f>
        <v/>
      </c>
      <c r="L416" s="129" t="str" cm="1">
        <f t="array" ref="L416">IF(OR(I416="",INDEX('Test schedule'!$T:$T,ROW()+7)=""),"",INDEX('Test schedule'!$T:$T,ROW()+7))</f>
        <v/>
      </c>
    </row>
    <row r="417" spans="2:12" ht="15" customHeight="1">
      <c r="B417" s="116" t="str">
        <f t="shared" si="47"/>
        <v/>
      </c>
      <c r="C417" s="117" t="str">
        <f t="shared" si="43"/>
        <v/>
      </c>
      <c r="D417" s="116" t="str">
        <f t="shared" si="44"/>
        <v/>
      </c>
      <c r="E417" s="120" t="str">
        <f t="shared" si="45"/>
        <v/>
      </c>
      <c r="F417" s="118" t="str">
        <f t="shared" si="46"/>
        <v/>
      </c>
      <c r="G417" s="126">
        <f t="shared" si="48"/>
        <v>42</v>
      </c>
      <c r="H417" s="116" t="str">
        <f t="shared" si="42"/>
        <v/>
      </c>
      <c r="I417" s="117" t="str" cm="1">
        <f t="array" ref="I41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Calculators'!$B$2+ICS4Test!$E415,""))</f>
        <v/>
      </c>
      <c r="J417" s="116" t="str" cm="1">
        <f t="array" ref="J417">IF(I417="","",INDEX('Test schedule'!$H:$H,ROW()+7))</f>
        <v/>
      </c>
      <c r="K417" s="120" t="str" cm="1">
        <f t="array" ref="K417">IF(I417="","",INDEX('Test schedule'!$J:$J,ROW()+7))</f>
        <v/>
      </c>
      <c r="L417" s="129" t="str" cm="1">
        <f t="array" ref="L417">IF(OR(I417="",INDEX('Test schedule'!$T:$T,ROW()+7)=""),"",INDEX('Test schedule'!$T:$T,ROW()+7))</f>
        <v/>
      </c>
    </row>
    <row r="418" spans="2:12" ht="15" customHeight="1">
      <c r="B418" s="116" t="str">
        <f t="shared" si="47"/>
        <v/>
      </c>
      <c r="C418" s="117" t="str">
        <f t="shared" si="43"/>
        <v/>
      </c>
      <c r="D418" s="116" t="str">
        <f t="shared" si="44"/>
        <v/>
      </c>
      <c r="E418" s="120" t="str">
        <f t="shared" si="45"/>
        <v/>
      </c>
      <c r="F418" s="118" t="str">
        <f t="shared" si="46"/>
        <v/>
      </c>
      <c r="G418" s="126">
        <f t="shared" si="48"/>
        <v>42</v>
      </c>
      <c r="H418" s="116" t="str">
        <f t="shared" si="42"/>
        <v/>
      </c>
      <c r="I418" s="117" t="str" cm="1">
        <f t="array" ref="I41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Calculators'!$B$2+ICS4Test!$E416,""))</f>
        <v/>
      </c>
      <c r="J418" s="116" t="str" cm="1">
        <f t="array" ref="J418">IF(I418="","",INDEX('Test schedule'!$H:$H,ROW()+7))</f>
        <v/>
      </c>
      <c r="K418" s="120" t="str" cm="1">
        <f t="array" ref="K418">IF(I418="","",INDEX('Test schedule'!$J:$J,ROW()+7))</f>
        <v/>
      </c>
      <c r="L418" s="129" t="str" cm="1">
        <f t="array" ref="L418">IF(OR(I418="",INDEX('Test schedule'!$T:$T,ROW()+7)=""),"",INDEX('Test schedule'!$T:$T,ROW()+7))</f>
        <v/>
      </c>
    </row>
    <row r="419" spans="2:12" ht="15" customHeight="1">
      <c r="B419" s="116" t="str">
        <f t="shared" si="47"/>
        <v/>
      </c>
      <c r="C419" s="117" t="str">
        <f t="shared" si="43"/>
        <v/>
      </c>
      <c r="D419" s="116" t="str">
        <f t="shared" si="44"/>
        <v/>
      </c>
      <c r="E419" s="120" t="str">
        <f t="shared" si="45"/>
        <v/>
      </c>
      <c r="F419" s="118" t="str">
        <f t="shared" si="46"/>
        <v/>
      </c>
      <c r="G419" s="126">
        <f t="shared" si="48"/>
        <v>42</v>
      </c>
      <c r="H419" s="116" t="str">
        <f t="shared" si="42"/>
        <v/>
      </c>
      <c r="I419" s="117" t="str" cm="1">
        <f t="array" ref="I41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Calculators'!$B$2+ICS4Test!$E417,""))</f>
        <v/>
      </c>
      <c r="J419" s="116" t="str" cm="1">
        <f t="array" ref="J419">IF(I419="","",INDEX('Test schedule'!$H:$H,ROW()+7))</f>
        <v/>
      </c>
      <c r="K419" s="120" t="str" cm="1">
        <f t="array" ref="K419">IF(I419="","",INDEX('Test schedule'!$J:$J,ROW()+7))</f>
        <v/>
      </c>
      <c r="L419" s="129" t="str" cm="1">
        <f t="array" ref="L419">IF(OR(I419="",INDEX('Test schedule'!$T:$T,ROW()+7)=""),"",INDEX('Test schedule'!$T:$T,ROW()+7))</f>
        <v/>
      </c>
    </row>
    <row r="420" spans="2:12" ht="15" customHeight="1">
      <c r="B420" s="116" t="str">
        <f t="shared" si="47"/>
        <v/>
      </c>
      <c r="C420" s="117" t="str">
        <f t="shared" si="43"/>
        <v/>
      </c>
      <c r="D420" s="116" t="str">
        <f t="shared" si="44"/>
        <v/>
      </c>
      <c r="E420" s="120" t="str">
        <f t="shared" si="45"/>
        <v/>
      </c>
      <c r="F420" s="118" t="str">
        <f t="shared" si="46"/>
        <v/>
      </c>
      <c r="G420" s="126">
        <f t="shared" si="48"/>
        <v>42</v>
      </c>
      <c r="H420" s="116" t="str">
        <f t="shared" si="42"/>
        <v/>
      </c>
      <c r="I420" s="117" t="str" cm="1">
        <f t="array" ref="I42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Calculators'!$B$2+ICS4Test!$E418,""))</f>
        <v/>
      </c>
      <c r="J420" s="116" t="str" cm="1">
        <f t="array" ref="J420">IF(I420="","",INDEX('Test schedule'!$H:$H,ROW()+7))</f>
        <v/>
      </c>
      <c r="K420" s="120" t="str" cm="1">
        <f t="array" ref="K420">IF(I420="","",INDEX('Test schedule'!$J:$J,ROW()+7))</f>
        <v/>
      </c>
      <c r="L420" s="129" t="str" cm="1">
        <f t="array" ref="L420">IF(OR(I420="",INDEX('Test schedule'!$T:$T,ROW()+7)=""),"",INDEX('Test schedule'!$T:$T,ROW()+7))</f>
        <v/>
      </c>
    </row>
    <row r="421" spans="2:12" ht="15" customHeight="1">
      <c r="B421" s="116" t="str">
        <f t="shared" si="47"/>
        <v/>
      </c>
      <c r="C421" s="117" t="str">
        <f t="shared" si="43"/>
        <v/>
      </c>
      <c r="D421" s="116" t="str">
        <f t="shared" si="44"/>
        <v/>
      </c>
      <c r="E421" s="120" t="str">
        <f t="shared" si="45"/>
        <v/>
      </c>
      <c r="F421" s="118" t="str">
        <f t="shared" si="46"/>
        <v/>
      </c>
      <c r="G421" s="126">
        <f t="shared" si="48"/>
        <v>42</v>
      </c>
      <c r="H421" s="116" t="str">
        <f t="shared" si="42"/>
        <v/>
      </c>
      <c r="I421" s="117" t="str" cm="1">
        <f t="array" ref="I42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Calculators'!$B$2+ICS4Test!$E419,""))</f>
        <v/>
      </c>
      <c r="J421" s="116" t="str" cm="1">
        <f t="array" ref="J421">IF(I421="","",INDEX('Test schedule'!$H:$H,ROW()+7))</f>
        <v/>
      </c>
      <c r="K421" s="120" t="str" cm="1">
        <f t="array" ref="K421">IF(I421="","",INDEX('Test schedule'!$J:$J,ROW()+7))</f>
        <v/>
      </c>
      <c r="L421" s="129" t="str" cm="1">
        <f t="array" ref="L421">IF(OR(I421="",INDEX('Test schedule'!$T:$T,ROW()+7)=""),"",INDEX('Test schedule'!$T:$T,ROW()+7))</f>
        <v/>
      </c>
    </row>
    <row r="422" spans="2:12" ht="15" customHeight="1">
      <c r="B422" s="116" t="str">
        <f t="shared" si="47"/>
        <v/>
      </c>
      <c r="C422" s="117" t="str">
        <f t="shared" si="43"/>
        <v/>
      </c>
      <c r="D422" s="116" t="str">
        <f t="shared" si="44"/>
        <v/>
      </c>
      <c r="E422" s="120" t="str">
        <f t="shared" si="45"/>
        <v/>
      </c>
      <c r="F422" s="118" t="str">
        <f t="shared" si="46"/>
        <v/>
      </c>
      <c r="G422" s="126">
        <f t="shared" si="48"/>
        <v>42</v>
      </c>
      <c r="H422" s="116" t="str">
        <f t="shared" si="42"/>
        <v/>
      </c>
      <c r="I422" s="117" t="str" cm="1">
        <f t="array" ref="I42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Calculators'!$B$2+ICS4Test!$E420,""))</f>
        <v/>
      </c>
      <c r="J422" s="116" t="str" cm="1">
        <f t="array" ref="J422">IF(I422="","",INDEX('Test schedule'!$H:$H,ROW()+7))</f>
        <v/>
      </c>
      <c r="K422" s="120" t="str" cm="1">
        <f t="array" ref="K422">IF(I422="","",INDEX('Test schedule'!$J:$J,ROW()+7))</f>
        <v/>
      </c>
      <c r="L422" s="129" t="str" cm="1">
        <f t="array" ref="L422">IF(OR(I422="",INDEX('Test schedule'!$T:$T,ROW()+7)=""),"",INDEX('Test schedule'!$T:$T,ROW()+7))</f>
        <v/>
      </c>
    </row>
    <row r="423" spans="2:12" ht="15" customHeight="1">
      <c r="B423" s="116" t="str">
        <f t="shared" si="47"/>
        <v/>
      </c>
      <c r="C423" s="117" t="str">
        <f t="shared" si="43"/>
        <v/>
      </c>
      <c r="D423" s="116" t="str">
        <f t="shared" si="44"/>
        <v/>
      </c>
      <c r="E423" s="120" t="str">
        <f t="shared" si="45"/>
        <v/>
      </c>
      <c r="F423" s="118" t="str">
        <f t="shared" si="46"/>
        <v/>
      </c>
      <c r="G423" s="126">
        <f t="shared" si="48"/>
        <v>42</v>
      </c>
      <c r="H423" s="116" t="str">
        <f t="shared" si="42"/>
        <v/>
      </c>
      <c r="I423" s="117" t="str" cm="1">
        <f t="array" ref="I42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Calculators'!$B$2+ICS4Test!$E421,""))</f>
        <v/>
      </c>
      <c r="J423" s="116" t="str" cm="1">
        <f t="array" ref="J423">IF(I423="","",INDEX('Test schedule'!$H:$H,ROW()+7))</f>
        <v/>
      </c>
      <c r="K423" s="120" t="str" cm="1">
        <f t="array" ref="K423">IF(I423="","",INDEX('Test schedule'!$J:$J,ROW()+7))</f>
        <v/>
      </c>
      <c r="L423" s="129" t="str" cm="1">
        <f t="array" ref="L423">IF(OR(I423="",INDEX('Test schedule'!$T:$T,ROW()+7)=""),"",INDEX('Test schedule'!$T:$T,ROW()+7))</f>
        <v/>
      </c>
    </row>
    <row r="424" spans="2:12" ht="15" customHeight="1">
      <c r="B424" s="116" t="str">
        <f t="shared" si="47"/>
        <v/>
      </c>
      <c r="C424" s="117" t="str">
        <f t="shared" si="43"/>
        <v/>
      </c>
      <c r="D424" s="116" t="str">
        <f t="shared" si="44"/>
        <v/>
      </c>
      <c r="E424" s="120" t="str">
        <f t="shared" si="45"/>
        <v/>
      </c>
      <c r="F424" s="118" t="str">
        <f t="shared" si="46"/>
        <v/>
      </c>
      <c r="G424" s="126">
        <f t="shared" si="48"/>
        <v>42</v>
      </c>
      <c r="H424" s="116" t="str">
        <f t="shared" si="42"/>
        <v/>
      </c>
      <c r="I424" s="117" t="str" cm="1">
        <f t="array" ref="I42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Calculators'!$B$2+ICS4Test!$E422,""))</f>
        <v/>
      </c>
      <c r="J424" s="116" t="str" cm="1">
        <f t="array" ref="J424">IF(I424="","",INDEX('Test schedule'!$H:$H,ROW()+7))</f>
        <v/>
      </c>
      <c r="K424" s="120" t="str" cm="1">
        <f t="array" ref="K424">IF(I424="","",INDEX('Test schedule'!$J:$J,ROW()+7))</f>
        <v/>
      </c>
      <c r="L424" s="129" t="str" cm="1">
        <f t="array" ref="L424">IF(OR(I424="",INDEX('Test schedule'!$T:$T,ROW()+7)=""),"",INDEX('Test schedule'!$T:$T,ROW()+7))</f>
        <v/>
      </c>
    </row>
    <row r="425" spans="2:12" ht="15" customHeight="1">
      <c r="B425" s="116" t="str">
        <f t="shared" si="47"/>
        <v/>
      </c>
      <c r="C425" s="117" t="str">
        <f t="shared" si="43"/>
        <v/>
      </c>
      <c r="D425" s="116" t="str">
        <f t="shared" si="44"/>
        <v/>
      </c>
      <c r="E425" s="120" t="str">
        <f t="shared" si="45"/>
        <v/>
      </c>
      <c r="F425" s="118" t="str">
        <f t="shared" si="46"/>
        <v/>
      </c>
      <c r="G425" s="126">
        <f t="shared" si="48"/>
        <v>42</v>
      </c>
      <c r="H425" s="116" t="str">
        <f t="shared" si="42"/>
        <v/>
      </c>
      <c r="I425" s="117" t="str" cm="1">
        <f t="array" ref="I42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Calculators'!$B$2+ICS4Test!$E423,""))</f>
        <v/>
      </c>
      <c r="J425" s="116" t="str" cm="1">
        <f t="array" ref="J425">IF(I425="","",INDEX('Test schedule'!$H:$H,ROW()+7))</f>
        <v/>
      </c>
      <c r="K425" s="120" t="str" cm="1">
        <f t="array" ref="K425">IF(I425="","",INDEX('Test schedule'!$J:$J,ROW()+7))</f>
        <v/>
      </c>
      <c r="L425" s="129" t="str" cm="1">
        <f t="array" ref="L425">IF(OR(I425="",INDEX('Test schedule'!$T:$T,ROW()+7)=""),"",INDEX('Test schedule'!$T:$T,ROW()+7))</f>
        <v/>
      </c>
    </row>
    <row r="426" spans="2:12" ht="15" customHeight="1">
      <c r="B426" s="116" t="str">
        <f t="shared" si="47"/>
        <v/>
      </c>
      <c r="C426" s="117" t="str">
        <f t="shared" si="43"/>
        <v/>
      </c>
      <c r="D426" s="116" t="str">
        <f t="shared" si="44"/>
        <v/>
      </c>
      <c r="E426" s="120" t="str">
        <f t="shared" si="45"/>
        <v/>
      </c>
      <c r="F426" s="118" t="str">
        <f t="shared" si="46"/>
        <v/>
      </c>
      <c r="G426" s="126">
        <f t="shared" si="48"/>
        <v>42</v>
      </c>
      <c r="H426" s="116" t="str">
        <f t="shared" si="42"/>
        <v/>
      </c>
      <c r="I426" s="117" t="str" cm="1">
        <f t="array" ref="I42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Calculators'!$B$2+ICS4Test!$E424,""))</f>
        <v/>
      </c>
      <c r="J426" s="116" t="str" cm="1">
        <f t="array" ref="J426">IF(I426="","",INDEX('Test schedule'!$H:$H,ROW()+7))</f>
        <v/>
      </c>
      <c r="K426" s="120" t="str" cm="1">
        <f t="array" ref="K426">IF(I426="","",INDEX('Test schedule'!$J:$J,ROW()+7))</f>
        <v/>
      </c>
      <c r="L426" s="129" t="str" cm="1">
        <f t="array" ref="L426">IF(OR(I426="",INDEX('Test schedule'!$T:$T,ROW()+7)=""),"",INDEX('Test schedule'!$T:$T,ROW()+7))</f>
        <v/>
      </c>
    </row>
    <row r="427" spans="2:12" ht="15" customHeight="1">
      <c r="B427" s="116" t="str">
        <f t="shared" si="47"/>
        <v/>
      </c>
      <c r="C427" s="117" t="str">
        <f t="shared" si="43"/>
        <v/>
      </c>
      <c r="D427" s="116" t="str">
        <f t="shared" si="44"/>
        <v/>
      </c>
      <c r="E427" s="120" t="str">
        <f t="shared" si="45"/>
        <v/>
      </c>
      <c r="F427" s="118" t="str">
        <f t="shared" si="46"/>
        <v/>
      </c>
      <c r="G427" s="126">
        <f t="shared" si="48"/>
        <v>42</v>
      </c>
      <c r="H427" s="116" t="str">
        <f t="shared" si="42"/>
        <v/>
      </c>
      <c r="I427" s="117" t="str" cm="1">
        <f t="array" ref="I42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Calculators'!$B$2+ICS4Test!$E425,""))</f>
        <v/>
      </c>
      <c r="J427" s="116" t="str" cm="1">
        <f t="array" ref="J427">IF(I427="","",INDEX('Test schedule'!$H:$H,ROW()+7))</f>
        <v/>
      </c>
      <c r="K427" s="120" t="str" cm="1">
        <f t="array" ref="K427">IF(I427="","",INDEX('Test schedule'!$J:$J,ROW()+7))</f>
        <v/>
      </c>
      <c r="L427" s="129" t="str" cm="1">
        <f t="array" ref="L427">IF(OR(I427="",INDEX('Test schedule'!$T:$T,ROW()+7)=""),"",INDEX('Test schedule'!$T:$T,ROW()+7))</f>
        <v/>
      </c>
    </row>
    <row r="428" spans="2:12" ht="15" customHeight="1">
      <c r="B428" s="116" t="str">
        <f t="shared" si="47"/>
        <v/>
      </c>
      <c r="C428" s="117" t="str">
        <f t="shared" si="43"/>
        <v/>
      </c>
      <c r="D428" s="116" t="str">
        <f t="shared" si="44"/>
        <v/>
      </c>
      <c r="E428" s="120" t="str">
        <f t="shared" si="45"/>
        <v/>
      </c>
      <c r="F428" s="118" t="str">
        <f t="shared" si="46"/>
        <v/>
      </c>
      <c r="G428" s="126">
        <f t="shared" si="48"/>
        <v>42</v>
      </c>
      <c r="H428" s="116" t="str">
        <f t="shared" si="42"/>
        <v/>
      </c>
      <c r="I428" s="117" t="str" cm="1">
        <f t="array" ref="I42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Calculators'!$B$2+ICS4Test!$E426,""))</f>
        <v/>
      </c>
      <c r="J428" s="116" t="str" cm="1">
        <f t="array" ref="J428">IF(I428="","",INDEX('Test schedule'!$H:$H,ROW()+7))</f>
        <v/>
      </c>
      <c r="K428" s="120" t="str" cm="1">
        <f t="array" ref="K428">IF(I428="","",INDEX('Test schedule'!$J:$J,ROW()+7))</f>
        <v/>
      </c>
      <c r="L428" s="129" t="str" cm="1">
        <f t="array" ref="L428">IF(OR(I428="",INDEX('Test schedule'!$T:$T,ROW()+7)=""),"",INDEX('Test schedule'!$T:$T,ROW()+7))</f>
        <v/>
      </c>
    </row>
    <row r="429" spans="2:12" ht="15" customHeight="1">
      <c r="B429" s="116" t="str">
        <f t="shared" si="47"/>
        <v/>
      </c>
      <c r="C429" s="117" t="str">
        <f t="shared" si="43"/>
        <v/>
      </c>
      <c r="D429" s="116" t="str">
        <f t="shared" si="44"/>
        <v/>
      </c>
      <c r="E429" s="120" t="str">
        <f t="shared" si="45"/>
        <v/>
      </c>
      <c r="F429" s="118" t="str">
        <f t="shared" si="46"/>
        <v/>
      </c>
      <c r="G429" s="126">
        <f t="shared" si="48"/>
        <v>42</v>
      </c>
      <c r="H429" s="116" t="str">
        <f t="shared" ref="H429:H492" si="49">IF(I429="","",IF(I429="END","START",IF(OR(I428="END",I428=I429,I428=""),IF(OR(H428="",H428="START"),I429-$U$3,H428),IFERROR(IF(I428&gt;I429,I429-$U$3,I428),I428))))</f>
        <v/>
      </c>
      <c r="I429" s="117" t="str" cm="1">
        <f t="array" ref="I42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Calculators'!$B$2+ICS4Test!$E427,""))</f>
        <v/>
      </c>
      <c r="J429" s="116" t="str" cm="1">
        <f t="array" ref="J429">IF(I429="","",INDEX('Test schedule'!$H:$H,ROW()+7))</f>
        <v/>
      </c>
      <c r="K429" s="120" t="str" cm="1">
        <f t="array" ref="K429">IF(I429="","",INDEX('Test schedule'!$J:$J,ROW()+7))</f>
        <v/>
      </c>
      <c r="L429" s="129" t="str" cm="1">
        <f t="array" ref="L429">IF(OR(I429="",INDEX('Test schedule'!$T:$T,ROW()+7)=""),"",INDEX('Test schedule'!$T:$T,ROW()+7))</f>
        <v/>
      </c>
    </row>
    <row r="430" spans="2:12" ht="15" customHeight="1">
      <c r="B430" s="116" t="str">
        <f t="shared" si="47"/>
        <v/>
      </c>
      <c r="C430" s="117" t="str">
        <f t="shared" si="43"/>
        <v/>
      </c>
      <c r="D430" s="116" t="str">
        <f t="shared" si="44"/>
        <v/>
      </c>
      <c r="E430" s="120" t="str">
        <f t="shared" si="45"/>
        <v/>
      </c>
      <c r="F430" s="118" t="str">
        <f t="shared" si="46"/>
        <v/>
      </c>
      <c r="G430" s="126">
        <f t="shared" si="48"/>
        <v>42</v>
      </c>
      <c r="H430" s="116" t="str">
        <f t="shared" si="49"/>
        <v/>
      </c>
      <c r="I430" s="117" t="str" cm="1">
        <f t="array" ref="I43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Calculators'!$B$2+ICS4Test!$E428,""))</f>
        <v/>
      </c>
      <c r="J430" s="116" t="str" cm="1">
        <f t="array" ref="J430">IF(I430="","",INDEX('Test schedule'!$H:$H,ROW()+7))</f>
        <v/>
      </c>
      <c r="K430" s="120" t="str" cm="1">
        <f t="array" ref="K430">IF(I430="","",INDEX('Test schedule'!$J:$J,ROW()+7))</f>
        <v/>
      </c>
      <c r="L430" s="129" t="str" cm="1">
        <f t="array" ref="L430">IF(OR(I430="",INDEX('Test schedule'!$T:$T,ROW()+7)=""),"",INDEX('Test schedule'!$T:$T,ROW()+7))</f>
        <v/>
      </c>
    </row>
    <row r="431" spans="2:12" ht="15" customHeight="1">
      <c r="B431" s="116" t="str">
        <f t="shared" si="47"/>
        <v/>
      </c>
      <c r="C431" s="117" t="str">
        <f t="shared" si="43"/>
        <v/>
      </c>
      <c r="D431" s="116" t="str">
        <f t="shared" si="44"/>
        <v/>
      </c>
      <c r="E431" s="120" t="str">
        <f t="shared" si="45"/>
        <v/>
      </c>
      <c r="F431" s="118" t="str">
        <f t="shared" si="46"/>
        <v/>
      </c>
      <c r="G431" s="126">
        <f t="shared" si="48"/>
        <v>42</v>
      </c>
      <c r="H431" s="116" t="str">
        <f t="shared" si="49"/>
        <v/>
      </c>
      <c r="I431" s="117" t="str" cm="1">
        <f t="array" ref="I43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Calculators'!$B$2+ICS4Test!$E429,""))</f>
        <v/>
      </c>
      <c r="J431" s="116" t="str" cm="1">
        <f t="array" ref="J431">IF(I431="","",INDEX('Test schedule'!$H:$H,ROW()+7))</f>
        <v/>
      </c>
      <c r="K431" s="120" t="str" cm="1">
        <f t="array" ref="K431">IF(I431="","",INDEX('Test schedule'!$J:$J,ROW()+7))</f>
        <v/>
      </c>
      <c r="L431" s="129" t="str" cm="1">
        <f t="array" ref="L431">IF(OR(I431="",INDEX('Test schedule'!$T:$T,ROW()+7)=""),"",INDEX('Test schedule'!$T:$T,ROW()+7))</f>
        <v/>
      </c>
    </row>
    <row r="432" spans="2:12" ht="15" customHeight="1">
      <c r="B432" s="116" t="str">
        <f t="shared" si="47"/>
        <v/>
      </c>
      <c r="C432" s="117" t="str">
        <f t="shared" si="43"/>
        <v/>
      </c>
      <c r="D432" s="116" t="str">
        <f t="shared" si="44"/>
        <v/>
      </c>
      <c r="E432" s="120" t="str">
        <f t="shared" si="45"/>
        <v/>
      </c>
      <c r="F432" s="118" t="str">
        <f t="shared" si="46"/>
        <v/>
      </c>
      <c r="G432" s="126">
        <f t="shared" si="48"/>
        <v>42</v>
      </c>
      <c r="H432" s="116" t="str">
        <f t="shared" si="49"/>
        <v/>
      </c>
      <c r="I432" s="117" t="str" cm="1">
        <f t="array" ref="I43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Calculators'!$B$2+ICS4Test!$E430,""))</f>
        <v/>
      </c>
      <c r="J432" s="116" t="str" cm="1">
        <f t="array" ref="J432">IF(I432="","",INDEX('Test schedule'!$H:$H,ROW()+7))</f>
        <v/>
      </c>
      <c r="K432" s="120" t="str" cm="1">
        <f t="array" ref="K432">IF(I432="","",INDEX('Test schedule'!$J:$J,ROW()+7))</f>
        <v/>
      </c>
      <c r="L432" s="129" t="str" cm="1">
        <f t="array" ref="L432">IF(OR(I432="",INDEX('Test schedule'!$T:$T,ROW()+7)=""),"",INDEX('Test schedule'!$T:$T,ROW()+7))</f>
        <v/>
      </c>
    </row>
    <row r="433" spans="2:12" ht="15" customHeight="1">
      <c r="B433" s="116" t="str">
        <f t="shared" si="47"/>
        <v/>
      </c>
      <c r="C433" s="117" t="str">
        <f t="shared" si="43"/>
        <v/>
      </c>
      <c r="D433" s="116" t="str">
        <f t="shared" si="44"/>
        <v/>
      </c>
      <c r="E433" s="120" t="str">
        <f t="shared" si="45"/>
        <v/>
      </c>
      <c r="F433" s="118" t="str">
        <f t="shared" si="46"/>
        <v/>
      </c>
      <c r="G433" s="126">
        <f t="shared" si="48"/>
        <v>42</v>
      </c>
      <c r="H433" s="116" t="str">
        <f t="shared" si="49"/>
        <v/>
      </c>
      <c r="I433" s="117" t="str" cm="1">
        <f t="array" ref="I43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Calculators'!$B$2+ICS4Test!$E431,""))</f>
        <v/>
      </c>
      <c r="J433" s="116" t="str" cm="1">
        <f t="array" ref="J433">IF(I433="","",INDEX('Test schedule'!$H:$H,ROW()+7))</f>
        <v/>
      </c>
      <c r="K433" s="120" t="str" cm="1">
        <f t="array" ref="K433">IF(I433="","",INDEX('Test schedule'!$J:$J,ROW()+7))</f>
        <v/>
      </c>
      <c r="L433" s="129" t="str" cm="1">
        <f t="array" ref="L433">IF(OR(I433="",INDEX('Test schedule'!$T:$T,ROW()+7)=""),"",INDEX('Test schedule'!$T:$T,ROW()+7))</f>
        <v/>
      </c>
    </row>
    <row r="434" spans="2:12" ht="15" customHeight="1">
      <c r="B434" s="116" t="str">
        <f t="shared" si="47"/>
        <v/>
      </c>
      <c r="C434" s="117" t="str">
        <f t="shared" si="43"/>
        <v/>
      </c>
      <c r="D434" s="116" t="str">
        <f t="shared" si="44"/>
        <v/>
      </c>
      <c r="E434" s="120" t="str">
        <f t="shared" si="45"/>
        <v/>
      </c>
      <c r="F434" s="118" t="str">
        <f t="shared" si="46"/>
        <v/>
      </c>
      <c r="G434" s="126">
        <f t="shared" si="48"/>
        <v>42</v>
      </c>
      <c r="H434" s="116" t="str">
        <f t="shared" si="49"/>
        <v/>
      </c>
      <c r="I434" s="117" t="str" cm="1">
        <f t="array" ref="I43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Calculators'!$B$2+ICS4Test!$E432,""))</f>
        <v/>
      </c>
      <c r="J434" s="116" t="str" cm="1">
        <f t="array" ref="J434">IF(I434="","",INDEX('Test schedule'!$H:$H,ROW()+7))</f>
        <v/>
      </c>
      <c r="K434" s="120" t="str" cm="1">
        <f t="array" ref="K434">IF(I434="","",INDEX('Test schedule'!$J:$J,ROW()+7))</f>
        <v/>
      </c>
      <c r="L434" s="129" t="str" cm="1">
        <f t="array" ref="L434">IF(OR(I434="",INDEX('Test schedule'!$T:$T,ROW()+7)=""),"",INDEX('Test schedule'!$T:$T,ROW()+7))</f>
        <v/>
      </c>
    </row>
    <row r="435" spans="2:12" ht="15" customHeight="1">
      <c r="B435" s="116" t="str">
        <f t="shared" si="47"/>
        <v/>
      </c>
      <c r="C435" s="117" t="str">
        <f t="shared" si="43"/>
        <v/>
      </c>
      <c r="D435" s="116" t="str">
        <f t="shared" si="44"/>
        <v/>
      </c>
      <c r="E435" s="120" t="str">
        <f t="shared" si="45"/>
        <v/>
      </c>
      <c r="F435" s="118" t="str">
        <f t="shared" si="46"/>
        <v/>
      </c>
      <c r="G435" s="126">
        <f t="shared" si="48"/>
        <v>42</v>
      </c>
      <c r="H435" s="116" t="str">
        <f t="shared" si="49"/>
        <v/>
      </c>
      <c r="I435" s="117" t="str" cm="1">
        <f t="array" ref="I43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Calculators'!$B$2+ICS4Test!$E433,""))</f>
        <v/>
      </c>
      <c r="J435" s="116" t="str" cm="1">
        <f t="array" ref="J435">IF(I435="","",INDEX('Test schedule'!$H:$H,ROW()+7))</f>
        <v/>
      </c>
      <c r="K435" s="120" t="str" cm="1">
        <f t="array" ref="K435">IF(I435="","",INDEX('Test schedule'!$J:$J,ROW()+7))</f>
        <v/>
      </c>
      <c r="L435" s="129" t="str" cm="1">
        <f t="array" ref="L435">IF(OR(I435="",INDEX('Test schedule'!$T:$T,ROW()+7)=""),"",INDEX('Test schedule'!$T:$T,ROW()+7))</f>
        <v/>
      </c>
    </row>
    <row r="436" spans="2:12" ht="15" customHeight="1">
      <c r="B436" s="116" t="str">
        <f t="shared" si="47"/>
        <v/>
      </c>
      <c r="C436" s="117" t="str">
        <f t="shared" si="43"/>
        <v/>
      </c>
      <c r="D436" s="116" t="str">
        <f t="shared" si="44"/>
        <v/>
      </c>
      <c r="E436" s="120" t="str">
        <f t="shared" si="45"/>
        <v/>
      </c>
      <c r="F436" s="118" t="str">
        <f t="shared" si="46"/>
        <v/>
      </c>
      <c r="G436" s="126">
        <f t="shared" si="48"/>
        <v>42</v>
      </c>
      <c r="H436" s="116" t="str">
        <f t="shared" si="49"/>
        <v/>
      </c>
      <c r="I436" s="117" t="str" cm="1">
        <f t="array" ref="I43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Calculators'!$B$2+ICS4Test!$E434,""))</f>
        <v/>
      </c>
      <c r="J436" s="116" t="str" cm="1">
        <f t="array" ref="J436">IF(I436="","",INDEX('Test schedule'!$H:$H,ROW()+7))</f>
        <v/>
      </c>
      <c r="K436" s="120" t="str" cm="1">
        <f t="array" ref="K436">IF(I436="","",INDEX('Test schedule'!$J:$J,ROW()+7))</f>
        <v/>
      </c>
      <c r="L436" s="129" t="str" cm="1">
        <f t="array" ref="L436">IF(OR(I436="",INDEX('Test schedule'!$T:$T,ROW()+7)=""),"",INDEX('Test schedule'!$T:$T,ROW()+7))</f>
        <v/>
      </c>
    </row>
    <row r="437" spans="2:12" ht="15" customHeight="1">
      <c r="B437" s="116" t="str">
        <f t="shared" si="47"/>
        <v/>
      </c>
      <c r="C437" s="117" t="str">
        <f t="shared" si="43"/>
        <v/>
      </c>
      <c r="D437" s="116" t="str">
        <f t="shared" si="44"/>
        <v/>
      </c>
      <c r="E437" s="120" t="str">
        <f t="shared" si="45"/>
        <v/>
      </c>
      <c r="F437" s="118" t="str">
        <f t="shared" si="46"/>
        <v/>
      </c>
      <c r="G437" s="126">
        <f t="shared" si="48"/>
        <v>42</v>
      </c>
      <c r="H437" s="116" t="str">
        <f t="shared" si="49"/>
        <v/>
      </c>
      <c r="I437" s="117" t="str" cm="1">
        <f t="array" ref="I43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Calculators'!$B$2+ICS4Test!$E435,""))</f>
        <v/>
      </c>
      <c r="J437" s="116" t="str" cm="1">
        <f t="array" ref="J437">IF(I437="","",INDEX('Test schedule'!$H:$H,ROW()+7))</f>
        <v/>
      </c>
      <c r="K437" s="120" t="str" cm="1">
        <f t="array" ref="K437">IF(I437="","",INDEX('Test schedule'!$J:$J,ROW()+7))</f>
        <v/>
      </c>
      <c r="L437" s="129" t="str" cm="1">
        <f t="array" ref="L437">IF(OR(I437="",INDEX('Test schedule'!$T:$T,ROW()+7)=""),"",INDEX('Test schedule'!$T:$T,ROW()+7))</f>
        <v/>
      </c>
    </row>
    <row r="438" spans="2:12" ht="15" customHeight="1">
      <c r="B438" s="116" t="str">
        <f t="shared" si="47"/>
        <v/>
      </c>
      <c r="C438" s="117" t="str">
        <f t="shared" si="43"/>
        <v/>
      </c>
      <c r="D438" s="116" t="str">
        <f t="shared" si="44"/>
        <v/>
      </c>
      <c r="E438" s="120" t="str">
        <f t="shared" si="45"/>
        <v/>
      </c>
      <c r="F438" s="118" t="str">
        <f t="shared" si="46"/>
        <v/>
      </c>
      <c r="G438" s="126">
        <f t="shared" si="48"/>
        <v>42</v>
      </c>
      <c r="H438" s="116" t="str">
        <f t="shared" si="49"/>
        <v/>
      </c>
      <c r="I438" s="117" t="str" cm="1">
        <f t="array" ref="I43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Calculators'!$B$2+ICS4Test!$E436,""))</f>
        <v/>
      </c>
      <c r="J438" s="116" t="str" cm="1">
        <f t="array" ref="J438">IF(I438="","",INDEX('Test schedule'!$H:$H,ROW()+7))</f>
        <v/>
      </c>
      <c r="K438" s="120" t="str" cm="1">
        <f t="array" ref="K438">IF(I438="","",INDEX('Test schedule'!$J:$J,ROW()+7))</f>
        <v/>
      </c>
      <c r="L438" s="129" t="str" cm="1">
        <f t="array" ref="L438">IF(OR(I438="",INDEX('Test schedule'!$T:$T,ROW()+7)=""),"",INDEX('Test schedule'!$T:$T,ROW()+7))</f>
        <v/>
      </c>
    </row>
    <row r="439" spans="2:12" ht="15" customHeight="1">
      <c r="B439" s="116" t="str">
        <f t="shared" si="47"/>
        <v/>
      </c>
      <c r="C439" s="117" t="str">
        <f t="shared" si="43"/>
        <v/>
      </c>
      <c r="D439" s="116" t="str">
        <f t="shared" si="44"/>
        <v/>
      </c>
      <c r="E439" s="120" t="str">
        <f t="shared" si="45"/>
        <v/>
      </c>
      <c r="F439" s="118" t="str">
        <f t="shared" si="46"/>
        <v/>
      </c>
      <c r="G439" s="126">
        <f t="shared" si="48"/>
        <v>42</v>
      </c>
      <c r="H439" s="116" t="str">
        <f t="shared" si="49"/>
        <v/>
      </c>
      <c r="I439" s="117" t="str" cm="1">
        <f t="array" ref="I43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Calculators'!$B$2+ICS4Test!$E437,""))</f>
        <v/>
      </c>
      <c r="J439" s="116" t="str" cm="1">
        <f t="array" ref="J439">IF(I439="","",INDEX('Test schedule'!$H:$H,ROW()+7))</f>
        <v/>
      </c>
      <c r="K439" s="120" t="str" cm="1">
        <f t="array" ref="K439">IF(I439="","",INDEX('Test schedule'!$J:$J,ROW()+7))</f>
        <v/>
      </c>
      <c r="L439" s="129" t="str" cm="1">
        <f t="array" ref="L439">IF(OR(I439="",INDEX('Test schedule'!$T:$T,ROW()+7)=""),"",INDEX('Test schedule'!$T:$T,ROW()+7))</f>
        <v/>
      </c>
    </row>
    <row r="440" spans="2:12" ht="15" customHeight="1">
      <c r="B440" s="116" t="str">
        <f t="shared" si="47"/>
        <v/>
      </c>
      <c r="C440" s="117" t="str">
        <f t="shared" si="43"/>
        <v/>
      </c>
      <c r="D440" s="116" t="str">
        <f t="shared" si="44"/>
        <v/>
      </c>
      <c r="E440" s="120" t="str">
        <f t="shared" si="45"/>
        <v/>
      </c>
      <c r="F440" s="118" t="str">
        <f t="shared" si="46"/>
        <v/>
      </c>
      <c r="G440" s="126">
        <f t="shared" si="48"/>
        <v>42</v>
      </c>
      <c r="H440" s="116" t="str">
        <f t="shared" si="49"/>
        <v/>
      </c>
      <c r="I440" s="117" t="str" cm="1">
        <f t="array" ref="I44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Calculators'!$B$2+ICS4Test!$E438,""))</f>
        <v/>
      </c>
      <c r="J440" s="116" t="str" cm="1">
        <f t="array" ref="J440">IF(I440="","",INDEX('Test schedule'!$H:$H,ROW()+7))</f>
        <v/>
      </c>
      <c r="K440" s="120" t="str" cm="1">
        <f t="array" ref="K440">IF(I440="","",INDEX('Test schedule'!$J:$J,ROW()+7))</f>
        <v/>
      </c>
      <c r="L440" s="129" t="str" cm="1">
        <f t="array" ref="L440">IF(OR(I440="",INDEX('Test schedule'!$T:$T,ROW()+7)=""),"",INDEX('Test schedule'!$T:$T,ROW()+7))</f>
        <v/>
      </c>
    </row>
    <row r="441" spans="2:12" ht="15" customHeight="1">
      <c r="B441" s="116" t="str">
        <f t="shared" si="47"/>
        <v/>
      </c>
      <c r="C441" s="117" t="str">
        <f t="shared" si="43"/>
        <v/>
      </c>
      <c r="D441" s="116" t="str">
        <f t="shared" si="44"/>
        <v/>
      </c>
      <c r="E441" s="120" t="str">
        <f t="shared" si="45"/>
        <v/>
      </c>
      <c r="F441" s="118" t="str">
        <f t="shared" si="46"/>
        <v/>
      </c>
      <c r="G441" s="126">
        <f t="shared" si="48"/>
        <v>42</v>
      </c>
      <c r="H441" s="116" t="str">
        <f t="shared" si="49"/>
        <v/>
      </c>
      <c r="I441" s="117" t="str" cm="1">
        <f t="array" ref="I44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Calculators'!$B$2+ICS4Test!$E439,""))</f>
        <v/>
      </c>
      <c r="J441" s="116" t="str" cm="1">
        <f t="array" ref="J441">IF(I441="","",INDEX('Test schedule'!$H:$H,ROW()+7))</f>
        <v/>
      </c>
      <c r="K441" s="120" t="str" cm="1">
        <f t="array" ref="K441">IF(I441="","",INDEX('Test schedule'!$J:$J,ROW()+7))</f>
        <v/>
      </c>
      <c r="L441" s="129" t="str" cm="1">
        <f t="array" ref="L441">IF(OR(I441="",INDEX('Test schedule'!$T:$T,ROW()+7)=""),"",INDEX('Test schedule'!$T:$T,ROW()+7))</f>
        <v/>
      </c>
    </row>
    <row r="442" spans="2:12" ht="15" customHeight="1">
      <c r="B442" s="116" t="str">
        <f t="shared" si="47"/>
        <v/>
      </c>
      <c r="C442" s="117" t="str">
        <f t="shared" si="43"/>
        <v/>
      </c>
      <c r="D442" s="116" t="str">
        <f t="shared" si="44"/>
        <v/>
      </c>
      <c r="E442" s="120" t="str">
        <f t="shared" si="45"/>
        <v/>
      </c>
      <c r="F442" s="118" t="str">
        <f t="shared" si="46"/>
        <v/>
      </c>
      <c r="G442" s="126">
        <f t="shared" si="48"/>
        <v>42</v>
      </c>
      <c r="H442" s="116" t="str">
        <f t="shared" si="49"/>
        <v/>
      </c>
      <c r="I442" s="117" t="str" cm="1">
        <f t="array" ref="I44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Calculators'!$B$2+ICS4Test!$E440,""))</f>
        <v/>
      </c>
      <c r="J442" s="116" t="str" cm="1">
        <f t="array" ref="J442">IF(I442="","",INDEX('Test schedule'!$H:$H,ROW()+7))</f>
        <v/>
      </c>
      <c r="K442" s="120" t="str" cm="1">
        <f t="array" ref="K442">IF(I442="","",INDEX('Test schedule'!$J:$J,ROW()+7))</f>
        <v/>
      </c>
      <c r="L442" s="129" t="str" cm="1">
        <f t="array" ref="L442">IF(OR(I442="",INDEX('Test schedule'!$T:$T,ROW()+7)=""),"",INDEX('Test schedule'!$T:$T,ROW()+7))</f>
        <v/>
      </c>
    </row>
    <row r="443" spans="2:12" ht="15" customHeight="1">
      <c r="B443" s="116" t="str">
        <f t="shared" si="47"/>
        <v/>
      </c>
      <c r="C443" s="117" t="str">
        <f t="shared" si="43"/>
        <v/>
      </c>
      <c r="D443" s="116" t="str">
        <f t="shared" si="44"/>
        <v/>
      </c>
      <c r="E443" s="120" t="str">
        <f t="shared" si="45"/>
        <v/>
      </c>
      <c r="F443" s="118" t="str">
        <f t="shared" si="46"/>
        <v/>
      </c>
      <c r="G443" s="126">
        <f t="shared" si="48"/>
        <v>42</v>
      </c>
      <c r="H443" s="116" t="str">
        <f t="shared" si="49"/>
        <v/>
      </c>
      <c r="I443" s="117" t="str" cm="1">
        <f t="array" ref="I44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Calculators'!$B$2+ICS4Test!$E441,""))</f>
        <v/>
      </c>
      <c r="J443" s="116" t="str" cm="1">
        <f t="array" ref="J443">IF(I443="","",INDEX('Test schedule'!$H:$H,ROW()+7))</f>
        <v/>
      </c>
      <c r="K443" s="120" t="str" cm="1">
        <f t="array" ref="K443">IF(I443="","",INDEX('Test schedule'!$J:$J,ROW()+7))</f>
        <v/>
      </c>
      <c r="L443" s="129" t="str" cm="1">
        <f t="array" ref="L443">IF(OR(I443="",INDEX('Test schedule'!$T:$T,ROW()+7)=""),"",INDEX('Test schedule'!$T:$T,ROW()+7))</f>
        <v/>
      </c>
    </row>
    <row r="444" spans="2:12" ht="15" customHeight="1">
      <c r="B444" s="116" t="str">
        <f t="shared" si="47"/>
        <v/>
      </c>
      <c r="C444" s="117" t="str">
        <f t="shared" si="43"/>
        <v/>
      </c>
      <c r="D444" s="116" t="str">
        <f t="shared" si="44"/>
        <v/>
      </c>
      <c r="E444" s="120" t="str">
        <f t="shared" si="45"/>
        <v/>
      </c>
      <c r="F444" s="118" t="str">
        <f t="shared" si="46"/>
        <v/>
      </c>
      <c r="G444" s="126">
        <f t="shared" si="48"/>
        <v>42</v>
      </c>
      <c r="H444" s="116" t="str">
        <f t="shared" si="49"/>
        <v/>
      </c>
      <c r="I444" s="117" t="str" cm="1">
        <f t="array" ref="I44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Calculators'!$B$2+ICS4Test!$E442,""))</f>
        <v/>
      </c>
      <c r="J444" s="116" t="str" cm="1">
        <f t="array" ref="J444">IF(I444="","",INDEX('Test schedule'!$H:$H,ROW()+7))</f>
        <v/>
      </c>
      <c r="K444" s="120" t="str" cm="1">
        <f t="array" ref="K444">IF(I444="","",INDEX('Test schedule'!$J:$J,ROW()+7))</f>
        <v/>
      </c>
      <c r="L444" s="129" t="str" cm="1">
        <f t="array" ref="L444">IF(OR(I444="",INDEX('Test schedule'!$T:$T,ROW()+7)=""),"",INDEX('Test schedule'!$T:$T,ROW()+7))</f>
        <v/>
      </c>
    </row>
    <row r="445" spans="2:12" ht="15" customHeight="1">
      <c r="B445" s="116" t="str">
        <f t="shared" si="47"/>
        <v/>
      </c>
      <c r="C445" s="117" t="str">
        <f t="shared" si="43"/>
        <v/>
      </c>
      <c r="D445" s="116" t="str">
        <f t="shared" si="44"/>
        <v/>
      </c>
      <c r="E445" s="120" t="str">
        <f t="shared" si="45"/>
        <v/>
      </c>
      <c r="F445" s="118" t="str">
        <f t="shared" si="46"/>
        <v/>
      </c>
      <c r="G445" s="126">
        <f t="shared" si="48"/>
        <v>42</v>
      </c>
      <c r="H445" s="116" t="str">
        <f t="shared" si="49"/>
        <v/>
      </c>
      <c r="I445" s="117" t="str" cm="1">
        <f t="array" ref="I44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Calculators'!$B$2+ICS4Test!$E443,""))</f>
        <v/>
      </c>
      <c r="J445" s="116" t="str" cm="1">
        <f t="array" ref="J445">IF(I445="","",INDEX('Test schedule'!$H:$H,ROW()+7))</f>
        <v/>
      </c>
      <c r="K445" s="120" t="str" cm="1">
        <f t="array" ref="K445">IF(I445="","",INDEX('Test schedule'!$J:$J,ROW()+7))</f>
        <v/>
      </c>
      <c r="L445" s="129" t="str" cm="1">
        <f t="array" ref="L445">IF(OR(I445="",INDEX('Test schedule'!$T:$T,ROW()+7)=""),"",INDEX('Test schedule'!$T:$T,ROW()+7))</f>
        <v/>
      </c>
    </row>
    <row r="446" spans="2:12" ht="15" customHeight="1">
      <c r="B446" s="116" t="str">
        <f t="shared" si="47"/>
        <v/>
      </c>
      <c r="C446" s="117" t="str">
        <f t="shared" si="43"/>
        <v/>
      </c>
      <c r="D446" s="116" t="str">
        <f t="shared" si="44"/>
        <v/>
      </c>
      <c r="E446" s="120" t="str">
        <f t="shared" si="45"/>
        <v/>
      </c>
      <c r="F446" s="118" t="str">
        <f t="shared" si="46"/>
        <v/>
      </c>
      <c r="G446" s="126">
        <f t="shared" si="48"/>
        <v>42</v>
      </c>
      <c r="H446" s="116" t="str">
        <f t="shared" si="49"/>
        <v/>
      </c>
      <c r="I446" s="117" t="str" cm="1">
        <f t="array" ref="I44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Calculators'!$B$2+ICS4Test!$E444,""))</f>
        <v/>
      </c>
      <c r="J446" s="116" t="str" cm="1">
        <f t="array" ref="J446">IF(I446="","",INDEX('Test schedule'!$H:$H,ROW()+7))</f>
        <v/>
      </c>
      <c r="K446" s="120" t="str" cm="1">
        <f t="array" ref="K446">IF(I446="","",INDEX('Test schedule'!$J:$J,ROW()+7))</f>
        <v/>
      </c>
      <c r="L446" s="129" t="str" cm="1">
        <f t="array" ref="L446">IF(OR(I446="",INDEX('Test schedule'!$T:$T,ROW()+7)=""),"",INDEX('Test schedule'!$T:$T,ROW()+7))</f>
        <v/>
      </c>
    </row>
    <row r="447" spans="2:12" ht="15" customHeight="1">
      <c r="B447" s="116" t="str">
        <f t="shared" si="47"/>
        <v/>
      </c>
      <c r="C447" s="117" t="str">
        <f t="shared" si="43"/>
        <v/>
      </c>
      <c r="D447" s="116" t="str">
        <f t="shared" si="44"/>
        <v/>
      </c>
      <c r="E447" s="120" t="str">
        <f t="shared" si="45"/>
        <v/>
      </c>
      <c r="F447" s="118" t="str">
        <f t="shared" si="46"/>
        <v/>
      </c>
      <c r="G447" s="126">
        <f t="shared" si="48"/>
        <v>42</v>
      </c>
      <c r="H447" s="116" t="str">
        <f t="shared" si="49"/>
        <v/>
      </c>
      <c r="I447" s="117" t="str" cm="1">
        <f t="array" ref="I44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Calculators'!$B$2+ICS4Test!$E445,""))</f>
        <v/>
      </c>
      <c r="J447" s="116" t="str" cm="1">
        <f t="array" ref="J447">IF(I447="","",INDEX('Test schedule'!$H:$H,ROW()+7))</f>
        <v/>
      </c>
      <c r="K447" s="120" t="str" cm="1">
        <f t="array" ref="K447">IF(I447="","",INDEX('Test schedule'!$J:$J,ROW()+7))</f>
        <v/>
      </c>
      <c r="L447" s="129" t="str" cm="1">
        <f t="array" ref="L447">IF(OR(I447="",INDEX('Test schedule'!$T:$T,ROW()+7)=""),"",INDEX('Test schedule'!$T:$T,ROW()+7))</f>
        <v/>
      </c>
    </row>
    <row r="448" spans="2:12" ht="15" customHeight="1">
      <c r="B448" s="116" t="str">
        <f t="shared" si="47"/>
        <v/>
      </c>
      <c r="C448" s="117" t="str">
        <f t="shared" si="43"/>
        <v/>
      </c>
      <c r="D448" s="116" t="str">
        <f t="shared" si="44"/>
        <v/>
      </c>
      <c r="E448" s="120" t="str">
        <f t="shared" si="45"/>
        <v/>
      </c>
      <c r="F448" s="118" t="str">
        <f t="shared" si="46"/>
        <v/>
      </c>
      <c r="G448" s="126">
        <f t="shared" si="48"/>
        <v>42</v>
      </c>
      <c r="H448" s="116" t="str">
        <f t="shared" si="49"/>
        <v/>
      </c>
      <c r="I448" s="117" t="str" cm="1">
        <f t="array" ref="I44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Calculators'!$B$2+ICS4Test!$E446,""))</f>
        <v/>
      </c>
      <c r="J448" s="116" t="str" cm="1">
        <f t="array" ref="J448">IF(I448="","",INDEX('Test schedule'!$H:$H,ROW()+7))</f>
        <v/>
      </c>
      <c r="K448" s="120" t="str" cm="1">
        <f t="array" ref="K448">IF(I448="","",INDEX('Test schedule'!$J:$J,ROW()+7))</f>
        <v/>
      </c>
      <c r="L448" s="129" t="str" cm="1">
        <f t="array" ref="L448">IF(OR(I448="",INDEX('Test schedule'!$T:$T,ROW()+7)=""),"",INDEX('Test schedule'!$T:$T,ROW()+7))</f>
        <v/>
      </c>
    </row>
    <row r="449" spans="2:12" ht="15" customHeight="1">
      <c r="B449" s="116" t="str">
        <f t="shared" si="47"/>
        <v/>
      </c>
      <c r="C449" s="117" t="str">
        <f t="shared" si="43"/>
        <v/>
      </c>
      <c r="D449" s="116" t="str">
        <f t="shared" si="44"/>
        <v/>
      </c>
      <c r="E449" s="120" t="str">
        <f t="shared" si="45"/>
        <v/>
      </c>
      <c r="F449" s="118" t="str">
        <f t="shared" si="46"/>
        <v/>
      </c>
      <c r="G449" s="126">
        <f t="shared" si="48"/>
        <v>42</v>
      </c>
      <c r="H449" s="116" t="str">
        <f t="shared" si="49"/>
        <v/>
      </c>
      <c r="I449" s="117" t="str" cm="1">
        <f t="array" ref="I44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Calculators'!$B$2+ICS4Test!$E447,""))</f>
        <v/>
      </c>
      <c r="J449" s="116" t="str" cm="1">
        <f t="array" ref="J449">IF(I449="","",INDEX('Test schedule'!$H:$H,ROW()+7))</f>
        <v/>
      </c>
      <c r="K449" s="120" t="str" cm="1">
        <f t="array" ref="K449">IF(I449="","",INDEX('Test schedule'!$J:$J,ROW()+7))</f>
        <v/>
      </c>
      <c r="L449" s="129" t="str" cm="1">
        <f t="array" ref="L449">IF(OR(I449="",INDEX('Test schedule'!$T:$T,ROW()+7)=""),"",INDEX('Test schedule'!$T:$T,ROW()+7))</f>
        <v/>
      </c>
    </row>
    <row r="450" spans="2:12" ht="15" customHeight="1">
      <c r="B450" s="116" t="str">
        <f t="shared" si="47"/>
        <v/>
      </c>
      <c r="C450" s="117" t="str">
        <f t="shared" si="43"/>
        <v/>
      </c>
      <c r="D450" s="116" t="str">
        <f t="shared" si="44"/>
        <v/>
      </c>
      <c r="E450" s="120" t="str">
        <f t="shared" si="45"/>
        <v/>
      </c>
      <c r="F450" s="118" t="str">
        <f t="shared" si="46"/>
        <v/>
      </c>
      <c r="G450" s="126">
        <f t="shared" si="48"/>
        <v>42</v>
      </c>
      <c r="H450" s="116" t="str">
        <f t="shared" si="49"/>
        <v/>
      </c>
      <c r="I450" s="117" t="str" cm="1">
        <f t="array" ref="I45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Calculators'!$B$2+ICS4Test!$E448,""))</f>
        <v/>
      </c>
      <c r="J450" s="116" t="str" cm="1">
        <f t="array" ref="J450">IF(I450="","",INDEX('Test schedule'!$H:$H,ROW()+7))</f>
        <v/>
      </c>
      <c r="K450" s="120" t="str" cm="1">
        <f t="array" ref="K450">IF(I450="","",INDEX('Test schedule'!$J:$J,ROW()+7))</f>
        <v/>
      </c>
      <c r="L450" s="129" t="str" cm="1">
        <f t="array" ref="L450">IF(OR(I450="",INDEX('Test schedule'!$T:$T,ROW()+7)=""),"",INDEX('Test schedule'!$T:$T,ROW()+7))</f>
        <v/>
      </c>
    </row>
    <row r="451" spans="2:12" ht="15" customHeight="1">
      <c r="B451" s="116" t="str">
        <f t="shared" si="47"/>
        <v/>
      </c>
      <c r="C451" s="117" t="str">
        <f t="shared" si="43"/>
        <v/>
      </c>
      <c r="D451" s="116" t="str">
        <f t="shared" si="44"/>
        <v/>
      </c>
      <c r="E451" s="120" t="str">
        <f t="shared" si="45"/>
        <v/>
      </c>
      <c r="F451" s="118" t="str">
        <f t="shared" si="46"/>
        <v/>
      </c>
      <c r="G451" s="126">
        <f t="shared" si="48"/>
        <v>42</v>
      </c>
      <c r="H451" s="116" t="str">
        <f t="shared" si="49"/>
        <v/>
      </c>
      <c r="I451" s="117" t="str" cm="1">
        <f t="array" ref="I45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Calculators'!$B$2+ICS4Test!$E449,""))</f>
        <v/>
      </c>
      <c r="J451" s="116" t="str" cm="1">
        <f t="array" ref="J451">IF(I451="","",INDEX('Test schedule'!$H:$H,ROW()+7))</f>
        <v/>
      </c>
      <c r="K451" s="120" t="str" cm="1">
        <f t="array" ref="K451">IF(I451="","",INDEX('Test schedule'!$J:$J,ROW()+7))</f>
        <v/>
      </c>
      <c r="L451" s="129" t="str" cm="1">
        <f t="array" ref="L451">IF(OR(I451="",INDEX('Test schedule'!$T:$T,ROW()+7)=""),"",INDEX('Test schedule'!$T:$T,ROW()+7))</f>
        <v/>
      </c>
    </row>
    <row r="452" spans="2:12" ht="15" customHeight="1">
      <c r="B452" s="116" t="str">
        <f t="shared" si="47"/>
        <v/>
      </c>
      <c r="C452" s="117" t="str">
        <f t="shared" ref="C452:C500" si="50">IFERROR(INDEX($I$4:$I$500,MATCH(ROW()-3,$G$4:$G$500,0)),"")</f>
        <v/>
      </c>
      <c r="D452" s="116" t="str">
        <f t="shared" ref="D452:D500" si="51">IFERROR(INDEX($J$4:$J$500,MATCH(ROW()-3,$G$4:$G$500,0)),"")</f>
        <v/>
      </c>
      <c r="E452" s="120" t="str">
        <f t="shared" ref="E452:E500" si="52">IFERROR(INDEX($K$4:$K$500,MATCH(ROW()-3,$G$4:$G$500,0)),"")</f>
        <v/>
      </c>
      <c r="F452" s="118" t="str">
        <f t="shared" ref="F452:F500" si="53">IFERROR(INDEX($L$4:$L$500,MATCH(ROW()-3,$G$4:$G$500,0)),"")</f>
        <v/>
      </c>
      <c r="G452" s="126">
        <f t="shared" si="48"/>
        <v>42</v>
      </c>
      <c r="H452" s="116" t="str">
        <f t="shared" si="49"/>
        <v/>
      </c>
      <c r="I452" s="117" t="str" cm="1">
        <f t="array" ref="I45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Calculators'!$B$2+ICS4Test!$E450,""))</f>
        <v/>
      </c>
      <c r="J452" s="116" t="str" cm="1">
        <f t="array" ref="J452">IF(I452="","",INDEX('Test schedule'!$H:$H,ROW()+7))</f>
        <v/>
      </c>
      <c r="K452" s="120" t="str" cm="1">
        <f t="array" ref="K452">IF(I452="","",INDEX('Test schedule'!$J:$J,ROW()+7))</f>
        <v/>
      </c>
      <c r="L452" s="129" t="str" cm="1">
        <f t="array" ref="L452">IF(OR(I452="",INDEX('Test schedule'!$T:$T,ROW()+7)=""),"",INDEX('Test schedule'!$T:$T,ROW()+7))</f>
        <v/>
      </c>
    </row>
    <row r="453" spans="2:12" ht="15" customHeight="1">
      <c r="B453" s="116" t="str">
        <f t="shared" ref="B453:B500" si="54">IFERROR(IF(AND(INDEX($H$4:$H$500,MATCH(ROW()-3,$G$4:$G$500,0))&gt;C452,INDEX($I$4:$I$500,MATCH(ROW()-3,$G$4:$G$500,0))&lt;&gt;"END"),C452,INDEX($H$4:$H$500,MATCH(ROW()-3,$G$4:$G$500,0))),"")</f>
        <v/>
      </c>
      <c r="C453" s="117" t="str">
        <f t="shared" si="50"/>
        <v/>
      </c>
      <c r="D453" s="116" t="str">
        <f t="shared" si="51"/>
        <v/>
      </c>
      <c r="E453" s="120" t="str">
        <f t="shared" si="52"/>
        <v/>
      </c>
      <c r="F453" s="118" t="str">
        <f t="shared" si="53"/>
        <v/>
      </c>
      <c r="G453" s="126">
        <f t="shared" ref="G453:G500" si="55">G452+IF(I453&lt;&gt;"",1,0)</f>
        <v>42</v>
      </c>
      <c r="H453" s="116" t="str">
        <f t="shared" si="49"/>
        <v/>
      </c>
      <c r="I453" s="117" t="str" cm="1">
        <f t="array" ref="I45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Calculators'!$B$2+ICS4Test!$E451,""))</f>
        <v/>
      </c>
      <c r="J453" s="116" t="str" cm="1">
        <f t="array" ref="J453">IF(I453="","",INDEX('Test schedule'!$H:$H,ROW()+7))</f>
        <v/>
      </c>
      <c r="K453" s="120" t="str" cm="1">
        <f t="array" ref="K453">IF(I453="","",INDEX('Test schedule'!$J:$J,ROW()+7))</f>
        <v/>
      </c>
      <c r="L453" s="129" t="str" cm="1">
        <f t="array" ref="L453">IF(OR(I453="",INDEX('Test schedule'!$T:$T,ROW()+7)=""),"",INDEX('Test schedule'!$T:$T,ROW()+7))</f>
        <v/>
      </c>
    </row>
    <row r="454" spans="2:12" ht="15" customHeight="1">
      <c r="B454" s="116" t="str">
        <f t="shared" si="54"/>
        <v/>
      </c>
      <c r="C454" s="117" t="str">
        <f t="shared" si="50"/>
        <v/>
      </c>
      <c r="D454" s="116" t="str">
        <f t="shared" si="51"/>
        <v/>
      </c>
      <c r="E454" s="120" t="str">
        <f t="shared" si="52"/>
        <v/>
      </c>
      <c r="F454" s="118" t="str">
        <f t="shared" si="53"/>
        <v/>
      </c>
      <c r="G454" s="126">
        <f t="shared" si="55"/>
        <v>42</v>
      </c>
      <c r="H454" s="116" t="str">
        <f t="shared" si="49"/>
        <v/>
      </c>
      <c r="I454" s="117" t="str" cm="1">
        <f t="array" ref="I45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Calculators'!$B$2+ICS4Test!$E452,""))</f>
        <v/>
      </c>
      <c r="J454" s="116" t="str" cm="1">
        <f t="array" ref="J454">IF(I454="","",INDEX('Test schedule'!$H:$H,ROW()+7))</f>
        <v/>
      </c>
      <c r="K454" s="120" t="str" cm="1">
        <f t="array" ref="K454">IF(I454="","",INDEX('Test schedule'!$J:$J,ROW()+7))</f>
        <v/>
      </c>
      <c r="L454" s="129" t="str" cm="1">
        <f t="array" ref="L454">IF(OR(I454="",INDEX('Test schedule'!$T:$T,ROW()+7)=""),"",INDEX('Test schedule'!$T:$T,ROW()+7))</f>
        <v/>
      </c>
    </row>
    <row r="455" spans="2:12" ht="15" customHeight="1">
      <c r="B455" s="116" t="str">
        <f t="shared" si="54"/>
        <v/>
      </c>
      <c r="C455" s="117" t="str">
        <f t="shared" si="50"/>
        <v/>
      </c>
      <c r="D455" s="116" t="str">
        <f t="shared" si="51"/>
        <v/>
      </c>
      <c r="E455" s="120" t="str">
        <f t="shared" si="52"/>
        <v/>
      </c>
      <c r="F455" s="118" t="str">
        <f t="shared" si="53"/>
        <v/>
      </c>
      <c r="G455" s="126">
        <f t="shared" si="55"/>
        <v>42</v>
      </c>
      <c r="H455" s="116" t="str">
        <f t="shared" si="49"/>
        <v/>
      </c>
      <c r="I455" s="117" t="str" cm="1">
        <f t="array" ref="I45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Calculators'!$B$2+ICS4Test!$E453,""))</f>
        <v/>
      </c>
      <c r="J455" s="116" t="str" cm="1">
        <f t="array" ref="J455">IF(I455="","",INDEX('Test schedule'!$H:$H,ROW()+7))</f>
        <v/>
      </c>
      <c r="K455" s="120" t="str" cm="1">
        <f t="array" ref="K455">IF(I455="","",INDEX('Test schedule'!$J:$J,ROW()+7))</f>
        <v/>
      </c>
      <c r="L455" s="129" t="str" cm="1">
        <f t="array" ref="L455">IF(OR(I455="",INDEX('Test schedule'!$T:$T,ROW()+7)=""),"",INDEX('Test schedule'!$T:$T,ROW()+7))</f>
        <v/>
      </c>
    </row>
    <row r="456" spans="2:12" ht="15" customHeight="1">
      <c r="B456" s="116" t="str">
        <f t="shared" si="54"/>
        <v/>
      </c>
      <c r="C456" s="117" t="str">
        <f t="shared" si="50"/>
        <v/>
      </c>
      <c r="D456" s="116" t="str">
        <f t="shared" si="51"/>
        <v/>
      </c>
      <c r="E456" s="120" t="str">
        <f t="shared" si="52"/>
        <v/>
      </c>
      <c r="F456" s="118" t="str">
        <f t="shared" si="53"/>
        <v/>
      </c>
      <c r="G456" s="126">
        <f t="shared" si="55"/>
        <v>42</v>
      </c>
      <c r="H456" s="116" t="str">
        <f t="shared" si="49"/>
        <v/>
      </c>
      <c r="I456" s="117" t="str" cm="1">
        <f t="array" ref="I45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Calculators'!$B$2+ICS4Test!$E454,""))</f>
        <v/>
      </c>
      <c r="J456" s="116" t="str" cm="1">
        <f t="array" ref="J456">IF(I456="","",INDEX('Test schedule'!$H:$H,ROW()+7))</f>
        <v/>
      </c>
      <c r="K456" s="120" t="str" cm="1">
        <f t="array" ref="K456">IF(I456="","",INDEX('Test schedule'!$J:$J,ROW()+7))</f>
        <v/>
      </c>
      <c r="L456" s="129" t="str" cm="1">
        <f t="array" ref="L456">IF(OR(I456="",INDEX('Test schedule'!$T:$T,ROW()+7)=""),"",INDEX('Test schedule'!$T:$T,ROW()+7))</f>
        <v/>
      </c>
    </row>
    <row r="457" spans="2:12" ht="15" customHeight="1">
      <c r="B457" s="116" t="str">
        <f t="shared" si="54"/>
        <v/>
      </c>
      <c r="C457" s="117" t="str">
        <f t="shared" si="50"/>
        <v/>
      </c>
      <c r="D457" s="116" t="str">
        <f t="shared" si="51"/>
        <v/>
      </c>
      <c r="E457" s="120" t="str">
        <f t="shared" si="52"/>
        <v/>
      </c>
      <c r="F457" s="118" t="str">
        <f t="shared" si="53"/>
        <v/>
      </c>
      <c r="G457" s="126">
        <f t="shared" si="55"/>
        <v>42</v>
      </c>
      <c r="H457" s="116" t="str">
        <f t="shared" si="49"/>
        <v/>
      </c>
      <c r="I457" s="117" t="str" cm="1">
        <f t="array" ref="I45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Calculators'!$B$2+ICS4Test!$E455,""))</f>
        <v/>
      </c>
      <c r="J457" s="116" t="str" cm="1">
        <f t="array" ref="J457">IF(I457="","",INDEX('Test schedule'!$H:$H,ROW()+7))</f>
        <v/>
      </c>
      <c r="K457" s="120" t="str" cm="1">
        <f t="array" ref="K457">IF(I457="","",INDEX('Test schedule'!$J:$J,ROW()+7))</f>
        <v/>
      </c>
      <c r="L457" s="129" t="str" cm="1">
        <f t="array" ref="L457">IF(OR(I457="",INDEX('Test schedule'!$T:$T,ROW()+7)=""),"",INDEX('Test schedule'!$T:$T,ROW()+7))</f>
        <v/>
      </c>
    </row>
    <row r="458" spans="2:12" ht="15" customHeight="1">
      <c r="B458" s="116" t="str">
        <f t="shared" si="54"/>
        <v/>
      </c>
      <c r="C458" s="117" t="str">
        <f t="shared" si="50"/>
        <v/>
      </c>
      <c r="D458" s="116" t="str">
        <f t="shared" si="51"/>
        <v/>
      </c>
      <c r="E458" s="120" t="str">
        <f t="shared" si="52"/>
        <v/>
      </c>
      <c r="F458" s="118" t="str">
        <f t="shared" si="53"/>
        <v/>
      </c>
      <c r="G458" s="126">
        <f t="shared" si="55"/>
        <v>42</v>
      </c>
      <c r="H458" s="116" t="str">
        <f t="shared" si="49"/>
        <v/>
      </c>
      <c r="I458" s="117" t="str" cm="1">
        <f t="array" ref="I45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Calculators'!$B$2+ICS4Test!$E456,""))</f>
        <v/>
      </c>
      <c r="J458" s="116" t="str" cm="1">
        <f t="array" ref="J458">IF(I458="","",INDEX('Test schedule'!$H:$H,ROW()+7))</f>
        <v/>
      </c>
      <c r="K458" s="120" t="str" cm="1">
        <f t="array" ref="K458">IF(I458="","",INDEX('Test schedule'!$J:$J,ROW()+7))</f>
        <v/>
      </c>
      <c r="L458" s="129" t="str" cm="1">
        <f t="array" ref="L458">IF(OR(I458="",INDEX('Test schedule'!$T:$T,ROW()+7)=""),"",INDEX('Test schedule'!$T:$T,ROW()+7))</f>
        <v/>
      </c>
    </row>
    <row r="459" spans="2:12" ht="15" customHeight="1">
      <c r="B459" s="116" t="str">
        <f t="shared" si="54"/>
        <v/>
      </c>
      <c r="C459" s="117" t="str">
        <f t="shared" si="50"/>
        <v/>
      </c>
      <c r="D459" s="116" t="str">
        <f t="shared" si="51"/>
        <v/>
      </c>
      <c r="E459" s="120" t="str">
        <f t="shared" si="52"/>
        <v/>
      </c>
      <c r="F459" s="118" t="str">
        <f t="shared" si="53"/>
        <v/>
      </c>
      <c r="G459" s="126">
        <f t="shared" si="55"/>
        <v>42</v>
      </c>
      <c r="H459" s="116" t="str">
        <f t="shared" si="49"/>
        <v/>
      </c>
      <c r="I459" s="117" t="str" cm="1">
        <f t="array" ref="I45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Calculators'!$B$2+ICS4Test!$E457,""))</f>
        <v/>
      </c>
      <c r="J459" s="116" t="str" cm="1">
        <f t="array" ref="J459">IF(I459="","",INDEX('Test schedule'!$H:$H,ROW()+7))</f>
        <v/>
      </c>
      <c r="K459" s="120" t="str" cm="1">
        <f t="array" ref="K459">IF(I459="","",INDEX('Test schedule'!$J:$J,ROW()+7))</f>
        <v/>
      </c>
      <c r="L459" s="129" t="str" cm="1">
        <f t="array" ref="L459">IF(OR(I459="",INDEX('Test schedule'!$T:$T,ROW()+7)=""),"",INDEX('Test schedule'!$T:$T,ROW()+7))</f>
        <v/>
      </c>
    </row>
    <row r="460" spans="2:12" ht="15" customHeight="1">
      <c r="B460" s="116" t="str">
        <f t="shared" si="54"/>
        <v/>
      </c>
      <c r="C460" s="117" t="str">
        <f t="shared" si="50"/>
        <v/>
      </c>
      <c r="D460" s="116" t="str">
        <f t="shared" si="51"/>
        <v/>
      </c>
      <c r="E460" s="120" t="str">
        <f t="shared" si="52"/>
        <v/>
      </c>
      <c r="F460" s="118" t="str">
        <f t="shared" si="53"/>
        <v/>
      </c>
      <c r="G460" s="126">
        <f t="shared" si="55"/>
        <v>42</v>
      </c>
      <c r="H460" s="116" t="str">
        <f t="shared" si="49"/>
        <v/>
      </c>
      <c r="I460" s="117" t="str" cm="1">
        <f t="array" ref="I46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Calculators'!$B$2+ICS4Test!$E458,""))</f>
        <v/>
      </c>
      <c r="J460" s="116" t="str" cm="1">
        <f t="array" ref="J460">IF(I460="","",INDEX('Test schedule'!$H:$H,ROW()+7))</f>
        <v/>
      </c>
      <c r="K460" s="120" t="str" cm="1">
        <f t="array" ref="K460">IF(I460="","",INDEX('Test schedule'!$J:$J,ROW()+7))</f>
        <v/>
      </c>
      <c r="L460" s="129" t="str" cm="1">
        <f t="array" ref="L460">IF(OR(I460="",INDEX('Test schedule'!$T:$T,ROW()+7)=""),"",INDEX('Test schedule'!$T:$T,ROW()+7))</f>
        <v/>
      </c>
    </row>
    <row r="461" spans="2:12" ht="15" customHeight="1">
      <c r="B461" s="116" t="str">
        <f t="shared" si="54"/>
        <v/>
      </c>
      <c r="C461" s="117" t="str">
        <f t="shared" si="50"/>
        <v/>
      </c>
      <c r="D461" s="116" t="str">
        <f t="shared" si="51"/>
        <v/>
      </c>
      <c r="E461" s="120" t="str">
        <f t="shared" si="52"/>
        <v/>
      </c>
      <c r="F461" s="118" t="str">
        <f t="shared" si="53"/>
        <v/>
      </c>
      <c r="G461" s="126">
        <f t="shared" si="55"/>
        <v>42</v>
      </c>
      <c r="H461" s="116" t="str">
        <f t="shared" si="49"/>
        <v/>
      </c>
      <c r="I461" s="117" t="str" cm="1">
        <f t="array" ref="I46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Calculators'!$B$2+ICS4Test!$E459,""))</f>
        <v/>
      </c>
      <c r="J461" s="116" t="str" cm="1">
        <f t="array" ref="J461">IF(I461="","",INDEX('Test schedule'!$H:$H,ROW()+7))</f>
        <v/>
      </c>
      <c r="K461" s="120" t="str" cm="1">
        <f t="array" ref="K461">IF(I461="","",INDEX('Test schedule'!$J:$J,ROW()+7))</f>
        <v/>
      </c>
      <c r="L461" s="129" t="str" cm="1">
        <f t="array" ref="L461">IF(OR(I461="",INDEX('Test schedule'!$T:$T,ROW()+7)=""),"",INDEX('Test schedule'!$T:$T,ROW()+7))</f>
        <v/>
      </c>
    </row>
    <row r="462" spans="2:12" ht="15" customHeight="1">
      <c r="B462" s="116" t="str">
        <f t="shared" si="54"/>
        <v/>
      </c>
      <c r="C462" s="117" t="str">
        <f t="shared" si="50"/>
        <v/>
      </c>
      <c r="D462" s="116" t="str">
        <f t="shared" si="51"/>
        <v/>
      </c>
      <c r="E462" s="120" t="str">
        <f t="shared" si="52"/>
        <v/>
      </c>
      <c r="F462" s="118" t="str">
        <f t="shared" si="53"/>
        <v/>
      </c>
      <c r="G462" s="126">
        <f t="shared" si="55"/>
        <v>42</v>
      </c>
      <c r="H462" s="116" t="str">
        <f t="shared" si="49"/>
        <v/>
      </c>
      <c r="I462" s="117" t="str" cm="1">
        <f t="array" ref="I46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Calculators'!$B$2+ICS4Test!$E460,""))</f>
        <v/>
      </c>
      <c r="J462" s="116" t="str" cm="1">
        <f t="array" ref="J462">IF(I462="","",INDEX('Test schedule'!$H:$H,ROW()+7))</f>
        <v/>
      </c>
      <c r="K462" s="120" t="str" cm="1">
        <f t="array" ref="K462">IF(I462="","",INDEX('Test schedule'!$J:$J,ROW()+7))</f>
        <v/>
      </c>
      <c r="L462" s="129" t="str" cm="1">
        <f t="array" ref="L462">IF(OR(I462="",INDEX('Test schedule'!$T:$T,ROW()+7)=""),"",INDEX('Test schedule'!$T:$T,ROW()+7))</f>
        <v/>
      </c>
    </row>
    <row r="463" spans="2:12" ht="15" customHeight="1">
      <c r="B463" s="116" t="str">
        <f t="shared" si="54"/>
        <v/>
      </c>
      <c r="C463" s="117" t="str">
        <f t="shared" si="50"/>
        <v/>
      </c>
      <c r="D463" s="116" t="str">
        <f t="shared" si="51"/>
        <v/>
      </c>
      <c r="E463" s="120" t="str">
        <f t="shared" si="52"/>
        <v/>
      </c>
      <c r="F463" s="118" t="str">
        <f t="shared" si="53"/>
        <v/>
      </c>
      <c r="G463" s="126">
        <f t="shared" si="55"/>
        <v>42</v>
      </c>
      <c r="H463" s="116" t="str">
        <f t="shared" si="49"/>
        <v/>
      </c>
      <c r="I463" s="117" t="str" cm="1">
        <f t="array" ref="I46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Calculators'!$B$2+ICS4Test!$E461,""))</f>
        <v/>
      </c>
      <c r="J463" s="116" t="str" cm="1">
        <f t="array" ref="J463">IF(I463="","",INDEX('Test schedule'!$H:$H,ROW()+7))</f>
        <v/>
      </c>
      <c r="K463" s="120" t="str" cm="1">
        <f t="array" ref="K463">IF(I463="","",INDEX('Test schedule'!$J:$J,ROW()+7))</f>
        <v/>
      </c>
      <c r="L463" s="129" t="str" cm="1">
        <f t="array" ref="L463">IF(OR(I463="",INDEX('Test schedule'!$T:$T,ROW()+7)=""),"",INDEX('Test schedule'!$T:$T,ROW()+7))</f>
        <v/>
      </c>
    </row>
    <row r="464" spans="2:12" ht="15" customHeight="1">
      <c r="B464" s="116" t="str">
        <f t="shared" si="54"/>
        <v/>
      </c>
      <c r="C464" s="117" t="str">
        <f t="shared" si="50"/>
        <v/>
      </c>
      <c r="D464" s="116" t="str">
        <f t="shared" si="51"/>
        <v/>
      </c>
      <c r="E464" s="120" t="str">
        <f t="shared" si="52"/>
        <v/>
      </c>
      <c r="F464" s="118" t="str">
        <f t="shared" si="53"/>
        <v/>
      </c>
      <c r="G464" s="126">
        <f t="shared" si="55"/>
        <v>42</v>
      </c>
      <c r="H464" s="116" t="str">
        <f t="shared" si="49"/>
        <v/>
      </c>
      <c r="I464" s="117" t="str" cm="1">
        <f t="array" ref="I46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Calculators'!$B$2+ICS4Test!$E462,""))</f>
        <v/>
      </c>
      <c r="J464" s="116" t="str" cm="1">
        <f t="array" ref="J464">IF(I464="","",INDEX('Test schedule'!$H:$H,ROW()+7))</f>
        <v/>
      </c>
      <c r="K464" s="120" t="str" cm="1">
        <f t="array" ref="K464">IF(I464="","",INDEX('Test schedule'!$J:$J,ROW()+7))</f>
        <v/>
      </c>
      <c r="L464" s="129" t="str" cm="1">
        <f t="array" ref="L464">IF(OR(I464="",INDEX('Test schedule'!$T:$T,ROW()+7)=""),"",INDEX('Test schedule'!$T:$T,ROW()+7))</f>
        <v/>
      </c>
    </row>
    <row r="465" spans="2:12" ht="15" customHeight="1">
      <c r="B465" s="116" t="str">
        <f t="shared" si="54"/>
        <v/>
      </c>
      <c r="C465" s="117" t="str">
        <f t="shared" si="50"/>
        <v/>
      </c>
      <c r="D465" s="116" t="str">
        <f t="shared" si="51"/>
        <v/>
      </c>
      <c r="E465" s="120" t="str">
        <f t="shared" si="52"/>
        <v/>
      </c>
      <c r="F465" s="118" t="str">
        <f t="shared" si="53"/>
        <v/>
      </c>
      <c r="G465" s="126">
        <f t="shared" si="55"/>
        <v>42</v>
      </c>
      <c r="H465" s="116" t="str">
        <f t="shared" si="49"/>
        <v/>
      </c>
      <c r="I465" s="117" t="str" cm="1">
        <f t="array" ref="I46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Calculators'!$B$2+ICS4Test!$E463,""))</f>
        <v/>
      </c>
      <c r="J465" s="116" t="str" cm="1">
        <f t="array" ref="J465">IF(I465="","",INDEX('Test schedule'!$H:$H,ROW()+7))</f>
        <v/>
      </c>
      <c r="K465" s="120" t="str" cm="1">
        <f t="array" ref="K465">IF(I465="","",INDEX('Test schedule'!$J:$J,ROW()+7))</f>
        <v/>
      </c>
      <c r="L465" s="129" t="str" cm="1">
        <f t="array" ref="L465">IF(OR(I465="",INDEX('Test schedule'!$T:$T,ROW()+7)=""),"",INDEX('Test schedule'!$T:$T,ROW()+7))</f>
        <v/>
      </c>
    </row>
    <row r="466" spans="2:12" ht="15" customHeight="1">
      <c r="B466" s="116" t="str">
        <f t="shared" si="54"/>
        <v/>
      </c>
      <c r="C466" s="117" t="str">
        <f t="shared" si="50"/>
        <v/>
      </c>
      <c r="D466" s="116" t="str">
        <f t="shared" si="51"/>
        <v/>
      </c>
      <c r="E466" s="120" t="str">
        <f t="shared" si="52"/>
        <v/>
      </c>
      <c r="F466" s="118" t="str">
        <f t="shared" si="53"/>
        <v/>
      </c>
      <c r="G466" s="126">
        <f t="shared" si="55"/>
        <v>42</v>
      </c>
      <c r="H466" s="116" t="str">
        <f t="shared" si="49"/>
        <v/>
      </c>
      <c r="I466" s="117" t="str" cm="1">
        <f t="array" ref="I46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Calculators'!$B$2+ICS4Test!$E464,""))</f>
        <v/>
      </c>
      <c r="J466" s="116" t="str" cm="1">
        <f t="array" ref="J466">IF(I466="","",INDEX('Test schedule'!$H:$H,ROW()+7))</f>
        <v/>
      </c>
      <c r="K466" s="120" t="str" cm="1">
        <f t="array" ref="K466">IF(I466="","",INDEX('Test schedule'!$J:$J,ROW()+7))</f>
        <v/>
      </c>
      <c r="L466" s="129" t="str" cm="1">
        <f t="array" ref="L466">IF(OR(I466="",INDEX('Test schedule'!$T:$T,ROW()+7)=""),"",INDEX('Test schedule'!$T:$T,ROW()+7))</f>
        <v/>
      </c>
    </row>
    <row r="467" spans="2:12" ht="15" customHeight="1">
      <c r="B467" s="116" t="str">
        <f t="shared" si="54"/>
        <v/>
      </c>
      <c r="C467" s="117" t="str">
        <f t="shared" si="50"/>
        <v/>
      </c>
      <c r="D467" s="116" t="str">
        <f t="shared" si="51"/>
        <v/>
      </c>
      <c r="E467" s="120" t="str">
        <f t="shared" si="52"/>
        <v/>
      </c>
      <c r="F467" s="118" t="str">
        <f t="shared" si="53"/>
        <v/>
      </c>
      <c r="G467" s="126">
        <f t="shared" si="55"/>
        <v>42</v>
      </c>
      <c r="H467" s="116" t="str">
        <f t="shared" si="49"/>
        <v/>
      </c>
      <c r="I467" s="117" t="str" cm="1">
        <f t="array" ref="I46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Calculators'!$B$2+ICS4Test!$E465,""))</f>
        <v/>
      </c>
      <c r="J467" s="116" t="str" cm="1">
        <f t="array" ref="J467">IF(I467="","",INDEX('Test schedule'!$H:$H,ROW()+7))</f>
        <v/>
      </c>
      <c r="K467" s="120" t="str" cm="1">
        <f t="array" ref="K467">IF(I467="","",INDEX('Test schedule'!$J:$J,ROW()+7))</f>
        <v/>
      </c>
      <c r="L467" s="129" t="str" cm="1">
        <f t="array" ref="L467">IF(OR(I467="",INDEX('Test schedule'!$T:$T,ROW()+7)=""),"",INDEX('Test schedule'!$T:$T,ROW()+7))</f>
        <v/>
      </c>
    </row>
    <row r="468" spans="2:12" ht="15" customHeight="1">
      <c r="B468" s="116" t="str">
        <f t="shared" si="54"/>
        <v/>
      </c>
      <c r="C468" s="117" t="str">
        <f t="shared" si="50"/>
        <v/>
      </c>
      <c r="D468" s="116" t="str">
        <f t="shared" si="51"/>
        <v/>
      </c>
      <c r="E468" s="120" t="str">
        <f t="shared" si="52"/>
        <v/>
      </c>
      <c r="F468" s="118" t="str">
        <f t="shared" si="53"/>
        <v/>
      </c>
      <c r="G468" s="126">
        <f t="shared" si="55"/>
        <v>42</v>
      </c>
      <c r="H468" s="116" t="str">
        <f t="shared" si="49"/>
        <v/>
      </c>
      <c r="I468" s="117" t="str" cm="1">
        <f t="array" ref="I46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Calculators'!$B$2+ICS4Test!$E466,""))</f>
        <v/>
      </c>
      <c r="J468" s="116" t="str" cm="1">
        <f t="array" ref="J468">IF(I468="","",INDEX('Test schedule'!$H:$H,ROW()+7))</f>
        <v/>
      </c>
      <c r="K468" s="120" t="str" cm="1">
        <f t="array" ref="K468">IF(I468="","",INDEX('Test schedule'!$J:$J,ROW()+7))</f>
        <v/>
      </c>
      <c r="L468" s="129" t="str" cm="1">
        <f t="array" ref="L468">IF(OR(I468="",INDEX('Test schedule'!$T:$T,ROW()+7)=""),"",INDEX('Test schedule'!$T:$T,ROW()+7))</f>
        <v/>
      </c>
    </row>
    <row r="469" spans="2:12" ht="15" customHeight="1">
      <c r="B469" s="116" t="str">
        <f t="shared" si="54"/>
        <v/>
      </c>
      <c r="C469" s="117" t="str">
        <f t="shared" si="50"/>
        <v/>
      </c>
      <c r="D469" s="116" t="str">
        <f t="shared" si="51"/>
        <v/>
      </c>
      <c r="E469" s="120" t="str">
        <f t="shared" si="52"/>
        <v/>
      </c>
      <c r="F469" s="118" t="str">
        <f t="shared" si="53"/>
        <v/>
      </c>
      <c r="G469" s="126">
        <f t="shared" si="55"/>
        <v>42</v>
      </c>
      <c r="H469" s="116" t="str">
        <f t="shared" si="49"/>
        <v/>
      </c>
      <c r="I469" s="117" t="str" cm="1">
        <f t="array" ref="I46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Calculators'!$B$2+ICS4Test!$E467,""))</f>
        <v/>
      </c>
      <c r="J469" s="116" t="str" cm="1">
        <f t="array" ref="J469">IF(I469="","",INDEX('Test schedule'!$H:$H,ROW()+7))</f>
        <v/>
      </c>
      <c r="K469" s="120" t="str" cm="1">
        <f t="array" ref="K469">IF(I469="","",INDEX('Test schedule'!$J:$J,ROW()+7))</f>
        <v/>
      </c>
      <c r="L469" s="129" t="str" cm="1">
        <f t="array" ref="L469">IF(OR(I469="",INDEX('Test schedule'!$T:$T,ROW()+7)=""),"",INDEX('Test schedule'!$T:$T,ROW()+7))</f>
        <v/>
      </c>
    </row>
    <row r="470" spans="2:12" ht="15" customHeight="1">
      <c r="B470" s="116" t="str">
        <f t="shared" si="54"/>
        <v/>
      </c>
      <c r="C470" s="117" t="str">
        <f t="shared" si="50"/>
        <v/>
      </c>
      <c r="D470" s="116" t="str">
        <f t="shared" si="51"/>
        <v/>
      </c>
      <c r="E470" s="120" t="str">
        <f t="shared" si="52"/>
        <v/>
      </c>
      <c r="F470" s="118" t="str">
        <f t="shared" si="53"/>
        <v/>
      </c>
      <c r="G470" s="126">
        <f t="shared" si="55"/>
        <v>42</v>
      </c>
      <c r="H470" s="116" t="str">
        <f t="shared" si="49"/>
        <v/>
      </c>
      <c r="I470" s="117" t="str" cm="1">
        <f t="array" ref="I47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Calculators'!$B$2+ICS4Test!$E468,""))</f>
        <v/>
      </c>
      <c r="J470" s="116" t="str" cm="1">
        <f t="array" ref="J470">IF(I470="","",INDEX('Test schedule'!$H:$H,ROW()+7))</f>
        <v/>
      </c>
      <c r="K470" s="120" t="str" cm="1">
        <f t="array" ref="K470">IF(I470="","",INDEX('Test schedule'!$J:$J,ROW()+7))</f>
        <v/>
      </c>
      <c r="L470" s="129" t="str" cm="1">
        <f t="array" ref="L470">IF(OR(I470="",INDEX('Test schedule'!$T:$T,ROW()+7)=""),"",INDEX('Test schedule'!$T:$T,ROW()+7))</f>
        <v/>
      </c>
    </row>
    <row r="471" spans="2:12" ht="15" customHeight="1">
      <c r="B471" s="116" t="str">
        <f t="shared" si="54"/>
        <v/>
      </c>
      <c r="C471" s="117" t="str">
        <f t="shared" si="50"/>
        <v/>
      </c>
      <c r="D471" s="116" t="str">
        <f t="shared" si="51"/>
        <v/>
      </c>
      <c r="E471" s="120" t="str">
        <f t="shared" si="52"/>
        <v/>
      </c>
      <c r="F471" s="118" t="str">
        <f t="shared" si="53"/>
        <v/>
      </c>
      <c r="G471" s="126">
        <f t="shared" si="55"/>
        <v>42</v>
      </c>
      <c r="H471" s="116" t="str">
        <f t="shared" si="49"/>
        <v/>
      </c>
      <c r="I471" s="117" t="str" cm="1">
        <f t="array" ref="I47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Calculators'!$B$2+ICS4Test!$E469,""))</f>
        <v/>
      </c>
      <c r="J471" s="116" t="str" cm="1">
        <f t="array" ref="J471">IF(I471="","",INDEX('Test schedule'!$H:$H,ROW()+7))</f>
        <v/>
      </c>
      <c r="K471" s="120" t="str" cm="1">
        <f t="array" ref="K471">IF(I471="","",INDEX('Test schedule'!$J:$J,ROW()+7))</f>
        <v/>
      </c>
      <c r="L471" s="129" t="str" cm="1">
        <f t="array" ref="L471">IF(OR(I471="",INDEX('Test schedule'!$T:$T,ROW()+7)=""),"",INDEX('Test schedule'!$T:$T,ROW()+7))</f>
        <v/>
      </c>
    </row>
    <row r="472" spans="2:12" ht="15" customHeight="1">
      <c r="B472" s="116" t="str">
        <f t="shared" si="54"/>
        <v/>
      </c>
      <c r="C472" s="117" t="str">
        <f t="shared" si="50"/>
        <v/>
      </c>
      <c r="D472" s="116" t="str">
        <f t="shared" si="51"/>
        <v/>
      </c>
      <c r="E472" s="120" t="str">
        <f t="shared" si="52"/>
        <v/>
      </c>
      <c r="F472" s="118" t="str">
        <f t="shared" si="53"/>
        <v/>
      </c>
      <c r="G472" s="126">
        <f t="shared" si="55"/>
        <v>42</v>
      </c>
      <c r="H472" s="116" t="str">
        <f t="shared" si="49"/>
        <v/>
      </c>
      <c r="I472" s="117" t="str" cm="1">
        <f t="array" ref="I47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Calculators'!$B$2+ICS4Test!$E470,""))</f>
        <v/>
      </c>
      <c r="J472" s="116" t="str" cm="1">
        <f t="array" ref="J472">IF(I472="","",INDEX('Test schedule'!$H:$H,ROW()+7))</f>
        <v/>
      </c>
      <c r="K472" s="120" t="str" cm="1">
        <f t="array" ref="K472">IF(I472="","",INDEX('Test schedule'!$J:$J,ROW()+7))</f>
        <v/>
      </c>
      <c r="L472" s="129" t="str" cm="1">
        <f t="array" ref="L472">IF(OR(I472="",INDEX('Test schedule'!$T:$T,ROW()+7)=""),"",INDEX('Test schedule'!$T:$T,ROW()+7))</f>
        <v/>
      </c>
    </row>
    <row r="473" spans="2:12" ht="15" customHeight="1">
      <c r="B473" s="116" t="str">
        <f t="shared" si="54"/>
        <v/>
      </c>
      <c r="C473" s="117" t="str">
        <f t="shared" si="50"/>
        <v/>
      </c>
      <c r="D473" s="116" t="str">
        <f t="shared" si="51"/>
        <v/>
      </c>
      <c r="E473" s="120" t="str">
        <f t="shared" si="52"/>
        <v/>
      </c>
      <c r="F473" s="118" t="str">
        <f t="shared" si="53"/>
        <v/>
      </c>
      <c r="G473" s="126">
        <f t="shared" si="55"/>
        <v>42</v>
      </c>
      <c r="H473" s="116" t="str">
        <f t="shared" si="49"/>
        <v/>
      </c>
      <c r="I473" s="117" t="str" cm="1">
        <f t="array" ref="I47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Calculators'!$B$2+ICS4Test!$E471,""))</f>
        <v/>
      </c>
      <c r="J473" s="116" t="str" cm="1">
        <f t="array" ref="J473">IF(I473="","",INDEX('Test schedule'!$H:$H,ROW()+7))</f>
        <v/>
      </c>
      <c r="K473" s="120" t="str" cm="1">
        <f t="array" ref="K473">IF(I473="","",INDEX('Test schedule'!$J:$J,ROW()+7))</f>
        <v/>
      </c>
      <c r="L473" s="129" t="str" cm="1">
        <f t="array" ref="L473">IF(OR(I473="",INDEX('Test schedule'!$T:$T,ROW()+7)=""),"",INDEX('Test schedule'!$T:$T,ROW()+7))</f>
        <v/>
      </c>
    </row>
    <row r="474" spans="2:12" ht="15" customHeight="1">
      <c r="B474" s="116" t="str">
        <f t="shared" si="54"/>
        <v/>
      </c>
      <c r="C474" s="117" t="str">
        <f t="shared" si="50"/>
        <v/>
      </c>
      <c r="D474" s="116" t="str">
        <f t="shared" si="51"/>
        <v/>
      </c>
      <c r="E474" s="120" t="str">
        <f t="shared" si="52"/>
        <v/>
      </c>
      <c r="F474" s="118" t="str">
        <f t="shared" si="53"/>
        <v/>
      </c>
      <c r="G474" s="126">
        <f t="shared" si="55"/>
        <v>42</v>
      </c>
      <c r="H474" s="116" t="str">
        <f t="shared" si="49"/>
        <v/>
      </c>
      <c r="I474" s="117" t="str" cm="1">
        <f t="array" ref="I47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Calculators'!$B$2+ICS4Test!$E472,""))</f>
        <v/>
      </c>
      <c r="J474" s="116" t="str" cm="1">
        <f t="array" ref="J474">IF(I474="","",INDEX('Test schedule'!$H:$H,ROW()+7))</f>
        <v/>
      </c>
      <c r="K474" s="120" t="str" cm="1">
        <f t="array" ref="K474">IF(I474="","",INDEX('Test schedule'!$J:$J,ROW()+7))</f>
        <v/>
      </c>
      <c r="L474" s="129" t="str" cm="1">
        <f t="array" ref="L474">IF(OR(I474="",INDEX('Test schedule'!$T:$T,ROW()+7)=""),"",INDEX('Test schedule'!$T:$T,ROW()+7))</f>
        <v/>
      </c>
    </row>
    <row r="475" spans="2:12" ht="15" customHeight="1">
      <c r="B475" s="116" t="str">
        <f t="shared" si="54"/>
        <v/>
      </c>
      <c r="C475" s="117" t="str">
        <f t="shared" si="50"/>
        <v/>
      </c>
      <c r="D475" s="116" t="str">
        <f t="shared" si="51"/>
        <v/>
      </c>
      <c r="E475" s="120" t="str">
        <f t="shared" si="52"/>
        <v/>
      </c>
      <c r="F475" s="118" t="str">
        <f t="shared" si="53"/>
        <v/>
      </c>
      <c r="G475" s="126">
        <f t="shared" si="55"/>
        <v>42</v>
      </c>
      <c r="H475" s="116" t="str">
        <f t="shared" si="49"/>
        <v/>
      </c>
      <c r="I475" s="117" t="str" cm="1">
        <f t="array" ref="I47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Calculators'!$B$2+ICS4Test!$E473,""))</f>
        <v/>
      </c>
      <c r="J475" s="116" t="str" cm="1">
        <f t="array" ref="J475">IF(I475="","",INDEX('Test schedule'!$H:$H,ROW()+7))</f>
        <v/>
      </c>
      <c r="K475" s="120" t="str" cm="1">
        <f t="array" ref="K475">IF(I475="","",INDEX('Test schedule'!$J:$J,ROW()+7))</f>
        <v/>
      </c>
      <c r="L475" s="129" t="str" cm="1">
        <f t="array" ref="L475">IF(OR(I475="",INDEX('Test schedule'!$T:$T,ROW()+7)=""),"",INDEX('Test schedule'!$T:$T,ROW()+7))</f>
        <v/>
      </c>
    </row>
    <row r="476" spans="2:12" ht="15" customHeight="1">
      <c r="B476" s="116" t="str">
        <f t="shared" si="54"/>
        <v/>
      </c>
      <c r="C476" s="117" t="str">
        <f t="shared" si="50"/>
        <v/>
      </c>
      <c r="D476" s="116" t="str">
        <f t="shared" si="51"/>
        <v/>
      </c>
      <c r="E476" s="120" t="str">
        <f t="shared" si="52"/>
        <v/>
      </c>
      <c r="F476" s="118" t="str">
        <f t="shared" si="53"/>
        <v/>
      </c>
      <c r="G476" s="126">
        <f t="shared" si="55"/>
        <v>42</v>
      </c>
      <c r="H476" s="116" t="str">
        <f t="shared" si="49"/>
        <v/>
      </c>
      <c r="I476" s="117" t="str" cm="1">
        <f t="array" ref="I47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Calculators'!$B$2+ICS4Test!$E474,""))</f>
        <v/>
      </c>
      <c r="J476" s="116" t="str" cm="1">
        <f t="array" ref="J476">IF(I476="","",INDEX('Test schedule'!$H:$H,ROW()+7))</f>
        <v/>
      </c>
      <c r="K476" s="120" t="str" cm="1">
        <f t="array" ref="K476">IF(I476="","",INDEX('Test schedule'!$J:$J,ROW()+7))</f>
        <v/>
      </c>
      <c r="L476" s="129" t="str" cm="1">
        <f t="array" ref="L476">IF(OR(I476="",INDEX('Test schedule'!$T:$T,ROW()+7)=""),"",INDEX('Test schedule'!$T:$T,ROW()+7))</f>
        <v/>
      </c>
    </row>
    <row r="477" spans="2:12" ht="15" customHeight="1">
      <c r="B477" s="116" t="str">
        <f t="shared" si="54"/>
        <v/>
      </c>
      <c r="C477" s="117" t="str">
        <f t="shared" si="50"/>
        <v/>
      </c>
      <c r="D477" s="116" t="str">
        <f t="shared" si="51"/>
        <v/>
      </c>
      <c r="E477" s="120" t="str">
        <f t="shared" si="52"/>
        <v/>
      </c>
      <c r="F477" s="118" t="str">
        <f t="shared" si="53"/>
        <v/>
      </c>
      <c r="G477" s="126">
        <f t="shared" si="55"/>
        <v>42</v>
      </c>
      <c r="H477" s="116" t="str">
        <f t="shared" si="49"/>
        <v/>
      </c>
      <c r="I477" s="117" t="str" cm="1">
        <f t="array" ref="I47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Calculators'!$B$2+ICS4Test!$E475,""))</f>
        <v/>
      </c>
      <c r="J477" s="116" t="str" cm="1">
        <f t="array" ref="J477">IF(I477="","",INDEX('Test schedule'!$H:$H,ROW()+7))</f>
        <v/>
      </c>
      <c r="K477" s="120" t="str" cm="1">
        <f t="array" ref="K477">IF(I477="","",INDEX('Test schedule'!$J:$J,ROW()+7))</f>
        <v/>
      </c>
      <c r="L477" s="129" t="str" cm="1">
        <f t="array" ref="L477">IF(OR(I477="",INDEX('Test schedule'!$T:$T,ROW()+7)=""),"",INDEX('Test schedule'!$T:$T,ROW()+7))</f>
        <v/>
      </c>
    </row>
    <row r="478" spans="2:12" ht="15" customHeight="1">
      <c r="B478" s="116" t="str">
        <f t="shared" si="54"/>
        <v/>
      </c>
      <c r="C478" s="117" t="str">
        <f t="shared" si="50"/>
        <v/>
      </c>
      <c r="D478" s="116" t="str">
        <f t="shared" si="51"/>
        <v/>
      </c>
      <c r="E478" s="120" t="str">
        <f t="shared" si="52"/>
        <v/>
      </c>
      <c r="F478" s="118" t="str">
        <f t="shared" si="53"/>
        <v/>
      </c>
      <c r="G478" s="126">
        <f t="shared" si="55"/>
        <v>42</v>
      </c>
      <c r="H478" s="116" t="str">
        <f t="shared" si="49"/>
        <v/>
      </c>
      <c r="I478" s="117" t="str" cm="1">
        <f t="array" ref="I47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Calculators'!$B$2+ICS4Test!$E476,""))</f>
        <v/>
      </c>
      <c r="J478" s="116" t="str" cm="1">
        <f t="array" ref="J478">IF(I478="","",INDEX('Test schedule'!$H:$H,ROW()+7))</f>
        <v/>
      </c>
      <c r="K478" s="120" t="str" cm="1">
        <f t="array" ref="K478">IF(I478="","",INDEX('Test schedule'!$J:$J,ROW()+7))</f>
        <v/>
      </c>
      <c r="L478" s="129" t="str" cm="1">
        <f t="array" ref="L478">IF(OR(I478="",INDEX('Test schedule'!$T:$T,ROW()+7)=""),"",INDEX('Test schedule'!$T:$T,ROW()+7))</f>
        <v/>
      </c>
    </row>
    <row r="479" spans="2:12" ht="15" customHeight="1">
      <c r="B479" s="116" t="str">
        <f t="shared" si="54"/>
        <v/>
      </c>
      <c r="C479" s="117" t="str">
        <f t="shared" si="50"/>
        <v/>
      </c>
      <c r="D479" s="116" t="str">
        <f t="shared" si="51"/>
        <v/>
      </c>
      <c r="E479" s="120" t="str">
        <f t="shared" si="52"/>
        <v/>
      </c>
      <c r="F479" s="118" t="str">
        <f t="shared" si="53"/>
        <v/>
      </c>
      <c r="G479" s="126">
        <f t="shared" si="55"/>
        <v>42</v>
      </c>
      <c r="H479" s="116" t="str">
        <f t="shared" si="49"/>
        <v/>
      </c>
      <c r="I479" s="117" t="str" cm="1">
        <f t="array" ref="I47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Calculators'!$B$2+ICS4Test!$E477,""))</f>
        <v/>
      </c>
      <c r="J479" s="116" t="str" cm="1">
        <f t="array" ref="J479">IF(I479="","",INDEX('Test schedule'!$H:$H,ROW()+7))</f>
        <v/>
      </c>
      <c r="K479" s="120" t="str" cm="1">
        <f t="array" ref="K479">IF(I479="","",INDEX('Test schedule'!$J:$J,ROW()+7))</f>
        <v/>
      </c>
      <c r="L479" s="129" t="str" cm="1">
        <f t="array" ref="L479">IF(OR(I479="",INDEX('Test schedule'!$T:$T,ROW()+7)=""),"",INDEX('Test schedule'!$T:$T,ROW()+7))</f>
        <v/>
      </c>
    </row>
    <row r="480" spans="2:12" ht="15" customHeight="1">
      <c r="B480" s="116" t="str">
        <f t="shared" si="54"/>
        <v/>
      </c>
      <c r="C480" s="117" t="str">
        <f t="shared" si="50"/>
        <v/>
      </c>
      <c r="D480" s="116" t="str">
        <f t="shared" si="51"/>
        <v/>
      </c>
      <c r="E480" s="120" t="str">
        <f t="shared" si="52"/>
        <v/>
      </c>
      <c r="F480" s="118" t="str">
        <f t="shared" si="53"/>
        <v/>
      </c>
      <c r="G480" s="126">
        <f t="shared" si="55"/>
        <v>42</v>
      </c>
      <c r="H480" s="116" t="str">
        <f t="shared" si="49"/>
        <v/>
      </c>
      <c r="I480" s="117" t="str" cm="1">
        <f t="array" ref="I48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Calculators'!$B$2+ICS4Test!$E478,""))</f>
        <v/>
      </c>
      <c r="J480" s="116" t="str" cm="1">
        <f t="array" ref="J480">IF(I480="","",INDEX('Test schedule'!$H:$H,ROW()+7))</f>
        <v/>
      </c>
      <c r="K480" s="120" t="str" cm="1">
        <f t="array" ref="K480">IF(I480="","",INDEX('Test schedule'!$J:$J,ROW()+7))</f>
        <v/>
      </c>
      <c r="L480" s="129" t="str" cm="1">
        <f t="array" ref="L480">IF(OR(I480="",INDEX('Test schedule'!$T:$T,ROW()+7)=""),"",INDEX('Test schedule'!$T:$T,ROW()+7))</f>
        <v/>
      </c>
    </row>
    <row r="481" spans="2:12" ht="15" customHeight="1">
      <c r="B481" s="116" t="str">
        <f t="shared" si="54"/>
        <v/>
      </c>
      <c r="C481" s="117" t="str">
        <f t="shared" si="50"/>
        <v/>
      </c>
      <c r="D481" s="116" t="str">
        <f t="shared" si="51"/>
        <v/>
      </c>
      <c r="E481" s="120" t="str">
        <f t="shared" si="52"/>
        <v/>
      </c>
      <c r="F481" s="118" t="str">
        <f t="shared" si="53"/>
        <v/>
      </c>
      <c r="G481" s="126">
        <f t="shared" si="55"/>
        <v>42</v>
      </c>
      <c r="H481" s="116" t="str">
        <f t="shared" si="49"/>
        <v/>
      </c>
      <c r="I481" s="117" t="str" cm="1">
        <f t="array" ref="I48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Calculators'!$B$2+ICS4Test!$E479,""))</f>
        <v/>
      </c>
      <c r="J481" s="116" t="str" cm="1">
        <f t="array" ref="J481">IF(I481="","",INDEX('Test schedule'!$H:$H,ROW()+7))</f>
        <v/>
      </c>
      <c r="K481" s="120" t="str" cm="1">
        <f t="array" ref="K481">IF(I481="","",INDEX('Test schedule'!$J:$J,ROW()+7))</f>
        <v/>
      </c>
      <c r="L481" s="129" t="str" cm="1">
        <f t="array" ref="L481">IF(OR(I481="",INDEX('Test schedule'!$T:$T,ROW()+7)=""),"",INDEX('Test schedule'!$T:$T,ROW()+7))</f>
        <v/>
      </c>
    </row>
    <row r="482" spans="2:12" ht="15" customHeight="1">
      <c r="B482" s="116" t="str">
        <f t="shared" si="54"/>
        <v/>
      </c>
      <c r="C482" s="117" t="str">
        <f t="shared" si="50"/>
        <v/>
      </c>
      <c r="D482" s="116" t="str">
        <f t="shared" si="51"/>
        <v/>
      </c>
      <c r="E482" s="120" t="str">
        <f t="shared" si="52"/>
        <v/>
      </c>
      <c r="F482" s="118" t="str">
        <f t="shared" si="53"/>
        <v/>
      </c>
      <c r="G482" s="126">
        <f t="shared" si="55"/>
        <v>42</v>
      </c>
      <c r="H482" s="116" t="str">
        <f t="shared" si="49"/>
        <v/>
      </c>
      <c r="I482" s="117" t="str" cm="1">
        <f t="array" ref="I48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Calculators'!$B$2+ICS4Test!$E480,""))</f>
        <v/>
      </c>
      <c r="J482" s="116" t="str" cm="1">
        <f t="array" ref="J482">IF(I482="","",INDEX('Test schedule'!$H:$H,ROW()+7))</f>
        <v/>
      </c>
      <c r="K482" s="120" t="str" cm="1">
        <f t="array" ref="K482">IF(I482="","",INDEX('Test schedule'!$J:$J,ROW()+7))</f>
        <v/>
      </c>
      <c r="L482" s="129" t="str" cm="1">
        <f t="array" ref="L482">IF(OR(I482="",INDEX('Test schedule'!$T:$T,ROW()+7)=""),"",INDEX('Test schedule'!$T:$T,ROW()+7))</f>
        <v/>
      </c>
    </row>
    <row r="483" spans="2:12" ht="15" customHeight="1">
      <c r="B483" s="116" t="str">
        <f t="shared" si="54"/>
        <v/>
      </c>
      <c r="C483" s="117" t="str">
        <f t="shared" si="50"/>
        <v/>
      </c>
      <c r="D483" s="116" t="str">
        <f t="shared" si="51"/>
        <v/>
      </c>
      <c r="E483" s="120" t="str">
        <f t="shared" si="52"/>
        <v/>
      </c>
      <c r="F483" s="118" t="str">
        <f t="shared" si="53"/>
        <v/>
      </c>
      <c r="G483" s="126">
        <f t="shared" si="55"/>
        <v>42</v>
      </c>
      <c r="H483" s="116" t="str">
        <f t="shared" si="49"/>
        <v/>
      </c>
      <c r="I483" s="117" t="str" cm="1">
        <f t="array" ref="I48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Calculators'!$B$2+ICS4Test!$E481,""))</f>
        <v/>
      </c>
      <c r="J483" s="116" t="str" cm="1">
        <f t="array" ref="J483">IF(I483="","",INDEX('Test schedule'!$H:$H,ROW()+7))</f>
        <v/>
      </c>
      <c r="K483" s="120" t="str" cm="1">
        <f t="array" ref="K483">IF(I483="","",INDEX('Test schedule'!$J:$J,ROW()+7))</f>
        <v/>
      </c>
      <c r="L483" s="129" t="str" cm="1">
        <f t="array" ref="L483">IF(OR(I483="",INDEX('Test schedule'!$T:$T,ROW()+7)=""),"",INDEX('Test schedule'!$T:$T,ROW()+7))</f>
        <v/>
      </c>
    </row>
    <row r="484" spans="2:12" ht="15" customHeight="1">
      <c r="B484" s="116" t="str">
        <f t="shared" si="54"/>
        <v/>
      </c>
      <c r="C484" s="117" t="str">
        <f t="shared" si="50"/>
        <v/>
      </c>
      <c r="D484" s="116" t="str">
        <f t="shared" si="51"/>
        <v/>
      </c>
      <c r="E484" s="120" t="str">
        <f t="shared" si="52"/>
        <v/>
      </c>
      <c r="F484" s="118" t="str">
        <f t="shared" si="53"/>
        <v/>
      </c>
      <c r="G484" s="126">
        <f t="shared" si="55"/>
        <v>42</v>
      </c>
      <c r="H484" s="116" t="str">
        <f t="shared" si="49"/>
        <v/>
      </c>
      <c r="I484" s="117" t="str" cm="1">
        <f t="array" ref="I48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Calculators'!$B$2+ICS4Test!$E482,""))</f>
        <v/>
      </c>
      <c r="J484" s="116" t="str" cm="1">
        <f t="array" ref="J484">IF(I484="","",INDEX('Test schedule'!$H:$H,ROW()+7))</f>
        <v/>
      </c>
      <c r="K484" s="120" t="str" cm="1">
        <f t="array" ref="K484">IF(I484="","",INDEX('Test schedule'!$J:$J,ROW()+7))</f>
        <v/>
      </c>
      <c r="L484" s="129" t="str" cm="1">
        <f t="array" ref="L484">IF(OR(I484="",INDEX('Test schedule'!$T:$T,ROW()+7)=""),"",INDEX('Test schedule'!$T:$T,ROW()+7))</f>
        <v/>
      </c>
    </row>
    <row r="485" spans="2:12" ht="15" customHeight="1">
      <c r="B485" s="116" t="str">
        <f t="shared" si="54"/>
        <v/>
      </c>
      <c r="C485" s="117" t="str">
        <f t="shared" si="50"/>
        <v/>
      </c>
      <c r="D485" s="116" t="str">
        <f t="shared" si="51"/>
        <v/>
      </c>
      <c r="E485" s="120" t="str">
        <f t="shared" si="52"/>
        <v/>
      </c>
      <c r="F485" s="118" t="str">
        <f t="shared" si="53"/>
        <v/>
      </c>
      <c r="G485" s="126">
        <f t="shared" si="55"/>
        <v>42</v>
      </c>
      <c r="H485" s="116" t="str">
        <f t="shared" si="49"/>
        <v/>
      </c>
      <c r="I485" s="117" t="str" cm="1">
        <f t="array" ref="I48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Calculators'!$B$2+ICS4Test!$E483,""))</f>
        <v/>
      </c>
      <c r="J485" s="116" t="str" cm="1">
        <f t="array" ref="J485">IF(I485="","",INDEX('Test schedule'!$H:$H,ROW()+7))</f>
        <v/>
      </c>
      <c r="K485" s="120" t="str" cm="1">
        <f t="array" ref="K485">IF(I485="","",INDEX('Test schedule'!$J:$J,ROW()+7))</f>
        <v/>
      </c>
      <c r="L485" s="129" t="str" cm="1">
        <f t="array" ref="L485">IF(OR(I485="",INDEX('Test schedule'!$T:$T,ROW()+7)=""),"",INDEX('Test schedule'!$T:$T,ROW()+7))</f>
        <v/>
      </c>
    </row>
    <row r="486" spans="2:12" ht="15" customHeight="1">
      <c r="B486" s="116" t="str">
        <f t="shared" si="54"/>
        <v/>
      </c>
      <c r="C486" s="117" t="str">
        <f t="shared" si="50"/>
        <v/>
      </c>
      <c r="D486" s="116" t="str">
        <f t="shared" si="51"/>
        <v/>
      </c>
      <c r="E486" s="120" t="str">
        <f t="shared" si="52"/>
        <v/>
      </c>
      <c r="F486" s="118" t="str">
        <f t="shared" si="53"/>
        <v/>
      </c>
      <c r="G486" s="126">
        <f t="shared" si="55"/>
        <v>42</v>
      </c>
      <c r="H486" s="116" t="str">
        <f t="shared" si="49"/>
        <v/>
      </c>
      <c r="I486" s="117" t="str" cm="1">
        <f t="array" ref="I48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Calculators'!$B$2+ICS4Test!$E484,""))</f>
        <v/>
      </c>
      <c r="J486" s="116" t="str" cm="1">
        <f t="array" ref="J486">IF(I486="","",INDEX('Test schedule'!$H:$H,ROW()+7))</f>
        <v/>
      </c>
      <c r="K486" s="120" t="str" cm="1">
        <f t="array" ref="K486">IF(I486="","",INDEX('Test schedule'!$J:$J,ROW()+7))</f>
        <v/>
      </c>
      <c r="L486" s="129" t="str" cm="1">
        <f t="array" ref="L486">IF(OR(I486="",INDEX('Test schedule'!$T:$T,ROW()+7)=""),"",INDEX('Test schedule'!$T:$T,ROW()+7))</f>
        <v/>
      </c>
    </row>
    <row r="487" spans="2:12" ht="15" customHeight="1">
      <c r="B487" s="116" t="str">
        <f t="shared" si="54"/>
        <v/>
      </c>
      <c r="C487" s="117" t="str">
        <f t="shared" si="50"/>
        <v/>
      </c>
      <c r="D487" s="116" t="str">
        <f t="shared" si="51"/>
        <v/>
      </c>
      <c r="E487" s="120" t="str">
        <f t="shared" si="52"/>
        <v/>
      </c>
      <c r="F487" s="118" t="str">
        <f t="shared" si="53"/>
        <v/>
      </c>
      <c r="G487" s="126">
        <f t="shared" si="55"/>
        <v>42</v>
      </c>
      <c r="H487" s="116" t="str">
        <f t="shared" si="49"/>
        <v/>
      </c>
      <c r="I487" s="117" t="str" cm="1">
        <f t="array" ref="I48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Calculators'!$B$2+ICS4Test!$E485,""))</f>
        <v/>
      </c>
      <c r="J487" s="116" t="str" cm="1">
        <f t="array" ref="J487">IF(I487="","",INDEX('Test schedule'!$H:$H,ROW()+7))</f>
        <v/>
      </c>
      <c r="K487" s="120" t="str" cm="1">
        <f t="array" ref="K487">IF(I487="","",INDEX('Test schedule'!$J:$J,ROW()+7))</f>
        <v/>
      </c>
      <c r="L487" s="129" t="str" cm="1">
        <f t="array" ref="L487">IF(OR(I487="",INDEX('Test schedule'!$T:$T,ROW()+7)=""),"",INDEX('Test schedule'!$T:$T,ROW()+7))</f>
        <v/>
      </c>
    </row>
    <row r="488" spans="2:12" ht="15" customHeight="1">
      <c r="B488" s="116" t="str">
        <f t="shared" si="54"/>
        <v/>
      </c>
      <c r="C488" s="117" t="str">
        <f t="shared" si="50"/>
        <v/>
      </c>
      <c r="D488" s="116" t="str">
        <f t="shared" si="51"/>
        <v/>
      </c>
      <c r="E488" s="120" t="str">
        <f t="shared" si="52"/>
        <v/>
      </c>
      <c r="F488" s="118" t="str">
        <f t="shared" si="53"/>
        <v/>
      </c>
      <c r="G488" s="126">
        <f t="shared" si="55"/>
        <v>42</v>
      </c>
      <c r="H488" s="116" t="str">
        <f t="shared" si="49"/>
        <v/>
      </c>
      <c r="I488" s="117" t="str" cm="1">
        <f t="array" ref="I48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Calculators'!$B$2+ICS4Test!$E486,""))</f>
        <v/>
      </c>
      <c r="J488" s="116" t="str" cm="1">
        <f t="array" ref="J488">IF(I488="","",INDEX('Test schedule'!$H:$H,ROW()+7))</f>
        <v/>
      </c>
      <c r="K488" s="120" t="str" cm="1">
        <f t="array" ref="K488">IF(I488="","",INDEX('Test schedule'!$J:$J,ROW()+7))</f>
        <v/>
      </c>
      <c r="L488" s="129" t="str" cm="1">
        <f t="array" ref="L488">IF(OR(I488="",INDEX('Test schedule'!$T:$T,ROW()+7)=""),"",INDEX('Test schedule'!$T:$T,ROW()+7))</f>
        <v/>
      </c>
    </row>
    <row r="489" spans="2:12" ht="15" customHeight="1">
      <c r="B489" s="116" t="str">
        <f t="shared" si="54"/>
        <v/>
      </c>
      <c r="C489" s="117" t="str">
        <f t="shared" si="50"/>
        <v/>
      </c>
      <c r="D489" s="116" t="str">
        <f t="shared" si="51"/>
        <v/>
      </c>
      <c r="E489" s="120" t="str">
        <f t="shared" si="52"/>
        <v/>
      </c>
      <c r="F489" s="118" t="str">
        <f t="shared" si="53"/>
        <v/>
      </c>
      <c r="G489" s="126">
        <f t="shared" si="55"/>
        <v>42</v>
      </c>
      <c r="H489" s="116" t="str">
        <f t="shared" si="49"/>
        <v/>
      </c>
      <c r="I489" s="117" t="str" cm="1">
        <f t="array" ref="I48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Calculators'!$B$2+ICS4Test!$E487,""))</f>
        <v/>
      </c>
      <c r="J489" s="116" t="str" cm="1">
        <f t="array" ref="J489">IF(I489="","",INDEX('Test schedule'!$H:$H,ROW()+7))</f>
        <v/>
      </c>
      <c r="K489" s="120" t="str" cm="1">
        <f t="array" ref="K489">IF(I489="","",INDEX('Test schedule'!$J:$J,ROW()+7))</f>
        <v/>
      </c>
      <c r="L489" s="129" t="str" cm="1">
        <f t="array" ref="L489">IF(OR(I489="",INDEX('Test schedule'!$T:$T,ROW()+7)=""),"",INDEX('Test schedule'!$T:$T,ROW()+7))</f>
        <v/>
      </c>
    </row>
    <row r="490" spans="2:12" ht="15" customHeight="1">
      <c r="B490" s="116" t="str">
        <f t="shared" si="54"/>
        <v/>
      </c>
      <c r="C490" s="117" t="str">
        <f t="shared" si="50"/>
        <v/>
      </c>
      <c r="D490" s="116" t="str">
        <f t="shared" si="51"/>
        <v/>
      </c>
      <c r="E490" s="120" t="str">
        <f t="shared" si="52"/>
        <v/>
      </c>
      <c r="F490" s="118" t="str">
        <f t="shared" si="53"/>
        <v/>
      </c>
      <c r="G490" s="126">
        <f t="shared" si="55"/>
        <v>42</v>
      </c>
      <c r="H490" s="116" t="str">
        <f t="shared" si="49"/>
        <v/>
      </c>
      <c r="I490" s="117" t="str" cm="1">
        <f t="array" ref="I49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Calculators'!$B$2+ICS4Test!$E488,""))</f>
        <v/>
      </c>
      <c r="J490" s="116" t="str" cm="1">
        <f t="array" ref="J490">IF(I490="","",INDEX('Test schedule'!$H:$H,ROW()+7))</f>
        <v/>
      </c>
      <c r="K490" s="120" t="str" cm="1">
        <f t="array" ref="K490">IF(I490="","",INDEX('Test schedule'!$J:$J,ROW()+7))</f>
        <v/>
      </c>
      <c r="L490" s="129" t="str" cm="1">
        <f t="array" ref="L490">IF(OR(I490="",INDEX('Test schedule'!$T:$T,ROW()+7)=""),"",INDEX('Test schedule'!$T:$T,ROW()+7))</f>
        <v/>
      </c>
    </row>
    <row r="491" spans="2:12" ht="15" customHeight="1">
      <c r="B491" s="116" t="str">
        <f t="shared" si="54"/>
        <v/>
      </c>
      <c r="C491" s="117" t="str">
        <f t="shared" si="50"/>
        <v/>
      </c>
      <c r="D491" s="116" t="str">
        <f t="shared" si="51"/>
        <v/>
      </c>
      <c r="E491" s="120" t="str">
        <f t="shared" si="52"/>
        <v/>
      </c>
      <c r="F491" s="118" t="str">
        <f t="shared" si="53"/>
        <v/>
      </c>
      <c r="G491" s="126">
        <f t="shared" si="55"/>
        <v>42</v>
      </c>
      <c r="H491" s="116" t="str">
        <f t="shared" si="49"/>
        <v/>
      </c>
      <c r="I491" s="117" t="str" cm="1">
        <f t="array" ref="I491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Calculators'!$B$2+ICS4Test!$E489,""))</f>
        <v/>
      </c>
      <c r="J491" s="116" t="str" cm="1">
        <f t="array" ref="J491">IF(I491="","",INDEX('Test schedule'!$H:$H,ROW()+7))</f>
        <v/>
      </c>
      <c r="K491" s="120" t="str" cm="1">
        <f t="array" ref="K491">IF(I491="","",INDEX('Test schedule'!$J:$J,ROW()+7))</f>
        <v/>
      </c>
      <c r="L491" s="129" t="str" cm="1">
        <f t="array" ref="L491">IF(OR(I491="",INDEX('Test schedule'!$T:$T,ROW()+7)=""),"",INDEX('Test schedule'!$T:$T,ROW()+7))</f>
        <v/>
      </c>
    </row>
    <row r="492" spans="2:12" ht="15" customHeight="1">
      <c r="B492" s="116" t="str">
        <f t="shared" si="54"/>
        <v/>
      </c>
      <c r="C492" s="117" t="str">
        <f t="shared" si="50"/>
        <v/>
      </c>
      <c r="D492" s="116" t="str">
        <f t="shared" si="51"/>
        <v/>
      </c>
      <c r="E492" s="120" t="str">
        <f t="shared" si="52"/>
        <v/>
      </c>
      <c r="F492" s="118" t="str">
        <f t="shared" si="53"/>
        <v/>
      </c>
      <c r="G492" s="126">
        <f t="shared" si="55"/>
        <v>42</v>
      </c>
      <c r="H492" s="116" t="str">
        <f t="shared" si="49"/>
        <v/>
      </c>
      <c r="I492" s="117" t="str" cm="1">
        <f t="array" ref="I492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Calculators'!$B$2+ICS4Test!$E490,""))</f>
        <v/>
      </c>
      <c r="J492" s="116" t="str" cm="1">
        <f t="array" ref="J492">IF(I492="","",INDEX('Test schedule'!$H:$H,ROW()+7))</f>
        <v/>
      </c>
      <c r="K492" s="120" t="str" cm="1">
        <f t="array" ref="K492">IF(I492="","",INDEX('Test schedule'!$J:$J,ROW()+7))</f>
        <v/>
      </c>
      <c r="L492" s="129" t="str" cm="1">
        <f t="array" ref="L492">IF(OR(I492="",INDEX('Test schedule'!$T:$T,ROW()+7)=""),"",INDEX('Test schedule'!$T:$T,ROW()+7))</f>
        <v/>
      </c>
    </row>
    <row r="493" spans="2:12" ht="15" customHeight="1">
      <c r="B493" s="116" t="str">
        <f t="shared" si="54"/>
        <v/>
      </c>
      <c r="C493" s="117" t="str">
        <f t="shared" si="50"/>
        <v/>
      </c>
      <c r="D493" s="116" t="str">
        <f t="shared" si="51"/>
        <v/>
      </c>
      <c r="E493" s="120" t="str">
        <f t="shared" si="52"/>
        <v/>
      </c>
      <c r="F493" s="118" t="str">
        <f t="shared" si="53"/>
        <v/>
      </c>
      <c r="G493" s="126">
        <f t="shared" si="55"/>
        <v>42</v>
      </c>
      <c r="H493" s="116" t="str">
        <f t="shared" ref="H493:H500" si="56">IF(I493="","",IF(I493="END","START",IF(OR(I492="END",I492=I493,I492=""),IF(OR(H492="",H492="START"),I493-$U$3,H492),IFERROR(IF(I492&gt;I493,I493-$U$3,I492),I492))))</f>
        <v/>
      </c>
      <c r="I493" s="117" t="str" cm="1">
        <f t="array" ref="I493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Calculators'!$B$2+ICS4Test!$E491,""))</f>
        <v/>
      </c>
      <c r="J493" s="116" t="str" cm="1">
        <f t="array" ref="J493">IF(I493="","",INDEX('Test schedule'!$H:$H,ROW()+7))</f>
        <v/>
      </c>
      <c r="K493" s="120" t="str" cm="1">
        <f t="array" ref="K493">IF(I493="","",INDEX('Test schedule'!$J:$J,ROW()+7))</f>
        <v/>
      </c>
      <c r="L493" s="129" t="str" cm="1">
        <f t="array" ref="L493">IF(OR(I493="",INDEX('Test schedule'!$T:$T,ROW()+7)=""),"",INDEX('Test schedule'!$T:$T,ROW()+7))</f>
        <v/>
      </c>
    </row>
    <row r="494" spans="2:12" ht="15" customHeight="1">
      <c r="B494" s="116" t="str">
        <f t="shared" si="54"/>
        <v/>
      </c>
      <c r="C494" s="117" t="str">
        <f t="shared" si="50"/>
        <v/>
      </c>
      <c r="D494" s="116" t="str">
        <f t="shared" si="51"/>
        <v/>
      </c>
      <c r="E494" s="120" t="str">
        <f t="shared" si="52"/>
        <v/>
      </c>
      <c r="F494" s="118" t="str">
        <f t="shared" si="53"/>
        <v/>
      </c>
      <c r="G494" s="126">
        <f t="shared" si="55"/>
        <v>42</v>
      </c>
      <c r="H494" s="116" t="str">
        <f t="shared" si="56"/>
        <v/>
      </c>
      <c r="I494" s="117" t="str" cm="1">
        <f t="array" ref="I494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Calculators'!$B$2+ICS4Test!$E492,""))</f>
        <v/>
      </c>
      <c r="J494" s="116" t="str" cm="1">
        <f t="array" ref="J494">IF(I494="","",INDEX('Test schedule'!$H:$H,ROW()+7))</f>
        <v/>
      </c>
      <c r="K494" s="120" t="str" cm="1">
        <f t="array" ref="K494">IF(I494="","",INDEX('Test schedule'!$J:$J,ROW()+7))</f>
        <v/>
      </c>
      <c r="L494" s="129" t="str" cm="1">
        <f t="array" ref="L494">IF(OR(I494="",INDEX('Test schedule'!$T:$T,ROW()+7)=""),"",INDEX('Test schedule'!$T:$T,ROW()+7))</f>
        <v/>
      </c>
    </row>
    <row r="495" spans="2:12" ht="15" customHeight="1">
      <c r="B495" s="116" t="str">
        <f t="shared" si="54"/>
        <v/>
      </c>
      <c r="C495" s="117" t="str">
        <f t="shared" si="50"/>
        <v/>
      </c>
      <c r="D495" s="116" t="str">
        <f t="shared" si="51"/>
        <v/>
      </c>
      <c r="E495" s="120" t="str">
        <f t="shared" si="52"/>
        <v/>
      </c>
      <c r="F495" s="118" t="str">
        <f t="shared" si="53"/>
        <v/>
      </c>
      <c r="G495" s="126">
        <f t="shared" si="55"/>
        <v>42</v>
      </c>
      <c r="H495" s="116" t="str">
        <f t="shared" si="56"/>
        <v/>
      </c>
      <c r="I495" s="117" t="str" cm="1">
        <f t="array" ref="I495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Calculators'!$B$2+ICS4Test!$E493,""))</f>
        <v/>
      </c>
      <c r="J495" s="116" t="str" cm="1">
        <f t="array" ref="J495">IF(I495="","",INDEX('Test schedule'!$H:$H,ROW()+7))</f>
        <v/>
      </c>
      <c r="K495" s="120" t="str" cm="1">
        <f t="array" ref="K495">IF(I495="","",INDEX('Test schedule'!$J:$J,ROW()+7))</f>
        <v/>
      </c>
      <c r="L495" s="129" t="str" cm="1">
        <f t="array" ref="L495">IF(OR(I495="",INDEX('Test schedule'!$T:$T,ROW()+7)=""),"",INDEX('Test schedule'!$T:$T,ROW()+7))</f>
        <v/>
      </c>
    </row>
    <row r="496" spans="2:12" ht="15" customHeight="1">
      <c r="B496" s="116" t="str">
        <f t="shared" si="54"/>
        <v/>
      </c>
      <c r="C496" s="117" t="str">
        <f t="shared" si="50"/>
        <v/>
      </c>
      <c r="D496" s="116" t="str">
        <f t="shared" si="51"/>
        <v/>
      </c>
      <c r="E496" s="120" t="str">
        <f t="shared" si="52"/>
        <v/>
      </c>
      <c r="F496" s="118" t="str">
        <f t="shared" si="53"/>
        <v/>
      </c>
      <c r="G496" s="126">
        <f t="shared" si="55"/>
        <v>42</v>
      </c>
      <c r="H496" s="116" t="str">
        <f t="shared" si="56"/>
        <v/>
      </c>
      <c r="I496" s="117" t="str" cm="1">
        <f t="array" ref="I496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Calculators'!$B$2+ICS4Test!$E494,""))</f>
        <v/>
      </c>
      <c r="J496" s="116" t="str" cm="1">
        <f t="array" ref="J496">IF(I496="","",INDEX('Test schedule'!$H:$H,ROW()+7))</f>
        <v/>
      </c>
      <c r="K496" s="120" t="str" cm="1">
        <f t="array" ref="K496">IF(I496="","",INDEX('Test schedule'!$J:$J,ROW()+7))</f>
        <v/>
      </c>
      <c r="L496" s="129" t="str" cm="1">
        <f t="array" ref="L496">IF(OR(I496="",INDEX('Test schedule'!$T:$T,ROW()+7)=""),"",INDEX('Test schedule'!$T:$T,ROW()+7))</f>
        <v/>
      </c>
    </row>
    <row r="497" spans="2:12" ht="15" customHeight="1">
      <c r="B497" s="116" t="str">
        <f t="shared" si="54"/>
        <v/>
      </c>
      <c r="C497" s="117" t="str">
        <f t="shared" si="50"/>
        <v/>
      </c>
      <c r="D497" s="116" t="str">
        <f t="shared" si="51"/>
        <v/>
      </c>
      <c r="E497" s="120" t="str">
        <f t="shared" si="52"/>
        <v/>
      </c>
      <c r="F497" s="118" t="str">
        <f t="shared" si="53"/>
        <v/>
      </c>
      <c r="G497" s="126">
        <f t="shared" si="55"/>
        <v>42</v>
      </c>
      <c r="H497" s="116" t="str">
        <f t="shared" si="56"/>
        <v/>
      </c>
      <c r="I497" s="117" t="str" cm="1">
        <f t="array" ref="I497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Calculators'!$B$2+ICS4Test!$E495,""))</f>
        <v/>
      </c>
      <c r="J497" s="116" t="str" cm="1">
        <f t="array" ref="J497">IF(I497="","",INDEX('Test schedule'!$H:$H,ROW()+7))</f>
        <v/>
      </c>
      <c r="K497" s="120" t="str" cm="1">
        <f t="array" ref="K497">IF(I497="","",INDEX('Test schedule'!$J:$J,ROW()+7))</f>
        <v/>
      </c>
      <c r="L497" s="129" t="str" cm="1">
        <f t="array" ref="L497">IF(OR(I497="",INDEX('Test schedule'!$T:$T,ROW()+7)=""),"",INDEX('Test schedule'!$T:$T,ROW()+7))</f>
        <v/>
      </c>
    </row>
    <row r="498" spans="2:12" ht="15" customHeight="1">
      <c r="B498" s="116" t="str">
        <f t="shared" si="54"/>
        <v/>
      </c>
      <c r="C498" s="117" t="str">
        <f t="shared" si="50"/>
        <v/>
      </c>
      <c r="D498" s="116" t="str">
        <f t="shared" si="51"/>
        <v/>
      </c>
      <c r="E498" s="120" t="str">
        <f t="shared" si="52"/>
        <v/>
      </c>
      <c r="F498" s="118" t="str">
        <f t="shared" si="53"/>
        <v/>
      </c>
      <c r="G498" s="126">
        <f t="shared" si="55"/>
        <v>42</v>
      </c>
      <c r="H498" s="116" t="str">
        <f t="shared" si="56"/>
        <v/>
      </c>
      <c r="I498" s="117" t="str" cm="1">
        <f t="array" ref="I498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Calculators'!$B$2+ICS4Test!$E496,""))</f>
        <v/>
      </c>
      <c r="J498" s="116" t="str" cm="1">
        <f t="array" ref="J498">IF(I498="","",INDEX('Test schedule'!$H:$H,ROW()+7))</f>
        <v/>
      </c>
      <c r="K498" s="120" t="str" cm="1">
        <f t="array" ref="K498">IF(I498="","",INDEX('Test schedule'!$J:$J,ROW()+7))</f>
        <v/>
      </c>
      <c r="L498" s="129" t="str" cm="1">
        <f t="array" ref="L498">IF(OR(I498="",INDEX('Test schedule'!$T:$T,ROW()+7)=""),"",INDEX('Test schedule'!$T:$T,ROW()+7))</f>
        <v/>
      </c>
    </row>
    <row r="499" spans="2:12" ht="15" customHeight="1">
      <c r="B499" s="116" t="str">
        <f t="shared" si="54"/>
        <v/>
      </c>
      <c r="C499" s="117" t="str">
        <f t="shared" si="50"/>
        <v/>
      </c>
      <c r="D499" s="116" t="str">
        <f t="shared" si="51"/>
        <v/>
      </c>
      <c r="E499" s="120" t="str">
        <f t="shared" si="52"/>
        <v/>
      </c>
      <c r="F499" s="118" t="str">
        <f t="shared" si="53"/>
        <v/>
      </c>
      <c r="G499" s="126">
        <f t="shared" si="55"/>
        <v>42</v>
      </c>
      <c r="H499" s="116" t="str">
        <f t="shared" si="56"/>
        <v/>
      </c>
      <c r="I499" s="117" t="str" cm="1">
        <f t="array" ref="I499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Calculators'!$B$2+ICS4Test!$E497,""))</f>
        <v/>
      </c>
      <c r="J499" s="116" t="str" cm="1">
        <f t="array" ref="J499">IF(I499="","",INDEX('Test schedule'!$H:$H,ROW()+7))</f>
        <v/>
      </c>
      <c r="K499" s="120" t="str" cm="1">
        <f t="array" ref="K499">IF(I499="","",INDEX('Test schedule'!$J:$J,ROW()+7))</f>
        <v/>
      </c>
      <c r="L499" s="129" t="str" cm="1">
        <f t="array" ref="L499">IF(OR(I499="",INDEX('Test schedule'!$T:$T,ROW()+7)=""),"",INDEX('Test schedule'!$T:$T,ROW()+7))</f>
        <v/>
      </c>
    </row>
    <row r="500" spans="2:12" ht="15" customHeight="1">
      <c r="B500" s="116" t="str">
        <f t="shared" si="54"/>
        <v/>
      </c>
      <c r="C500" s="117" t="str">
        <f t="shared" si="50"/>
        <v/>
      </c>
      <c r="D500" s="116" t="str">
        <f t="shared" si="51"/>
        <v/>
      </c>
      <c r="E500" s="120" t="str">
        <f t="shared" si="52"/>
        <v/>
      </c>
      <c r="F500" s="118" t="str">
        <f t="shared" si="53"/>
        <v/>
      </c>
      <c r="G500" s="126">
        <f t="shared" si="55"/>
        <v>42</v>
      </c>
      <c r="H500" s="116" t="str">
        <f t="shared" si="56"/>
        <v/>
      </c>
      <c r="I500" s="117" t="str" cm="1">
        <f t="array" ref="I500">IF(OR(INDEX('Test schedule'!$B:$B,ROW()+8)="START",INDEX('Test schedule'!$B:$B,ROW()+7)="",INDEX('Test schedule'!$B:$B,ROW()+7)="START",INDEX('Test schedule'!$B:$B,ROW()+7)="TBA",INDEX('Test schedule'!$B:$B,ROW()+7)="TBC"), IF(INDEX('Test schedule'!$B:$B,ROW()+7)="START",$C$3,""),IF(INDEX('Test schedule'!$AG:$AG,ROW()+7)="x",INDEX('Test schedule'!$B:$B,ROW()+7)+'Date Calculators'!$B$2+ICS4Test!$E498,""))</f>
        <v/>
      </c>
      <c r="J500" s="116" t="str" cm="1">
        <f t="array" ref="J500">IF(I500="","",INDEX('Test schedule'!$H:$H,ROW()+7))</f>
        <v/>
      </c>
      <c r="K500" s="120" t="str" cm="1">
        <f t="array" ref="K500">IF(I500="","",INDEX('Test schedule'!$J:$J,ROW()+7))</f>
        <v/>
      </c>
      <c r="L500" s="129" t="str" cm="1">
        <f t="array" ref="L500">IF(OR(I500="",INDEX('Test schedule'!$T:$T,ROW()+7)=""),"",INDEX('Test schedule'!$T:$T,ROW()+7))</f>
        <v/>
      </c>
    </row>
  </sheetData>
  <sheetProtection formatCells="0"/>
  <mergeCells count="7">
    <mergeCell ref="N3:T3"/>
    <mergeCell ref="N4:U5"/>
    <mergeCell ref="A1:B1"/>
    <mergeCell ref="C1:D1"/>
    <mergeCell ref="N2:U2"/>
    <mergeCell ref="I1:J1"/>
    <mergeCell ref="G1:G3"/>
  </mergeCells>
  <conditionalFormatting sqref="C4:C500">
    <cfRule type="expression" dxfId="19" priority="33">
      <formula>E4="Activity"</formula>
    </cfRule>
    <cfRule type="expression" dxfId="18" priority="40">
      <formula>AND(B4&lt;C1,B4&lt;&gt;"",C1&lt;&gt;"",C1&lt;&gt;"END")</formula>
    </cfRule>
  </conditionalFormatting>
  <conditionalFormatting sqref="B4:B500">
    <cfRule type="expression" dxfId="17" priority="34">
      <formula>E4="Activity"</formula>
    </cfRule>
    <cfRule type="expression" dxfId="16" priority="39">
      <formula>AND(B4&lt;C1,B4&lt;&gt;"",C1&lt;&gt;"",C1&lt;&gt;"END")</formula>
    </cfRule>
  </conditionalFormatting>
  <conditionalFormatting sqref="D4:D500">
    <cfRule type="expression" dxfId="15" priority="32">
      <formula>E4="Activity"</formula>
    </cfRule>
    <cfRule type="expression" dxfId="14" priority="38">
      <formula>AND(B4&lt;C1,B4&lt;&gt;"",C1&lt;&gt;"",C1&lt;&gt;"END")</formula>
    </cfRule>
  </conditionalFormatting>
  <conditionalFormatting sqref="E4:E500">
    <cfRule type="expression" dxfId="13" priority="37">
      <formula>AND(B4&lt;C1,B4&lt;&gt;"",C1&lt;&gt;"",C1&lt;&gt;"END")</formula>
    </cfRule>
  </conditionalFormatting>
  <conditionalFormatting sqref="F4:F500">
    <cfRule type="expression" dxfId="12" priority="31">
      <formula>E4="Activity"</formula>
    </cfRule>
    <cfRule type="expression" dxfId="11" priority="36">
      <formula>AND(B4&lt;C1,B4&lt;&gt;"",C1&lt;&gt;"",C1&lt;&gt;"END")</formula>
    </cfRule>
  </conditionalFormatting>
  <conditionalFormatting sqref="E4:E500">
    <cfRule type="expression" dxfId="10" priority="35">
      <formula>E4="Activity"</formula>
    </cfRule>
  </conditionalFormatting>
  <conditionalFormatting sqref="I4:I500">
    <cfRule type="expression" dxfId="9" priority="3">
      <formula>K4="Activity"</formula>
    </cfRule>
    <cfRule type="expression" dxfId="8" priority="10">
      <formula>AND(H4&lt;I1,H4&lt;&gt;"",I1&lt;&gt;"",I1&lt;&gt;"END")</formula>
    </cfRule>
  </conditionalFormatting>
  <conditionalFormatting sqref="H4:H500">
    <cfRule type="expression" dxfId="7" priority="4">
      <formula>K4="Activity"</formula>
    </cfRule>
    <cfRule type="expression" dxfId="6" priority="9">
      <formula>AND(H4&lt;I1,H4&lt;&gt;"",I1&lt;&gt;"",I1&lt;&gt;"END")</formula>
    </cfRule>
  </conditionalFormatting>
  <conditionalFormatting sqref="J4:J500">
    <cfRule type="expression" dxfId="5" priority="2">
      <formula>K4="Activity"</formula>
    </cfRule>
    <cfRule type="expression" dxfId="4" priority="8">
      <formula>AND(H4&lt;I1,H4&lt;&gt;"",I1&lt;&gt;"",I1&lt;&gt;"END")</formula>
    </cfRule>
  </conditionalFormatting>
  <conditionalFormatting sqref="K4:K500">
    <cfRule type="expression" dxfId="3" priority="7">
      <formula>AND(H4&lt;I1,H4&lt;&gt;"",I1&lt;&gt;"",I1&lt;&gt;"END")</formula>
    </cfRule>
  </conditionalFormatting>
  <conditionalFormatting sqref="L4:L500">
    <cfRule type="expression" dxfId="2" priority="1">
      <formula>K4="Activity"</formula>
    </cfRule>
    <cfRule type="expression" dxfId="1" priority="6">
      <formula>AND(H4&lt;I1,H4&lt;&gt;"",I1&lt;&gt;"",I1&lt;&gt;"END")</formula>
    </cfRule>
  </conditionalFormatting>
  <conditionalFormatting sqref="K4:K500">
    <cfRule type="expression" dxfId="0" priority="5">
      <formula>K4="Activity"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9BE11-DA97-4543-B553-604D37DEC8E2}">
  <sheetPr codeName="OT4Test"/>
  <dimension ref="A1:A966"/>
  <sheetViews>
    <sheetView workbookViewId="0">
      <selection activeCell="L11" sqref="L11"/>
    </sheetView>
  </sheetViews>
  <sheetFormatPr defaultColWidth="8.7109375" defaultRowHeight="14.45"/>
  <sheetData>
    <row r="1" spans="1:1">
      <c r="A1" t="str">
        <f>ICS4Test!H2</f>
        <v xml:space="preserve">2026-03-06T08:00:0011, Breakfast </v>
      </c>
    </row>
    <row r="2" spans="1:1">
      <c r="A2" t="str">
        <f>ICS4Test!H3</f>
        <v>2026-03-06T09:00:0011, Rental Car Arrival</v>
      </c>
    </row>
    <row r="3" spans="1:1">
      <c r="A3" t="str">
        <f>ICS4Test!H4</f>
        <v>2026-03-06T09:15:0011, Leaving Hotel</v>
      </c>
    </row>
    <row r="4" spans="1:1">
      <c r="A4" t="str">
        <f>ICS4Test!H5</f>
        <v>2026-03-06T09:45:0011, Build-Up</v>
      </c>
    </row>
    <row r="5" spans="1:1">
      <c r="A5" t="str">
        <f>ICS4Test!H6</f>
        <v>2026-03-06T12:00:0011, Lunch</v>
      </c>
    </row>
    <row r="6" spans="1:1">
      <c r="A6" t="str">
        <f>ICS4Test!H7</f>
        <v xml:space="preserve">2026-03-07T07:30:0011, Breakfast </v>
      </c>
    </row>
    <row r="7" spans="1:1">
      <c r="A7" t="str">
        <f>ICS4Test!H8</f>
        <v>2026-03-07T08:00:0011, Leaving Hotel</v>
      </c>
    </row>
    <row r="8" spans="1:1">
      <c r="A8" t="str">
        <f>ICS4Test!H9</f>
        <v>2026-03-07T10:30:0011, Driver Arrival Circuit</v>
      </c>
    </row>
    <row r="9" spans="1:1">
      <c r="A9" t="str">
        <f>ICS4Test!H10</f>
        <v>2026-03-07T10:30:0011, PREP Equipment for Scrutineering</v>
      </c>
    </row>
    <row r="10" spans="1:1">
      <c r="A10" t="str">
        <f>ICS4Test!H11</f>
        <v>2026-03-07T11:00:0011, Event PM - Part 1</v>
      </c>
    </row>
    <row r="11" spans="1:1">
      <c r="A11" t="str">
        <f>ICS4Test!H12</f>
        <v>2026-03-07T11:30:0011, Lunch</v>
      </c>
    </row>
    <row r="12" spans="1:1">
      <c r="A12" t="str">
        <f>ICS4Test!H13</f>
        <v>2026-03-07T13:30:0011, Event PM - Part 2</v>
      </c>
    </row>
    <row r="13" spans="1:1">
      <c r="A13" t="str">
        <f>ICS4Test!H14</f>
        <v>2026-03-07T15:00:0011, ARAMCO Presentation</v>
      </c>
    </row>
    <row r="14" spans="1:1">
      <c r="A14" t="str">
        <f>ICS4Test!H15</f>
        <v>2026-03-07T17:00:0011, Track Walk</v>
      </c>
    </row>
    <row r="15" spans="1:1">
      <c r="A15" t="str">
        <f>ICS4Test!H16</f>
        <v xml:space="preserve">2026-03-07T18:45:0011, Pitstop Practice &amp; Radio check </v>
      </c>
    </row>
    <row r="16" spans="1:1">
      <c r="A16" t="str">
        <f>ICS4Test!H17</f>
        <v>2026-03-08T08:30:0011, Breakfast</v>
      </c>
    </row>
    <row r="17" spans="1:1">
      <c r="A17" t="str">
        <f>ICS4Test!H18</f>
        <v>2026-03-08T09:00:0011, Team Meeting</v>
      </c>
    </row>
    <row r="18" spans="1:1">
      <c r="A18" t="str">
        <f>ICS4Test!H19</f>
        <v>2026-03-08T09:10:0011, Leaving Hotel</v>
      </c>
    </row>
    <row r="19" spans="1:1">
      <c r="A19" t="str">
        <f>ICS4Test!H20</f>
        <v>2026-03-08T10:50:0011, Engine Warm-up</v>
      </c>
    </row>
    <row r="20" spans="1:1">
      <c r="A20" t="str">
        <f>ICS4Test!H21</f>
        <v>2026-03-08T11:00:0011, Driver Arrival Circuit</v>
      </c>
    </row>
    <row r="21" spans="1:1">
      <c r="A21" t="str">
        <f>ICS4Test!H22</f>
        <v>2026-03-08T11:05:0011, Session Fuel in</v>
      </c>
    </row>
    <row r="22" spans="1:1">
      <c r="A22" t="str">
        <f>ICS4Test!H23</f>
        <v>2026-03-08T11:10:0011, Set Tyre Pres.</v>
      </c>
    </row>
    <row r="23" spans="1:1">
      <c r="A23" t="str">
        <f>ICS4Test!H24</f>
        <v xml:space="preserve">2026-03-08T11:25:0011, Drivers PM    </v>
      </c>
    </row>
    <row r="24" spans="1:1">
      <c r="A24" t="str">
        <f>ICS4Test!H25</f>
        <v>2026-03-08T11:30:0011, Pirelli parc ferme open</v>
      </c>
    </row>
    <row r="25" spans="1:1">
      <c r="A25" t="str">
        <f>ICS4Test!H26</f>
        <v>2026-03-08T11:30:0011, Lunch</v>
      </c>
    </row>
    <row r="26" spans="1:1">
      <c r="A26" t="str">
        <f>ICS4Test!H27</f>
        <v>2026-03-08T12:00:0011, Last Fire Up (Car on the Ground)</v>
      </c>
    </row>
    <row r="27" spans="1:1">
      <c r="A27" t="str">
        <f>ICS4Test!H28</f>
        <v>2026-03-08T12:00:0011, Cars stand by</v>
      </c>
    </row>
    <row r="28" spans="1:1">
      <c r="A28" t="str">
        <f>ICS4Test!H29</f>
        <v>2026-03-08T12:15:0011, Drivers ready in car</v>
      </c>
    </row>
    <row r="29" spans="1:1">
      <c r="A29" t="str">
        <f>ICS4Test!H30</f>
        <v>2026-03-08T12:30:0011, Session 1</v>
      </c>
    </row>
    <row r="30" spans="1:1">
      <c r="A30" t="str">
        <f>ICS4Test!H31</f>
        <v>2026-03-08T15:05:0011, DB Session 3</v>
      </c>
    </row>
    <row r="31" spans="1:1">
      <c r="A31" t="str">
        <f>ICS4Test!H32</f>
        <v>2026-03-08T16:50:0011, Engine Fire-Up</v>
      </c>
    </row>
    <row r="32" spans="1:1">
      <c r="A32" t="str">
        <f>ICS4Test!H33</f>
        <v>2026-03-08T17:05:0011, Session Fuel in</v>
      </c>
    </row>
    <row r="33" spans="1:1">
      <c r="A33" t="str">
        <f>ICS4Test!H34</f>
        <v>2026-03-08T17:10:0011, Set Tyre Pres.</v>
      </c>
    </row>
    <row r="34" spans="1:1">
      <c r="A34" t="str">
        <f>ICS4Test!H35</f>
        <v xml:space="preserve">2026-03-08T17:25:0011, Drivers PM    </v>
      </c>
    </row>
    <row r="35" spans="1:1">
      <c r="A35" t="str">
        <f>ICS4Test!H36</f>
        <v>2026-03-08T17:30:0011, Dinner</v>
      </c>
    </row>
    <row r="36" spans="1:1">
      <c r="A36" t="str">
        <f>ICS4Test!H37</f>
        <v>2026-03-08T18:00:0011, Last Fire Up (Car on the Ground)</v>
      </c>
    </row>
    <row r="37" spans="1:1">
      <c r="A37" t="str">
        <f>ICS4Test!H38</f>
        <v>2026-03-08T18:00:0011, Cars stand by</v>
      </c>
    </row>
    <row r="38" spans="1:1">
      <c r="A38" t="str">
        <f>ICS4Test!H39</f>
        <v>2026-03-08T18:15:0011, Drivers ready in car</v>
      </c>
    </row>
    <row r="39" spans="1:1">
      <c r="A39" t="str">
        <f>ICS4Test!H40</f>
        <v>2026-03-08T18:30:0011, Session 2</v>
      </c>
    </row>
    <row r="40" spans="1:1">
      <c r="A40" t="str">
        <f>ICS4Test!H41</f>
        <v>2026-03-08T21:05:0011, DB Session 3</v>
      </c>
    </row>
    <row r="41" spans="1:1">
      <c r="A41" t="str">
        <f>ICS4Test!H42</f>
        <v>2026-03-08T23:00:0011, ASAP return all tyres to pirelli Parc Fermé</v>
      </c>
    </row>
    <row r="42" spans="1:1">
      <c r="A42" t="str">
        <f>ICS4Test!H43</f>
        <v>2026-03-09T10:50:0011, Engine Warm-up</v>
      </c>
    </row>
    <row r="43" spans="1:1">
      <c r="A43" t="str">
        <f>ICS4Test!H44</f>
        <v>2026-03-09T11:00:0011, Driver Arrival Circuit</v>
      </c>
    </row>
    <row r="44" spans="1:1">
      <c r="A44" t="str">
        <f>ICS4Test!H45</f>
        <v>2026-03-09T11:05:0011, Session Fuel in</v>
      </c>
    </row>
    <row r="45" spans="1:1">
      <c r="A45" t="str">
        <f>ICS4Test!H46</f>
        <v>2026-03-09T11:10:0011, Set Tyre Pres.</v>
      </c>
    </row>
    <row r="46" spans="1:1">
      <c r="A46" t="str">
        <f>ICS4Test!H47</f>
        <v xml:space="preserve">2026-03-09T11:25:0011, Drivers PM    </v>
      </c>
    </row>
    <row r="47" spans="1:1">
      <c r="A47" t="str">
        <f>ICS4Test!H48</f>
        <v>2026-03-09T11:30:0011, Pirelli parc ferme open</v>
      </c>
    </row>
    <row r="48" spans="1:1">
      <c r="A48" t="str">
        <f>ICS4Test!H49</f>
        <v>2026-03-09T11:30:0011, Lunch</v>
      </c>
    </row>
    <row r="49" spans="1:1">
      <c r="A49" t="str">
        <f>ICS4Test!H50</f>
        <v>2026-03-09T12:00:0011, Last Fire Up (Car on the Ground)</v>
      </c>
    </row>
    <row r="50" spans="1:1">
      <c r="A50" t="str">
        <f>ICS4Test!H51</f>
        <v>2026-03-09T12:00:0011, Cars stand by</v>
      </c>
    </row>
    <row r="51" spans="1:1">
      <c r="A51" t="str">
        <f>ICS4Test!H52</f>
        <v>2026-03-09T12:15:0011, Drivers ready in car</v>
      </c>
    </row>
    <row r="52" spans="1:1">
      <c r="A52" t="str">
        <f>ICS4Test!H53</f>
        <v>2026-03-09T12:30:0011, Session 3</v>
      </c>
    </row>
    <row r="53" spans="1:1">
      <c r="A53" t="str">
        <f>ICS4Test!H54</f>
        <v>2026-03-09T15:05:0011, DB Session 3</v>
      </c>
    </row>
    <row r="54" spans="1:1">
      <c r="A54" t="str">
        <f>ICS4Test!H55</f>
        <v>2026-03-09T16:50:0011, Engine Fire-Up</v>
      </c>
    </row>
    <row r="55" spans="1:1">
      <c r="A55" t="str">
        <f>ICS4Test!H56</f>
        <v>2026-03-09T17:05:0011, Session Fuel in</v>
      </c>
    </row>
    <row r="56" spans="1:1">
      <c r="A56" t="str">
        <f>ICS4Test!H57</f>
        <v>2026-03-09T17:10:0011, Set Tyre Pres.</v>
      </c>
    </row>
    <row r="57" spans="1:1">
      <c r="A57" t="str">
        <f>ICS4Test!H58</f>
        <v xml:space="preserve">2026-03-09T17:25:0011, Drivers PM    </v>
      </c>
    </row>
    <row r="58" spans="1:1">
      <c r="A58" t="str">
        <f>ICS4Test!H59</f>
        <v>2026-03-09T18:00:0011, Last Fire Up (Car on the Ground)</v>
      </c>
    </row>
    <row r="59" spans="1:1">
      <c r="A59" t="str">
        <f>ICS4Test!H60</f>
        <v>2026-03-09T18:00:0011, Cars stand by</v>
      </c>
    </row>
    <row r="60" spans="1:1">
      <c r="A60" t="str">
        <f>ICS4Test!H61</f>
        <v>2026-03-09T18:15:0011, Drivers ready in car</v>
      </c>
    </row>
    <row r="61" spans="1:1">
      <c r="A61" t="str">
        <f>ICS4Test!H62</f>
        <v>2026-03-09T18:30:0011, Session 4</v>
      </c>
    </row>
    <row r="62" spans="1:1">
      <c r="A62" t="str">
        <f>ICS4Test!H63</f>
        <v>2026-03-09T21:05:0011, DB Session 4</v>
      </c>
    </row>
    <row r="63" spans="1:1">
      <c r="A63" t="str">
        <f>ICS4Test!H64</f>
        <v>2026-03-09T23:00:0011, ASAP return all tyres to pirelli Parc Fermé</v>
      </c>
    </row>
    <row r="64" spans="1:1">
      <c r="A64" t="str">
        <f>ICS4Test!H65</f>
        <v>2026-03-10T10:50:0011, Engine Warm-up</v>
      </c>
    </row>
    <row r="65" spans="1:1">
      <c r="A65" t="str">
        <f>ICS4Test!H66</f>
        <v>2026-03-10T11:00:0011, Driver Arrival Circuit</v>
      </c>
    </row>
    <row r="66" spans="1:1">
      <c r="A66" t="str">
        <f>ICS4Test!H67</f>
        <v>2026-03-10T11:05:0011, Session Fuel in</v>
      </c>
    </row>
    <row r="67" spans="1:1">
      <c r="A67" t="str">
        <f>ICS4Test!H68</f>
        <v>2026-03-10T11:10:0011, Set Tyre Pres.</v>
      </c>
    </row>
    <row r="68" spans="1:1">
      <c r="A68" t="str">
        <f>ICS4Test!H69</f>
        <v xml:space="preserve">2026-03-10T11:25:0011, Drivers PM    </v>
      </c>
    </row>
    <row r="69" spans="1:1">
      <c r="A69" t="str">
        <f>ICS4Test!H70</f>
        <v>2026-03-10T11:30:0011, Pirelli parc ferme open</v>
      </c>
    </row>
    <row r="70" spans="1:1">
      <c r="A70" t="str">
        <f>ICS4Test!H71</f>
        <v>2026-03-10T11:30:0011, Lunch</v>
      </c>
    </row>
    <row r="71" spans="1:1">
      <c r="A71" t="str">
        <f>ICS4Test!H72</f>
        <v>2026-03-10T12:00:0011, Last Fire Up (Car on the Ground)</v>
      </c>
    </row>
    <row r="72" spans="1:1">
      <c r="A72" t="str">
        <f>ICS4Test!H73</f>
        <v>2026-03-10T12:00:0011, Cars stand by</v>
      </c>
    </row>
    <row r="73" spans="1:1">
      <c r="A73" t="str">
        <f>ICS4Test!H74</f>
        <v>2026-03-10T12:15:0011, Drivers ready in car</v>
      </c>
    </row>
    <row r="74" spans="1:1">
      <c r="A74" t="str">
        <f>ICS4Test!H75</f>
        <v>2026-03-10T12:30:0011, Session 5</v>
      </c>
    </row>
    <row r="75" spans="1:1">
      <c r="A75" t="str">
        <f>ICS4Test!H76</f>
        <v>2026-03-10T15:05:0011, DB Session 3</v>
      </c>
    </row>
    <row r="76" spans="1:1">
      <c r="A76" t="str">
        <f>ICS4Test!H77</f>
        <v>2026-03-10T16:50:0011, Engine Fire-Up</v>
      </c>
    </row>
    <row r="77" spans="1:1">
      <c r="A77" t="str">
        <f>ICS4Test!H78</f>
        <v>2026-03-10T17:05:0011, Session Fuel in</v>
      </c>
    </row>
    <row r="78" spans="1:1">
      <c r="A78" t="str">
        <f>ICS4Test!H79</f>
        <v>2026-03-10T17:10:0011, Set Tyre Pres.</v>
      </c>
    </row>
    <row r="79" spans="1:1">
      <c r="A79" t="str">
        <f>ICS4Test!H80</f>
        <v xml:space="preserve">2026-03-10T17:25:0011, Drivers PM    </v>
      </c>
    </row>
    <row r="80" spans="1:1">
      <c r="A80" t="str">
        <f>ICS4Test!H81</f>
        <v>2026-03-10T17:30:0011, Dinner</v>
      </c>
    </row>
    <row r="81" spans="1:1">
      <c r="A81" t="str">
        <f>ICS4Test!H82</f>
        <v>2026-03-10T18:00:0011, Last Fire Up (Car on the Ground)</v>
      </c>
    </row>
    <row r="82" spans="1:1">
      <c r="A82" t="str">
        <f>ICS4Test!H83</f>
        <v>2026-03-10T18:00:0011, Cars stand by</v>
      </c>
    </row>
    <row r="83" spans="1:1">
      <c r="A83" t="str">
        <f>ICS4Test!H84</f>
        <v>2026-03-10T18:15:0011, Drivers ready in car</v>
      </c>
    </row>
    <row r="84" spans="1:1">
      <c r="A84" t="str">
        <f>ICS4Test!H85</f>
        <v>2026-03-10T18:30:0011, Session 6</v>
      </c>
    </row>
    <row r="85" spans="1:1">
      <c r="A85" t="str">
        <f>ICS4Test!H86</f>
        <v>2026-03-10T21:05:0011, DB Session 3</v>
      </c>
    </row>
    <row r="86" spans="1:1">
      <c r="A86" t="str">
        <f>ICS4Test!H87</f>
        <v/>
      </c>
    </row>
    <row r="87" spans="1:1">
      <c r="A87" t="str">
        <f>ICS4Test!H88</f>
        <v/>
      </c>
    </row>
    <row r="88" spans="1:1">
      <c r="A88" t="str">
        <f>ICS4Test!H89</f>
        <v/>
      </c>
    </row>
    <row r="89" spans="1:1">
      <c r="A89" t="str">
        <f>ICS4Test!H90</f>
        <v/>
      </c>
    </row>
    <row r="90" spans="1:1">
      <c r="A90" t="str">
        <f>ICS4Test!H91</f>
        <v/>
      </c>
    </row>
    <row r="91" spans="1:1">
      <c r="A91" t="str">
        <f>ICS4Test!H92</f>
        <v/>
      </c>
    </row>
    <row r="92" spans="1:1">
      <c r="A92" t="str">
        <f>ICS4Test!H93</f>
        <v/>
      </c>
    </row>
    <row r="93" spans="1:1">
      <c r="A93" t="str">
        <f>ICS4Test!H94</f>
        <v/>
      </c>
    </row>
    <row r="94" spans="1:1">
      <c r="A94" t="str">
        <f>ICS4Test!H95</f>
        <v/>
      </c>
    </row>
    <row r="95" spans="1:1">
      <c r="A95" t="str">
        <f>ICS4Test!H96</f>
        <v/>
      </c>
    </row>
    <row r="96" spans="1:1">
      <c r="A96" t="str">
        <f>ICS4Test!H97</f>
        <v/>
      </c>
    </row>
    <row r="97" spans="1:1">
      <c r="A97" t="str">
        <f>ICS4Test!H98</f>
        <v/>
      </c>
    </row>
    <row r="98" spans="1:1">
      <c r="A98" t="str">
        <f>ICS4Test!H99</f>
        <v/>
      </c>
    </row>
    <row r="99" spans="1:1">
      <c r="A99" t="str">
        <f>ICS4Test!H100</f>
        <v/>
      </c>
    </row>
    <row r="100" spans="1:1">
      <c r="A100" t="str">
        <f>ICS4Test!H101</f>
        <v/>
      </c>
    </row>
    <row r="101" spans="1:1">
      <c r="A101" t="str">
        <f>ICS4Test!H102</f>
        <v/>
      </c>
    </row>
    <row r="102" spans="1:1">
      <c r="A102" t="str">
        <f>ICS4Test!H103</f>
        <v/>
      </c>
    </row>
    <row r="103" spans="1:1">
      <c r="A103" t="str">
        <f>ICS4Test!H104</f>
        <v/>
      </c>
    </row>
    <row r="104" spans="1:1">
      <c r="A104" t="str">
        <f>ICS4Test!H105</f>
        <v/>
      </c>
    </row>
    <row r="105" spans="1:1">
      <c r="A105" t="str">
        <f>ICS4Test!H106</f>
        <v/>
      </c>
    </row>
    <row r="106" spans="1:1">
      <c r="A106" t="str">
        <f>ICS4Test!H107</f>
        <v/>
      </c>
    </row>
    <row r="107" spans="1:1">
      <c r="A107" t="str">
        <f>ICS4Test!H108</f>
        <v/>
      </c>
    </row>
    <row r="108" spans="1:1">
      <c r="A108" t="str">
        <f>ICS4Test!H109</f>
        <v/>
      </c>
    </row>
    <row r="109" spans="1:1">
      <c r="A109" t="str">
        <f>ICS4Test!H110</f>
        <v/>
      </c>
    </row>
    <row r="110" spans="1:1">
      <c r="A110" t="str">
        <f>ICS4Test!H111</f>
        <v/>
      </c>
    </row>
    <row r="111" spans="1:1">
      <c r="A111" t="str">
        <f>ICS4Test!H112</f>
        <v/>
      </c>
    </row>
    <row r="112" spans="1:1">
      <c r="A112" t="str">
        <f>ICS4Test!H113</f>
        <v/>
      </c>
    </row>
    <row r="113" spans="1:1">
      <c r="A113" t="str">
        <f>ICS4Test!H114</f>
        <v/>
      </c>
    </row>
    <row r="114" spans="1:1">
      <c r="A114" t="str">
        <f>ICS4Test!H115</f>
        <v/>
      </c>
    </row>
    <row r="115" spans="1:1">
      <c r="A115" t="str">
        <f>ICS4Test!H116</f>
        <v/>
      </c>
    </row>
    <row r="116" spans="1:1">
      <c r="A116" t="str">
        <f>ICS4Test!H117</f>
        <v/>
      </c>
    </row>
    <row r="117" spans="1:1">
      <c r="A117" t="str">
        <f>ICS4Test!H118</f>
        <v/>
      </c>
    </row>
    <row r="118" spans="1:1">
      <c r="A118" t="str">
        <f>ICS4Test!H119</f>
        <v/>
      </c>
    </row>
    <row r="119" spans="1:1">
      <c r="A119" t="str">
        <f>ICS4Test!H120</f>
        <v/>
      </c>
    </row>
    <row r="120" spans="1:1">
      <c r="A120" t="str">
        <f>ICS4Test!H121</f>
        <v/>
      </c>
    </row>
    <row r="121" spans="1:1">
      <c r="A121" t="str">
        <f>ICS4Test!H122</f>
        <v/>
      </c>
    </row>
    <row r="122" spans="1:1">
      <c r="A122" t="str">
        <f>ICS4Test!H123</f>
        <v/>
      </c>
    </row>
    <row r="123" spans="1:1">
      <c r="A123" t="str">
        <f>ICS4Test!H124</f>
        <v/>
      </c>
    </row>
    <row r="124" spans="1:1">
      <c r="A124" t="str">
        <f>ICS4Test!H125</f>
        <v/>
      </c>
    </row>
    <row r="125" spans="1:1">
      <c r="A125" t="str">
        <f>ICS4Test!H126</f>
        <v/>
      </c>
    </row>
    <row r="126" spans="1:1">
      <c r="A126" t="str">
        <f>ICS4Test!H127</f>
        <v/>
      </c>
    </row>
    <row r="127" spans="1:1">
      <c r="A127" t="str">
        <f>ICS4Test!H128</f>
        <v/>
      </c>
    </row>
    <row r="128" spans="1:1">
      <c r="A128" t="str">
        <f>ICS4Test!H129</f>
        <v/>
      </c>
    </row>
    <row r="129" spans="1:1">
      <c r="A129" t="str">
        <f>ICS4Test!H130</f>
        <v/>
      </c>
    </row>
    <row r="130" spans="1:1">
      <c r="A130" t="str">
        <f>ICS4Test!H131</f>
        <v/>
      </c>
    </row>
    <row r="131" spans="1:1">
      <c r="A131" t="str">
        <f>ICS4Test!H132</f>
        <v/>
      </c>
    </row>
    <row r="132" spans="1:1">
      <c r="A132" t="str">
        <f>ICS4Test!H133</f>
        <v/>
      </c>
    </row>
    <row r="133" spans="1:1">
      <c r="A133" t="str">
        <f>ICS4Test!H134</f>
        <v/>
      </c>
    </row>
    <row r="134" spans="1:1">
      <c r="A134" t="str">
        <f>ICS4Test!H135</f>
        <v/>
      </c>
    </row>
    <row r="135" spans="1:1">
      <c r="A135" t="str">
        <f>ICS4Test!H136</f>
        <v/>
      </c>
    </row>
    <row r="136" spans="1:1">
      <c r="A136" t="str">
        <f>ICS4Test!H137</f>
        <v/>
      </c>
    </row>
    <row r="137" spans="1:1">
      <c r="A137" t="str">
        <f>ICS4Test!H138</f>
        <v/>
      </c>
    </row>
    <row r="138" spans="1:1">
      <c r="A138" t="str">
        <f>ICS4Test!H139</f>
        <v/>
      </c>
    </row>
    <row r="139" spans="1:1">
      <c r="A139" t="str">
        <f>ICS4Test!H140</f>
        <v/>
      </c>
    </row>
    <row r="140" spans="1:1">
      <c r="A140" t="str">
        <f>ICS4Test!H141</f>
        <v/>
      </c>
    </row>
    <row r="141" spans="1:1">
      <c r="A141" t="str">
        <f>ICS4Test!H142</f>
        <v/>
      </c>
    </row>
    <row r="142" spans="1:1">
      <c r="A142" t="str">
        <f>ICS4Test!H143</f>
        <v/>
      </c>
    </row>
    <row r="143" spans="1:1">
      <c r="A143" t="str">
        <f>ICS4Test!H144</f>
        <v/>
      </c>
    </row>
    <row r="144" spans="1:1">
      <c r="A144" t="str">
        <f>ICS4Test!H145</f>
        <v/>
      </c>
    </row>
    <row r="145" spans="1:1">
      <c r="A145" t="str">
        <f>ICS4Test!H146</f>
        <v/>
      </c>
    </row>
    <row r="146" spans="1:1">
      <c r="A146" t="str">
        <f>ICS4Test!H147</f>
        <v/>
      </c>
    </row>
    <row r="147" spans="1:1">
      <c r="A147" t="str">
        <f>ICS4Test!H148</f>
        <v/>
      </c>
    </row>
    <row r="148" spans="1:1">
      <c r="A148" t="str">
        <f>ICS4Test!H149</f>
        <v/>
      </c>
    </row>
    <row r="149" spans="1:1">
      <c r="A149" t="str">
        <f>ICS4Test!H150</f>
        <v/>
      </c>
    </row>
    <row r="150" spans="1:1">
      <c r="A150" t="str">
        <f>ICS4Test!H151</f>
        <v/>
      </c>
    </row>
    <row r="151" spans="1:1">
      <c r="A151" t="str">
        <f>ICS4Test!H152</f>
        <v/>
      </c>
    </row>
    <row r="152" spans="1:1">
      <c r="A152" t="str">
        <f>ICS4Test!H153</f>
        <v/>
      </c>
    </row>
    <row r="153" spans="1:1">
      <c r="A153" t="str">
        <f>ICS4Test!H154</f>
        <v/>
      </c>
    </row>
    <row r="154" spans="1:1">
      <c r="A154" t="str">
        <f>ICS4Test!H155</f>
        <v/>
      </c>
    </row>
    <row r="155" spans="1:1">
      <c r="A155" t="str">
        <f>ICS4Test!H156</f>
        <v/>
      </c>
    </row>
    <row r="156" spans="1:1">
      <c r="A156" t="str">
        <f>ICS4Test!H157</f>
        <v/>
      </c>
    </row>
    <row r="157" spans="1:1">
      <c r="A157" t="str">
        <f>ICS4Test!H158</f>
        <v/>
      </c>
    </row>
    <row r="158" spans="1:1">
      <c r="A158" t="str">
        <f>ICS4Test!H159</f>
        <v/>
      </c>
    </row>
    <row r="159" spans="1:1">
      <c r="A159" t="str">
        <f>ICS4Test!H160</f>
        <v/>
      </c>
    </row>
    <row r="160" spans="1:1">
      <c r="A160" t="str">
        <f>ICS4Test!H161</f>
        <v/>
      </c>
    </row>
    <row r="161" spans="1:1">
      <c r="A161" t="str">
        <f>ICS4Test!H162</f>
        <v/>
      </c>
    </row>
    <row r="162" spans="1:1">
      <c r="A162" t="str">
        <f>ICS4Test!H163</f>
        <v/>
      </c>
    </row>
    <row r="163" spans="1:1">
      <c r="A163" t="str">
        <f>ICS4Test!H164</f>
        <v/>
      </c>
    </row>
    <row r="164" spans="1:1">
      <c r="A164" t="str">
        <f>ICS4Test!H165</f>
        <v/>
      </c>
    </row>
    <row r="165" spans="1:1">
      <c r="A165" t="str">
        <f>ICS4Test!H166</f>
        <v/>
      </c>
    </row>
    <row r="166" spans="1:1">
      <c r="A166" t="str">
        <f>ICS4Test!H167</f>
        <v/>
      </c>
    </row>
    <row r="167" spans="1:1">
      <c r="A167" t="str">
        <f>ICS4Test!H168</f>
        <v/>
      </c>
    </row>
    <row r="168" spans="1:1">
      <c r="A168" t="str">
        <f>ICS4Test!H169</f>
        <v/>
      </c>
    </row>
    <row r="169" spans="1:1">
      <c r="A169" t="str">
        <f>ICS4Test!H170</f>
        <v/>
      </c>
    </row>
    <row r="170" spans="1:1">
      <c r="A170" t="str">
        <f>ICS4Test!H171</f>
        <v/>
      </c>
    </row>
    <row r="171" spans="1:1">
      <c r="A171" t="str">
        <f>ICS4Test!H172</f>
        <v/>
      </c>
    </row>
    <row r="172" spans="1:1">
      <c r="A172" t="str">
        <f>ICS4Test!H173</f>
        <v/>
      </c>
    </row>
    <row r="173" spans="1:1">
      <c r="A173" t="str">
        <f>ICS4Test!H174</f>
        <v/>
      </c>
    </row>
    <row r="174" spans="1:1">
      <c r="A174" t="str">
        <f>ICS4Test!H175</f>
        <v/>
      </c>
    </row>
    <row r="175" spans="1:1">
      <c r="A175" t="str">
        <f>ICS4Test!H176</f>
        <v/>
      </c>
    </row>
    <row r="176" spans="1:1">
      <c r="A176" t="str">
        <f>ICS4Test!H177</f>
        <v/>
      </c>
    </row>
    <row r="177" spans="1:1">
      <c r="A177" t="str">
        <f>ICS4Test!H178</f>
        <v/>
      </c>
    </row>
    <row r="178" spans="1:1">
      <c r="A178" t="str">
        <f>ICS4Test!H179</f>
        <v/>
      </c>
    </row>
    <row r="179" spans="1:1">
      <c r="A179" t="str">
        <f>ICS4Test!H180</f>
        <v/>
      </c>
    </row>
    <row r="180" spans="1:1">
      <c r="A180" t="str">
        <f>ICS4Test!H181</f>
        <v/>
      </c>
    </row>
    <row r="181" spans="1:1">
      <c r="A181" t="str">
        <f>ICS4Test!H182</f>
        <v/>
      </c>
    </row>
    <row r="182" spans="1:1">
      <c r="A182" t="str">
        <f>ICS4Test!H183</f>
        <v/>
      </c>
    </row>
    <row r="183" spans="1:1">
      <c r="A183" t="str">
        <f>ICS4Test!H184</f>
        <v/>
      </c>
    </row>
    <row r="184" spans="1:1">
      <c r="A184" t="str">
        <f>ICS4Test!H185</f>
        <v/>
      </c>
    </row>
    <row r="185" spans="1:1">
      <c r="A185" t="str">
        <f>ICS4Test!H186</f>
        <v/>
      </c>
    </row>
    <row r="186" spans="1:1">
      <c r="A186" t="str">
        <f>ICS4Test!H187</f>
        <v/>
      </c>
    </row>
    <row r="187" spans="1:1">
      <c r="A187" t="str">
        <f>ICS4Test!H188</f>
        <v/>
      </c>
    </row>
    <row r="188" spans="1:1">
      <c r="A188" t="str">
        <f>ICS4Test!H189</f>
        <v/>
      </c>
    </row>
    <row r="189" spans="1:1">
      <c r="A189" t="str">
        <f>ICS4Test!H190</f>
        <v/>
      </c>
    </row>
    <row r="190" spans="1:1">
      <c r="A190" t="str">
        <f>ICS4Test!H191</f>
        <v/>
      </c>
    </row>
    <row r="191" spans="1:1">
      <c r="A191" t="str">
        <f>ICS4Test!H192</f>
        <v/>
      </c>
    </row>
    <row r="192" spans="1:1">
      <c r="A192" t="str">
        <f>ICS4Test!H193</f>
        <v/>
      </c>
    </row>
    <row r="193" spans="1:1">
      <c r="A193" t="str">
        <f>ICS4Test!H194</f>
        <v/>
      </c>
    </row>
    <row r="194" spans="1:1">
      <c r="A194" t="str">
        <f>ICS4Test!H195</f>
        <v/>
      </c>
    </row>
    <row r="195" spans="1:1">
      <c r="A195" t="str">
        <f>ICS4Test!H196</f>
        <v/>
      </c>
    </row>
    <row r="196" spans="1:1">
      <c r="A196" t="str">
        <f>ICS4Test!H197</f>
        <v/>
      </c>
    </row>
    <row r="197" spans="1:1">
      <c r="A197" t="str">
        <f>ICS4Test!H198</f>
        <v/>
      </c>
    </row>
    <row r="198" spans="1:1">
      <c r="A198" t="str">
        <f>ICS4Test!H199</f>
        <v/>
      </c>
    </row>
    <row r="199" spans="1:1">
      <c r="A199" t="str">
        <f>ICS4Test!H200</f>
        <v/>
      </c>
    </row>
    <row r="200" spans="1:1">
      <c r="A200" t="str">
        <f>ICS4Test!H201</f>
        <v/>
      </c>
    </row>
    <row r="201" spans="1:1">
      <c r="A201" t="str">
        <f>ICS4Test!H202</f>
        <v/>
      </c>
    </row>
    <row r="202" spans="1:1">
      <c r="A202" t="str">
        <f>ICS4Test!H203</f>
        <v/>
      </c>
    </row>
    <row r="203" spans="1:1">
      <c r="A203" t="str">
        <f>ICS4Test!H204</f>
        <v/>
      </c>
    </row>
    <row r="204" spans="1:1">
      <c r="A204" t="str">
        <f>ICS4Test!H205</f>
        <v/>
      </c>
    </row>
    <row r="205" spans="1:1">
      <c r="A205" t="str">
        <f>ICS4Test!H206</f>
        <v/>
      </c>
    </row>
    <row r="206" spans="1:1">
      <c r="A206" t="str">
        <f>ICS4Test!H207</f>
        <v/>
      </c>
    </row>
    <row r="207" spans="1:1">
      <c r="A207" t="str">
        <f>ICS4Test!H208</f>
        <v/>
      </c>
    </row>
    <row r="208" spans="1:1">
      <c r="A208" t="str">
        <f>ICS4Test!H209</f>
        <v/>
      </c>
    </row>
    <row r="209" spans="1:1">
      <c r="A209" t="str">
        <f>ICS4Test!H210</f>
        <v/>
      </c>
    </row>
    <row r="210" spans="1:1">
      <c r="A210" t="str">
        <f>ICS4Test!H211</f>
        <v/>
      </c>
    </row>
    <row r="211" spans="1:1">
      <c r="A211" t="str">
        <f>ICS4Test!H212</f>
        <v/>
      </c>
    </row>
    <row r="212" spans="1:1">
      <c r="A212" t="str">
        <f>ICS4Test!H213</f>
        <v/>
      </c>
    </row>
    <row r="213" spans="1:1">
      <c r="A213" t="str">
        <f>ICS4Test!H214</f>
        <v/>
      </c>
    </row>
    <row r="214" spans="1:1">
      <c r="A214" t="str">
        <f>ICS4Test!H215</f>
        <v/>
      </c>
    </row>
    <row r="215" spans="1:1">
      <c r="A215" t="str">
        <f>ICS4Test!H216</f>
        <v/>
      </c>
    </row>
    <row r="216" spans="1:1">
      <c r="A216" t="str">
        <f>ICS4Test!H217</f>
        <v/>
      </c>
    </row>
    <row r="217" spans="1:1">
      <c r="A217" t="str">
        <f>ICS4Test!H218</f>
        <v/>
      </c>
    </row>
    <row r="218" spans="1:1">
      <c r="A218" t="str">
        <f>ICS4Test!H219</f>
        <v/>
      </c>
    </row>
    <row r="219" spans="1:1">
      <c r="A219" t="str">
        <f>ICS4Test!H220</f>
        <v/>
      </c>
    </row>
    <row r="220" spans="1:1">
      <c r="A220" t="str">
        <f>ICS4Test!H221</f>
        <v/>
      </c>
    </row>
    <row r="221" spans="1:1">
      <c r="A221" t="str">
        <f>ICS4Test!H222</f>
        <v/>
      </c>
    </row>
    <row r="222" spans="1:1">
      <c r="A222" t="str">
        <f>ICS4Test!H223</f>
        <v/>
      </c>
    </row>
    <row r="223" spans="1:1">
      <c r="A223" t="str">
        <f>ICS4Test!H224</f>
        <v/>
      </c>
    </row>
    <row r="224" spans="1:1">
      <c r="A224" t="str">
        <f>ICS4Test!H225</f>
        <v/>
      </c>
    </row>
    <row r="225" spans="1:1">
      <c r="A225" t="str">
        <f>ICS4Test!H226</f>
        <v/>
      </c>
    </row>
    <row r="226" spans="1:1">
      <c r="A226" t="str">
        <f>ICS4Test!H227</f>
        <v/>
      </c>
    </row>
    <row r="227" spans="1:1">
      <c r="A227" t="str">
        <f>ICS4Test!H228</f>
        <v/>
      </c>
    </row>
    <row r="228" spans="1:1">
      <c r="A228" t="str">
        <f>ICS4Test!H229</f>
        <v/>
      </c>
    </row>
    <row r="229" spans="1:1">
      <c r="A229" t="str">
        <f>ICS4Test!H230</f>
        <v/>
      </c>
    </row>
    <row r="230" spans="1:1">
      <c r="A230" t="str">
        <f>ICS4Test!H231</f>
        <v/>
      </c>
    </row>
    <row r="231" spans="1:1">
      <c r="A231" t="str">
        <f>ICS4Test!H232</f>
        <v/>
      </c>
    </row>
    <row r="232" spans="1:1">
      <c r="A232" t="str">
        <f>ICS4Test!H233</f>
        <v/>
      </c>
    </row>
    <row r="233" spans="1:1">
      <c r="A233" t="str">
        <f>ICS4Test!H234</f>
        <v/>
      </c>
    </row>
    <row r="234" spans="1:1">
      <c r="A234" t="str">
        <f>ICS4Test!H235</f>
        <v/>
      </c>
    </row>
    <row r="235" spans="1:1">
      <c r="A235" t="str">
        <f>ICS4Test!H236</f>
        <v/>
      </c>
    </row>
    <row r="236" spans="1:1">
      <c r="A236" t="str">
        <f>ICS4Test!H237</f>
        <v/>
      </c>
    </row>
    <row r="237" spans="1:1">
      <c r="A237" t="str">
        <f>ICS4Test!H238</f>
        <v/>
      </c>
    </row>
    <row r="238" spans="1:1">
      <c r="A238" t="str">
        <f>ICS4Test!H239</f>
        <v/>
      </c>
    </row>
    <row r="239" spans="1:1">
      <c r="A239" t="str">
        <f>ICS4Test!H240</f>
        <v/>
      </c>
    </row>
    <row r="240" spans="1:1">
      <c r="A240" t="str">
        <f>ICS4Test!H241</f>
        <v/>
      </c>
    </row>
    <row r="241" spans="1:1">
      <c r="A241" t="str">
        <f>ICS4Test!H242</f>
        <v/>
      </c>
    </row>
    <row r="242" spans="1:1">
      <c r="A242" t="str">
        <f>ICS4Test!H243</f>
        <v/>
      </c>
    </row>
    <row r="243" spans="1:1">
      <c r="A243" t="str">
        <f>ICS4Test!H244</f>
        <v/>
      </c>
    </row>
    <row r="244" spans="1:1">
      <c r="A244" t="str">
        <f>ICS4Test!H245</f>
        <v/>
      </c>
    </row>
    <row r="245" spans="1:1">
      <c r="A245" t="str">
        <f>ICS4Test!H246</f>
        <v/>
      </c>
    </row>
    <row r="246" spans="1:1">
      <c r="A246" t="str">
        <f>ICS4Test!H247</f>
        <v/>
      </c>
    </row>
    <row r="247" spans="1:1">
      <c r="A247" t="str">
        <f>ICS4Test!H248</f>
        <v/>
      </c>
    </row>
    <row r="248" spans="1:1">
      <c r="A248" t="str">
        <f>ICS4Test!H249</f>
        <v/>
      </c>
    </row>
    <row r="249" spans="1:1">
      <c r="A249" t="str">
        <f>ICS4Test!H250</f>
        <v/>
      </c>
    </row>
    <row r="250" spans="1:1">
      <c r="A250" t="str">
        <f>ICS4Test!H251</f>
        <v/>
      </c>
    </row>
    <row r="251" spans="1:1">
      <c r="A251" t="str">
        <f>ICS4Test!H252</f>
        <v/>
      </c>
    </row>
    <row r="252" spans="1:1">
      <c r="A252" t="str">
        <f>ICS4Test!H253</f>
        <v/>
      </c>
    </row>
    <row r="253" spans="1:1">
      <c r="A253" t="str">
        <f>ICS4Test!H254</f>
        <v/>
      </c>
    </row>
    <row r="254" spans="1:1">
      <c r="A254" t="str">
        <f>ICS4Test!H255</f>
        <v/>
      </c>
    </row>
    <row r="255" spans="1:1">
      <c r="A255" t="str">
        <f>ICS4Test!H256</f>
        <v/>
      </c>
    </row>
    <row r="256" spans="1:1">
      <c r="A256" t="str">
        <f>ICS4Test!H257</f>
        <v/>
      </c>
    </row>
    <row r="257" spans="1:1">
      <c r="A257" t="str">
        <f>ICS4Test!H258</f>
        <v/>
      </c>
    </row>
    <row r="258" spans="1:1">
      <c r="A258" t="str">
        <f>ICS4Test!H259</f>
        <v/>
      </c>
    </row>
    <row r="259" spans="1:1">
      <c r="A259" t="str">
        <f>ICS4Test!H260</f>
        <v/>
      </c>
    </row>
    <row r="260" spans="1:1">
      <c r="A260" t="str">
        <f>ICS4Test!H261</f>
        <v/>
      </c>
    </row>
    <row r="261" spans="1:1">
      <c r="A261" t="str">
        <f>ICS4Test!H262</f>
        <v/>
      </c>
    </row>
    <row r="262" spans="1:1">
      <c r="A262" t="str">
        <f>ICS4Test!H263</f>
        <v/>
      </c>
    </row>
    <row r="263" spans="1:1">
      <c r="A263" t="str">
        <f>ICS4Test!H264</f>
        <v/>
      </c>
    </row>
    <row r="264" spans="1:1">
      <c r="A264" t="str">
        <f>ICS4Test!H265</f>
        <v/>
      </c>
    </row>
    <row r="265" spans="1:1">
      <c r="A265" t="str">
        <f>ICS4Test!H266</f>
        <v/>
      </c>
    </row>
    <row r="266" spans="1:1">
      <c r="A266" t="str">
        <f>ICS4Test!H267</f>
        <v/>
      </c>
    </row>
    <row r="267" spans="1:1">
      <c r="A267" t="str">
        <f>ICS4Test!H268</f>
        <v/>
      </c>
    </row>
    <row r="268" spans="1:1">
      <c r="A268" t="str">
        <f>ICS4Test!H269</f>
        <v/>
      </c>
    </row>
    <row r="269" spans="1:1">
      <c r="A269" t="str">
        <f>ICS4Test!H270</f>
        <v/>
      </c>
    </row>
    <row r="270" spans="1:1">
      <c r="A270" t="str">
        <f>ICS4Test!H271</f>
        <v/>
      </c>
    </row>
    <row r="271" spans="1:1">
      <c r="A271" t="str">
        <f>ICS4Test!H272</f>
        <v/>
      </c>
    </row>
    <row r="272" spans="1:1">
      <c r="A272" t="str">
        <f>ICS4Test!H273</f>
        <v/>
      </c>
    </row>
    <row r="273" spans="1:1">
      <c r="A273" t="str">
        <f>ICS4Test!H274</f>
        <v/>
      </c>
    </row>
    <row r="274" spans="1:1">
      <c r="A274" t="str">
        <f>ICS4Test!H275</f>
        <v/>
      </c>
    </row>
    <row r="275" spans="1:1">
      <c r="A275" t="str">
        <f>ICS4Test!H276</f>
        <v/>
      </c>
    </row>
    <row r="276" spans="1:1">
      <c r="A276" t="str">
        <f>ICS4Test!H277</f>
        <v/>
      </c>
    </row>
    <row r="277" spans="1:1">
      <c r="A277" t="str">
        <f>ICS4Test!H278</f>
        <v/>
      </c>
    </row>
    <row r="278" spans="1:1">
      <c r="A278" t="str">
        <f>ICS4Test!H279</f>
        <v/>
      </c>
    </row>
    <row r="279" spans="1:1">
      <c r="A279" t="str">
        <f>ICS4Test!H280</f>
        <v/>
      </c>
    </row>
    <row r="280" spans="1:1">
      <c r="A280" t="str">
        <f>ICS4Test!H281</f>
        <v/>
      </c>
    </row>
    <row r="281" spans="1:1">
      <c r="A281" t="str">
        <f>ICS4Test!H282</f>
        <v/>
      </c>
    </row>
    <row r="282" spans="1:1">
      <c r="A282" t="str">
        <f>ICS4Test!H283</f>
        <v/>
      </c>
    </row>
    <row r="283" spans="1:1">
      <c r="A283" t="str">
        <f>ICS4Test!H284</f>
        <v/>
      </c>
    </row>
    <row r="284" spans="1:1">
      <c r="A284" t="str">
        <f>ICS4Test!H285</f>
        <v/>
      </c>
    </row>
    <row r="285" spans="1:1">
      <c r="A285" t="str">
        <f>ICS4Test!H286</f>
        <v/>
      </c>
    </row>
    <row r="286" spans="1:1">
      <c r="A286" t="str">
        <f>ICS4Test!H287</f>
        <v/>
      </c>
    </row>
    <row r="287" spans="1:1">
      <c r="A287" t="str">
        <f>ICS4Test!H288</f>
        <v/>
      </c>
    </row>
    <row r="288" spans="1:1">
      <c r="A288" t="str">
        <f>ICS4Test!H289</f>
        <v/>
      </c>
    </row>
    <row r="289" spans="1:1">
      <c r="A289" t="str">
        <f>ICS4Test!H290</f>
        <v/>
      </c>
    </row>
    <row r="290" spans="1:1">
      <c r="A290" t="str">
        <f>ICS4Test!H291</f>
        <v/>
      </c>
    </row>
    <row r="291" spans="1:1">
      <c r="A291" t="str">
        <f>ICS4Test!H292</f>
        <v/>
      </c>
    </row>
    <row r="292" spans="1:1">
      <c r="A292" t="str">
        <f>ICS4Test!H293</f>
        <v/>
      </c>
    </row>
    <row r="293" spans="1:1">
      <c r="A293" t="str">
        <f>ICS4Test!H294</f>
        <v/>
      </c>
    </row>
    <row r="294" spans="1:1">
      <c r="A294" t="str">
        <f>ICS4Test!H295</f>
        <v/>
      </c>
    </row>
    <row r="295" spans="1:1">
      <c r="A295" t="str">
        <f>ICS4Test!H296</f>
        <v/>
      </c>
    </row>
    <row r="296" spans="1:1">
      <c r="A296" t="str">
        <f>ICS4Test!H297</f>
        <v/>
      </c>
    </row>
    <row r="297" spans="1:1">
      <c r="A297" t="str">
        <f>ICS4Test!H298</f>
        <v/>
      </c>
    </row>
    <row r="298" spans="1:1">
      <c r="A298" t="str">
        <f>ICS4Test!H299</f>
        <v/>
      </c>
    </row>
    <row r="299" spans="1:1">
      <c r="A299" t="str">
        <f>ICS4Test!H300</f>
        <v/>
      </c>
    </row>
    <row r="300" spans="1:1">
      <c r="A300" t="str">
        <f>ICS4Test!H301</f>
        <v/>
      </c>
    </row>
    <row r="301" spans="1:1">
      <c r="A301" t="str">
        <f>ICS4Test!H302</f>
        <v/>
      </c>
    </row>
    <row r="302" spans="1:1">
      <c r="A302" t="str">
        <f>ICS4Test!H303</f>
        <v/>
      </c>
    </row>
    <row r="303" spans="1:1">
      <c r="A303" t="str">
        <f>ICS4Test!H304</f>
        <v/>
      </c>
    </row>
    <row r="304" spans="1:1">
      <c r="A304" t="str">
        <f>ICS4Test!H305</f>
        <v/>
      </c>
    </row>
    <row r="305" spans="1:1">
      <c r="A305" t="str">
        <f>ICS4Test!H306</f>
        <v/>
      </c>
    </row>
    <row r="306" spans="1:1">
      <c r="A306" t="str">
        <f>ICS4Test!H307</f>
        <v/>
      </c>
    </row>
    <row r="307" spans="1:1">
      <c r="A307" t="str">
        <f>ICS4Test!H308</f>
        <v/>
      </c>
    </row>
    <row r="308" spans="1:1">
      <c r="A308" t="str">
        <f>ICS4Test!H309</f>
        <v/>
      </c>
    </row>
    <row r="309" spans="1:1">
      <c r="A309" t="str">
        <f>ICS4Test!H310</f>
        <v/>
      </c>
    </row>
    <row r="310" spans="1:1">
      <c r="A310" t="str">
        <f>ICS4Test!H311</f>
        <v/>
      </c>
    </row>
    <row r="311" spans="1:1">
      <c r="A311" t="str">
        <f>ICS4Test!H312</f>
        <v/>
      </c>
    </row>
    <row r="312" spans="1:1">
      <c r="A312" t="str">
        <f>ICS4Test!H313</f>
        <v/>
      </c>
    </row>
    <row r="313" spans="1:1">
      <c r="A313" t="str">
        <f>ICS4Test!H314</f>
        <v/>
      </c>
    </row>
    <row r="314" spans="1:1">
      <c r="A314" t="str">
        <f>ICS4Test!H315</f>
        <v/>
      </c>
    </row>
    <row r="315" spans="1:1">
      <c r="A315" t="str">
        <f>ICS4Test!H316</f>
        <v/>
      </c>
    </row>
    <row r="316" spans="1:1">
      <c r="A316" t="str">
        <f>ICS4Test!H317</f>
        <v/>
      </c>
    </row>
    <row r="317" spans="1:1">
      <c r="A317" t="str">
        <f>ICS4Test!H318</f>
        <v/>
      </c>
    </row>
    <row r="318" spans="1:1">
      <c r="A318" t="str">
        <f>ICS4Test!H319</f>
        <v/>
      </c>
    </row>
    <row r="319" spans="1:1">
      <c r="A319" t="str">
        <f>ICS4Test!H320</f>
        <v/>
      </c>
    </row>
    <row r="320" spans="1:1">
      <c r="A320" t="str">
        <f>ICS4Test!H321</f>
        <v/>
      </c>
    </row>
    <row r="321" spans="1:1">
      <c r="A321" t="str">
        <f>ICS4Test!H322</f>
        <v/>
      </c>
    </row>
    <row r="322" spans="1:1">
      <c r="A322" t="str">
        <f>ICS4Test!H323</f>
        <v/>
      </c>
    </row>
    <row r="323" spans="1:1">
      <c r="A323" t="str">
        <f>ICS4Test!H324</f>
        <v/>
      </c>
    </row>
    <row r="324" spans="1:1">
      <c r="A324" t="str">
        <f>ICS4Test!H325</f>
        <v/>
      </c>
    </row>
    <row r="325" spans="1:1">
      <c r="A325" t="str">
        <f>ICS4Test!H326</f>
        <v/>
      </c>
    </row>
    <row r="326" spans="1:1">
      <c r="A326" t="str">
        <f>ICS4Test!H327</f>
        <v/>
      </c>
    </row>
    <row r="327" spans="1:1">
      <c r="A327" t="str">
        <f>ICS4Test!H328</f>
        <v/>
      </c>
    </row>
    <row r="328" spans="1:1">
      <c r="A328" t="str">
        <f>ICS4Test!H329</f>
        <v/>
      </c>
    </row>
    <row r="329" spans="1:1">
      <c r="A329" t="str">
        <f>ICS4Test!H330</f>
        <v/>
      </c>
    </row>
    <row r="330" spans="1:1">
      <c r="A330" t="str">
        <f>ICS4Test!H331</f>
        <v/>
      </c>
    </row>
    <row r="331" spans="1:1">
      <c r="A331" t="str">
        <f>ICS4Test!H332</f>
        <v/>
      </c>
    </row>
    <row r="332" spans="1:1">
      <c r="A332" t="str">
        <f>ICS4Test!H333</f>
        <v/>
      </c>
    </row>
    <row r="333" spans="1:1">
      <c r="A333" t="str">
        <f>ICS4Test!H334</f>
        <v/>
      </c>
    </row>
    <row r="334" spans="1:1">
      <c r="A334" t="str">
        <f>ICS4Test!H335</f>
        <v/>
      </c>
    </row>
    <row r="335" spans="1:1">
      <c r="A335" t="str">
        <f>ICS4Test!H336</f>
        <v/>
      </c>
    </row>
    <row r="336" spans="1:1">
      <c r="A336" t="str">
        <f>ICS4Test!H337</f>
        <v/>
      </c>
    </row>
    <row r="337" spans="1:1">
      <c r="A337" t="str">
        <f>ICS4Test!H338</f>
        <v/>
      </c>
    </row>
    <row r="338" spans="1:1">
      <c r="A338" t="str">
        <f>ICS4Test!H339</f>
        <v/>
      </c>
    </row>
    <row r="339" spans="1:1">
      <c r="A339" t="str">
        <f>ICS4Test!H340</f>
        <v/>
      </c>
    </row>
    <row r="340" spans="1:1">
      <c r="A340" t="str">
        <f>ICS4Test!H341</f>
        <v/>
      </c>
    </row>
    <row r="341" spans="1:1">
      <c r="A341" t="str">
        <f>ICS4Test!H342</f>
        <v/>
      </c>
    </row>
    <row r="342" spans="1:1">
      <c r="A342" t="str">
        <f>ICS4Test!H343</f>
        <v/>
      </c>
    </row>
    <row r="343" spans="1:1">
      <c r="A343" t="str">
        <f>ICS4Test!H344</f>
        <v/>
      </c>
    </row>
    <row r="344" spans="1:1">
      <c r="A344" t="str">
        <f>ICS4Test!H345</f>
        <v/>
      </c>
    </row>
    <row r="345" spans="1:1">
      <c r="A345" t="str">
        <f>ICS4Test!H346</f>
        <v/>
      </c>
    </row>
    <row r="346" spans="1:1">
      <c r="A346" t="str">
        <f>ICS4Test!H347</f>
        <v/>
      </c>
    </row>
    <row r="347" spans="1:1">
      <c r="A347" t="str">
        <f>ICS4Test!H348</f>
        <v/>
      </c>
    </row>
    <row r="348" spans="1:1">
      <c r="A348" t="str">
        <f>ICS4Test!H349</f>
        <v/>
      </c>
    </row>
    <row r="349" spans="1:1">
      <c r="A349" t="str">
        <f>ICS4Test!H350</f>
        <v/>
      </c>
    </row>
    <row r="350" spans="1:1">
      <c r="A350" t="str">
        <f>ICS4Test!H351</f>
        <v/>
      </c>
    </row>
    <row r="351" spans="1:1">
      <c r="A351" t="str">
        <f>ICS4Test!H352</f>
        <v/>
      </c>
    </row>
    <row r="352" spans="1:1">
      <c r="A352" t="str">
        <f>ICS4Test!H353</f>
        <v/>
      </c>
    </row>
    <row r="353" spans="1:1">
      <c r="A353" t="str">
        <f>ICS4Test!H354</f>
        <v/>
      </c>
    </row>
    <row r="354" spans="1:1">
      <c r="A354" t="str">
        <f>ICS4Test!H355</f>
        <v/>
      </c>
    </row>
    <row r="355" spans="1:1">
      <c r="A355" t="str">
        <f>ICS4Test!H356</f>
        <v/>
      </c>
    </row>
    <row r="356" spans="1:1">
      <c r="A356" t="str">
        <f>ICS4Test!H357</f>
        <v/>
      </c>
    </row>
    <row r="357" spans="1:1">
      <c r="A357" t="str">
        <f>ICS4Test!H358</f>
        <v/>
      </c>
    </row>
    <row r="358" spans="1:1">
      <c r="A358" t="str">
        <f>ICS4Test!H359</f>
        <v/>
      </c>
    </row>
    <row r="359" spans="1:1">
      <c r="A359" t="str">
        <f>ICS4Test!H360</f>
        <v/>
      </c>
    </row>
    <row r="360" spans="1:1">
      <c r="A360" t="str">
        <f>ICS4Test!H361</f>
        <v/>
      </c>
    </row>
    <row r="361" spans="1:1">
      <c r="A361" t="str">
        <f>ICS4Test!H362</f>
        <v/>
      </c>
    </row>
    <row r="362" spans="1:1">
      <c r="A362" t="str">
        <f>ICS4Test!H363</f>
        <v/>
      </c>
    </row>
    <row r="363" spans="1:1">
      <c r="A363" t="str">
        <f>ICS4Test!H364</f>
        <v/>
      </c>
    </row>
    <row r="364" spans="1:1">
      <c r="A364" t="str">
        <f>ICS4Test!H365</f>
        <v/>
      </c>
    </row>
    <row r="365" spans="1:1">
      <c r="A365" t="str">
        <f>ICS4Test!H366</f>
        <v/>
      </c>
    </row>
    <row r="366" spans="1:1">
      <c r="A366" t="str">
        <f>ICS4Test!H367</f>
        <v/>
      </c>
    </row>
    <row r="367" spans="1:1">
      <c r="A367" t="str">
        <f>ICS4Test!H368</f>
        <v/>
      </c>
    </row>
    <row r="368" spans="1:1">
      <c r="A368" t="str">
        <f>ICS4Test!H369</f>
        <v/>
      </c>
    </row>
    <row r="369" spans="1:1">
      <c r="A369" t="str">
        <f>ICS4Test!H370</f>
        <v/>
      </c>
    </row>
    <row r="370" spans="1:1">
      <c r="A370" t="str">
        <f>ICS4Test!H371</f>
        <v/>
      </c>
    </row>
    <row r="371" spans="1:1">
      <c r="A371" t="str">
        <f>ICS4Test!H372</f>
        <v/>
      </c>
    </row>
    <row r="372" spans="1:1">
      <c r="A372" t="str">
        <f>ICS4Test!H373</f>
        <v/>
      </c>
    </row>
    <row r="373" spans="1:1">
      <c r="A373" t="str">
        <f>ICS4Test!H374</f>
        <v/>
      </c>
    </row>
    <row r="374" spans="1:1">
      <c r="A374" t="str">
        <f>ICS4Test!H375</f>
        <v/>
      </c>
    </row>
    <row r="375" spans="1:1">
      <c r="A375" t="str">
        <f>ICS4Test!H376</f>
        <v/>
      </c>
    </row>
    <row r="376" spans="1:1">
      <c r="A376" t="str">
        <f>ICS4Test!H377</f>
        <v/>
      </c>
    </row>
    <row r="377" spans="1:1">
      <c r="A377" t="str">
        <f>ICS4Test!H378</f>
        <v/>
      </c>
    </row>
    <row r="378" spans="1:1">
      <c r="A378" t="str">
        <f>ICS4Test!H379</f>
        <v/>
      </c>
    </row>
    <row r="379" spans="1:1">
      <c r="A379" t="str">
        <f>ICS4Test!H380</f>
        <v/>
      </c>
    </row>
    <row r="380" spans="1:1">
      <c r="A380" t="str">
        <f>ICS4Test!H381</f>
        <v/>
      </c>
    </row>
    <row r="381" spans="1:1">
      <c r="A381" t="str">
        <f>ICS4Test!H382</f>
        <v/>
      </c>
    </row>
    <row r="382" spans="1:1">
      <c r="A382" t="str">
        <f>ICS4Test!H383</f>
        <v/>
      </c>
    </row>
    <row r="383" spans="1:1">
      <c r="A383" t="str">
        <f>ICS4Test!H384</f>
        <v/>
      </c>
    </row>
    <row r="384" spans="1:1">
      <c r="A384" t="str">
        <f>ICS4Test!H385</f>
        <v/>
      </c>
    </row>
    <row r="385" spans="1:1">
      <c r="A385" t="str">
        <f>ICS4Test!H386</f>
        <v/>
      </c>
    </row>
    <row r="386" spans="1:1">
      <c r="A386" t="str">
        <f>ICS4Test!H387</f>
        <v/>
      </c>
    </row>
    <row r="387" spans="1:1">
      <c r="A387" t="str">
        <f>ICS4Test!H388</f>
        <v/>
      </c>
    </row>
    <row r="388" spans="1:1">
      <c r="A388" t="str">
        <f>ICS4Test!H389</f>
        <v/>
      </c>
    </row>
    <row r="389" spans="1:1">
      <c r="A389" t="str">
        <f>ICS4Test!H390</f>
        <v/>
      </c>
    </row>
    <row r="390" spans="1:1">
      <c r="A390" t="str">
        <f>ICS4Test!H391</f>
        <v/>
      </c>
    </row>
    <row r="391" spans="1:1">
      <c r="A391" t="str">
        <f>ICS4Test!H392</f>
        <v/>
      </c>
    </row>
    <row r="392" spans="1:1">
      <c r="A392" t="str">
        <f>ICS4Test!H393</f>
        <v/>
      </c>
    </row>
    <row r="393" spans="1:1">
      <c r="A393" t="str">
        <f>ICS4Test!H394</f>
        <v/>
      </c>
    </row>
    <row r="394" spans="1:1">
      <c r="A394" t="str">
        <f>ICS4Test!H395</f>
        <v/>
      </c>
    </row>
    <row r="395" spans="1:1">
      <c r="A395" t="str">
        <f>ICS4Test!H396</f>
        <v/>
      </c>
    </row>
    <row r="396" spans="1:1">
      <c r="A396" t="str">
        <f>ICS4Test!H397</f>
        <v/>
      </c>
    </row>
    <row r="397" spans="1:1">
      <c r="A397" t="str">
        <f>ICS4Test!H398</f>
        <v/>
      </c>
    </row>
    <row r="398" spans="1:1">
      <c r="A398" t="str">
        <f>ICS4Test!H399</f>
        <v/>
      </c>
    </row>
    <row r="399" spans="1:1">
      <c r="A399" t="str">
        <f>ICS4Test!H400</f>
        <v/>
      </c>
    </row>
    <row r="400" spans="1:1">
      <c r="A400" t="str">
        <f>ICS4Test!H401</f>
        <v/>
      </c>
    </row>
    <row r="401" spans="1:1">
      <c r="A401" t="str">
        <f>ICS4Test!H402</f>
        <v/>
      </c>
    </row>
    <row r="402" spans="1:1">
      <c r="A402" t="str">
        <f>ICS4Test!H403</f>
        <v/>
      </c>
    </row>
    <row r="403" spans="1:1">
      <c r="A403" t="str">
        <f>ICS4Test!H404</f>
        <v/>
      </c>
    </row>
    <row r="404" spans="1:1">
      <c r="A404" t="str">
        <f>ICS4Test!H405</f>
        <v/>
      </c>
    </row>
    <row r="405" spans="1:1">
      <c r="A405" t="str">
        <f>ICS4Test!H406</f>
        <v/>
      </c>
    </row>
    <row r="406" spans="1:1">
      <c r="A406" t="str">
        <f>ICS4Test!H407</f>
        <v/>
      </c>
    </row>
    <row r="407" spans="1:1">
      <c r="A407" t="str">
        <f>ICS4Test!H408</f>
        <v/>
      </c>
    </row>
    <row r="408" spans="1:1">
      <c r="A408" t="str">
        <f>ICS4Test!H409</f>
        <v/>
      </c>
    </row>
    <row r="409" spans="1:1">
      <c r="A409" t="str">
        <f>ICS4Test!H410</f>
        <v/>
      </c>
    </row>
    <row r="410" spans="1:1">
      <c r="A410" t="str">
        <f>ICS4Test!H411</f>
        <v/>
      </c>
    </row>
    <row r="411" spans="1:1">
      <c r="A411" t="str">
        <f>ICS4Test!H412</f>
        <v/>
      </c>
    </row>
    <row r="412" spans="1:1">
      <c r="A412" t="str">
        <f>ICS4Test!H413</f>
        <v/>
      </c>
    </row>
    <row r="413" spans="1:1">
      <c r="A413" t="str">
        <f>ICS4Test!H414</f>
        <v/>
      </c>
    </row>
    <row r="414" spans="1:1">
      <c r="A414" t="str">
        <f>ICS4Test!H415</f>
        <v/>
      </c>
    </row>
    <row r="415" spans="1:1">
      <c r="A415" t="str">
        <f>ICS4Test!H416</f>
        <v/>
      </c>
    </row>
    <row r="416" spans="1:1">
      <c r="A416" t="str">
        <f>ICS4Test!H417</f>
        <v/>
      </c>
    </row>
    <row r="417" spans="1:1">
      <c r="A417" t="str">
        <f>ICS4Test!H418</f>
        <v/>
      </c>
    </row>
    <row r="418" spans="1:1">
      <c r="A418" t="str">
        <f>ICS4Test!H419</f>
        <v/>
      </c>
    </row>
    <row r="419" spans="1:1">
      <c r="A419" t="str">
        <f>ICS4Test!H420</f>
        <v/>
      </c>
    </row>
    <row r="420" spans="1:1">
      <c r="A420" t="str">
        <f>ICS4Test!H421</f>
        <v/>
      </c>
    </row>
    <row r="421" spans="1:1">
      <c r="A421" t="str">
        <f>ICS4Test!H422</f>
        <v/>
      </c>
    </row>
    <row r="422" spans="1:1">
      <c r="A422" t="str">
        <f>ICS4Test!H423</f>
        <v/>
      </c>
    </row>
    <row r="423" spans="1:1">
      <c r="A423" t="str">
        <f>ICS4Test!H424</f>
        <v/>
      </c>
    </row>
    <row r="424" spans="1:1">
      <c r="A424" t="str">
        <f>ICS4Test!H425</f>
        <v/>
      </c>
    </row>
    <row r="425" spans="1:1">
      <c r="A425" t="str">
        <f>ICS4Test!H426</f>
        <v/>
      </c>
    </row>
    <row r="426" spans="1:1">
      <c r="A426" t="str">
        <f>ICS4Test!H427</f>
        <v/>
      </c>
    </row>
    <row r="427" spans="1:1">
      <c r="A427" t="str">
        <f>ICS4Test!H428</f>
        <v/>
      </c>
    </row>
    <row r="428" spans="1:1">
      <c r="A428" t="str">
        <f>ICS4Test!H429</f>
        <v/>
      </c>
    </row>
    <row r="429" spans="1:1">
      <c r="A429" t="str">
        <f>ICS4Test!H430</f>
        <v/>
      </c>
    </row>
    <row r="430" spans="1:1">
      <c r="A430" t="str">
        <f>ICS4Test!H431</f>
        <v/>
      </c>
    </row>
    <row r="431" spans="1:1">
      <c r="A431" t="str">
        <f>ICS4Test!H432</f>
        <v/>
      </c>
    </row>
    <row r="432" spans="1:1">
      <c r="A432" t="str">
        <f>ICS4Test!H433</f>
        <v/>
      </c>
    </row>
    <row r="433" spans="1:1">
      <c r="A433" t="str">
        <f>ICS4Test!H434</f>
        <v/>
      </c>
    </row>
    <row r="434" spans="1:1">
      <c r="A434" t="str">
        <f>ICS4Test!H435</f>
        <v/>
      </c>
    </row>
    <row r="435" spans="1:1">
      <c r="A435" t="str">
        <f>ICS4Test!H436</f>
        <v/>
      </c>
    </row>
    <row r="436" spans="1:1">
      <c r="A436" t="str">
        <f>ICS4Test!H437</f>
        <v/>
      </c>
    </row>
    <row r="437" spans="1:1">
      <c r="A437" t="str">
        <f>ICS4Test!H438</f>
        <v/>
      </c>
    </row>
    <row r="438" spans="1:1">
      <c r="A438" t="str">
        <f>ICS4Test!H439</f>
        <v/>
      </c>
    </row>
    <row r="439" spans="1:1">
      <c r="A439" t="str">
        <f>ICS4Test!H440</f>
        <v/>
      </c>
    </row>
    <row r="440" spans="1:1">
      <c r="A440" t="str">
        <f>ICS4Test!H441</f>
        <v/>
      </c>
    </row>
    <row r="441" spans="1:1">
      <c r="A441" t="str">
        <f>ICS4Test!H442</f>
        <v/>
      </c>
    </row>
    <row r="442" spans="1:1">
      <c r="A442" t="str">
        <f>ICS4Test!H443</f>
        <v/>
      </c>
    </row>
    <row r="443" spans="1:1">
      <c r="A443" t="str">
        <f>ICS4Test!H444</f>
        <v/>
      </c>
    </row>
    <row r="444" spans="1:1">
      <c r="A444" t="str">
        <f>ICS4Test!H445</f>
        <v/>
      </c>
    </row>
    <row r="445" spans="1:1">
      <c r="A445" t="str">
        <f>ICS4Test!H446</f>
        <v/>
      </c>
    </row>
    <row r="446" spans="1:1">
      <c r="A446" t="str">
        <f>ICS4Test!H447</f>
        <v/>
      </c>
    </row>
    <row r="447" spans="1:1">
      <c r="A447" t="str">
        <f>ICS4Test!H448</f>
        <v/>
      </c>
    </row>
    <row r="448" spans="1:1">
      <c r="A448" t="str">
        <f>ICS4Test!H449</f>
        <v/>
      </c>
    </row>
    <row r="449" spans="1:1">
      <c r="A449" t="str">
        <f>ICS4Test!H450</f>
        <v/>
      </c>
    </row>
    <row r="450" spans="1:1">
      <c r="A450" t="str">
        <f>ICS4Test!H451</f>
        <v/>
      </c>
    </row>
    <row r="451" spans="1:1">
      <c r="A451" t="str">
        <f>ICS4Test!H452</f>
        <v/>
      </c>
    </row>
    <row r="452" spans="1:1">
      <c r="A452" t="str">
        <f>ICS4Test!H453</f>
        <v/>
      </c>
    </row>
    <row r="453" spans="1:1">
      <c r="A453" t="str">
        <f>ICS4Test!H454</f>
        <v/>
      </c>
    </row>
    <row r="454" spans="1:1">
      <c r="A454" t="str">
        <f>ICS4Test!H455</f>
        <v/>
      </c>
    </row>
    <row r="455" spans="1:1">
      <c r="A455" t="str">
        <f>ICS4Test!H456</f>
        <v/>
      </c>
    </row>
    <row r="456" spans="1:1">
      <c r="A456" t="str">
        <f>ICS4Test!H457</f>
        <v/>
      </c>
    </row>
    <row r="457" spans="1:1">
      <c r="A457" t="str">
        <f>ICS4Test!H458</f>
        <v/>
      </c>
    </row>
    <row r="458" spans="1:1">
      <c r="A458" t="str">
        <f>ICS4Test!H459</f>
        <v/>
      </c>
    </row>
    <row r="459" spans="1:1">
      <c r="A459" t="str">
        <f>ICS4Test!H460</f>
        <v/>
      </c>
    </row>
    <row r="460" spans="1:1">
      <c r="A460" t="str">
        <f>ICS4Test!H461</f>
        <v/>
      </c>
    </row>
    <row r="461" spans="1:1">
      <c r="A461" t="str">
        <f>ICS4Test!H462</f>
        <v/>
      </c>
    </row>
    <row r="462" spans="1:1">
      <c r="A462" t="str">
        <f>ICS4Test!H463</f>
        <v/>
      </c>
    </row>
    <row r="463" spans="1:1">
      <c r="A463" t="str">
        <f>ICS4Test!H464</f>
        <v/>
      </c>
    </row>
    <row r="464" spans="1:1">
      <c r="A464" t="str">
        <f>ICS4Test!H465</f>
        <v/>
      </c>
    </row>
    <row r="465" spans="1:1">
      <c r="A465" t="str">
        <f>ICS4Test!H466</f>
        <v/>
      </c>
    </row>
    <row r="466" spans="1:1">
      <c r="A466" t="str">
        <f>ICS4Test!H467</f>
        <v/>
      </c>
    </row>
    <row r="467" spans="1:1">
      <c r="A467" t="str">
        <f>ICS4Test!H468</f>
        <v/>
      </c>
    </row>
    <row r="468" spans="1:1">
      <c r="A468" t="str">
        <f>ICS4Test!H469</f>
        <v/>
      </c>
    </row>
    <row r="469" spans="1:1">
      <c r="A469" t="str">
        <f>ICS4Test!H470</f>
        <v/>
      </c>
    </row>
    <row r="470" spans="1:1">
      <c r="A470" t="str">
        <f>ICS4Test!H471</f>
        <v/>
      </c>
    </row>
    <row r="471" spans="1:1">
      <c r="A471" t="str">
        <f>ICS4Test!H472</f>
        <v/>
      </c>
    </row>
    <row r="472" spans="1:1">
      <c r="A472" t="str">
        <f>ICS4Test!H473</f>
        <v/>
      </c>
    </row>
    <row r="473" spans="1:1">
      <c r="A473" t="str">
        <f>ICS4Test!H474</f>
        <v/>
      </c>
    </row>
    <row r="474" spans="1:1">
      <c r="A474" t="str">
        <f>ICS4Test!H475</f>
        <v/>
      </c>
    </row>
    <row r="475" spans="1:1">
      <c r="A475" t="str">
        <f>ICS4Test!H476</f>
        <v/>
      </c>
    </row>
    <row r="476" spans="1:1">
      <c r="A476" t="str">
        <f>ICS4Test!H477</f>
        <v/>
      </c>
    </row>
    <row r="477" spans="1:1">
      <c r="A477" t="str">
        <f>ICS4Test!H478</f>
        <v/>
      </c>
    </row>
    <row r="478" spans="1:1">
      <c r="A478" t="str">
        <f>ICS4Test!H479</f>
        <v/>
      </c>
    </row>
    <row r="479" spans="1:1">
      <c r="A479" t="str">
        <f>ICS4Test!H480</f>
        <v/>
      </c>
    </row>
    <row r="480" spans="1:1">
      <c r="A480" t="str">
        <f>ICS4Test!H481</f>
        <v/>
      </c>
    </row>
    <row r="481" spans="1:1">
      <c r="A481" t="str">
        <f>ICS4Test!H482</f>
        <v/>
      </c>
    </row>
    <row r="482" spans="1:1">
      <c r="A482" t="str">
        <f>ICS4Test!H483</f>
        <v/>
      </c>
    </row>
    <row r="483" spans="1:1">
      <c r="A483" t="str">
        <f>ICS4Test!H484</f>
        <v/>
      </c>
    </row>
    <row r="484" spans="1:1">
      <c r="A484" t="str">
        <f>ICS4Test!H485</f>
        <v/>
      </c>
    </row>
    <row r="485" spans="1:1">
      <c r="A485" t="str">
        <f>ICS4Test!H486</f>
        <v/>
      </c>
    </row>
    <row r="486" spans="1:1">
      <c r="A486" t="str">
        <f>ICS4Test!H487</f>
        <v/>
      </c>
    </row>
    <row r="487" spans="1:1">
      <c r="A487" t="str">
        <f>ICS4Test!H488</f>
        <v/>
      </c>
    </row>
    <row r="488" spans="1:1">
      <c r="A488" t="str">
        <f>ICS4Test!H489</f>
        <v/>
      </c>
    </row>
    <row r="489" spans="1:1">
      <c r="A489" t="str">
        <f>ICS4Test!H490</f>
        <v/>
      </c>
    </row>
    <row r="490" spans="1:1">
      <c r="A490" t="str">
        <f>ICS4Test!H491</f>
        <v/>
      </c>
    </row>
    <row r="491" spans="1:1">
      <c r="A491" t="str">
        <f>ICS4Test!H492</f>
        <v/>
      </c>
    </row>
    <row r="492" spans="1:1">
      <c r="A492" t="str">
        <f>ICS4Test!H493</f>
        <v/>
      </c>
    </row>
    <row r="493" spans="1:1">
      <c r="A493" t="str">
        <f>ICS4Test!H494</f>
        <v/>
      </c>
    </row>
    <row r="494" spans="1:1">
      <c r="A494" t="str">
        <f>ICS4Test!H495</f>
        <v/>
      </c>
    </row>
    <row r="495" spans="1:1">
      <c r="A495" t="str">
        <f>ICS4Test!H496</f>
        <v/>
      </c>
    </row>
    <row r="496" spans="1:1">
      <c r="A496" t="str">
        <f>ICS4Test!H497</f>
        <v/>
      </c>
    </row>
    <row r="497" spans="1:1">
      <c r="A497" t="str">
        <f>ICS4Test!H498</f>
        <v/>
      </c>
    </row>
    <row r="498" spans="1:1">
      <c r="A498" t="str">
        <f>ICS4Test!H499</f>
        <v/>
      </c>
    </row>
    <row r="499" spans="1:1">
      <c r="A499" t="str">
        <f>ICS4Test!H500</f>
        <v/>
      </c>
    </row>
    <row r="500" spans="1:1">
      <c r="A500">
        <f>ICS4Test!H501</f>
        <v>0</v>
      </c>
    </row>
    <row r="501" spans="1:1">
      <c r="A501">
        <f>ICS4Test!H502</f>
        <v>0</v>
      </c>
    </row>
    <row r="502" spans="1:1">
      <c r="A502">
        <f>ICS4Test!H503</f>
        <v>0</v>
      </c>
    </row>
    <row r="503" spans="1:1">
      <c r="A503">
        <f>ICS4Test!H504</f>
        <v>0</v>
      </c>
    </row>
    <row r="504" spans="1:1">
      <c r="A504">
        <f>ICS4Test!H505</f>
        <v>0</v>
      </c>
    </row>
    <row r="505" spans="1:1">
      <c r="A505">
        <f>ICS4Test!H506</f>
        <v>0</v>
      </c>
    </row>
    <row r="506" spans="1:1">
      <c r="A506">
        <f>ICS4Test!H507</f>
        <v>0</v>
      </c>
    </row>
    <row r="507" spans="1:1">
      <c r="A507">
        <f>ICS4Test!H508</f>
        <v>0</v>
      </c>
    </row>
    <row r="508" spans="1:1">
      <c r="A508">
        <f>ICS4Test!H509</f>
        <v>0</v>
      </c>
    </row>
    <row r="509" spans="1:1">
      <c r="A509">
        <f>ICS4Test!H510</f>
        <v>0</v>
      </c>
    </row>
    <row r="510" spans="1:1">
      <c r="A510">
        <f>ICS4Test!H511</f>
        <v>0</v>
      </c>
    </row>
    <row r="511" spans="1:1">
      <c r="A511">
        <f>ICS4Test!H512</f>
        <v>0</v>
      </c>
    </row>
    <row r="512" spans="1:1">
      <c r="A512">
        <f>ICS4Test!H513</f>
        <v>0</v>
      </c>
    </row>
    <row r="513" spans="1:1">
      <c r="A513">
        <f>ICS4Test!H514</f>
        <v>0</v>
      </c>
    </row>
    <row r="514" spans="1:1">
      <c r="A514">
        <f>ICS4Test!H515</f>
        <v>0</v>
      </c>
    </row>
    <row r="515" spans="1:1">
      <c r="A515">
        <f>ICS4Test!H516</f>
        <v>0</v>
      </c>
    </row>
    <row r="516" spans="1:1">
      <c r="A516">
        <f>ICS4Test!H517</f>
        <v>0</v>
      </c>
    </row>
    <row r="517" spans="1:1">
      <c r="A517">
        <f>ICS4Test!H518</f>
        <v>0</v>
      </c>
    </row>
    <row r="518" spans="1:1">
      <c r="A518">
        <f>ICS4Test!H519</f>
        <v>0</v>
      </c>
    </row>
    <row r="519" spans="1:1">
      <c r="A519">
        <f>ICS4Test!H520</f>
        <v>0</v>
      </c>
    </row>
    <row r="520" spans="1:1">
      <c r="A520">
        <f>ICS4Test!H521</f>
        <v>0</v>
      </c>
    </row>
    <row r="521" spans="1:1">
      <c r="A521">
        <f>ICS4Test!H522</f>
        <v>0</v>
      </c>
    </row>
    <row r="522" spans="1:1">
      <c r="A522">
        <f>ICS4Test!H523</f>
        <v>0</v>
      </c>
    </row>
    <row r="523" spans="1:1">
      <c r="A523">
        <f>ICS4Test!H524</f>
        <v>0</v>
      </c>
    </row>
    <row r="524" spans="1:1">
      <c r="A524">
        <f>ICS4Test!H525</f>
        <v>0</v>
      </c>
    </row>
    <row r="525" spans="1:1">
      <c r="A525">
        <f>ICS4Test!H526</f>
        <v>0</v>
      </c>
    </row>
    <row r="526" spans="1:1">
      <c r="A526">
        <f>ICS4Test!H527</f>
        <v>0</v>
      </c>
    </row>
    <row r="527" spans="1:1">
      <c r="A527">
        <f>ICS4Test!H528</f>
        <v>0</v>
      </c>
    </row>
    <row r="528" spans="1:1">
      <c r="A528">
        <f>ICS4Test!H529</f>
        <v>0</v>
      </c>
    </row>
    <row r="529" spans="1:1">
      <c r="A529">
        <f>ICS4Test!H530</f>
        <v>0</v>
      </c>
    </row>
    <row r="530" spans="1:1">
      <c r="A530">
        <f>ICS4Test!H531</f>
        <v>0</v>
      </c>
    </row>
    <row r="531" spans="1:1">
      <c r="A531">
        <f>ICS4Test!H532</f>
        <v>0</v>
      </c>
    </row>
    <row r="532" spans="1:1">
      <c r="A532">
        <f>ICS4Test!H533</f>
        <v>0</v>
      </c>
    </row>
    <row r="533" spans="1:1">
      <c r="A533">
        <f>ICS4Test!H534</f>
        <v>0</v>
      </c>
    </row>
    <row r="534" spans="1:1">
      <c r="A534">
        <f>ICS4Test!H535</f>
        <v>0</v>
      </c>
    </row>
    <row r="535" spans="1:1">
      <c r="A535">
        <f>ICS4Test!H536</f>
        <v>0</v>
      </c>
    </row>
    <row r="536" spans="1:1">
      <c r="A536">
        <f>ICS4Test!H537</f>
        <v>0</v>
      </c>
    </row>
    <row r="537" spans="1:1">
      <c r="A537">
        <f>ICS4Test!H538</f>
        <v>0</v>
      </c>
    </row>
    <row r="538" spans="1:1">
      <c r="A538">
        <f>ICS4Test!H539</f>
        <v>0</v>
      </c>
    </row>
    <row r="539" spans="1:1">
      <c r="A539">
        <f>ICS4Test!H540</f>
        <v>0</v>
      </c>
    </row>
    <row r="540" spans="1:1">
      <c r="A540">
        <f>ICS4Test!H541</f>
        <v>0</v>
      </c>
    </row>
    <row r="541" spans="1:1">
      <c r="A541">
        <f>ICS4Test!H542</f>
        <v>0</v>
      </c>
    </row>
    <row r="542" spans="1:1">
      <c r="A542">
        <f>ICS4Test!H543</f>
        <v>0</v>
      </c>
    </row>
    <row r="543" spans="1:1">
      <c r="A543">
        <f>ICS4Test!H544</f>
        <v>0</v>
      </c>
    </row>
    <row r="544" spans="1:1">
      <c r="A544">
        <f>ICS4Test!H545</f>
        <v>0</v>
      </c>
    </row>
    <row r="545" spans="1:1">
      <c r="A545">
        <f>ICS4Test!H546</f>
        <v>0</v>
      </c>
    </row>
    <row r="546" spans="1:1">
      <c r="A546">
        <f>ICS4Test!H547</f>
        <v>0</v>
      </c>
    </row>
    <row r="547" spans="1:1">
      <c r="A547">
        <f>ICS4Test!H548</f>
        <v>0</v>
      </c>
    </row>
    <row r="548" spans="1:1">
      <c r="A548">
        <f>ICS4Test!H549</f>
        <v>0</v>
      </c>
    </row>
    <row r="549" spans="1:1">
      <c r="A549">
        <f>ICS4Test!H550</f>
        <v>0</v>
      </c>
    </row>
    <row r="550" spans="1:1">
      <c r="A550">
        <f>ICS4Test!H551</f>
        <v>0</v>
      </c>
    </row>
    <row r="551" spans="1:1">
      <c r="A551">
        <f>ICS4Test!H552</f>
        <v>0</v>
      </c>
    </row>
    <row r="552" spans="1:1">
      <c r="A552">
        <f>ICS4Test!H553</f>
        <v>0</v>
      </c>
    </row>
    <row r="553" spans="1:1">
      <c r="A553">
        <f>ICS4Test!H554</f>
        <v>0</v>
      </c>
    </row>
    <row r="554" spans="1:1">
      <c r="A554">
        <f>ICS4Test!H555</f>
        <v>0</v>
      </c>
    </row>
    <row r="555" spans="1:1">
      <c r="A555">
        <f>ICS4Test!H556</f>
        <v>0</v>
      </c>
    </row>
    <row r="556" spans="1:1">
      <c r="A556">
        <f>ICS4Test!H557</f>
        <v>0</v>
      </c>
    </row>
    <row r="557" spans="1:1">
      <c r="A557">
        <f>ICS4Test!H558</f>
        <v>0</v>
      </c>
    </row>
    <row r="558" spans="1:1">
      <c r="A558">
        <f>ICS4Test!H559</f>
        <v>0</v>
      </c>
    </row>
    <row r="559" spans="1:1">
      <c r="A559">
        <f>ICS4Test!H560</f>
        <v>0</v>
      </c>
    </row>
    <row r="560" spans="1:1">
      <c r="A560">
        <f>ICS4Test!H561</f>
        <v>0</v>
      </c>
    </row>
    <row r="561" spans="1:1">
      <c r="A561">
        <f>ICS4Test!H562</f>
        <v>0</v>
      </c>
    </row>
    <row r="562" spans="1:1">
      <c r="A562">
        <f>ICS4Test!H563</f>
        <v>0</v>
      </c>
    </row>
    <row r="563" spans="1:1">
      <c r="A563">
        <f>ICS4Test!H564</f>
        <v>0</v>
      </c>
    </row>
    <row r="564" spans="1:1">
      <c r="A564">
        <f>ICS4Test!H565</f>
        <v>0</v>
      </c>
    </row>
    <row r="565" spans="1:1">
      <c r="A565">
        <f>ICS4Test!H566</f>
        <v>0</v>
      </c>
    </row>
    <row r="566" spans="1:1">
      <c r="A566">
        <f>ICS4Test!H567</f>
        <v>0</v>
      </c>
    </row>
    <row r="567" spans="1:1">
      <c r="A567">
        <f>ICS4Test!H568</f>
        <v>0</v>
      </c>
    </row>
    <row r="568" spans="1:1">
      <c r="A568">
        <f>ICS4Test!H569</f>
        <v>0</v>
      </c>
    </row>
    <row r="569" spans="1:1">
      <c r="A569">
        <f>ICS4Test!H570</f>
        <v>0</v>
      </c>
    </row>
    <row r="570" spans="1:1">
      <c r="A570">
        <f>ICS4Test!H571</f>
        <v>0</v>
      </c>
    </row>
    <row r="571" spans="1:1">
      <c r="A571">
        <f>ICS4Test!H572</f>
        <v>0</v>
      </c>
    </row>
    <row r="572" spans="1:1">
      <c r="A572">
        <f>ICS4Test!H573</f>
        <v>0</v>
      </c>
    </row>
    <row r="573" spans="1:1">
      <c r="A573">
        <f>ICS4Test!H574</f>
        <v>0</v>
      </c>
    </row>
    <row r="574" spans="1:1">
      <c r="A574">
        <f>ICS4Test!H575</f>
        <v>0</v>
      </c>
    </row>
    <row r="575" spans="1:1">
      <c r="A575">
        <f>ICS4Test!H576</f>
        <v>0</v>
      </c>
    </row>
    <row r="576" spans="1:1">
      <c r="A576">
        <f>ICS4Test!H577</f>
        <v>0</v>
      </c>
    </row>
    <row r="577" spans="1:1">
      <c r="A577">
        <f>ICS4Test!H578</f>
        <v>0</v>
      </c>
    </row>
    <row r="578" spans="1:1">
      <c r="A578">
        <f>ICS4Test!H579</f>
        <v>0</v>
      </c>
    </row>
    <row r="579" spans="1:1">
      <c r="A579">
        <f>ICS4Test!H580</f>
        <v>0</v>
      </c>
    </row>
    <row r="580" spans="1:1">
      <c r="A580">
        <f>ICS4Test!H581</f>
        <v>0</v>
      </c>
    </row>
    <row r="581" spans="1:1">
      <c r="A581">
        <f>ICS4Test!H582</f>
        <v>0</v>
      </c>
    </row>
    <row r="582" spans="1:1">
      <c r="A582">
        <f>ICS4Test!H583</f>
        <v>0</v>
      </c>
    </row>
    <row r="583" spans="1:1">
      <c r="A583">
        <f>ICS4Test!H584</f>
        <v>0</v>
      </c>
    </row>
    <row r="584" spans="1:1">
      <c r="A584">
        <f>ICS4Test!H585</f>
        <v>0</v>
      </c>
    </row>
    <row r="585" spans="1:1">
      <c r="A585">
        <f>ICS4Test!H586</f>
        <v>0</v>
      </c>
    </row>
    <row r="586" spans="1:1">
      <c r="A586">
        <f>ICS4Test!H587</f>
        <v>0</v>
      </c>
    </row>
    <row r="587" spans="1:1">
      <c r="A587">
        <f>ICS4Test!H588</f>
        <v>0</v>
      </c>
    </row>
    <row r="588" spans="1:1">
      <c r="A588">
        <f>ICS4Test!H589</f>
        <v>0</v>
      </c>
    </row>
    <row r="589" spans="1:1">
      <c r="A589">
        <f>ICS4Test!H590</f>
        <v>0</v>
      </c>
    </row>
    <row r="590" spans="1:1">
      <c r="A590">
        <f>ICS4Test!H591</f>
        <v>0</v>
      </c>
    </row>
    <row r="591" spans="1:1">
      <c r="A591">
        <f>ICS4Test!H592</f>
        <v>0</v>
      </c>
    </row>
    <row r="592" spans="1:1">
      <c r="A592">
        <f>ICS4Test!H593</f>
        <v>0</v>
      </c>
    </row>
    <row r="593" spans="1:1">
      <c r="A593">
        <f>ICS4Test!H594</f>
        <v>0</v>
      </c>
    </row>
    <row r="594" spans="1:1">
      <c r="A594">
        <f>ICS4Test!H595</f>
        <v>0</v>
      </c>
    </row>
    <row r="595" spans="1:1">
      <c r="A595">
        <f>ICS4Test!H596</f>
        <v>0</v>
      </c>
    </row>
    <row r="596" spans="1:1">
      <c r="A596">
        <f>ICS4Test!H597</f>
        <v>0</v>
      </c>
    </row>
    <row r="597" spans="1:1">
      <c r="A597">
        <f>ICS4Test!H598</f>
        <v>0</v>
      </c>
    </row>
    <row r="598" spans="1:1">
      <c r="A598">
        <f>ICS4Test!H599</f>
        <v>0</v>
      </c>
    </row>
    <row r="599" spans="1:1">
      <c r="A599">
        <f>ICS4Test!H600</f>
        <v>0</v>
      </c>
    </row>
    <row r="600" spans="1:1">
      <c r="A600">
        <f>ICS4Test!H601</f>
        <v>0</v>
      </c>
    </row>
    <row r="601" spans="1:1">
      <c r="A601">
        <f>ICS4Test!H602</f>
        <v>0</v>
      </c>
    </row>
    <row r="602" spans="1:1">
      <c r="A602">
        <f>ICS4Test!H603</f>
        <v>0</v>
      </c>
    </row>
    <row r="603" spans="1:1">
      <c r="A603">
        <f>ICS4Test!H604</f>
        <v>0</v>
      </c>
    </row>
    <row r="604" spans="1:1">
      <c r="A604">
        <f>ICS4Test!H605</f>
        <v>0</v>
      </c>
    </row>
    <row r="605" spans="1:1">
      <c r="A605">
        <f>ICS4Test!H606</f>
        <v>0</v>
      </c>
    </row>
    <row r="606" spans="1:1">
      <c r="A606">
        <f>ICS4Test!H607</f>
        <v>0</v>
      </c>
    </row>
    <row r="607" spans="1:1">
      <c r="A607">
        <f>ICS4Test!H608</f>
        <v>0</v>
      </c>
    </row>
    <row r="608" spans="1:1">
      <c r="A608">
        <f>ICS4Test!H609</f>
        <v>0</v>
      </c>
    </row>
    <row r="609" spans="1:1">
      <c r="A609">
        <f>ICS4Test!H610</f>
        <v>0</v>
      </c>
    </row>
    <row r="610" spans="1:1">
      <c r="A610">
        <f>ICS4Test!H611</f>
        <v>0</v>
      </c>
    </row>
    <row r="611" spans="1:1">
      <c r="A611">
        <f>ICS4Test!H612</f>
        <v>0</v>
      </c>
    </row>
    <row r="612" spans="1:1">
      <c r="A612">
        <f>ICS4Test!H613</f>
        <v>0</v>
      </c>
    </row>
    <row r="613" spans="1:1">
      <c r="A613">
        <f>ICS4Test!H614</f>
        <v>0</v>
      </c>
    </row>
    <row r="614" spans="1:1">
      <c r="A614">
        <f>ICS4Test!H615</f>
        <v>0</v>
      </c>
    </row>
    <row r="615" spans="1:1">
      <c r="A615">
        <f>ICS4Test!H616</f>
        <v>0</v>
      </c>
    </row>
    <row r="616" spans="1:1">
      <c r="A616">
        <f>ICS4Test!H617</f>
        <v>0</v>
      </c>
    </row>
    <row r="617" spans="1:1">
      <c r="A617">
        <f>ICS4Test!H618</f>
        <v>0</v>
      </c>
    </row>
    <row r="618" spans="1:1">
      <c r="A618">
        <f>ICS4Test!H619</f>
        <v>0</v>
      </c>
    </row>
    <row r="619" spans="1:1">
      <c r="A619">
        <f>ICS4Test!H620</f>
        <v>0</v>
      </c>
    </row>
    <row r="620" spans="1:1">
      <c r="A620">
        <f>ICS4Test!H621</f>
        <v>0</v>
      </c>
    </row>
    <row r="621" spans="1:1">
      <c r="A621">
        <f>ICS4Test!H622</f>
        <v>0</v>
      </c>
    </row>
    <row r="622" spans="1:1">
      <c r="A622">
        <f>ICS4Test!H623</f>
        <v>0</v>
      </c>
    </row>
    <row r="623" spans="1:1">
      <c r="A623">
        <f>ICS4Test!H624</f>
        <v>0</v>
      </c>
    </row>
    <row r="624" spans="1:1">
      <c r="A624">
        <f>ICS4Test!H625</f>
        <v>0</v>
      </c>
    </row>
    <row r="625" spans="1:1">
      <c r="A625">
        <f>ICS4Test!H626</f>
        <v>0</v>
      </c>
    </row>
    <row r="626" spans="1:1">
      <c r="A626">
        <f>ICS4Test!H627</f>
        <v>0</v>
      </c>
    </row>
    <row r="627" spans="1:1">
      <c r="A627">
        <f>ICS4Test!H628</f>
        <v>0</v>
      </c>
    </row>
    <row r="628" spans="1:1">
      <c r="A628">
        <f>ICS4Test!H629</f>
        <v>0</v>
      </c>
    </row>
    <row r="629" spans="1:1">
      <c r="A629">
        <f>ICS4Test!H630</f>
        <v>0</v>
      </c>
    </row>
    <row r="630" spans="1:1">
      <c r="A630">
        <f>ICS4Test!H631</f>
        <v>0</v>
      </c>
    </row>
    <row r="631" spans="1:1">
      <c r="A631">
        <f>ICS4Test!H632</f>
        <v>0</v>
      </c>
    </row>
    <row r="632" spans="1:1">
      <c r="A632">
        <f>ICS4Test!H633</f>
        <v>0</v>
      </c>
    </row>
    <row r="633" spans="1:1">
      <c r="A633">
        <f>ICS4Test!H634</f>
        <v>0</v>
      </c>
    </row>
    <row r="634" spans="1:1">
      <c r="A634">
        <f>ICS4Test!H635</f>
        <v>0</v>
      </c>
    </row>
    <row r="635" spans="1:1">
      <c r="A635">
        <f>ICS4Test!H636</f>
        <v>0</v>
      </c>
    </row>
    <row r="636" spans="1:1">
      <c r="A636">
        <f>ICS4Test!H637</f>
        <v>0</v>
      </c>
    </row>
    <row r="637" spans="1:1">
      <c r="A637">
        <f>ICS4Test!H638</f>
        <v>0</v>
      </c>
    </row>
    <row r="638" spans="1:1">
      <c r="A638">
        <f>ICS4Test!H639</f>
        <v>0</v>
      </c>
    </row>
    <row r="639" spans="1:1">
      <c r="A639">
        <f>ICS4Test!H640</f>
        <v>0</v>
      </c>
    </row>
    <row r="640" spans="1:1">
      <c r="A640">
        <f>ICS4Test!H641</f>
        <v>0</v>
      </c>
    </row>
    <row r="641" spans="1:1">
      <c r="A641">
        <f>ICS4Test!H642</f>
        <v>0</v>
      </c>
    </row>
    <row r="642" spans="1:1">
      <c r="A642">
        <f>ICS4Test!H643</f>
        <v>0</v>
      </c>
    </row>
    <row r="643" spans="1:1">
      <c r="A643">
        <f>ICS4Test!H644</f>
        <v>0</v>
      </c>
    </row>
    <row r="644" spans="1:1">
      <c r="A644">
        <f>ICS4Test!H645</f>
        <v>0</v>
      </c>
    </row>
    <row r="645" spans="1:1">
      <c r="A645">
        <f>ICS4Test!H646</f>
        <v>0</v>
      </c>
    </row>
    <row r="646" spans="1:1">
      <c r="A646">
        <f>ICS4Test!H647</f>
        <v>0</v>
      </c>
    </row>
    <row r="647" spans="1:1">
      <c r="A647">
        <f>ICS4Test!H648</f>
        <v>0</v>
      </c>
    </row>
    <row r="648" spans="1:1">
      <c r="A648">
        <f>ICS4Test!H649</f>
        <v>0</v>
      </c>
    </row>
    <row r="649" spans="1:1">
      <c r="A649">
        <f>ICS4Test!H650</f>
        <v>0</v>
      </c>
    </row>
    <row r="650" spans="1:1">
      <c r="A650">
        <f>ICS4Test!H651</f>
        <v>0</v>
      </c>
    </row>
    <row r="651" spans="1:1">
      <c r="A651">
        <f>ICS4Test!H652</f>
        <v>0</v>
      </c>
    </row>
    <row r="652" spans="1:1">
      <c r="A652">
        <f>ICS4Test!H653</f>
        <v>0</v>
      </c>
    </row>
    <row r="653" spans="1:1">
      <c r="A653">
        <f>ICS4Test!H654</f>
        <v>0</v>
      </c>
    </row>
    <row r="654" spans="1:1">
      <c r="A654">
        <f>ICS4Test!H655</f>
        <v>0</v>
      </c>
    </row>
    <row r="655" spans="1:1">
      <c r="A655">
        <f>ICS4Test!H656</f>
        <v>0</v>
      </c>
    </row>
    <row r="656" spans="1:1">
      <c r="A656">
        <f>ICS4Test!H657</f>
        <v>0</v>
      </c>
    </row>
    <row r="657" spans="1:1">
      <c r="A657">
        <f>ICS4Test!H658</f>
        <v>0</v>
      </c>
    </row>
    <row r="658" spans="1:1">
      <c r="A658">
        <f>ICS4Test!H659</f>
        <v>0</v>
      </c>
    </row>
    <row r="659" spans="1:1">
      <c r="A659">
        <f>ICS4Test!H660</f>
        <v>0</v>
      </c>
    </row>
    <row r="660" spans="1:1">
      <c r="A660">
        <f>ICS4Test!H661</f>
        <v>0</v>
      </c>
    </row>
    <row r="661" spans="1:1">
      <c r="A661">
        <f>ICS4Test!H662</f>
        <v>0</v>
      </c>
    </row>
    <row r="662" spans="1:1">
      <c r="A662">
        <f>ICS4Test!H663</f>
        <v>0</v>
      </c>
    </row>
    <row r="663" spans="1:1">
      <c r="A663">
        <f>ICS4Test!H664</f>
        <v>0</v>
      </c>
    </row>
    <row r="664" spans="1:1">
      <c r="A664">
        <f>ICS4Test!H665</f>
        <v>0</v>
      </c>
    </row>
    <row r="665" spans="1:1">
      <c r="A665">
        <f>ICS4Test!H666</f>
        <v>0</v>
      </c>
    </row>
    <row r="666" spans="1:1">
      <c r="A666">
        <f>ICS4Test!H667</f>
        <v>0</v>
      </c>
    </row>
    <row r="667" spans="1:1">
      <c r="A667">
        <f>ICS4Test!H668</f>
        <v>0</v>
      </c>
    </row>
    <row r="668" spans="1:1">
      <c r="A668">
        <f>ICS4Test!H669</f>
        <v>0</v>
      </c>
    </row>
    <row r="669" spans="1:1">
      <c r="A669">
        <f>ICS4Test!H670</f>
        <v>0</v>
      </c>
    </row>
    <row r="670" spans="1:1">
      <c r="A670">
        <f>ICS4Test!H671</f>
        <v>0</v>
      </c>
    </row>
    <row r="671" spans="1:1">
      <c r="A671">
        <f>ICS4Test!H672</f>
        <v>0</v>
      </c>
    </row>
    <row r="672" spans="1:1">
      <c r="A672">
        <f>ICS4Test!H673</f>
        <v>0</v>
      </c>
    </row>
    <row r="673" spans="1:1">
      <c r="A673">
        <f>ICS4Test!H674</f>
        <v>0</v>
      </c>
    </row>
    <row r="674" spans="1:1">
      <c r="A674">
        <f>ICS4Test!H675</f>
        <v>0</v>
      </c>
    </row>
    <row r="675" spans="1:1">
      <c r="A675">
        <f>ICS4Test!H676</f>
        <v>0</v>
      </c>
    </row>
    <row r="676" spans="1:1">
      <c r="A676">
        <f>ICS4Test!H677</f>
        <v>0</v>
      </c>
    </row>
    <row r="677" spans="1:1">
      <c r="A677">
        <f>ICS4Test!H678</f>
        <v>0</v>
      </c>
    </row>
    <row r="678" spans="1:1">
      <c r="A678">
        <f>ICS4Test!H679</f>
        <v>0</v>
      </c>
    </row>
    <row r="679" spans="1:1">
      <c r="A679">
        <f>ICS4Test!H680</f>
        <v>0</v>
      </c>
    </row>
    <row r="680" spans="1:1">
      <c r="A680">
        <f>ICS4Test!H681</f>
        <v>0</v>
      </c>
    </row>
    <row r="681" spans="1:1">
      <c r="A681">
        <f>ICS4Test!H682</f>
        <v>0</v>
      </c>
    </row>
    <row r="682" spans="1:1">
      <c r="A682">
        <f>ICS4Test!H683</f>
        <v>0</v>
      </c>
    </row>
    <row r="683" spans="1:1">
      <c r="A683">
        <f>ICS4Test!H684</f>
        <v>0</v>
      </c>
    </row>
    <row r="684" spans="1:1">
      <c r="A684">
        <f>ICS4Test!H685</f>
        <v>0</v>
      </c>
    </row>
    <row r="685" spans="1:1">
      <c r="A685">
        <f>ICS4Test!H686</f>
        <v>0</v>
      </c>
    </row>
    <row r="686" spans="1:1">
      <c r="A686">
        <f>ICS4Test!H687</f>
        <v>0</v>
      </c>
    </row>
    <row r="687" spans="1:1">
      <c r="A687">
        <f>ICS4Test!H688</f>
        <v>0</v>
      </c>
    </row>
    <row r="688" spans="1:1">
      <c r="A688">
        <f>ICS4Test!H689</f>
        <v>0</v>
      </c>
    </row>
    <row r="689" spans="1:1">
      <c r="A689">
        <f>ICS4Test!H690</f>
        <v>0</v>
      </c>
    </row>
    <row r="690" spans="1:1">
      <c r="A690">
        <f>ICS4Test!H691</f>
        <v>0</v>
      </c>
    </row>
    <row r="691" spans="1:1">
      <c r="A691">
        <f>ICS4Test!H692</f>
        <v>0</v>
      </c>
    </row>
    <row r="692" spans="1:1">
      <c r="A692">
        <f>ICS4Test!H693</f>
        <v>0</v>
      </c>
    </row>
    <row r="693" spans="1:1">
      <c r="A693">
        <f>ICS4Test!H694</f>
        <v>0</v>
      </c>
    </row>
    <row r="694" spans="1:1">
      <c r="A694">
        <f>ICS4Test!H695</f>
        <v>0</v>
      </c>
    </row>
    <row r="695" spans="1:1">
      <c r="A695">
        <f>ICS4Test!H696</f>
        <v>0</v>
      </c>
    </row>
    <row r="696" spans="1:1">
      <c r="A696">
        <f>ICS4Test!H697</f>
        <v>0</v>
      </c>
    </row>
    <row r="697" spans="1:1">
      <c r="A697">
        <f>ICS4Test!H698</f>
        <v>0</v>
      </c>
    </row>
    <row r="698" spans="1:1">
      <c r="A698">
        <f>ICS4Test!H699</f>
        <v>0</v>
      </c>
    </row>
    <row r="699" spans="1:1">
      <c r="A699">
        <f>ICS4Test!H700</f>
        <v>0</v>
      </c>
    </row>
    <row r="700" spans="1:1">
      <c r="A700">
        <f>ICS4Test!H701</f>
        <v>0</v>
      </c>
    </row>
    <row r="701" spans="1:1">
      <c r="A701">
        <f>ICS4Test!H702</f>
        <v>0</v>
      </c>
    </row>
    <row r="702" spans="1:1">
      <c r="A702">
        <f>ICS4Test!H703</f>
        <v>0</v>
      </c>
    </row>
    <row r="703" spans="1:1">
      <c r="A703">
        <f>ICS4Test!H704</f>
        <v>0</v>
      </c>
    </row>
    <row r="704" spans="1:1">
      <c r="A704">
        <f>ICS4Test!H705</f>
        <v>0</v>
      </c>
    </row>
    <row r="705" spans="1:1">
      <c r="A705">
        <f>ICS4Test!H706</f>
        <v>0</v>
      </c>
    </row>
    <row r="706" spans="1:1">
      <c r="A706">
        <f>ICS4Test!H707</f>
        <v>0</v>
      </c>
    </row>
    <row r="707" spans="1:1">
      <c r="A707">
        <f>ICS4Test!H708</f>
        <v>0</v>
      </c>
    </row>
    <row r="708" spans="1:1">
      <c r="A708">
        <f>ICS4Test!H709</f>
        <v>0</v>
      </c>
    </row>
    <row r="709" spans="1:1">
      <c r="A709">
        <f>ICS4Test!H710</f>
        <v>0</v>
      </c>
    </row>
    <row r="710" spans="1:1">
      <c r="A710">
        <f>ICS4Test!H711</f>
        <v>0</v>
      </c>
    </row>
    <row r="711" spans="1:1">
      <c r="A711">
        <f>ICS4Test!H712</f>
        <v>0</v>
      </c>
    </row>
    <row r="712" spans="1:1">
      <c r="A712">
        <f>ICS4Test!H713</f>
        <v>0</v>
      </c>
    </row>
    <row r="713" spans="1:1">
      <c r="A713">
        <f>ICS4Test!H714</f>
        <v>0</v>
      </c>
    </row>
    <row r="714" spans="1:1">
      <c r="A714">
        <f>ICS4Test!H715</f>
        <v>0</v>
      </c>
    </row>
    <row r="715" spans="1:1">
      <c r="A715">
        <f>ICS4Test!H716</f>
        <v>0</v>
      </c>
    </row>
    <row r="716" spans="1:1">
      <c r="A716">
        <f>ICS4Test!H717</f>
        <v>0</v>
      </c>
    </row>
    <row r="717" spans="1:1">
      <c r="A717">
        <f>ICS4Test!H718</f>
        <v>0</v>
      </c>
    </row>
    <row r="718" spans="1:1">
      <c r="A718">
        <f>ICS4Test!H719</f>
        <v>0</v>
      </c>
    </row>
    <row r="719" spans="1:1">
      <c r="A719">
        <f>ICS4Test!H720</f>
        <v>0</v>
      </c>
    </row>
    <row r="720" spans="1:1">
      <c r="A720">
        <f>ICS4Test!H721</f>
        <v>0</v>
      </c>
    </row>
    <row r="721" spans="1:1">
      <c r="A721">
        <f>ICS4Test!H722</f>
        <v>0</v>
      </c>
    </row>
    <row r="722" spans="1:1">
      <c r="A722">
        <f>ICS4Test!H723</f>
        <v>0</v>
      </c>
    </row>
    <row r="723" spans="1:1">
      <c r="A723">
        <f>ICS4Test!H724</f>
        <v>0</v>
      </c>
    </row>
    <row r="724" spans="1:1">
      <c r="A724">
        <f>ICS4Test!H725</f>
        <v>0</v>
      </c>
    </row>
    <row r="725" spans="1:1">
      <c r="A725">
        <f>ICS4Test!H726</f>
        <v>0</v>
      </c>
    </row>
    <row r="726" spans="1:1">
      <c r="A726">
        <f>ICS4Test!H727</f>
        <v>0</v>
      </c>
    </row>
    <row r="727" spans="1:1">
      <c r="A727">
        <f>ICS4Test!H728</f>
        <v>0</v>
      </c>
    </row>
    <row r="728" spans="1:1">
      <c r="A728">
        <f>ICS4Test!H729</f>
        <v>0</v>
      </c>
    </row>
    <row r="729" spans="1:1">
      <c r="A729">
        <f>ICS4Test!H730</f>
        <v>0</v>
      </c>
    </row>
    <row r="730" spans="1:1">
      <c r="A730">
        <f>ICS4Test!H731</f>
        <v>0</v>
      </c>
    </row>
    <row r="731" spans="1:1">
      <c r="A731">
        <f>ICS4Test!H732</f>
        <v>0</v>
      </c>
    </row>
    <row r="732" spans="1:1">
      <c r="A732">
        <f>ICS4Test!H733</f>
        <v>0</v>
      </c>
    </row>
    <row r="733" spans="1:1">
      <c r="A733">
        <f>ICS4Test!H734</f>
        <v>0</v>
      </c>
    </row>
    <row r="734" spans="1:1">
      <c r="A734">
        <f>ICS4Test!H735</f>
        <v>0</v>
      </c>
    </row>
    <row r="735" spans="1:1">
      <c r="A735">
        <f>ICS4Test!H736</f>
        <v>0</v>
      </c>
    </row>
    <row r="736" spans="1:1">
      <c r="A736">
        <f>ICS4Test!H737</f>
        <v>0</v>
      </c>
    </row>
    <row r="737" spans="1:1">
      <c r="A737">
        <f>ICS4Test!H738</f>
        <v>0</v>
      </c>
    </row>
    <row r="738" spans="1:1">
      <c r="A738">
        <f>ICS4Test!H739</f>
        <v>0</v>
      </c>
    </row>
    <row r="739" spans="1:1">
      <c r="A739">
        <f>ICS4Test!H740</f>
        <v>0</v>
      </c>
    </row>
    <row r="740" spans="1:1">
      <c r="A740">
        <f>ICS4Test!H741</f>
        <v>0</v>
      </c>
    </row>
    <row r="741" spans="1:1">
      <c r="A741">
        <f>ICS4Test!H742</f>
        <v>0</v>
      </c>
    </row>
    <row r="742" spans="1:1">
      <c r="A742">
        <f>ICS4Test!H743</f>
        <v>0</v>
      </c>
    </row>
    <row r="743" spans="1:1">
      <c r="A743">
        <f>ICS4Test!H744</f>
        <v>0</v>
      </c>
    </row>
    <row r="744" spans="1:1">
      <c r="A744">
        <f>ICS4Test!H745</f>
        <v>0</v>
      </c>
    </row>
    <row r="745" spans="1:1">
      <c r="A745">
        <f>ICS4Test!H746</f>
        <v>0</v>
      </c>
    </row>
    <row r="746" spans="1:1">
      <c r="A746">
        <f>ICS4Test!H747</f>
        <v>0</v>
      </c>
    </row>
    <row r="747" spans="1:1">
      <c r="A747">
        <f>ICS4Test!H748</f>
        <v>0</v>
      </c>
    </row>
    <row r="748" spans="1:1">
      <c r="A748">
        <f>ICS4Test!H749</f>
        <v>0</v>
      </c>
    </row>
    <row r="749" spans="1:1">
      <c r="A749">
        <f>ICS4Test!H750</f>
        <v>0</v>
      </c>
    </row>
    <row r="750" spans="1:1">
      <c r="A750">
        <f>ICS4Test!H751</f>
        <v>0</v>
      </c>
    </row>
    <row r="751" spans="1:1">
      <c r="A751">
        <f>ICS4Test!H752</f>
        <v>0</v>
      </c>
    </row>
    <row r="752" spans="1:1">
      <c r="A752">
        <f>ICS4Test!H753</f>
        <v>0</v>
      </c>
    </row>
    <row r="753" spans="1:1">
      <c r="A753">
        <f>ICS4Test!H754</f>
        <v>0</v>
      </c>
    </row>
    <row r="754" spans="1:1">
      <c r="A754">
        <f>ICS4Test!H755</f>
        <v>0</v>
      </c>
    </row>
    <row r="755" spans="1:1">
      <c r="A755">
        <f>ICS4Test!H756</f>
        <v>0</v>
      </c>
    </row>
    <row r="756" spans="1:1">
      <c r="A756">
        <f>ICS4Test!H757</f>
        <v>0</v>
      </c>
    </row>
    <row r="757" spans="1:1">
      <c r="A757">
        <f>ICS4Test!H758</f>
        <v>0</v>
      </c>
    </row>
    <row r="758" spans="1:1">
      <c r="A758">
        <f>ICS4Test!H759</f>
        <v>0</v>
      </c>
    </row>
    <row r="759" spans="1:1">
      <c r="A759">
        <f>ICS4Test!H760</f>
        <v>0</v>
      </c>
    </row>
    <row r="760" spans="1:1">
      <c r="A760">
        <f>ICS4Test!H761</f>
        <v>0</v>
      </c>
    </row>
    <row r="761" spans="1:1">
      <c r="A761">
        <f>ICS4Test!H762</f>
        <v>0</v>
      </c>
    </row>
    <row r="762" spans="1:1">
      <c r="A762">
        <f>ICS4Test!H763</f>
        <v>0</v>
      </c>
    </row>
    <row r="763" spans="1:1">
      <c r="A763">
        <f>ICS4Test!H764</f>
        <v>0</v>
      </c>
    </row>
    <row r="764" spans="1:1">
      <c r="A764">
        <f>ICS4Test!H765</f>
        <v>0</v>
      </c>
    </row>
    <row r="765" spans="1:1">
      <c r="A765">
        <f>ICS4Test!H766</f>
        <v>0</v>
      </c>
    </row>
    <row r="766" spans="1:1">
      <c r="A766">
        <f>ICS4Test!H767</f>
        <v>0</v>
      </c>
    </row>
    <row r="767" spans="1:1">
      <c r="A767">
        <f>ICS4Test!H768</f>
        <v>0</v>
      </c>
    </row>
    <row r="768" spans="1:1">
      <c r="A768">
        <f>ICS4Test!H769</f>
        <v>0</v>
      </c>
    </row>
    <row r="769" spans="1:1">
      <c r="A769">
        <f>ICS4Test!H770</f>
        <v>0</v>
      </c>
    </row>
    <row r="770" spans="1:1">
      <c r="A770">
        <f>ICS4Test!H771</f>
        <v>0</v>
      </c>
    </row>
    <row r="771" spans="1:1">
      <c r="A771">
        <f>ICS4Test!H772</f>
        <v>0</v>
      </c>
    </row>
    <row r="772" spans="1:1">
      <c r="A772">
        <f>ICS4Test!H773</f>
        <v>0</v>
      </c>
    </row>
    <row r="773" spans="1:1">
      <c r="A773">
        <f>ICS4Test!H774</f>
        <v>0</v>
      </c>
    </row>
    <row r="774" spans="1:1">
      <c r="A774">
        <f>ICS4Test!H775</f>
        <v>0</v>
      </c>
    </row>
    <row r="775" spans="1:1">
      <c r="A775">
        <f>ICS4Test!H776</f>
        <v>0</v>
      </c>
    </row>
    <row r="776" spans="1:1">
      <c r="A776">
        <f>ICS4Test!H777</f>
        <v>0</v>
      </c>
    </row>
    <row r="777" spans="1:1">
      <c r="A777">
        <f>ICS4Test!H778</f>
        <v>0</v>
      </c>
    </row>
    <row r="778" spans="1:1">
      <c r="A778">
        <f>ICS4Test!H779</f>
        <v>0</v>
      </c>
    </row>
    <row r="779" spans="1:1">
      <c r="A779">
        <f>ICS4Test!H780</f>
        <v>0</v>
      </c>
    </row>
    <row r="780" spans="1:1">
      <c r="A780">
        <f>ICS4Test!H781</f>
        <v>0</v>
      </c>
    </row>
    <row r="781" spans="1:1">
      <c r="A781">
        <f>ICS4Test!H782</f>
        <v>0</v>
      </c>
    </row>
    <row r="782" spans="1:1">
      <c r="A782">
        <f>ICS4Test!H783</f>
        <v>0</v>
      </c>
    </row>
    <row r="783" spans="1:1">
      <c r="A783">
        <f>ICS4Test!H784</f>
        <v>0</v>
      </c>
    </row>
    <row r="784" spans="1:1">
      <c r="A784">
        <f>ICS4Test!H785</f>
        <v>0</v>
      </c>
    </row>
    <row r="785" spans="1:1">
      <c r="A785">
        <f>ICS4Test!H786</f>
        <v>0</v>
      </c>
    </row>
    <row r="786" spans="1:1">
      <c r="A786">
        <f>ICS4Test!H787</f>
        <v>0</v>
      </c>
    </row>
    <row r="787" spans="1:1">
      <c r="A787">
        <f>ICS4Test!H788</f>
        <v>0</v>
      </c>
    </row>
    <row r="788" spans="1:1">
      <c r="A788">
        <f>ICS4Test!H789</f>
        <v>0</v>
      </c>
    </row>
    <row r="789" spans="1:1">
      <c r="A789">
        <f>ICS4Test!H790</f>
        <v>0</v>
      </c>
    </row>
    <row r="790" spans="1:1">
      <c r="A790">
        <f>ICS4Test!H791</f>
        <v>0</v>
      </c>
    </row>
    <row r="791" spans="1:1">
      <c r="A791">
        <f>ICS4Test!H792</f>
        <v>0</v>
      </c>
    </row>
    <row r="792" spans="1:1">
      <c r="A792">
        <f>ICS4Test!H793</f>
        <v>0</v>
      </c>
    </row>
    <row r="793" spans="1:1">
      <c r="A793">
        <f>ICS4Test!H794</f>
        <v>0</v>
      </c>
    </row>
    <row r="794" spans="1:1">
      <c r="A794">
        <f>ICS4Test!H795</f>
        <v>0</v>
      </c>
    </row>
    <row r="795" spans="1:1">
      <c r="A795">
        <f>ICS4Test!H796</f>
        <v>0</v>
      </c>
    </row>
    <row r="796" spans="1:1">
      <c r="A796">
        <f>ICS4Test!H797</f>
        <v>0</v>
      </c>
    </row>
    <row r="797" spans="1:1">
      <c r="A797">
        <f>ICS4Test!H798</f>
        <v>0</v>
      </c>
    </row>
    <row r="798" spans="1:1">
      <c r="A798">
        <f>ICS4Test!H799</f>
        <v>0</v>
      </c>
    </row>
    <row r="799" spans="1:1">
      <c r="A799">
        <f>ICS4Test!H800</f>
        <v>0</v>
      </c>
    </row>
    <row r="800" spans="1:1">
      <c r="A800">
        <f>ICS4Test!H801</f>
        <v>0</v>
      </c>
    </row>
    <row r="801" spans="1:1">
      <c r="A801">
        <f>ICS4Test!H802</f>
        <v>0</v>
      </c>
    </row>
    <row r="802" spans="1:1">
      <c r="A802">
        <f>ICS4Test!H803</f>
        <v>0</v>
      </c>
    </row>
    <row r="803" spans="1:1">
      <c r="A803">
        <f>ICS4Test!H804</f>
        <v>0</v>
      </c>
    </row>
    <row r="804" spans="1:1">
      <c r="A804">
        <f>ICS4Test!H805</f>
        <v>0</v>
      </c>
    </row>
    <row r="805" spans="1:1">
      <c r="A805">
        <f>ICS4Test!H806</f>
        <v>0</v>
      </c>
    </row>
    <row r="806" spans="1:1">
      <c r="A806">
        <f>ICS4Test!H807</f>
        <v>0</v>
      </c>
    </row>
    <row r="807" spans="1:1">
      <c r="A807">
        <f>ICS4Test!H808</f>
        <v>0</v>
      </c>
    </row>
    <row r="808" spans="1:1">
      <c r="A808">
        <f>ICS4Test!H809</f>
        <v>0</v>
      </c>
    </row>
    <row r="809" spans="1:1">
      <c r="A809">
        <f>ICS4Test!H810</f>
        <v>0</v>
      </c>
    </row>
    <row r="810" spans="1:1">
      <c r="A810">
        <f>ICS4Test!H811</f>
        <v>0</v>
      </c>
    </row>
    <row r="811" spans="1:1">
      <c r="A811">
        <f>ICS4Test!H812</f>
        <v>0</v>
      </c>
    </row>
    <row r="812" spans="1:1">
      <c r="A812">
        <f>ICS4Test!H813</f>
        <v>0</v>
      </c>
    </row>
    <row r="813" spans="1:1">
      <c r="A813">
        <f>ICS4Test!H814</f>
        <v>0</v>
      </c>
    </row>
    <row r="814" spans="1:1">
      <c r="A814">
        <f>ICS4Test!H815</f>
        <v>0</v>
      </c>
    </row>
    <row r="815" spans="1:1">
      <c r="A815">
        <f>ICS4Test!H816</f>
        <v>0</v>
      </c>
    </row>
    <row r="816" spans="1:1">
      <c r="A816">
        <f>ICS4Test!H817</f>
        <v>0</v>
      </c>
    </row>
    <row r="817" spans="1:1">
      <c r="A817">
        <f>ICS4Test!H818</f>
        <v>0</v>
      </c>
    </row>
    <row r="818" spans="1:1">
      <c r="A818">
        <f>ICS4Test!H819</f>
        <v>0</v>
      </c>
    </row>
    <row r="819" spans="1:1">
      <c r="A819">
        <f>ICS4Test!H820</f>
        <v>0</v>
      </c>
    </row>
    <row r="820" spans="1:1">
      <c r="A820">
        <f>ICS4Test!H821</f>
        <v>0</v>
      </c>
    </row>
    <row r="821" spans="1:1">
      <c r="A821">
        <f>ICS4Test!H822</f>
        <v>0</v>
      </c>
    </row>
    <row r="822" spans="1:1">
      <c r="A822">
        <f>ICS4Test!H823</f>
        <v>0</v>
      </c>
    </row>
    <row r="823" spans="1:1">
      <c r="A823">
        <f>ICS4Test!H824</f>
        <v>0</v>
      </c>
    </row>
    <row r="824" spans="1:1">
      <c r="A824">
        <f>ICS4Test!H825</f>
        <v>0</v>
      </c>
    </row>
    <row r="825" spans="1:1">
      <c r="A825">
        <f>ICS4Test!H826</f>
        <v>0</v>
      </c>
    </row>
    <row r="826" spans="1:1">
      <c r="A826">
        <f>ICS4Test!H827</f>
        <v>0</v>
      </c>
    </row>
    <row r="827" spans="1:1">
      <c r="A827">
        <f>ICS4Test!H828</f>
        <v>0</v>
      </c>
    </row>
    <row r="828" spans="1:1">
      <c r="A828">
        <f>ICS4Test!H829</f>
        <v>0</v>
      </c>
    </row>
    <row r="829" spans="1:1">
      <c r="A829">
        <f>ICS4Test!H830</f>
        <v>0</v>
      </c>
    </row>
    <row r="830" spans="1:1">
      <c r="A830">
        <f>ICS4Test!H831</f>
        <v>0</v>
      </c>
    </row>
    <row r="831" spans="1:1">
      <c r="A831">
        <f>ICS4Test!H832</f>
        <v>0</v>
      </c>
    </row>
    <row r="832" spans="1:1">
      <c r="A832">
        <f>ICS4Test!H833</f>
        <v>0</v>
      </c>
    </row>
    <row r="833" spans="1:1">
      <c r="A833">
        <f>ICS4Test!H834</f>
        <v>0</v>
      </c>
    </row>
    <row r="834" spans="1:1">
      <c r="A834">
        <f>ICS4Test!H835</f>
        <v>0</v>
      </c>
    </row>
    <row r="835" spans="1:1">
      <c r="A835">
        <f>ICS4Test!H836</f>
        <v>0</v>
      </c>
    </row>
    <row r="836" spans="1:1">
      <c r="A836">
        <f>ICS4Test!H837</f>
        <v>0</v>
      </c>
    </row>
    <row r="837" spans="1:1">
      <c r="A837">
        <f>ICS4Test!H838</f>
        <v>0</v>
      </c>
    </row>
    <row r="838" spans="1:1">
      <c r="A838">
        <f>ICS4Test!H839</f>
        <v>0</v>
      </c>
    </row>
    <row r="839" spans="1:1">
      <c r="A839">
        <f>ICS4Test!H840</f>
        <v>0</v>
      </c>
    </row>
    <row r="840" spans="1:1">
      <c r="A840">
        <f>ICS4Test!H841</f>
        <v>0</v>
      </c>
    </row>
    <row r="841" spans="1:1">
      <c r="A841">
        <f>ICS4Test!H842</f>
        <v>0</v>
      </c>
    </row>
    <row r="842" spans="1:1">
      <c r="A842">
        <f>ICS4Test!H843</f>
        <v>0</v>
      </c>
    </row>
    <row r="843" spans="1:1">
      <c r="A843">
        <f>ICS4Test!H844</f>
        <v>0</v>
      </c>
    </row>
    <row r="844" spans="1:1">
      <c r="A844">
        <f>ICS4Test!H845</f>
        <v>0</v>
      </c>
    </row>
    <row r="845" spans="1:1">
      <c r="A845">
        <f>ICS4Test!H846</f>
        <v>0</v>
      </c>
    </row>
    <row r="846" spans="1:1">
      <c r="A846">
        <f>ICS4Test!H847</f>
        <v>0</v>
      </c>
    </row>
    <row r="847" spans="1:1">
      <c r="A847">
        <f>ICS4Test!H848</f>
        <v>0</v>
      </c>
    </row>
    <row r="848" spans="1:1">
      <c r="A848">
        <f>ICS4Test!H849</f>
        <v>0</v>
      </c>
    </row>
    <row r="849" spans="1:1">
      <c r="A849">
        <f>ICS4Test!H850</f>
        <v>0</v>
      </c>
    </row>
    <row r="850" spans="1:1">
      <c r="A850">
        <f>ICS4Test!H851</f>
        <v>0</v>
      </c>
    </row>
    <row r="851" spans="1:1">
      <c r="A851">
        <f>ICS4Test!H852</f>
        <v>0</v>
      </c>
    </row>
    <row r="852" spans="1:1">
      <c r="A852">
        <f>ICS4Test!H853</f>
        <v>0</v>
      </c>
    </row>
    <row r="853" spans="1:1">
      <c r="A853">
        <f>ICS4Test!H854</f>
        <v>0</v>
      </c>
    </row>
    <row r="854" spans="1:1">
      <c r="A854">
        <f>ICS4Test!H855</f>
        <v>0</v>
      </c>
    </row>
    <row r="855" spans="1:1">
      <c r="A855">
        <f>ICS4Test!H856</f>
        <v>0</v>
      </c>
    </row>
    <row r="856" spans="1:1">
      <c r="A856">
        <f>ICS4Test!H857</f>
        <v>0</v>
      </c>
    </row>
    <row r="857" spans="1:1">
      <c r="A857">
        <f>ICS4Test!H858</f>
        <v>0</v>
      </c>
    </row>
    <row r="858" spans="1:1">
      <c r="A858">
        <f>ICS4Test!H859</f>
        <v>0</v>
      </c>
    </row>
    <row r="859" spans="1:1">
      <c r="A859">
        <f>ICS4Test!H860</f>
        <v>0</v>
      </c>
    </row>
    <row r="860" spans="1:1">
      <c r="A860">
        <f>ICS4Test!H861</f>
        <v>0</v>
      </c>
    </row>
    <row r="861" spans="1:1">
      <c r="A861">
        <f>ICS4Test!H862</f>
        <v>0</v>
      </c>
    </row>
    <row r="862" spans="1:1">
      <c r="A862">
        <f>ICS4Test!H863</f>
        <v>0</v>
      </c>
    </row>
    <row r="863" spans="1:1">
      <c r="A863">
        <f>ICS4Test!H864</f>
        <v>0</v>
      </c>
    </row>
    <row r="864" spans="1:1">
      <c r="A864">
        <f>ICS4Test!H865</f>
        <v>0</v>
      </c>
    </row>
    <row r="865" spans="1:1">
      <c r="A865">
        <f>ICS4Test!H866</f>
        <v>0</v>
      </c>
    </row>
    <row r="866" spans="1:1">
      <c r="A866">
        <f>ICS4Test!H867</f>
        <v>0</v>
      </c>
    </row>
    <row r="867" spans="1:1">
      <c r="A867">
        <f>ICS4Test!H868</f>
        <v>0</v>
      </c>
    </row>
    <row r="868" spans="1:1">
      <c r="A868">
        <f>ICS4Test!H869</f>
        <v>0</v>
      </c>
    </row>
    <row r="869" spans="1:1">
      <c r="A869">
        <f>ICS4Test!H870</f>
        <v>0</v>
      </c>
    </row>
    <row r="870" spans="1:1">
      <c r="A870">
        <f>ICS4Test!H871</f>
        <v>0</v>
      </c>
    </row>
    <row r="871" spans="1:1">
      <c r="A871">
        <f>ICS4Test!H872</f>
        <v>0</v>
      </c>
    </row>
    <row r="872" spans="1:1">
      <c r="A872">
        <f>ICS4Test!H873</f>
        <v>0</v>
      </c>
    </row>
    <row r="873" spans="1:1">
      <c r="A873">
        <f>ICS4Test!H874</f>
        <v>0</v>
      </c>
    </row>
    <row r="874" spans="1:1">
      <c r="A874">
        <f>ICS4Test!H875</f>
        <v>0</v>
      </c>
    </row>
    <row r="875" spans="1:1">
      <c r="A875">
        <f>ICS4Test!H876</f>
        <v>0</v>
      </c>
    </row>
    <row r="876" spans="1:1">
      <c r="A876">
        <f>ICS4Test!H877</f>
        <v>0</v>
      </c>
    </row>
    <row r="877" spans="1:1">
      <c r="A877">
        <f>ICS4Test!H878</f>
        <v>0</v>
      </c>
    </row>
    <row r="878" spans="1:1">
      <c r="A878">
        <f>ICS4Test!H879</f>
        <v>0</v>
      </c>
    </row>
    <row r="879" spans="1:1">
      <c r="A879">
        <f>ICS4Test!H880</f>
        <v>0</v>
      </c>
    </row>
    <row r="880" spans="1:1">
      <c r="A880">
        <f>ICS4Test!H881</f>
        <v>0</v>
      </c>
    </row>
    <row r="881" spans="1:1">
      <c r="A881">
        <f>ICS4Test!H882</f>
        <v>0</v>
      </c>
    </row>
    <row r="882" spans="1:1">
      <c r="A882">
        <f>ICS4Test!H883</f>
        <v>0</v>
      </c>
    </row>
    <row r="883" spans="1:1">
      <c r="A883">
        <f>ICS4Test!H884</f>
        <v>0</v>
      </c>
    </row>
    <row r="884" spans="1:1">
      <c r="A884">
        <f>ICS4Test!H885</f>
        <v>0</v>
      </c>
    </row>
    <row r="885" spans="1:1">
      <c r="A885">
        <f>ICS4Test!H886</f>
        <v>0</v>
      </c>
    </row>
    <row r="886" spans="1:1">
      <c r="A886">
        <f>ICS4Test!H887</f>
        <v>0</v>
      </c>
    </row>
    <row r="887" spans="1:1">
      <c r="A887">
        <f>ICS4Test!H888</f>
        <v>0</v>
      </c>
    </row>
    <row r="888" spans="1:1">
      <c r="A888">
        <f>ICS4Test!H889</f>
        <v>0</v>
      </c>
    </row>
    <row r="889" spans="1:1">
      <c r="A889">
        <f>ICS4Test!H890</f>
        <v>0</v>
      </c>
    </row>
    <row r="890" spans="1:1">
      <c r="A890">
        <f>ICS4Test!H891</f>
        <v>0</v>
      </c>
    </row>
    <row r="891" spans="1:1">
      <c r="A891">
        <f>ICS4Test!H892</f>
        <v>0</v>
      </c>
    </row>
    <row r="892" spans="1:1">
      <c r="A892">
        <f>ICS4Test!H893</f>
        <v>0</v>
      </c>
    </row>
    <row r="893" spans="1:1">
      <c r="A893">
        <f>ICS4Test!H894</f>
        <v>0</v>
      </c>
    </row>
    <row r="894" spans="1:1">
      <c r="A894">
        <f>ICS4Test!H895</f>
        <v>0</v>
      </c>
    </row>
    <row r="895" spans="1:1">
      <c r="A895">
        <f>ICS4Test!H896</f>
        <v>0</v>
      </c>
    </row>
    <row r="896" spans="1:1">
      <c r="A896">
        <f>ICS4Test!H897</f>
        <v>0</v>
      </c>
    </row>
    <row r="897" spans="1:1">
      <c r="A897">
        <f>ICS4Test!H898</f>
        <v>0</v>
      </c>
    </row>
    <row r="898" spans="1:1">
      <c r="A898">
        <f>ICS4Test!H899</f>
        <v>0</v>
      </c>
    </row>
    <row r="899" spans="1:1">
      <c r="A899">
        <f>ICS4Test!H900</f>
        <v>0</v>
      </c>
    </row>
    <row r="900" spans="1:1">
      <c r="A900">
        <f>ICS4Test!H901</f>
        <v>0</v>
      </c>
    </row>
    <row r="901" spans="1:1">
      <c r="A901">
        <f>ICS4Test!H902</f>
        <v>0</v>
      </c>
    </row>
    <row r="902" spans="1:1">
      <c r="A902">
        <f>ICS4Test!H903</f>
        <v>0</v>
      </c>
    </row>
    <row r="903" spans="1:1">
      <c r="A903">
        <f>ICS4Test!H904</f>
        <v>0</v>
      </c>
    </row>
    <row r="904" spans="1:1">
      <c r="A904">
        <f>ICS4Test!H905</f>
        <v>0</v>
      </c>
    </row>
    <row r="905" spans="1:1">
      <c r="A905">
        <f>ICS4Test!H906</f>
        <v>0</v>
      </c>
    </row>
    <row r="906" spans="1:1">
      <c r="A906">
        <f>ICS4Test!H907</f>
        <v>0</v>
      </c>
    </row>
    <row r="907" spans="1:1">
      <c r="A907">
        <f>ICS4Test!H908</f>
        <v>0</v>
      </c>
    </row>
    <row r="908" spans="1:1">
      <c r="A908">
        <f>ICS4Test!H909</f>
        <v>0</v>
      </c>
    </row>
    <row r="909" spans="1:1">
      <c r="A909">
        <f>ICS4Test!H910</f>
        <v>0</v>
      </c>
    </row>
    <row r="910" spans="1:1">
      <c r="A910">
        <f>ICS4Test!H911</f>
        <v>0</v>
      </c>
    </row>
    <row r="911" spans="1:1">
      <c r="A911">
        <f>ICS4Test!H912</f>
        <v>0</v>
      </c>
    </row>
    <row r="912" spans="1:1">
      <c r="A912">
        <f>ICS4Test!H913</f>
        <v>0</v>
      </c>
    </row>
    <row r="913" spans="1:1">
      <c r="A913">
        <f>ICS4Test!H914</f>
        <v>0</v>
      </c>
    </row>
    <row r="914" spans="1:1">
      <c r="A914">
        <f>ICS4Test!H915</f>
        <v>0</v>
      </c>
    </row>
    <row r="915" spans="1:1">
      <c r="A915">
        <f>ICS4Test!H916</f>
        <v>0</v>
      </c>
    </row>
    <row r="916" spans="1:1">
      <c r="A916">
        <f>ICS4Test!H917</f>
        <v>0</v>
      </c>
    </row>
    <row r="917" spans="1:1">
      <c r="A917">
        <f>ICS4Test!H918</f>
        <v>0</v>
      </c>
    </row>
    <row r="918" spans="1:1">
      <c r="A918">
        <f>ICS4Test!H919</f>
        <v>0</v>
      </c>
    </row>
    <row r="919" spans="1:1">
      <c r="A919">
        <f>ICS4Test!H920</f>
        <v>0</v>
      </c>
    </row>
    <row r="920" spans="1:1">
      <c r="A920">
        <f>ICS4Test!H921</f>
        <v>0</v>
      </c>
    </row>
    <row r="921" spans="1:1">
      <c r="A921">
        <f>ICS4Test!H922</f>
        <v>0</v>
      </c>
    </row>
    <row r="922" spans="1:1">
      <c r="A922">
        <f>ICS4Test!H923</f>
        <v>0</v>
      </c>
    </row>
    <row r="923" spans="1:1">
      <c r="A923">
        <f>ICS4Test!H924</f>
        <v>0</v>
      </c>
    </row>
    <row r="924" spans="1:1">
      <c r="A924">
        <f>ICS4Test!H925</f>
        <v>0</v>
      </c>
    </row>
    <row r="925" spans="1:1">
      <c r="A925">
        <f>ICS4Test!H926</f>
        <v>0</v>
      </c>
    </row>
    <row r="926" spans="1:1">
      <c r="A926">
        <f>ICS4Test!H927</f>
        <v>0</v>
      </c>
    </row>
    <row r="927" spans="1:1">
      <c r="A927">
        <f>ICS4Test!H928</f>
        <v>0</v>
      </c>
    </row>
    <row r="928" spans="1:1">
      <c r="A928">
        <f>ICS4Test!H929</f>
        <v>0</v>
      </c>
    </row>
    <row r="929" spans="1:1">
      <c r="A929">
        <f>ICS4Test!H930</f>
        <v>0</v>
      </c>
    </row>
    <row r="930" spans="1:1">
      <c r="A930">
        <f>ICS4Test!H931</f>
        <v>0</v>
      </c>
    </row>
    <row r="931" spans="1:1">
      <c r="A931">
        <f>ICS4Test!H932</f>
        <v>0</v>
      </c>
    </row>
    <row r="932" spans="1:1">
      <c r="A932">
        <f>ICS4Test!H933</f>
        <v>0</v>
      </c>
    </row>
    <row r="933" spans="1:1">
      <c r="A933">
        <f>ICS4Test!H934</f>
        <v>0</v>
      </c>
    </row>
    <row r="934" spans="1:1">
      <c r="A934">
        <f>ICS4Test!H935</f>
        <v>0</v>
      </c>
    </row>
    <row r="935" spans="1:1">
      <c r="A935">
        <f>ICS4Test!H936</f>
        <v>0</v>
      </c>
    </row>
    <row r="936" spans="1:1">
      <c r="A936">
        <f>ICS4Test!H937</f>
        <v>0</v>
      </c>
    </row>
    <row r="937" spans="1:1">
      <c r="A937">
        <f>ICS4Test!H938</f>
        <v>0</v>
      </c>
    </row>
    <row r="938" spans="1:1">
      <c r="A938">
        <f>ICS4Test!H939</f>
        <v>0</v>
      </c>
    </row>
    <row r="939" spans="1:1">
      <c r="A939">
        <f>ICS4Test!H940</f>
        <v>0</v>
      </c>
    </row>
    <row r="940" spans="1:1">
      <c r="A940">
        <f>ICS4Test!H941</f>
        <v>0</v>
      </c>
    </row>
    <row r="941" spans="1:1">
      <c r="A941">
        <f>ICS4Test!H942</f>
        <v>0</v>
      </c>
    </row>
    <row r="942" spans="1:1">
      <c r="A942">
        <f>ICS4Test!H943</f>
        <v>0</v>
      </c>
    </row>
    <row r="943" spans="1:1">
      <c r="A943">
        <f>ICS4Test!H944</f>
        <v>0</v>
      </c>
    </row>
    <row r="944" spans="1:1">
      <c r="A944">
        <f>ICS4Test!H945</f>
        <v>0</v>
      </c>
    </row>
    <row r="945" spans="1:1">
      <c r="A945">
        <f>ICS4Test!H946</f>
        <v>0</v>
      </c>
    </row>
    <row r="946" spans="1:1">
      <c r="A946">
        <f>ICS4Test!H947</f>
        <v>0</v>
      </c>
    </row>
    <row r="947" spans="1:1">
      <c r="A947">
        <f>ICS4Test!H948</f>
        <v>0</v>
      </c>
    </row>
    <row r="948" spans="1:1">
      <c r="A948">
        <f>ICS4Test!H949</f>
        <v>0</v>
      </c>
    </row>
    <row r="949" spans="1:1">
      <c r="A949">
        <f>ICS4Test!H950</f>
        <v>0</v>
      </c>
    </row>
    <row r="950" spans="1:1">
      <c r="A950">
        <f>ICS4Test!H951</f>
        <v>0</v>
      </c>
    </row>
    <row r="951" spans="1:1">
      <c r="A951">
        <f>ICS4Test!H952</f>
        <v>0</v>
      </c>
    </row>
    <row r="952" spans="1:1">
      <c r="A952">
        <f>ICS4Test!H953</f>
        <v>0</v>
      </c>
    </row>
    <row r="953" spans="1:1">
      <c r="A953">
        <f>ICS4Test!H954</f>
        <v>0</v>
      </c>
    </row>
    <row r="954" spans="1:1">
      <c r="A954">
        <f>ICS4Test!H955</f>
        <v>0</v>
      </c>
    </row>
    <row r="955" spans="1:1">
      <c r="A955">
        <f>ICS4Test!H956</f>
        <v>0</v>
      </c>
    </row>
    <row r="956" spans="1:1">
      <c r="A956">
        <f>ICS4Test!H957</f>
        <v>0</v>
      </c>
    </row>
    <row r="957" spans="1:1">
      <c r="A957">
        <f>ICS4Test!H958</f>
        <v>0</v>
      </c>
    </row>
    <row r="958" spans="1:1">
      <c r="A958">
        <f>ICS4Test!H959</f>
        <v>0</v>
      </c>
    </row>
    <row r="959" spans="1:1">
      <c r="A959">
        <f>ICS4Test!H960</f>
        <v>0</v>
      </c>
    </row>
    <row r="960" spans="1:1">
      <c r="A960">
        <f>ICS4Test!H961</f>
        <v>0</v>
      </c>
    </row>
    <row r="961" spans="1:1">
      <c r="A961">
        <f>ICS4Test!H962</f>
        <v>0</v>
      </c>
    </row>
    <row r="962" spans="1:1">
      <c r="A962">
        <f>ICS4Test!H963</f>
        <v>0</v>
      </c>
    </row>
    <row r="963" spans="1:1">
      <c r="A963">
        <f>ICS4Test!H964</f>
        <v>0</v>
      </c>
    </row>
    <row r="964" spans="1:1">
      <c r="A964">
        <f>ICS4Test!H965</f>
        <v>0</v>
      </c>
    </row>
    <row r="965" spans="1:1">
      <c r="A965">
        <f>ICS4Test!H966</f>
        <v>0</v>
      </c>
    </row>
    <row r="966" spans="1:1">
      <c r="A966">
        <f>ICS4Test!H967</f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D24EB-BC99-450B-8223-78274902FC7E}">
  <sheetPr codeName="OT4Race"/>
  <dimension ref="A1:A918"/>
  <sheetViews>
    <sheetView workbookViewId="0">
      <selection activeCell="G9" sqref="G9"/>
    </sheetView>
  </sheetViews>
  <sheetFormatPr defaultColWidth="8.7109375" defaultRowHeight="14.45"/>
  <sheetData>
    <row r="1" spans="1:1">
      <c r="A1" t="str">
        <f>ICS4Master!H2</f>
        <v/>
      </c>
    </row>
    <row r="2" spans="1:1">
      <c r="A2" t="str">
        <f>ICS4Master!H3</f>
        <v/>
      </c>
    </row>
    <row r="3" spans="1:1">
      <c r="A3" t="str">
        <f>ICS4Master!H4</f>
        <v/>
      </c>
    </row>
    <row r="4" spans="1:1">
      <c r="A4" t="str">
        <f>ICS4Master!H5</f>
        <v/>
      </c>
    </row>
    <row r="5" spans="1:1">
      <c r="A5" t="str">
        <f>ICS4Master!H6</f>
        <v/>
      </c>
    </row>
    <row r="6" spans="1:1">
      <c r="A6" t="str">
        <f>ICS4Master!H7</f>
        <v/>
      </c>
    </row>
    <row r="7" spans="1:1">
      <c r="A7" t="str">
        <f>ICS4Master!H8</f>
        <v/>
      </c>
    </row>
    <row r="8" spans="1:1">
      <c r="A8" t="str">
        <f>ICS4Master!H9</f>
        <v/>
      </c>
    </row>
    <row r="9" spans="1:1">
      <c r="A9" t="str">
        <f>ICS4Master!H10</f>
        <v/>
      </c>
    </row>
    <row r="10" spans="1:1">
      <c r="A10" t="str">
        <f>ICS4Master!H11</f>
        <v/>
      </c>
    </row>
    <row r="11" spans="1:1">
      <c r="A11" t="str">
        <f>ICS4Master!H12</f>
        <v/>
      </c>
    </row>
    <row r="12" spans="1:1">
      <c r="A12" t="str">
        <f>ICS4Master!H13</f>
        <v/>
      </c>
    </row>
    <row r="13" spans="1:1">
      <c r="A13" t="str">
        <f>ICS4Master!H14</f>
        <v/>
      </c>
    </row>
    <row r="14" spans="1:1">
      <c r="A14" t="str">
        <f>ICS4Master!H15</f>
        <v/>
      </c>
    </row>
    <row r="15" spans="1:1">
      <c r="A15" t="str">
        <f>ICS4Master!H16</f>
        <v/>
      </c>
    </row>
    <row r="16" spans="1:1">
      <c r="A16" t="str">
        <f>ICS4Master!H17</f>
        <v/>
      </c>
    </row>
    <row r="17" spans="1:1">
      <c r="A17" t="str">
        <f>ICS4Master!H18</f>
        <v/>
      </c>
    </row>
    <row r="18" spans="1:1">
      <c r="A18" t="str">
        <f>ICS4Master!H19</f>
        <v/>
      </c>
    </row>
    <row r="19" spans="1:1">
      <c r="A19" t="str">
        <f>ICS4Master!H20</f>
        <v/>
      </c>
    </row>
    <row r="20" spans="1:1">
      <c r="A20" t="str">
        <f>ICS4Master!H21</f>
        <v/>
      </c>
    </row>
    <row r="21" spans="1:1">
      <c r="A21" t="str">
        <f>ICS4Master!H22</f>
        <v/>
      </c>
    </row>
    <row r="22" spans="1:1">
      <c r="A22" t="str">
        <f>ICS4Master!H23</f>
        <v/>
      </c>
    </row>
    <row r="23" spans="1:1">
      <c r="A23" t="str">
        <f>ICS4Master!H24</f>
        <v/>
      </c>
    </row>
    <row r="24" spans="1:1">
      <c r="A24" t="str">
        <f>ICS4Master!H25</f>
        <v/>
      </c>
    </row>
    <row r="25" spans="1:1">
      <c r="A25" t="str">
        <f>ICS4Master!H26</f>
        <v/>
      </c>
    </row>
    <row r="26" spans="1:1">
      <c r="A26" t="str">
        <f>ICS4Master!H27</f>
        <v/>
      </c>
    </row>
    <row r="27" spans="1:1">
      <c r="A27" t="str">
        <f>ICS4Master!H28</f>
        <v/>
      </c>
    </row>
    <row r="28" spans="1:1">
      <c r="A28" t="str">
        <f>ICS4Master!H29</f>
        <v/>
      </c>
    </row>
    <row r="29" spans="1:1">
      <c r="A29" t="str">
        <f>ICS4Master!H30</f>
        <v/>
      </c>
    </row>
    <row r="30" spans="1:1">
      <c r="A30" t="str">
        <f>ICS4Master!H31</f>
        <v/>
      </c>
    </row>
    <row r="31" spans="1:1">
      <c r="A31" t="str">
        <f>ICS4Master!H32</f>
        <v/>
      </c>
    </row>
    <row r="32" spans="1:1">
      <c r="A32" t="str">
        <f>ICS4Master!H33</f>
        <v/>
      </c>
    </row>
    <row r="33" spans="1:1">
      <c r="A33" t="str">
        <f>ICS4Master!H34</f>
        <v/>
      </c>
    </row>
    <row r="34" spans="1:1">
      <c r="A34" t="str">
        <f>ICS4Master!H35</f>
        <v/>
      </c>
    </row>
    <row r="35" spans="1:1">
      <c r="A35" t="str">
        <f>ICS4Master!H36</f>
        <v/>
      </c>
    </row>
    <row r="36" spans="1:1">
      <c r="A36" t="str">
        <f>ICS4Master!H37</f>
        <v/>
      </c>
    </row>
    <row r="37" spans="1:1">
      <c r="A37" t="str">
        <f>ICS4Master!H38</f>
        <v/>
      </c>
    </row>
    <row r="38" spans="1:1">
      <c r="A38" t="str">
        <f>ICS4Master!H39</f>
        <v/>
      </c>
    </row>
    <row r="39" spans="1:1">
      <c r="A39" t="str">
        <f>ICS4Master!H40</f>
        <v/>
      </c>
    </row>
    <row r="40" spans="1:1">
      <c r="A40" t="str">
        <f>ICS4Master!H41</f>
        <v/>
      </c>
    </row>
    <row r="41" spans="1:1">
      <c r="A41" t="str">
        <f>ICS4Master!H42</f>
        <v/>
      </c>
    </row>
    <row r="42" spans="1:1">
      <c r="A42" t="str">
        <f>ICS4Master!H43</f>
        <v/>
      </c>
    </row>
    <row r="43" spans="1:1">
      <c r="A43" t="str">
        <f>ICS4Master!H44</f>
        <v/>
      </c>
    </row>
    <row r="44" spans="1:1">
      <c r="A44" t="str">
        <f>ICS4Master!H45</f>
        <v/>
      </c>
    </row>
    <row r="45" spans="1:1">
      <c r="A45" t="str">
        <f>ICS4Master!H46</f>
        <v/>
      </c>
    </row>
    <row r="46" spans="1:1">
      <c r="A46" t="str">
        <f>ICS4Master!H47</f>
        <v/>
      </c>
    </row>
    <row r="47" spans="1:1">
      <c r="A47" t="str">
        <f>ICS4Master!H48</f>
        <v/>
      </c>
    </row>
    <row r="48" spans="1:1">
      <c r="A48" t="str">
        <f>ICS4Master!H49</f>
        <v/>
      </c>
    </row>
    <row r="49" spans="1:1">
      <c r="A49" t="str">
        <f>ICS4Master!H50</f>
        <v/>
      </c>
    </row>
    <row r="50" spans="1:1">
      <c r="A50" t="str">
        <f>ICS4Master!H51</f>
        <v/>
      </c>
    </row>
    <row r="51" spans="1:1">
      <c r="A51" t="str">
        <f>ICS4Master!H52</f>
        <v/>
      </c>
    </row>
    <row r="52" spans="1:1">
      <c r="A52" t="str">
        <f>ICS4Master!H53</f>
        <v/>
      </c>
    </row>
    <row r="53" spans="1:1">
      <c r="A53" t="str">
        <f>ICS4Master!H54</f>
        <v/>
      </c>
    </row>
    <row r="54" spans="1:1">
      <c r="A54" t="str">
        <f>ICS4Master!H55</f>
        <v/>
      </c>
    </row>
    <row r="55" spans="1:1">
      <c r="A55" t="str">
        <f>ICS4Master!H56</f>
        <v/>
      </c>
    </row>
    <row r="56" spans="1:1">
      <c r="A56" t="str">
        <f>ICS4Master!H57</f>
        <v/>
      </c>
    </row>
    <row r="57" spans="1:1">
      <c r="A57" t="str">
        <f>ICS4Master!H58</f>
        <v/>
      </c>
    </row>
    <row r="58" spans="1:1">
      <c r="A58" t="str">
        <f>ICS4Master!H59</f>
        <v/>
      </c>
    </row>
    <row r="59" spans="1:1">
      <c r="A59" t="str">
        <f>ICS4Master!H60</f>
        <v/>
      </c>
    </row>
    <row r="60" spans="1:1">
      <c r="A60" t="str">
        <f>ICS4Master!H61</f>
        <v/>
      </c>
    </row>
    <row r="61" spans="1:1">
      <c r="A61" t="str">
        <f>ICS4Master!H62</f>
        <v/>
      </c>
    </row>
    <row r="62" spans="1:1">
      <c r="A62" t="str">
        <f>ICS4Master!H63</f>
        <v/>
      </c>
    </row>
    <row r="63" spans="1:1">
      <c r="A63" t="str">
        <f>ICS4Master!H64</f>
        <v/>
      </c>
    </row>
    <row r="64" spans="1:1">
      <c r="A64" t="str">
        <f>ICS4Master!H65</f>
        <v/>
      </c>
    </row>
    <row r="65" spans="1:1">
      <c r="A65" t="str">
        <f>ICS4Master!H66</f>
        <v/>
      </c>
    </row>
    <row r="66" spans="1:1">
      <c r="A66" t="str">
        <f>ICS4Master!H67</f>
        <v/>
      </c>
    </row>
    <row r="67" spans="1:1">
      <c r="A67" t="str">
        <f>ICS4Master!H68</f>
        <v/>
      </c>
    </row>
    <row r="68" spans="1:1">
      <c r="A68" t="str">
        <f>ICS4Master!H69</f>
        <v/>
      </c>
    </row>
    <row r="69" spans="1:1">
      <c r="A69" t="str">
        <f>ICS4Master!H70</f>
        <v/>
      </c>
    </row>
    <row r="70" spans="1:1">
      <c r="A70" t="str">
        <f>ICS4Master!H71</f>
        <v/>
      </c>
    </row>
    <row r="71" spans="1:1">
      <c r="A71" t="str">
        <f>ICS4Master!H72</f>
        <v/>
      </c>
    </row>
    <row r="72" spans="1:1">
      <c r="A72" t="str">
        <f>ICS4Master!H73</f>
        <v/>
      </c>
    </row>
    <row r="73" spans="1:1">
      <c r="A73" t="str">
        <f>ICS4Master!H74</f>
        <v/>
      </c>
    </row>
    <row r="74" spans="1:1">
      <c r="A74" t="str">
        <f>ICS4Master!H75</f>
        <v/>
      </c>
    </row>
    <row r="75" spans="1:1">
      <c r="A75" t="str">
        <f>ICS4Master!H76</f>
        <v/>
      </c>
    </row>
    <row r="76" spans="1:1">
      <c r="A76" t="str">
        <f>ICS4Master!H77</f>
        <v/>
      </c>
    </row>
    <row r="77" spans="1:1">
      <c r="A77" t="str">
        <f>ICS4Master!H78</f>
        <v/>
      </c>
    </row>
    <row r="78" spans="1:1">
      <c r="A78" t="str">
        <f>ICS4Master!H79</f>
        <v/>
      </c>
    </row>
    <row r="79" spans="1:1">
      <c r="A79" t="str">
        <f>ICS4Master!H80</f>
        <v/>
      </c>
    </row>
    <row r="80" spans="1:1">
      <c r="A80" t="str">
        <f>ICS4Master!H81</f>
        <v/>
      </c>
    </row>
    <row r="81" spans="1:1">
      <c r="A81" t="str">
        <f>ICS4Master!H82</f>
        <v/>
      </c>
    </row>
    <row r="82" spans="1:1">
      <c r="A82" t="str">
        <f>ICS4Master!H83</f>
        <v/>
      </c>
    </row>
    <row r="83" spans="1:1">
      <c r="A83" t="str">
        <f>ICS4Master!H84</f>
        <v/>
      </c>
    </row>
    <row r="84" spans="1:1">
      <c r="A84" t="str">
        <f>ICS4Master!H85</f>
        <v/>
      </c>
    </row>
    <row r="85" spans="1:1">
      <c r="A85" t="str">
        <f>ICS4Master!H86</f>
        <v/>
      </c>
    </row>
    <row r="86" spans="1:1">
      <c r="A86" t="str">
        <f>ICS4Master!H87</f>
        <v/>
      </c>
    </row>
    <row r="87" spans="1:1">
      <c r="A87" t="str">
        <f>ICS4Master!H88</f>
        <v/>
      </c>
    </row>
    <row r="88" spans="1:1">
      <c r="A88" t="str">
        <f>ICS4Master!H89</f>
        <v/>
      </c>
    </row>
    <row r="89" spans="1:1">
      <c r="A89" t="str">
        <f>ICS4Master!H90</f>
        <v/>
      </c>
    </row>
    <row r="90" spans="1:1">
      <c r="A90" t="str">
        <f>ICS4Master!H91</f>
        <v/>
      </c>
    </row>
    <row r="91" spans="1:1">
      <c r="A91" t="str">
        <f>ICS4Master!H92</f>
        <v/>
      </c>
    </row>
    <row r="92" spans="1:1">
      <c r="A92" t="str">
        <f>ICS4Master!H93</f>
        <v/>
      </c>
    </row>
    <row r="93" spans="1:1">
      <c r="A93" t="str">
        <f>ICS4Master!H94</f>
        <v/>
      </c>
    </row>
    <row r="94" spans="1:1">
      <c r="A94" t="str">
        <f>ICS4Master!H95</f>
        <v/>
      </c>
    </row>
    <row r="95" spans="1:1">
      <c r="A95" t="str">
        <f>ICS4Master!H96</f>
        <v/>
      </c>
    </row>
    <row r="96" spans="1:1">
      <c r="A96" t="str">
        <f>ICS4Master!H97</f>
        <v/>
      </c>
    </row>
    <row r="97" spans="1:1">
      <c r="A97" t="str">
        <f>ICS4Master!H98</f>
        <v/>
      </c>
    </row>
    <row r="98" spans="1:1">
      <c r="A98" t="str">
        <f>ICS4Master!H99</f>
        <v/>
      </c>
    </row>
    <row r="99" spans="1:1">
      <c r="A99" t="str">
        <f>ICS4Master!H100</f>
        <v/>
      </c>
    </row>
    <row r="100" spans="1:1">
      <c r="A100" t="str">
        <f>ICS4Master!H101</f>
        <v/>
      </c>
    </row>
    <row r="101" spans="1:1">
      <c r="A101" t="str">
        <f>ICS4Master!H102</f>
        <v/>
      </c>
    </row>
    <row r="102" spans="1:1">
      <c r="A102" t="str">
        <f>ICS4Master!H103</f>
        <v/>
      </c>
    </row>
    <row r="103" spans="1:1">
      <c r="A103" t="str">
        <f>ICS4Master!H104</f>
        <v/>
      </c>
    </row>
    <row r="104" spans="1:1">
      <c r="A104" t="str">
        <f>ICS4Master!H105</f>
        <v/>
      </c>
    </row>
    <row r="105" spans="1:1">
      <c r="A105" t="str">
        <f>ICS4Master!H106</f>
        <v/>
      </c>
    </row>
    <row r="106" spans="1:1">
      <c r="A106" t="str">
        <f>ICS4Master!H107</f>
        <v/>
      </c>
    </row>
    <row r="107" spans="1:1">
      <c r="A107" t="str">
        <f>ICS4Master!H108</f>
        <v/>
      </c>
    </row>
    <row r="108" spans="1:1">
      <c r="A108" t="str">
        <f>ICS4Master!H109</f>
        <v/>
      </c>
    </row>
    <row r="109" spans="1:1">
      <c r="A109" t="str">
        <f>ICS4Master!H110</f>
        <v/>
      </c>
    </row>
    <row r="110" spans="1:1">
      <c r="A110" t="str">
        <f>ICS4Master!H111</f>
        <v/>
      </c>
    </row>
    <row r="111" spans="1:1">
      <c r="A111" t="str">
        <f>ICS4Master!H112</f>
        <v/>
      </c>
    </row>
    <row r="112" spans="1:1">
      <c r="A112" t="str">
        <f>ICS4Master!H113</f>
        <v/>
      </c>
    </row>
    <row r="113" spans="1:1">
      <c r="A113" t="str">
        <f>ICS4Master!H114</f>
        <v/>
      </c>
    </row>
    <row r="114" spans="1:1">
      <c r="A114" t="str">
        <f>ICS4Master!H115</f>
        <v/>
      </c>
    </row>
    <row r="115" spans="1:1">
      <c r="A115" t="str">
        <f>ICS4Master!H116</f>
        <v/>
      </c>
    </row>
    <row r="116" spans="1:1">
      <c r="A116" t="str">
        <f>ICS4Master!H117</f>
        <v/>
      </c>
    </row>
    <row r="117" spans="1:1">
      <c r="A117" t="str">
        <f>ICS4Master!H118</f>
        <v/>
      </c>
    </row>
    <row r="118" spans="1:1">
      <c r="A118" t="str">
        <f>ICS4Master!H119</f>
        <v/>
      </c>
    </row>
    <row r="119" spans="1:1">
      <c r="A119" t="str">
        <f>ICS4Master!H120</f>
        <v/>
      </c>
    </row>
    <row r="120" spans="1:1">
      <c r="A120" t="str">
        <f>ICS4Master!H121</f>
        <v/>
      </c>
    </row>
    <row r="121" spans="1:1">
      <c r="A121" t="str">
        <f>ICS4Master!H122</f>
        <v/>
      </c>
    </row>
    <row r="122" spans="1:1">
      <c r="A122" t="str">
        <f>ICS4Master!H123</f>
        <v/>
      </c>
    </row>
    <row r="123" spans="1:1">
      <c r="A123" t="str">
        <f>ICS4Master!H124</f>
        <v/>
      </c>
    </row>
    <row r="124" spans="1:1">
      <c r="A124" t="str">
        <f>ICS4Master!H125</f>
        <v/>
      </c>
    </row>
    <row r="125" spans="1:1">
      <c r="A125" t="str">
        <f>ICS4Master!H126</f>
        <v/>
      </c>
    </row>
    <row r="126" spans="1:1">
      <c r="A126" t="str">
        <f>ICS4Master!H127</f>
        <v/>
      </c>
    </row>
    <row r="127" spans="1:1">
      <c r="A127" t="str">
        <f>ICS4Master!H128</f>
        <v/>
      </c>
    </row>
    <row r="128" spans="1:1">
      <c r="A128" t="str">
        <f>ICS4Master!H129</f>
        <v/>
      </c>
    </row>
    <row r="129" spans="1:1">
      <c r="A129" t="str">
        <f>ICS4Master!H130</f>
        <v/>
      </c>
    </row>
    <row r="130" spans="1:1">
      <c r="A130" t="str">
        <f>ICS4Master!H131</f>
        <v/>
      </c>
    </row>
    <row r="131" spans="1:1">
      <c r="A131" t="str">
        <f>ICS4Master!H132</f>
        <v/>
      </c>
    </row>
    <row r="132" spans="1:1">
      <c r="A132" t="str">
        <f>ICS4Master!H133</f>
        <v/>
      </c>
    </row>
    <row r="133" spans="1:1">
      <c r="A133" t="str">
        <f>ICS4Master!H134</f>
        <v/>
      </c>
    </row>
    <row r="134" spans="1:1">
      <c r="A134" t="str">
        <f>ICS4Master!H135</f>
        <v/>
      </c>
    </row>
    <row r="135" spans="1:1">
      <c r="A135" t="str">
        <f>ICS4Master!H136</f>
        <v/>
      </c>
    </row>
    <row r="136" spans="1:1">
      <c r="A136" t="str">
        <f>ICS4Master!H137</f>
        <v/>
      </c>
    </row>
    <row r="137" spans="1:1">
      <c r="A137" t="str">
        <f>ICS4Master!H138</f>
        <v/>
      </c>
    </row>
    <row r="138" spans="1:1">
      <c r="A138" t="str">
        <f>ICS4Master!H139</f>
        <v/>
      </c>
    </row>
    <row r="139" spans="1:1">
      <c r="A139" t="str">
        <f>ICS4Master!H140</f>
        <v/>
      </c>
    </row>
    <row r="140" spans="1:1">
      <c r="A140" t="str">
        <f>ICS4Master!H141</f>
        <v/>
      </c>
    </row>
    <row r="141" spans="1:1">
      <c r="A141" t="str">
        <f>ICS4Master!H142</f>
        <v/>
      </c>
    </row>
    <row r="142" spans="1:1">
      <c r="A142" t="str">
        <f>ICS4Master!H143</f>
        <v/>
      </c>
    </row>
    <row r="143" spans="1:1">
      <c r="A143" t="str">
        <f>ICS4Master!H144</f>
        <v/>
      </c>
    </row>
    <row r="144" spans="1:1">
      <c r="A144" t="str">
        <f>ICS4Master!H145</f>
        <v/>
      </c>
    </row>
    <row r="145" spans="1:1">
      <c r="A145" t="str">
        <f>ICS4Master!H146</f>
        <v/>
      </c>
    </row>
    <row r="146" spans="1:1">
      <c r="A146" t="str">
        <f>ICS4Master!H147</f>
        <v/>
      </c>
    </row>
    <row r="147" spans="1:1">
      <c r="A147" t="str">
        <f>ICS4Master!H148</f>
        <v/>
      </c>
    </row>
    <row r="148" spans="1:1">
      <c r="A148" t="str">
        <f>ICS4Master!H149</f>
        <v/>
      </c>
    </row>
    <row r="149" spans="1:1">
      <c r="A149" t="str">
        <f>ICS4Master!H150</f>
        <v/>
      </c>
    </row>
    <row r="150" spans="1:1">
      <c r="A150" t="str">
        <f>ICS4Master!H151</f>
        <v/>
      </c>
    </row>
    <row r="151" spans="1:1">
      <c r="A151" t="str">
        <f>ICS4Master!H152</f>
        <v/>
      </c>
    </row>
    <row r="152" spans="1:1">
      <c r="A152" t="str">
        <f>ICS4Master!H153</f>
        <v/>
      </c>
    </row>
    <row r="153" spans="1:1">
      <c r="A153" t="str">
        <f>ICS4Master!H154</f>
        <v/>
      </c>
    </row>
    <row r="154" spans="1:1">
      <c r="A154" t="str">
        <f>ICS4Master!H155</f>
        <v/>
      </c>
    </row>
    <row r="155" spans="1:1">
      <c r="A155" t="str">
        <f>ICS4Master!H156</f>
        <v/>
      </c>
    </row>
    <row r="156" spans="1:1">
      <c r="A156" t="str">
        <f>ICS4Master!H157</f>
        <v/>
      </c>
    </row>
    <row r="157" spans="1:1">
      <c r="A157" t="str">
        <f>ICS4Master!H158</f>
        <v/>
      </c>
    </row>
    <row r="158" spans="1:1">
      <c r="A158" t="str">
        <f>ICS4Master!H159</f>
        <v/>
      </c>
    </row>
    <row r="159" spans="1:1">
      <c r="A159" t="str">
        <f>ICS4Master!H160</f>
        <v/>
      </c>
    </row>
    <row r="160" spans="1:1">
      <c r="A160" t="str">
        <f>ICS4Master!H161</f>
        <v/>
      </c>
    </row>
    <row r="161" spans="1:1">
      <c r="A161" t="str">
        <f>ICS4Master!H162</f>
        <v/>
      </c>
    </row>
    <row r="162" spans="1:1">
      <c r="A162" t="str">
        <f>ICS4Master!H163</f>
        <v/>
      </c>
    </row>
    <row r="163" spans="1:1">
      <c r="A163" t="str">
        <f>ICS4Master!H164</f>
        <v/>
      </c>
    </row>
    <row r="164" spans="1:1">
      <c r="A164" t="str">
        <f>ICS4Master!H165</f>
        <v/>
      </c>
    </row>
    <row r="165" spans="1:1">
      <c r="A165" t="str">
        <f>ICS4Master!H166</f>
        <v/>
      </c>
    </row>
    <row r="166" spans="1:1">
      <c r="A166" t="str">
        <f>ICS4Master!H167</f>
        <v/>
      </c>
    </row>
    <row r="167" spans="1:1">
      <c r="A167" t="str">
        <f>ICS4Master!H168</f>
        <v/>
      </c>
    </row>
    <row r="168" spans="1:1">
      <c r="A168" t="str">
        <f>ICS4Master!H169</f>
        <v/>
      </c>
    </row>
    <row r="169" spans="1:1">
      <c r="A169" t="str">
        <f>ICS4Master!H170</f>
        <v/>
      </c>
    </row>
    <row r="170" spans="1:1">
      <c r="A170" t="str">
        <f>ICS4Master!H171</f>
        <v/>
      </c>
    </row>
    <row r="171" spans="1:1">
      <c r="A171" t="str">
        <f>ICS4Master!H172</f>
        <v/>
      </c>
    </row>
    <row r="172" spans="1:1">
      <c r="A172" t="str">
        <f>ICS4Master!H173</f>
        <v/>
      </c>
    </row>
    <row r="173" spans="1:1">
      <c r="A173" t="str">
        <f>ICS4Master!H174</f>
        <v/>
      </c>
    </row>
    <row r="174" spans="1:1">
      <c r="A174" t="str">
        <f>ICS4Master!H175</f>
        <v/>
      </c>
    </row>
    <row r="175" spans="1:1">
      <c r="A175" t="str">
        <f>ICS4Master!H176</f>
        <v/>
      </c>
    </row>
    <row r="176" spans="1:1">
      <c r="A176" t="str">
        <f>ICS4Master!H177</f>
        <v/>
      </c>
    </row>
    <row r="177" spans="1:1">
      <c r="A177" t="str">
        <f>ICS4Master!H178</f>
        <v/>
      </c>
    </row>
    <row r="178" spans="1:1">
      <c r="A178" t="str">
        <f>ICS4Master!H179</f>
        <v/>
      </c>
    </row>
    <row r="179" spans="1:1">
      <c r="A179" t="str">
        <f>ICS4Master!H180</f>
        <v/>
      </c>
    </row>
    <row r="180" spans="1:1">
      <c r="A180" t="str">
        <f>ICS4Master!H181</f>
        <v/>
      </c>
    </row>
    <row r="181" spans="1:1">
      <c r="A181" t="str">
        <f>ICS4Master!H182</f>
        <v/>
      </c>
    </row>
    <row r="182" spans="1:1">
      <c r="A182" t="str">
        <f>ICS4Master!H183</f>
        <v/>
      </c>
    </row>
    <row r="183" spans="1:1">
      <c r="A183" t="str">
        <f>ICS4Master!H184</f>
        <v/>
      </c>
    </row>
    <row r="184" spans="1:1">
      <c r="A184" t="str">
        <f>ICS4Master!H185</f>
        <v/>
      </c>
    </row>
    <row r="185" spans="1:1">
      <c r="A185" t="str">
        <f>ICS4Master!H186</f>
        <v/>
      </c>
    </row>
    <row r="186" spans="1:1">
      <c r="A186" t="str">
        <f>ICS4Master!H187</f>
        <v/>
      </c>
    </row>
    <row r="187" spans="1:1">
      <c r="A187" t="str">
        <f>ICS4Master!H188</f>
        <v/>
      </c>
    </row>
    <row r="188" spans="1:1">
      <c r="A188" t="str">
        <f>ICS4Master!H189</f>
        <v/>
      </c>
    </row>
    <row r="189" spans="1:1">
      <c r="A189" t="str">
        <f>ICS4Master!H190</f>
        <v/>
      </c>
    </row>
    <row r="190" spans="1:1">
      <c r="A190" t="str">
        <f>ICS4Master!H191</f>
        <v/>
      </c>
    </row>
    <row r="191" spans="1:1">
      <c r="A191" t="str">
        <f>ICS4Master!H192</f>
        <v/>
      </c>
    </row>
    <row r="192" spans="1:1">
      <c r="A192" t="str">
        <f>ICS4Master!H193</f>
        <v/>
      </c>
    </row>
    <row r="193" spans="1:1">
      <c r="A193" t="str">
        <f>ICS4Master!H194</f>
        <v/>
      </c>
    </row>
    <row r="194" spans="1:1">
      <c r="A194" t="str">
        <f>ICS4Master!H195</f>
        <v/>
      </c>
    </row>
    <row r="195" spans="1:1">
      <c r="A195" t="str">
        <f>ICS4Master!H196</f>
        <v/>
      </c>
    </row>
    <row r="196" spans="1:1">
      <c r="A196" t="str">
        <f>ICS4Master!H197</f>
        <v/>
      </c>
    </row>
    <row r="197" spans="1:1">
      <c r="A197" t="str">
        <f>ICS4Master!H198</f>
        <v/>
      </c>
    </row>
    <row r="198" spans="1:1">
      <c r="A198" t="str">
        <f>ICS4Master!H199</f>
        <v/>
      </c>
    </row>
    <row r="199" spans="1:1">
      <c r="A199" t="str">
        <f>ICS4Master!H200</f>
        <v/>
      </c>
    </row>
    <row r="200" spans="1:1">
      <c r="A200" t="str">
        <f>ICS4Master!H201</f>
        <v/>
      </c>
    </row>
    <row r="201" spans="1:1">
      <c r="A201" t="str">
        <f>ICS4Master!H202</f>
        <v/>
      </c>
    </row>
    <row r="202" spans="1:1">
      <c r="A202" t="str">
        <f>ICS4Master!H203</f>
        <v/>
      </c>
    </row>
    <row r="203" spans="1:1">
      <c r="A203" t="str">
        <f>ICS4Master!H204</f>
        <v/>
      </c>
    </row>
    <row r="204" spans="1:1">
      <c r="A204" t="str">
        <f>ICS4Master!H205</f>
        <v/>
      </c>
    </row>
    <row r="205" spans="1:1">
      <c r="A205" t="str">
        <f>ICS4Master!H206</f>
        <v/>
      </c>
    </row>
    <row r="206" spans="1:1">
      <c r="A206" t="str">
        <f>ICS4Master!H207</f>
        <v/>
      </c>
    </row>
    <row r="207" spans="1:1">
      <c r="A207" t="str">
        <f>ICS4Master!H208</f>
        <v/>
      </c>
    </row>
    <row r="208" spans="1:1">
      <c r="A208" t="str">
        <f>ICS4Master!H209</f>
        <v/>
      </c>
    </row>
    <row r="209" spans="1:1">
      <c r="A209" t="str">
        <f>ICS4Master!H210</f>
        <v/>
      </c>
    </row>
    <row r="210" spans="1:1">
      <c r="A210" t="str">
        <f>ICS4Master!H211</f>
        <v/>
      </c>
    </row>
    <row r="211" spans="1:1">
      <c r="A211" t="str">
        <f>ICS4Master!H212</f>
        <v/>
      </c>
    </row>
    <row r="212" spans="1:1">
      <c r="A212" t="str">
        <f>ICS4Master!H213</f>
        <v/>
      </c>
    </row>
    <row r="213" spans="1:1">
      <c r="A213" t="str">
        <f>ICS4Master!H214</f>
        <v/>
      </c>
    </row>
    <row r="214" spans="1:1">
      <c r="A214" t="str">
        <f>ICS4Master!H215</f>
        <v/>
      </c>
    </row>
    <row r="215" spans="1:1">
      <c r="A215" t="str">
        <f>ICS4Master!H216</f>
        <v/>
      </c>
    </row>
    <row r="216" spans="1:1">
      <c r="A216" t="str">
        <f>ICS4Master!H217</f>
        <v/>
      </c>
    </row>
    <row r="217" spans="1:1">
      <c r="A217" t="str">
        <f>ICS4Master!H218</f>
        <v/>
      </c>
    </row>
    <row r="218" spans="1:1">
      <c r="A218" t="str">
        <f>ICS4Master!H219</f>
        <v/>
      </c>
    </row>
    <row r="219" spans="1:1">
      <c r="A219" t="str">
        <f>ICS4Master!H220</f>
        <v/>
      </c>
    </row>
    <row r="220" spans="1:1">
      <c r="A220" t="str">
        <f>ICS4Master!H221</f>
        <v/>
      </c>
    </row>
    <row r="221" spans="1:1">
      <c r="A221" t="str">
        <f>ICS4Master!H222</f>
        <v/>
      </c>
    </row>
    <row r="222" spans="1:1">
      <c r="A222" t="str">
        <f>ICS4Master!H223</f>
        <v/>
      </c>
    </row>
    <row r="223" spans="1:1">
      <c r="A223" t="str">
        <f>ICS4Master!H224</f>
        <v/>
      </c>
    </row>
    <row r="224" spans="1:1">
      <c r="A224" t="str">
        <f>ICS4Master!H225</f>
        <v/>
      </c>
    </row>
    <row r="225" spans="1:1">
      <c r="A225" t="str">
        <f>ICS4Master!H226</f>
        <v/>
      </c>
    </row>
    <row r="226" spans="1:1">
      <c r="A226" t="str">
        <f>ICS4Master!H227</f>
        <v/>
      </c>
    </row>
    <row r="227" spans="1:1">
      <c r="A227" t="str">
        <f>ICS4Master!H228</f>
        <v/>
      </c>
    </row>
    <row r="228" spans="1:1">
      <c r="A228" t="str">
        <f>ICS4Master!H229</f>
        <v/>
      </c>
    </row>
    <row r="229" spans="1:1">
      <c r="A229" t="str">
        <f>ICS4Master!H230</f>
        <v/>
      </c>
    </row>
    <row r="230" spans="1:1">
      <c r="A230" t="str">
        <f>ICS4Master!H231</f>
        <v/>
      </c>
    </row>
    <row r="231" spans="1:1">
      <c r="A231" t="str">
        <f>ICS4Master!H232</f>
        <v/>
      </c>
    </row>
    <row r="232" spans="1:1">
      <c r="A232" t="str">
        <f>ICS4Master!H233</f>
        <v/>
      </c>
    </row>
    <row r="233" spans="1:1">
      <c r="A233" t="str">
        <f>ICS4Master!H234</f>
        <v/>
      </c>
    </row>
    <row r="234" spans="1:1">
      <c r="A234" t="str">
        <f>ICS4Master!H235</f>
        <v/>
      </c>
    </row>
    <row r="235" spans="1:1">
      <c r="A235" t="str">
        <f>ICS4Master!H236</f>
        <v/>
      </c>
    </row>
    <row r="236" spans="1:1">
      <c r="A236" t="str">
        <f>ICS4Master!H237</f>
        <v/>
      </c>
    </row>
    <row r="237" spans="1:1">
      <c r="A237" t="str">
        <f>ICS4Master!H238</f>
        <v/>
      </c>
    </row>
    <row r="238" spans="1:1">
      <c r="A238" t="str">
        <f>ICS4Master!H239</f>
        <v/>
      </c>
    </row>
    <row r="239" spans="1:1">
      <c r="A239" t="str">
        <f>ICS4Master!H240</f>
        <v/>
      </c>
    </row>
    <row r="240" spans="1:1">
      <c r="A240" t="str">
        <f>ICS4Master!H241</f>
        <v/>
      </c>
    </row>
    <row r="241" spans="1:1">
      <c r="A241" t="str">
        <f>ICS4Master!H242</f>
        <v/>
      </c>
    </row>
    <row r="242" spans="1:1">
      <c r="A242" t="str">
        <f>ICS4Master!H243</f>
        <v/>
      </c>
    </row>
    <row r="243" spans="1:1">
      <c r="A243" t="str">
        <f>ICS4Master!H244</f>
        <v/>
      </c>
    </row>
    <row r="244" spans="1:1">
      <c r="A244" t="str">
        <f>ICS4Master!H245</f>
        <v/>
      </c>
    </row>
    <row r="245" spans="1:1">
      <c r="A245" t="str">
        <f>ICS4Master!H246</f>
        <v/>
      </c>
    </row>
    <row r="246" spans="1:1">
      <c r="A246" t="str">
        <f>ICS4Master!H247</f>
        <v/>
      </c>
    </row>
    <row r="247" spans="1:1">
      <c r="A247" t="str">
        <f>ICS4Master!H248</f>
        <v/>
      </c>
    </row>
    <row r="248" spans="1:1">
      <c r="A248" t="str">
        <f>ICS4Master!H249</f>
        <v/>
      </c>
    </row>
    <row r="249" spans="1:1">
      <c r="A249" t="str">
        <f>ICS4Master!H250</f>
        <v/>
      </c>
    </row>
    <row r="250" spans="1:1">
      <c r="A250" t="str">
        <f>ICS4Master!H251</f>
        <v/>
      </c>
    </row>
    <row r="251" spans="1:1">
      <c r="A251" t="str">
        <f>ICS4Master!H252</f>
        <v/>
      </c>
    </row>
    <row r="252" spans="1:1">
      <c r="A252" t="str">
        <f>ICS4Master!H253</f>
        <v/>
      </c>
    </row>
    <row r="253" spans="1:1">
      <c r="A253" t="str">
        <f>ICS4Master!H254</f>
        <v/>
      </c>
    </row>
    <row r="254" spans="1:1">
      <c r="A254" t="str">
        <f>ICS4Master!H255</f>
        <v/>
      </c>
    </row>
    <row r="255" spans="1:1">
      <c r="A255" t="str">
        <f>ICS4Master!H256</f>
        <v/>
      </c>
    </row>
    <row r="256" spans="1:1">
      <c r="A256" t="str">
        <f>ICS4Master!H257</f>
        <v/>
      </c>
    </row>
    <row r="257" spans="1:1">
      <c r="A257" t="str">
        <f>ICS4Master!H258</f>
        <v/>
      </c>
    </row>
    <row r="258" spans="1:1">
      <c r="A258" t="str">
        <f>ICS4Master!H259</f>
        <v/>
      </c>
    </row>
    <row r="259" spans="1:1">
      <c r="A259" t="str">
        <f>ICS4Master!H260</f>
        <v/>
      </c>
    </row>
    <row r="260" spans="1:1">
      <c r="A260" t="str">
        <f>ICS4Master!H261</f>
        <v/>
      </c>
    </row>
    <row r="261" spans="1:1">
      <c r="A261" t="str">
        <f>ICS4Master!H262</f>
        <v/>
      </c>
    </row>
    <row r="262" spans="1:1">
      <c r="A262" t="str">
        <f>ICS4Master!H263</f>
        <v/>
      </c>
    </row>
    <row r="263" spans="1:1">
      <c r="A263" t="str">
        <f>ICS4Master!H264</f>
        <v/>
      </c>
    </row>
    <row r="264" spans="1:1">
      <c r="A264" t="str">
        <f>ICS4Master!H265</f>
        <v/>
      </c>
    </row>
    <row r="265" spans="1:1">
      <c r="A265" t="str">
        <f>ICS4Master!H266</f>
        <v/>
      </c>
    </row>
    <row r="266" spans="1:1">
      <c r="A266" t="str">
        <f>ICS4Master!H267</f>
        <v/>
      </c>
    </row>
    <row r="267" spans="1:1">
      <c r="A267" t="str">
        <f>ICS4Master!H268</f>
        <v/>
      </c>
    </row>
    <row r="268" spans="1:1">
      <c r="A268" t="str">
        <f>ICS4Master!H269</f>
        <v/>
      </c>
    </row>
    <row r="269" spans="1:1">
      <c r="A269" t="str">
        <f>ICS4Master!H270</f>
        <v/>
      </c>
    </row>
    <row r="270" spans="1:1">
      <c r="A270" t="str">
        <f>ICS4Master!H271</f>
        <v/>
      </c>
    </row>
    <row r="271" spans="1:1">
      <c r="A271" t="str">
        <f>ICS4Master!H272</f>
        <v/>
      </c>
    </row>
    <row r="272" spans="1:1">
      <c r="A272" t="str">
        <f>ICS4Master!H273</f>
        <v/>
      </c>
    </row>
    <row r="273" spans="1:1">
      <c r="A273" t="str">
        <f>ICS4Master!H274</f>
        <v/>
      </c>
    </row>
    <row r="274" spans="1:1">
      <c r="A274" t="str">
        <f>ICS4Master!H275</f>
        <v/>
      </c>
    </row>
    <row r="275" spans="1:1">
      <c r="A275" t="str">
        <f>ICS4Master!H276</f>
        <v/>
      </c>
    </row>
    <row r="276" spans="1:1">
      <c r="A276" t="str">
        <f>ICS4Master!H277</f>
        <v/>
      </c>
    </row>
    <row r="277" spans="1:1">
      <c r="A277" t="str">
        <f>ICS4Master!H278</f>
        <v/>
      </c>
    </row>
    <row r="278" spans="1:1">
      <c r="A278" t="str">
        <f>ICS4Master!H279</f>
        <v/>
      </c>
    </row>
    <row r="279" spans="1:1">
      <c r="A279" t="str">
        <f>ICS4Master!H280</f>
        <v/>
      </c>
    </row>
    <row r="280" spans="1:1">
      <c r="A280" t="str">
        <f>ICS4Master!H281</f>
        <v/>
      </c>
    </row>
    <row r="281" spans="1:1">
      <c r="A281" t="str">
        <f>ICS4Master!H282</f>
        <v/>
      </c>
    </row>
    <row r="282" spans="1:1">
      <c r="A282" t="str">
        <f>ICS4Master!H283</f>
        <v/>
      </c>
    </row>
    <row r="283" spans="1:1">
      <c r="A283" t="str">
        <f>ICS4Master!H284</f>
        <v/>
      </c>
    </row>
    <row r="284" spans="1:1">
      <c r="A284" t="str">
        <f>ICS4Master!H285</f>
        <v/>
      </c>
    </row>
    <row r="285" spans="1:1">
      <c r="A285" t="str">
        <f>ICS4Master!H286</f>
        <v/>
      </c>
    </row>
    <row r="286" spans="1:1">
      <c r="A286" t="str">
        <f>ICS4Master!H287</f>
        <v/>
      </c>
    </row>
    <row r="287" spans="1:1">
      <c r="A287" t="str">
        <f>ICS4Master!H288</f>
        <v/>
      </c>
    </row>
    <row r="288" spans="1:1">
      <c r="A288" t="str">
        <f>ICS4Master!H289</f>
        <v/>
      </c>
    </row>
    <row r="289" spans="1:1">
      <c r="A289" t="str">
        <f>ICS4Master!H290</f>
        <v/>
      </c>
    </row>
    <row r="290" spans="1:1">
      <c r="A290" t="str">
        <f>ICS4Master!H291</f>
        <v/>
      </c>
    </row>
    <row r="291" spans="1:1">
      <c r="A291" t="str">
        <f>ICS4Master!H292</f>
        <v/>
      </c>
    </row>
    <row r="292" spans="1:1">
      <c r="A292" t="str">
        <f>ICS4Master!H293</f>
        <v/>
      </c>
    </row>
    <row r="293" spans="1:1">
      <c r="A293" t="str">
        <f>ICS4Master!H294</f>
        <v/>
      </c>
    </row>
    <row r="294" spans="1:1">
      <c r="A294" t="str">
        <f>ICS4Master!H295</f>
        <v/>
      </c>
    </row>
    <row r="295" spans="1:1">
      <c r="A295" t="str">
        <f>ICS4Master!H296</f>
        <v/>
      </c>
    </row>
    <row r="296" spans="1:1">
      <c r="A296" t="str">
        <f>ICS4Master!H297</f>
        <v/>
      </c>
    </row>
    <row r="297" spans="1:1">
      <c r="A297" t="str">
        <f>ICS4Master!H298</f>
        <v/>
      </c>
    </row>
    <row r="298" spans="1:1">
      <c r="A298" t="str">
        <f>ICS4Master!H299</f>
        <v/>
      </c>
    </row>
    <row r="299" spans="1:1">
      <c r="A299" t="str">
        <f>ICS4Master!H300</f>
        <v/>
      </c>
    </row>
    <row r="300" spans="1:1">
      <c r="A300" t="str">
        <f>ICS4Master!H301</f>
        <v/>
      </c>
    </row>
    <row r="301" spans="1:1">
      <c r="A301" t="str">
        <f>ICS4Master!H302</f>
        <v/>
      </c>
    </row>
    <row r="302" spans="1:1">
      <c r="A302" t="str">
        <f>ICS4Master!H303</f>
        <v/>
      </c>
    </row>
    <row r="303" spans="1:1">
      <c r="A303" t="str">
        <f>ICS4Master!H304</f>
        <v/>
      </c>
    </row>
    <row r="304" spans="1:1">
      <c r="A304" t="str">
        <f>ICS4Master!H305</f>
        <v/>
      </c>
    </row>
    <row r="305" spans="1:1">
      <c r="A305" t="str">
        <f>ICS4Master!H306</f>
        <v/>
      </c>
    </row>
    <row r="306" spans="1:1">
      <c r="A306" t="str">
        <f>ICS4Master!H307</f>
        <v/>
      </c>
    </row>
    <row r="307" spans="1:1">
      <c r="A307" t="str">
        <f>ICS4Master!H308</f>
        <v/>
      </c>
    </row>
    <row r="308" spans="1:1">
      <c r="A308" t="str">
        <f>ICS4Master!H309</f>
        <v/>
      </c>
    </row>
    <row r="309" spans="1:1">
      <c r="A309" t="str">
        <f>ICS4Master!H310</f>
        <v/>
      </c>
    </row>
    <row r="310" spans="1:1">
      <c r="A310" t="str">
        <f>ICS4Master!H311</f>
        <v/>
      </c>
    </row>
    <row r="311" spans="1:1">
      <c r="A311" t="str">
        <f>ICS4Master!H312</f>
        <v/>
      </c>
    </row>
    <row r="312" spans="1:1">
      <c r="A312" t="str">
        <f>ICS4Master!H313</f>
        <v/>
      </c>
    </row>
    <row r="313" spans="1:1">
      <c r="A313" t="str">
        <f>ICS4Master!H314</f>
        <v/>
      </c>
    </row>
    <row r="314" spans="1:1">
      <c r="A314" t="str">
        <f>ICS4Master!H315</f>
        <v/>
      </c>
    </row>
    <row r="315" spans="1:1">
      <c r="A315" t="str">
        <f>ICS4Master!H316</f>
        <v/>
      </c>
    </row>
    <row r="316" spans="1:1">
      <c r="A316" t="str">
        <f>ICS4Master!H317</f>
        <v/>
      </c>
    </row>
    <row r="317" spans="1:1">
      <c r="A317" t="str">
        <f>ICS4Master!H318</f>
        <v/>
      </c>
    </row>
    <row r="318" spans="1:1">
      <c r="A318" t="str">
        <f>ICS4Master!H319</f>
        <v/>
      </c>
    </row>
    <row r="319" spans="1:1">
      <c r="A319" t="str">
        <f>ICS4Master!H320</f>
        <v/>
      </c>
    </row>
    <row r="320" spans="1:1">
      <c r="A320" t="str">
        <f>ICS4Master!H321</f>
        <v/>
      </c>
    </row>
    <row r="321" spans="1:1">
      <c r="A321" t="str">
        <f>ICS4Master!H322</f>
        <v/>
      </c>
    </row>
    <row r="322" spans="1:1">
      <c r="A322" t="str">
        <f>ICS4Master!H323</f>
        <v/>
      </c>
    </row>
    <row r="323" spans="1:1">
      <c r="A323" t="str">
        <f>ICS4Master!H324</f>
        <v/>
      </c>
    </row>
    <row r="324" spans="1:1">
      <c r="A324" t="str">
        <f>ICS4Master!H325</f>
        <v/>
      </c>
    </row>
    <row r="325" spans="1:1">
      <c r="A325" t="str">
        <f>ICS4Master!H326</f>
        <v/>
      </c>
    </row>
    <row r="326" spans="1:1">
      <c r="A326" t="str">
        <f>ICS4Master!H327</f>
        <v/>
      </c>
    </row>
    <row r="327" spans="1:1">
      <c r="A327" t="str">
        <f>ICS4Master!H328</f>
        <v/>
      </c>
    </row>
    <row r="328" spans="1:1">
      <c r="A328" t="str">
        <f>ICS4Master!H329</f>
        <v/>
      </c>
    </row>
    <row r="329" spans="1:1">
      <c r="A329" t="str">
        <f>ICS4Master!H330</f>
        <v/>
      </c>
    </row>
    <row r="330" spans="1:1">
      <c r="A330" t="str">
        <f>ICS4Master!H331</f>
        <v/>
      </c>
    </row>
    <row r="331" spans="1:1">
      <c r="A331" t="str">
        <f>ICS4Master!H332</f>
        <v/>
      </c>
    </row>
    <row r="332" spans="1:1">
      <c r="A332" t="str">
        <f>ICS4Master!H333</f>
        <v/>
      </c>
    </row>
    <row r="333" spans="1:1">
      <c r="A333" t="str">
        <f>ICS4Master!H334</f>
        <v/>
      </c>
    </row>
    <row r="334" spans="1:1">
      <c r="A334" t="str">
        <f>ICS4Master!H335</f>
        <v/>
      </c>
    </row>
    <row r="335" spans="1:1">
      <c r="A335" t="str">
        <f>ICS4Master!H336</f>
        <v/>
      </c>
    </row>
    <row r="336" spans="1:1">
      <c r="A336" t="str">
        <f>ICS4Master!H337</f>
        <v/>
      </c>
    </row>
    <row r="337" spans="1:1">
      <c r="A337" t="str">
        <f>ICS4Master!H338</f>
        <v/>
      </c>
    </row>
    <row r="338" spans="1:1">
      <c r="A338" t="str">
        <f>ICS4Master!H339</f>
        <v/>
      </c>
    </row>
    <row r="339" spans="1:1">
      <c r="A339" t="str">
        <f>ICS4Master!H340</f>
        <v/>
      </c>
    </row>
    <row r="340" spans="1:1">
      <c r="A340" t="str">
        <f>ICS4Master!H341</f>
        <v/>
      </c>
    </row>
    <row r="341" spans="1:1">
      <c r="A341" t="str">
        <f>ICS4Master!H342</f>
        <v/>
      </c>
    </row>
    <row r="342" spans="1:1">
      <c r="A342" t="str">
        <f>ICS4Master!H343</f>
        <v/>
      </c>
    </row>
    <row r="343" spans="1:1">
      <c r="A343" t="str">
        <f>ICS4Master!H344</f>
        <v/>
      </c>
    </row>
    <row r="344" spans="1:1">
      <c r="A344" t="str">
        <f>ICS4Master!H345</f>
        <v/>
      </c>
    </row>
    <row r="345" spans="1:1">
      <c r="A345" t="str">
        <f>ICS4Master!H346</f>
        <v/>
      </c>
    </row>
    <row r="346" spans="1:1">
      <c r="A346" t="str">
        <f>ICS4Master!H347</f>
        <v/>
      </c>
    </row>
    <row r="347" spans="1:1">
      <c r="A347" t="str">
        <f>ICS4Master!H348</f>
        <v/>
      </c>
    </row>
    <row r="348" spans="1:1">
      <c r="A348" t="str">
        <f>ICS4Master!H349</f>
        <v/>
      </c>
    </row>
    <row r="349" spans="1:1">
      <c r="A349" t="str">
        <f>ICS4Master!H350</f>
        <v/>
      </c>
    </row>
    <row r="350" spans="1:1">
      <c r="A350" t="str">
        <f>ICS4Master!H351</f>
        <v/>
      </c>
    </row>
    <row r="351" spans="1:1">
      <c r="A351" t="str">
        <f>ICS4Master!H352</f>
        <v/>
      </c>
    </row>
    <row r="352" spans="1:1">
      <c r="A352" t="str">
        <f>ICS4Master!H353</f>
        <v/>
      </c>
    </row>
    <row r="353" spans="1:1">
      <c r="A353" t="str">
        <f>ICS4Master!H354</f>
        <v/>
      </c>
    </row>
    <row r="354" spans="1:1">
      <c r="A354" t="str">
        <f>ICS4Master!H355</f>
        <v/>
      </c>
    </row>
    <row r="355" spans="1:1">
      <c r="A355" t="str">
        <f>ICS4Master!H356</f>
        <v/>
      </c>
    </row>
    <row r="356" spans="1:1">
      <c r="A356" t="str">
        <f>ICS4Master!H357</f>
        <v/>
      </c>
    </row>
    <row r="357" spans="1:1">
      <c r="A357" t="str">
        <f>ICS4Master!H358</f>
        <v/>
      </c>
    </row>
    <row r="358" spans="1:1">
      <c r="A358" t="str">
        <f>ICS4Master!H359</f>
        <v/>
      </c>
    </row>
    <row r="359" spans="1:1">
      <c r="A359" t="str">
        <f>ICS4Master!H360</f>
        <v/>
      </c>
    </row>
    <row r="360" spans="1:1">
      <c r="A360" t="str">
        <f>ICS4Master!H361</f>
        <v/>
      </c>
    </row>
    <row r="361" spans="1:1">
      <c r="A361" t="str">
        <f>ICS4Master!H362</f>
        <v/>
      </c>
    </row>
    <row r="362" spans="1:1">
      <c r="A362" t="str">
        <f>ICS4Master!H363</f>
        <v/>
      </c>
    </row>
    <row r="363" spans="1:1">
      <c r="A363" t="str">
        <f>ICS4Master!H364</f>
        <v/>
      </c>
    </row>
    <row r="364" spans="1:1">
      <c r="A364" t="str">
        <f>ICS4Master!H365</f>
        <v/>
      </c>
    </row>
    <row r="365" spans="1:1">
      <c r="A365" t="str">
        <f>ICS4Master!H366</f>
        <v/>
      </c>
    </row>
    <row r="366" spans="1:1">
      <c r="A366" t="str">
        <f>ICS4Master!H367</f>
        <v/>
      </c>
    </row>
    <row r="367" spans="1:1">
      <c r="A367" t="str">
        <f>ICS4Master!H368</f>
        <v/>
      </c>
    </row>
    <row r="368" spans="1:1">
      <c r="A368" t="str">
        <f>ICS4Master!H369</f>
        <v/>
      </c>
    </row>
    <row r="369" spans="1:1">
      <c r="A369" t="str">
        <f>ICS4Master!H370</f>
        <v/>
      </c>
    </row>
    <row r="370" spans="1:1">
      <c r="A370" t="str">
        <f>ICS4Master!H371</f>
        <v/>
      </c>
    </row>
    <row r="371" spans="1:1">
      <c r="A371" t="str">
        <f>ICS4Master!H372</f>
        <v/>
      </c>
    </row>
    <row r="372" spans="1:1">
      <c r="A372" t="str">
        <f>ICS4Master!H373</f>
        <v/>
      </c>
    </row>
    <row r="373" spans="1:1">
      <c r="A373" t="str">
        <f>ICS4Master!H374</f>
        <v/>
      </c>
    </row>
    <row r="374" spans="1:1">
      <c r="A374" t="str">
        <f>ICS4Master!H375</f>
        <v/>
      </c>
    </row>
    <row r="375" spans="1:1">
      <c r="A375" t="str">
        <f>ICS4Master!H376</f>
        <v/>
      </c>
    </row>
    <row r="376" spans="1:1">
      <c r="A376" t="str">
        <f>ICS4Master!H377</f>
        <v/>
      </c>
    </row>
    <row r="377" spans="1:1">
      <c r="A377" t="str">
        <f>ICS4Master!H378</f>
        <v/>
      </c>
    </row>
    <row r="378" spans="1:1">
      <c r="A378" t="str">
        <f>ICS4Master!H379</f>
        <v/>
      </c>
    </row>
    <row r="379" spans="1:1">
      <c r="A379" t="str">
        <f>ICS4Master!H380</f>
        <v/>
      </c>
    </row>
    <row r="380" spans="1:1">
      <c r="A380" t="str">
        <f>ICS4Master!H381</f>
        <v/>
      </c>
    </row>
    <row r="381" spans="1:1">
      <c r="A381" t="str">
        <f>ICS4Master!H382</f>
        <v/>
      </c>
    </row>
    <row r="382" spans="1:1">
      <c r="A382" t="str">
        <f>ICS4Master!H383</f>
        <v/>
      </c>
    </row>
    <row r="383" spans="1:1">
      <c r="A383" t="str">
        <f>ICS4Master!H384</f>
        <v/>
      </c>
    </row>
    <row r="384" spans="1:1">
      <c r="A384" t="str">
        <f>ICS4Master!H385</f>
        <v/>
      </c>
    </row>
    <row r="385" spans="1:1">
      <c r="A385" t="str">
        <f>ICS4Master!H386</f>
        <v/>
      </c>
    </row>
    <row r="386" spans="1:1">
      <c r="A386" t="str">
        <f>ICS4Master!H387</f>
        <v/>
      </c>
    </row>
    <row r="387" spans="1:1">
      <c r="A387" t="str">
        <f>ICS4Master!H388</f>
        <v/>
      </c>
    </row>
    <row r="388" spans="1:1">
      <c r="A388" t="str">
        <f>ICS4Master!H389</f>
        <v/>
      </c>
    </row>
    <row r="389" spans="1:1">
      <c r="A389" t="str">
        <f>ICS4Master!H390</f>
        <v/>
      </c>
    </row>
    <row r="390" spans="1:1">
      <c r="A390" t="str">
        <f>ICS4Master!H391</f>
        <v/>
      </c>
    </row>
    <row r="391" spans="1:1">
      <c r="A391" t="str">
        <f>ICS4Master!H392</f>
        <v/>
      </c>
    </row>
    <row r="392" spans="1:1">
      <c r="A392" t="str">
        <f>ICS4Master!H393</f>
        <v/>
      </c>
    </row>
    <row r="393" spans="1:1">
      <c r="A393" t="str">
        <f>ICS4Master!H394</f>
        <v/>
      </c>
    </row>
    <row r="394" spans="1:1">
      <c r="A394" t="str">
        <f>ICS4Master!H395</f>
        <v/>
      </c>
    </row>
    <row r="395" spans="1:1">
      <c r="A395" t="str">
        <f>ICS4Master!H396</f>
        <v/>
      </c>
    </row>
    <row r="396" spans="1:1">
      <c r="A396" t="str">
        <f>ICS4Master!H397</f>
        <v/>
      </c>
    </row>
    <row r="397" spans="1:1">
      <c r="A397" t="str">
        <f>ICS4Master!H398</f>
        <v/>
      </c>
    </row>
    <row r="398" spans="1:1">
      <c r="A398" t="str">
        <f>ICS4Master!H399</f>
        <v/>
      </c>
    </row>
    <row r="399" spans="1:1">
      <c r="A399" t="str">
        <f>ICS4Master!H400</f>
        <v/>
      </c>
    </row>
    <row r="400" spans="1:1">
      <c r="A400" t="str">
        <f>ICS4Master!H401</f>
        <v/>
      </c>
    </row>
    <row r="401" spans="1:1">
      <c r="A401" t="str">
        <f>ICS4Master!H402</f>
        <v/>
      </c>
    </row>
    <row r="402" spans="1:1">
      <c r="A402" t="str">
        <f>ICS4Master!H403</f>
        <v/>
      </c>
    </row>
    <row r="403" spans="1:1">
      <c r="A403" t="str">
        <f>ICS4Master!H404</f>
        <v/>
      </c>
    </row>
    <row r="404" spans="1:1">
      <c r="A404" t="str">
        <f>ICS4Master!H405</f>
        <v/>
      </c>
    </row>
    <row r="405" spans="1:1">
      <c r="A405" t="str">
        <f>ICS4Master!H406</f>
        <v/>
      </c>
    </row>
    <row r="406" spans="1:1">
      <c r="A406" t="str">
        <f>ICS4Master!H407</f>
        <v/>
      </c>
    </row>
    <row r="407" spans="1:1">
      <c r="A407" t="str">
        <f>ICS4Master!H408</f>
        <v/>
      </c>
    </row>
    <row r="408" spans="1:1">
      <c r="A408" t="str">
        <f>ICS4Master!H409</f>
        <v/>
      </c>
    </row>
    <row r="409" spans="1:1">
      <c r="A409" t="str">
        <f>ICS4Master!H410</f>
        <v/>
      </c>
    </row>
    <row r="410" spans="1:1">
      <c r="A410" t="str">
        <f>ICS4Master!H411</f>
        <v/>
      </c>
    </row>
    <row r="411" spans="1:1">
      <c r="A411" t="str">
        <f>ICS4Master!H412</f>
        <v/>
      </c>
    </row>
    <row r="412" spans="1:1">
      <c r="A412" t="str">
        <f>ICS4Master!H413</f>
        <v/>
      </c>
    </row>
    <row r="413" spans="1:1">
      <c r="A413" t="str">
        <f>ICS4Master!H414</f>
        <v/>
      </c>
    </row>
    <row r="414" spans="1:1">
      <c r="A414" t="str">
        <f>ICS4Master!H415</f>
        <v/>
      </c>
    </row>
    <row r="415" spans="1:1">
      <c r="A415" t="str">
        <f>ICS4Master!H416</f>
        <v/>
      </c>
    </row>
    <row r="416" spans="1:1">
      <c r="A416" t="str">
        <f>ICS4Master!H417</f>
        <v/>
      </c>
    </row>
    <row r="417" spans="1:1">
      <c r="A417" t="str">
        <f>ICS4Master!H418</f>
        <v/>
      </c>
    </row>
    <row r="418" spans="1:1">
      <c r="A418" t="str">
        <f>ICS4Master!H419</f>
        <v/>
      </c>
    </row>
    <row r="419" spans="1:1">
      <c r="A419" t="str">
        <f>ICS4Master!H420</f>
        <v/>
      </c>
    </row>
    <row r="420" spans="1:1">
      <c r="A420" t="str">
        <f>ICS4Master!H421</f>
        <v/>
      </c>
    </row>
    <row r="421" spans="1:1">
      <c r="A421" t="str">
        <f>ICS4Master!H422</f>
        <v/>
      </c>
    </row>
    <row r="422" spans="1:1">
      <c r="A422" t="str">
        <f>ICS4Master!H423</f>
        <v/>
      </c>
    </row>
    <row r="423" spans="1:1">
      <c r="A423" t="str">
        <f>ICS4Master!H424</f>
        <v/>
      </c>
    </row>
    <row r="424" spans="1:1">
      <c r="A424" t="str">
        <f>ICS4Master!H425</f>
        <v/>
      </c>
    </row>
    <row r="425" spans="1:1">
      <c r="A425" t="str">
        <f>ICS4Master!H426</f>
        <v/>
      </c>
    </row>
    <row r="426" spans="1:1">
      <c r="A426" t="str">
        <f>ICS4Master!H427</f>
        <v/>
      </c>
    </row>
    <row r="427" spans="1:1">
      <c r="A427" t="str">
        <f>ICS4Master!H428</f>
        <v/>
      </c>
    </row>
    <row r="428" spans="1:1">
      <c r="A428" t="str">
        <f>ICS4Master!H429</f>
        <v/>
      </c>
    </row>
    <row r="429" spans="1:1">
      <c r="A429" t="str">
        <f>ICS4Master!H430</f>
        <v/>
      </c>
    </row>
    <row r="430" spans="1:1">
      <c r="A430" t="str">
        <f>ICS4Master!H431</f>
        <v/>
      </c>
    </row>
    <row r="431" spans="1:1">
      <c r="A431" t="str">
        <f>ICS4Master!H432</f>
        <v/>
      </c>
    </row>
    <row r="432" spans="1:1">
      <c r="A432" t="str">
        <f>ICS4Master!H433</f>
        <v/>
      </c>
    </row>
    <row r="433" spans="1:1">
      <c r="A433" t="str">
        <f>ICS4Master!H434</f>
        <v/>
      </c>
    </row>
    <row r="434" spans="1:1">
      <c r="A434" t="str">
        <f>ICS4Master!H435</f>
        <v/>
      </c>
    </row>
    <row r="435" spans="1:1">
      <c r="A435" t="str">
        <f>ICS4Master!H436</f>
        <v/>
      </c>
    </row>
    <row r="436" spans="1:1">
      <c r="A436" t="str">
        <f>ICS4Master!H437</f>
        <v/>
      </c>
    </row>
    <row r="437" spans="1:1">
      <c r="A437" t="str">
        <f>ICS4Master!H438</f>
        <v/>
      </c>
    </row>
    <row r="438" spans="1:1">
      <c r="A438" t="str">
        <f>ICS4Master!H439</f>
        <v/>
      </c>
    </row>
    <row r="439" spans="1:1">
      <c r="A439" t="str">
        <f>ICS4Master!H440</f>
        <v/>
      </c>
    </row>
    <row r="440" spans="1:1">
      <c r="A440" t="str">
        <f>ICS4Master!H441</f>
        <v/>
      </c>
    </row>
    <row r="441" spans="1:1">
      <c r="A441" t="str">
        <f>ICS4Master!H442</f>
        <v/>
      </c>
    </row>
    <row r="442" spans="1:1">
      <c r="A442" t="str">
        <f>ICS4Master!H443</f>
        <v/>
      </c>
    </row>
    <row r="443" spans="1:1">
      <c r="A443" t="str">
        <f>ICS4Master!H444</f>
        <v/>
      </c>
    </row>
    <row r="444" spans="1:1">
      <c r="A444" t="str">
        <f>ICS4Master!H445</f>
        <v/>
      </c>
    </row>
    <row r="445" spans="1:1">
      <c r="A445" t="str">
        <f>ICS4Master!H446</f>
        <v/>
      </c>
    </row>
    <row r="446" spans="1:1">
      <c r="A446" t="str">
        <f>ICS4Master!H447</f>
        <v/>
      </c>
    </row>
    <row r="447" spans="1:1">
      <c r="A447" t="str">
        <f>ICS4Master!H448</f>
        <v/>
      </c>
    </row>
    <row r="448" spans="1:1">
      <c r="A448" t="str">
        <f>ICS4Master!H449</f>
        <v/>
      </c>
    </row>
    <row r="449" spans="1:1">
      <c r="A449" t="str">
        <f>ICS4Master!H450</f>
        <v/>
      </c>
    </row>
    <row r="450" spans="1:1">
      <c r="A450" t="str">
        <f>ICS4Master!H451</f>
        <v/>
      </c>
    </row>
    <row r="451" spans="1:1">
      <c r="A451" t="str">
        <f>ICS4Master!H452</f>
        <v/>
      </c>
    </row>
    <row r="452" spans="1:1">
      <c r="A452" t="str">
        <f>ICS4Master!H453</f>
        <v/>
      </c>
    </row>
    <row r="453" spans="1:1">
      <c r="A453" t="str">
        <f>ICS4Master!H454</f>
        <v/>
      </c>
    </row>
    <row r="454" spans="1:1">
      <c r="A454" t="str">
        <f>ICS4Master!H455</f>
        <v/>
      </c>
    </row>
    <row r="455" spans="1:1">
      <c r="A455" t="str">
        <f>ICS4Master!H456</f>
        <v/>
      </c>
    </row>
    <row r="456" spans="1:1">
      <c r="A456" t="str">
        <f>ICS4Master!H457</f>
        <v/>
      </c>
    </row>
    <row r="457" spans="1:1">
      <c r="A457" t="str">
        <f>ICS4Master!H458</f>
        <v/>
      </c>
    </row>
    <row r="458" spans="1:1">
      <c r="A458" t="str">
        <f>ICS4Master!H459</f>
        <v/>
      </c>
    </row>
    <row r="459" spans="1:1">
      <c r="A459" t="str">
        <f>ICS4Master!H460</f>
        <v/>
      </c>
    </row>
    <row r="460" spans="1:1">
      <c r="A460" t="str">
        <f>ICS4Master!H461</f>
        <v/>
      </c>
    </row>
    <row r="461" spans="1:1">
      <c r="A461" t="str">
        <f>ICS4Master!H462</f>
        <v/>
      </c>
    </row>
    <row r="462" spans="1:1">
      <c r="A462" t="str">
        <f>ICS4Master!H463</f>
        <v/>
      </c>
    </row>
    <row r="463" spans="1:1">
      <c r="A463" t="str">
        <f>ICS4Master!H464</f>
        <v/>
      </c>
    </row>
    <row r="464" spans="1:1">
      <c r="A464" t="str">
        <f>ICS4Master!H465</f>
        <v/>
      </c>
    </row>
    <row r="465" spans="1:1">
      <c r="A465" t="str">
        <f>ICS4Master!H466</f>
        <v/>
      </c>
    </row>
    <row r="466" spans="1:1">
      <c r="A466" t="str">
        <f>ICS4Master!H467</f>
        <v/>
      </c>
    </row>
    <row r="467" spans="1:1">
      <c r="A467" t="str">
        <f>ICS4Master!H468</f>
        <v/>
      </c>
    </row>
    <row r="468" spans="1:1">
      <c r="A468" t="str">
        <f>ICS4Master!H469</f>
        <v/>
      </c>
    </row>
    <row r="469" spans="1:1">
      <c r="A469" t="str">
        <f>ICS4Master!H470</f>
        <v/>
      </c>
    </row>
    <row r="470" spans="1:1">
      <c r="A470" t="str">
        <f>ICS4Master!H471</f>
        <v/>
      </c>
    </row>
    <row r="471" spans="1:1">
      <c r="A471" t="str">
        <f>ICS4Master!H472</f>
        <v/>
      </c>
    </row>
    <row r="472" spans="1:1">
      <c r="A472" t="str">
        <f>ICS4Master!H473</f>
        <v/>
      </c>
    </row>
    <row r="473" spans="1:1">
      <c r="A473" t="str">
        <f>ICS4Master!H474</f>
        <v/>
      </c>
    </row>
    <row r="474" spans="1:1">
      <c r="A474" t="str">
        <f>ICS4Master!H475</f>
        <v/>
      </c>
    </row>
    <row r="475" spans="1:1">
      <c r="A475" t="str">
        <f>ICS4Master!H476</f>
        <v/>
      </c>
    </row>
    <row r="476" spans="1:1">
      <c r="A476" t="str">
        <f>ICS4Master!H477</f>
        <v/>
      </c>
    </row>
    <row r="477" spans="1:1">
      <c r="A477" t="str">
        <f>ICS4Master!H478</f>
        <v/>
      </c>
    </row>
    <row r="478" spans="1:1">
      <c r="A478" t="str">
        <f>ICS4Master!H479</f>
        <v/>
      </c>
    </row>
    <row r="479" spans="1:1">
      <c r="A479" t="str">
        <f>ICS4Master!H480</f>
        <v/>
      </c>
    </row>
    <row r="480" spans="1:1">
      <c r="A480" t="str">
        <f>ICS4Master!H481</f>
        <v/>
      </c>
    </row>
    <row r="481" spans="1:1">
      <c r="A481" t="str">
        <f>ICS4Master!H482</f>
        <v/>
      </c>
    </row>
    <row r="482" spans="1:1">
      <c r="A482" t="str">
        <f>ICS4Master!H483</f>
        <v/>
      </c>
    </row>
    <row r="483" spans="1:1">
      <c r="A483" t="str">
        <f>ICS4Master!H484</f>
        <v/>
      </c>
    </row>
    <row r="484" spans="1:1">
      <c r="A484" t="str">
        <f>ICS4Master!H485</f>
        <v/>
      </c>
    </row>
    <row r="485" spans="1:1">
      <c r="A485" t="str">
        <f>ICS4Master!H486</f>
        <v/>
      </c>
    </row>
    <row r="486" spans="1:1">
      <c r="A486" t="str">
        <f>ICS4Master!H487</f>
        <v/>
      </c>
    </row>
    <row r="487" spans="1:1">
      <c r="A487" t="str">
        <f>ICS4Master!H488</f>
        <v/>
      </c>
    </row>
    <row r="488" spans="1:1">
      <c r="A488" t="str">
        <f>ICS4Master!H489</f>
        <v/>
      </c>
    </row>
    <row r="489" spans="1:1">
      <c r="A489" t="str">
        <f>ICS4Master!H490</f>
        <v/>
      </c>
    </row>
    <row r="490" spans="1:1">
      <c r="A490" t="str">
        <f>ICS4Master!H491</f>
        <v/>
      </c>
    </row>
    <row r="491" spans="1:1">
      <c r="A491" t="str">
        <f>ICS4Master!H492</f>
        <v/>
      </c>
    </row>
    <row r="492" spans="1:1">
      <c r="A492" t="str">
        <f>ICS4Master!H493</f>
        <v/>
      </c>
    </row>
    <row r="493" spans="1:1">
      <c r="A493" t="str">
        <f>ICS4Master!H494</f>
        <v/>
      </c>
    </row>
    <row r="494" spans="1:1">
      <c r="A494" t="str">
        <f>ICS4Master!H495</f>
        <v/>
      </c>
    </row>
    <row r="495" spans="1:1">
      <c r="A495" t="str">
        <f>ICS4Master!H496</f>
        <v/>
      </c>
    </row>
    <row r="496" spans="1:1">
      <c r="A496" t="str">
        <f>ICS4Master!H497</f>
        <v/>
      </c>
    </row>
    <row r="497" spans="1:1">
      <c r="A497" t="str">
        <f>ICS4Master!H498</f>
        <v/>
      </c>
    </row>
    <row r="498" spans="1:1">
      <c r="A498" t="str">
        <f>ICS4Master!H499</f>
        <v/>
      </c>
    </row>
    <row r="499" spans="1:1">
      <c r="A499" t="str">
        <f>ICS4Master!H500</f>
        <v/>
      </c>
    </row>
    <row r="500" spans="1:1">
      <c r="A500">
        <f>ICS4Master!H501</f>
        <v>0</v>
      </c>
    </row>
    <row r="501" spans="1:1">
      <c r="A501">
        <f>ICS4Master!H502</f>
        <v>0</v>
      </c>
    </row>
    <row r="502" spans="1:1">
      <c r="A502">
        <f>ICS4Master!H503</f>
        <v>0</v>
      </c>
    </row>
    <row r="503" spans="1:1">
      <c r="A503">
        <f>ICS4Master!H504</f>
        <v>0</v>
      </c>
    </row>
    <row r="504" spans="1:1">
      <c r="A504">
        <f>ICS4Master!H505</f>
        <v>0</v>
      </c>
    </row>
    <row r="505" spans="1:1">
      <c r="A505">
        <f>ICS4Master!H506</f>
        <v>0</v>
      </c>
    </row>
    <row r="506" spans="1:1">
      <c r="A506">
        <f>ICS4Master!H507</f>
        <v>0</v>
      </c>
    </row>
    <row r="507" spans="1:1">
      <c r="A507">
        <f>ICS4Master!H508</f>
        <v>0</v>
      </c>
    </row>
    <row r="508" spans="1:1">
      <c r="A508">
        <f>ICS4Master!H509</f>
        <v>0</v>
      </c>
    </row>
    <row r="509" spans="1:1">
      <c r="A509">
        <f>ICS4Master!H510</f>
        <v>0</v>
      </c>
    </row>
    <row r="510" spans="1:1">
      <c r="A510">
        <f>ICS4Master!H511</f>
        <v>0</v>
      </c>
    </row>
    <row r="511" spans="1:1">
      <c r="A511">
        <f>ICS4Master!H512</f>
        <v>0</v>
      </c>
    </row>
    <row r="512" spans="1:1">
      <c r="A512">
        <f>ICS4Master!H513</f>
        <v>0</v>
      </c>
    </row>
    <row r="513" spans="1:1">
      <c r="A513">
        <f>ICS4Master!H514</f>
        <v>0</v>
      </c>
    </row>
    <row r="514" spans="1:1">
      <c r="A514">
        <f>ICS4Master!H515</f>
        <v>0</v>
      </c>
    </row>
    <row r="515" spans="1:1">
      <c r="A515">
        <f>ICS4Master!H516</f>
        <v>0</v>
      </c>
    </row>
    <row r="516" spans="1:1">
      <c r="A516">
        <f>ICS4Master!H517</f>
        <v>0</v>
      </c>
    </row>
    <row r="517" spans="1:1">
      <c r="A517">
        <f>ICS4Master!H518</f>
        <v>0</v>
      </c>
    </row>
    <row r="518" spans="1:1">
      <c r="A518">
        <f>ICS4Master!H519</f>
        <v>0</v>
      </c>
    </row>
    <row r="519" spans="1:1">
      <c r="A519">
        <f>ICS4Master!H520</f>
        <v>0</v>
      </c>
    </row>
    <row r="520" spans="1:1">
      <c r="A520">
        <f>ICS4Master!H521</f>
        <v>0</v>
      </c>
    </row>
    <row r="521" spans="1:1">
      <c r="A521">
        <f>ICS4Master!H522</f>
        <v>0</v>
      </c>
    </row>
    <row r="522" spans="1:1">
      <c r="A522">
        <f>ICS4Master!H523</f>
        <v>0</v>
      </c>
    </row>
    <row r="523" spans="1:1">
      <c r="A523">
        <f>ICS4Master!H524</f>
        <v>0</v>
      </c>
    </row>
    <row r="524" spans="1:1">
      <c r="A524">
        <f>ICS4Master!H525</f>
        <v>0</v>
      </c>
    </row>
    <row r="525" spans="1:1">
      <c r="A525">
        <f>ICS4Master!H526</f>
        <v>0</v>
      </c>
    </row>
    <row r="526" spans="1:1">
      <c r="A526">
        <f>ICS4Master!H527</f>
        <v>0</v>
      </c>
    </row>
    <row r="527" spans="1:1">
      <c r="A527">
        <f>ICS4Master!H528</f>
        <v>0</v>
      </c>
    </row>
    <row r="528" spans="1:1">
      <c r="A528">
        <f>ICS4Master!H529</f>
        <v>0</v>
      </c>
    </row>
    <row r="529" spans="1:1">
      <c r="A529">
        <f>ICS4Master!H530</f>
        <v>0</v>
      </c>
    </row>
    <row r="530" spans="1:1">
      <c r="A530">
        <f>ICS4Master!H531</f>
        <v>0</v>
      </c>
    </row>
    <row r="531" spans="1:1">
      <c r="A531">
        <f>ICS4Master!H532</f>
        <v>0</v>
      </c>
    </row>
    <row r="532" spans="1:1">
      <c r="A532">
        <f>ICS4Master!H533</f>
        <v>0</v>
      </c>
    </row>
    <row r="533" spans="1:1">
      <c r="A533">
        <f>ICS4Master!H534</f>
        <v>0</v>
      </c>
    </row>
    <row r="534" spans="1:1">
      <c r="A534">
        <f>ICS4Master!H535</f>
        <v>0</v>
      </c>
    </row>
    <row r="535" spans="1:1">
      <c r="A535">
        <f>ICS4Master!H536</f>
        <v>0</v>
      </c>
    </row>
    <row r="536" spans="1:1">
      <c r="A536">
        <f>ICS4Master!H537</f>
        <v>0</v>
      </c>
    </row>
    <row r="537" spans="1:1">
      <c r="A537">
        <f>ICS4Master!H538</f>
        <v>0</v>
      </c>
    </row>
    <row r="538" spans="1:1">
      <c r="A538">
        <f>ICS4Master!H539</f>
        <v>0</v>
      </c>
    </row>
    <row r="539" spans="1:1">
      <c r="A539">
        <f>ICS4Master!H540</f>
        <v>0</v>
      </c>
    </row>
    <row r="540" spans="1:1">
      <c r="A540">
        <f>ICS4Master!H541</f>
        <v>0</v>
      </c>
    </row>
    <row r="541" spans="1:1">
      <c r="A541">
        <f>ICS4Master!H542</f>
        <v>0</v>
      </c>
    </row>
    <row r="542" spans="1:1">
      <c r="A542">
        <f>ICS4Master!H543</f>
        <v>0</v>
      </c>
    </row>
    <row r="543" spans="1:1">
      <c r="A543">
        <f>ICS4Master!H544</f>
        <v>0</v>
      </c>
    </row>
    <row r="544" spans="1:1">
      <c r="A544">
        <f>ICS4Master!H545</f>
        <v>0</v>
      </c>
    </row>
    <row r="545" spans="1:1">
      <c r="A545">
        <f>ICS4Master!H546</f>
        <v>0</v>
      </c>
    </row>
    <row r="546" spans="1:1">
      <c r="A546">
        <f>ICS4Master!H547</f>
        <v>0</v>
      </c>
    </row>
    <row r="547" spans="1:1">
      <c r="A547">
        <f>ICS4Master!H548</f>
        <v>0</v>
      </c>
    </row>
    <row r="548" spans="1:1">
      <c r="A548">
        <f>ICS4Master!H549</f>
        <v>0</v>
      </c>
    </row>
    <row r="549" spans="1:1">
      <c r="A549">
        <f>ICS4Master!H550</f>
        <v>0</v>
      </c>
    </row>
    <row r="550" spans="1:1">
      <c r="A550">
        <f>ICS4Master!H551</f>
        <v>0</v>
      </c>
    </row>
    <row r="551" spans="1:1">
      <c r="A551">
        <f>ICS4Master!H552</f>
        <v>0</v>
      </c>
    </row>
    <row r="552" spans="1:1">
      <c r="A552">
        <f>ICS4Master!H553</f>
        <v>0</v>
      </c>
    </row>
    <row r="553" spans="1:1">
      <c r="A553">
        <f>ICS4Master!H554</f>
        <v>0</v>
      </c>
    </row>
    <row r="554" spans="1:1">
      <c r="A554">
        <f>ICS4Master!H555</f>
        <v>0</v>
      </c>
    </row>
    <row r="555" spans="1:1">
      <c r="A555">
        <f>ICS4Master!H556</f>
        <v>0</v>
      </c>
    </row>
    <row r="556" spans="1:1">
      <c r="A556">
        <f>ICS4Master!H557</f>
        <v>0</v>
      </c>
    </row>
    <row r="557" spans="1:1">
      <c r="A557">
        <f>ICS4Master!H558</f>
        <v>0</v>
      </c>
    </row>
    <row r="558" spans="1:1">
      <c r="A558">
        <f>ICS4Master!H559</f>
        <v>0</v>
      </c>
    </row>
    <row r="559" spans="1:1">
      <c r="A559">
        <f>ICS4Master!H560</f>
        <v>0</v>
      </c>
    </row>
    <row r="560" spans="1:1">
      <c r="A560">
        <f>ICS4Master!H561</f>
        <v>0</v>
      </c>
    </row>
    <row r="561" spans="1:1">
      <c r="A561">
        <f>ICS4Master!H562</f>
        <v>0</v>
      </c>
    </row>
    <row r="562" spans="1:1">
      <c r="A562">
        <f>ICS4Master!H563</f>
        <v>0</v>
      </c>
    </row>
    <row r="563" spans="1:1">
      <c r="A563">
        <f>ICS4Master!H564</f>
        <v>0</v>
      </c>
    </row>
    <row r="564" spans="1:1">
      <c r="A564">
        <f>ICS4Master!H565</f>
        <v>0</v>
      </c>
    </row>
    <row r="565" spans="1:1">
      <c r="A565">
        <f>ICS4Master!H566</f>
        <v>0</v>
      </c>
    </row>
    <row r="566" spans="1:1">
      <c r="A566">
        <f>ICS4Master!H567</f>
        <v>0</v>
      </c>
    </row>
    <row r="567" spans="1:1">
      <c r="A567">
        <f>ICS4Master!H568</f>
        <v>0</v>
      </c>
    </row>
    <row r="568" spans="1:1">
      <c r="A568">
        <f>ICS4Master!H569</f>
        <v>0</v>
      </c>
    </row>
    <row r="569" spans="1:1">
      <c r="A569">
        <f>ICS4Master!H570</f>
        <v>0</v>
      </c>
    </row>
    <row r="570" spans="1:1">
      <c r="A570">
        <f>ICS4Master!H571</f>
        <v>0</v>
      </c>
    </row>
    <row r="571" spans="1:1">
      <c r="A571">
        <f>ICS4Master!H572</f>
        <v>0</v>
      </c>
    </row>
    <row r="572" spans="1:1">
      <c r="A572">
        <f>ICS4Master!H573</f>
        <v>0</v>
      </c>
    </row>
    <row r="573" spans="1:1">
      <c r="A573">
        <f>ICS4Master!H574</f>
        <v>0</v>
      </c>
    </row>
    <row r="574" spans="1:1">
      <c r="A574">
        <f>ICS4Master!H575</f>
        <v>0</v>
      </c>
    </row>
    <row r="575" spans="1:1">
      <c r="A575">
        <f>ICS4Master!H576</f>
        <v>0</v>
      </c>
    </row>
    <row r="576" spans="1:1">
      <c r="A576">
        <f>ICS4Master!H577</f>
        <v>0</v>
      </c>
    </row>
    <row r="577" spans="1:1">
      <c r="A577">
        <f>ICS4Master!H578</f>
        <v>0</v>
      </c>
    </row>
    <row r="578" spans="1:1">
      <c r="A578">
        <f>ICS4Master!H579</f>
        <v>0</v>
      </c>
    </row>
    <row r="579" spans="1:1">
      <c r="A579">
        <f>ICS4Master!H580</f>
        <v>0</v>
      </c>
    </row>
    <row r="580" spans="1:1">
      <c r="A580">
        <f>ICS4Master!H581</f>
        <v>0</v>
      </c>
    </row>
    <row r="581" spans="1:1">
      <c r="A581">
        <f>ICS4Master!H582</f>
        <v>0</v>
      </c>
    </row>
    <row r="582" spans="1:1">
      <c r="A582">
        <f>ICS4Master!H583</f>
        <v>0</v>
      </c>
    </row>
    <row r="583" spans="1:1">
      <c r="A583">
        <f>ICS4Master!H584</f>
        <v>0</v>
      </c>
    </row>
    <row r="584" spans="1:1">
      <c r="A584">
        <f>ICS4Master!H585</f>
        <v>0</v>
      </c>
    </row>
    <row r="585" spans="1:1">
      <c r="A585">
        <f>ICS4Master!H586</f>
        <v>0</v>
      </c>
    </row>
    <row r="586" spans="1:1">
      <c r="A586">
        <f>ICS4Master!H587</f>
        <v>0</v>
      </c>
    </row>
    <row r="587" spans="1:1">
      <c r="A587">
        <f>ICS4Master!H588</f>
        <v>0</v>
      </c>
    </row>
    <row r="588" spans="1:1">
      <c r="A588">
        <f>ICS4Master!H589</f>
        <v>0</v>
      </c>
    </row>
    <row r="589" spans="1:1">
      <c r="A589">
        <f>ICS4Master!H590</f>
        <v>0</v>
      </c>
    </row>
    <row r="590" spans="1:1">
      <c r="A590">
        <f>ICS4Master!H591</f>
        <v>0</v>
      </c>
    </row>
    <row r="591" spans="1:1">
      <c r="A591">
        <f>ICS4Master!H592</f>
        <v>0</v>
      </c>
    </row>
    <row r="592" spans="1:1">
      <c r="A592">
        <f>ICS4Master!H593</f>
        <v>0</v>
      </c>
    </row>
    <row r="593" spans="1:1">
      <c r="A593">
        <f>ICS4Master!H594</f>
        <v>0</v>
      </c>
    </row>
    <row r="594" spans="1:1">
      <c r="A594">
        <f>ICS4Master!H595</f>
        <v>0</v>
      </c>
    </row>
    <row r="595" spans="1:1">
      <c r="A595">
        <f>ICS4Master!H596</f>
        <v>0</v>
      </c>
    </row>
    <row r="596" spans="1:1">
      <c r="A596">
        <f>ICS4Master!H597</f>
        <v>0</v>
      </c>
    </row>
    <row r="597" spans="1:1">
      <c r="A597">
        <f>ICS4Master!H598</f>
        <v>0</v>
      </c>
    </row>
    <row r="598" spans="1:1">
      <c r="A598">
        <f>ICS4Master!H599</f>
        <v>0</v>
      </c>
    </row>
    <row r="599" spans="1:1">
      <c r="A599">
        <f>ICS4Master!H600</f>
        <v>0</v>
      </c>
    </row>
    <row r="600" spans="1:1">
      <c r="A600">
        <f>ICS4Master!H601</f>
        <v>0</v>
      </c>
    </row>
    <row r="601" spans="1:1">
      <c r="A601">
        <f>ICS4Master!H602</f>
        <v>0</v>
      </c>
    </row>
    <row r="602" spans="1:1">
      <c r="A602">
        <f>ICS4Master!H603</f>
        <v>0</v>
      </c>
    </row>
    <row r="603" spans="1:1">
      <c r="A603">
        <f>ICS4Master!H604</f>
        <v>0</v>
      </c>
    </row>
    <row r="604" spans="1:1">
      <c r="A604">
        <f>ICS4Master!H605</f>
        <v>0</v>
      </c>
    </row>
    <row r="605" spans="1:1">
      <c r="A605">
        <f>ICS4Master!H606</f>
        <v>0</v>
      </c>
    </row>
    <row r="606" spans="1:1">
      <c r="A606">
        <f>ICS4Master!H607</f>
        <v>0</v>
      </c>
    </row>
    <row r="607" spans="1:1">
      <c r="A607">
        <f>ICS4Master!H608</f>
        <v>0</v>
      </c>
    </row>
    <row r="608" spans="1:1">
      <c r="A608">
        <f>ICS4Master!H609</f>
        <v>0</v>
      </c>
    </row>
    <row r="609" spans="1:1">
      <c r="A609">
        <f>ICS4Master!H610</f>
        <v>0</v>
      </c>
    </row>
    <row r="610" spans="1:1">
      <c r="A610">
        <f>ICS4Master!H611</f>
        <v>0</v>
      </c>
    </row>
    <row r="611" spans="1:1">
      <c r="A611">
        <f>ICS4Master!H612</f>
        <v>0</v>
      </c>
    </row>
    <row r="612" spans="1:1">
      <c r="A612">
        <f>ICS4Master!H613</f>
        <v>0</v>
      </c>
    </row>
    <row r="613" spans="1:1">
      <c r="A613">
        <f>ICS4Master!H614</f>
        <v>0</v>
      </c>
    </row>
    <row r="614" spans="1:1">
      <c r="A614">
        <f>ICS4Master!H615</f>
        <v>0</v>
      </c>
    </row>
    <row r="615" spans="1:1">
      <c r="A615">
        <f>ICS4Master!H616</f>
        <v>0</v>
      </c>
    </row>
    <row r="616" spans="1:1">
      <c r="A616">
        <f>ICS4Master!H617</f>
        <v>0</v>
      </c>
    </row>
    <row r="617" spans="1:1">
      <c r="A617">
        <f>ICS4Master!H618</f>
        <v>0</v>
      </c>
    </row>
    <row r="618" spans="1:1">
      <c r="A618">
        <f>ICS4Master!H619</f>
        <v>0</v>
      </c>
    </row>
    <row r="619" spans="1:1">
      <c r="A619">
        <f>ICS4Master!H620</f>
        <v>0</v>
      </c>
    </row>
    <row r="620" spans="1:1">
      <c r="A620">
        <f>ICS4Master!H621</f>
        <v>0</v>
      </c>
    </row>
    <row r="621" spans="1:1">
      <c r="A621">
        <f>ICS4Master!H622</f>
        <v>0</v>
      </c>
    </row>
    <row r="622" spans="1:1">
      <c r="A622">
        <f>ICS4Master!H623</f>
        <v>0</v>
      </c>
    </row>
    <row r="623" spans="1:1">
      <c r="A623">
        <f>ICS4Master!H624</f>
        <v>0</v>
      </c>
    </row>
    <row r="624" spans="1:1">
      <c r="A624">
        <f>ICS4Master!H625</f>
        <v>0</v>
      </c>
    </row>
    <row r="625" spans="1:1">
      <c r="A625">
        <f>ICS4Master!H626</f>
        <v>0</v>
      </c>
    </row>
    <row r="626" spans="1:1">
      <c r="A626">
        <f>ICS4Master!H627</f>
        <v>0</v>
      </c>
    </row>
    <row r="627" spans="1:1">
      <c r="A627">
        <f>ICS4Master!H628</f>
        <v>0</v>
      </c>
    </row>
    <row r="628" spans="1:1">
      <c r="A628">
        <f>ICS4Master!H629</f>
        <v>0</v>
      </c>
    </row>
    <row r="629" spans="1:1">
      <c r="A629">
        <f>ICS4Master!H630</f>
        <v>0</v>
      </c>
    </row>
    <row r="630" spans="1:1">
      <c r="A630">
        <f>ICS4Master!H631</f>
        <v>0</v>
      </c>
    </row>
    <row r="631" spans="1:1">
      <c r="A631">
        <f>ICS4Master!H632</f>
        <v>0</v>
      </c>
    </row>
    <row r="632" spans="1:1">
      <c r="A632">
        <f>ICS4Master!H633</f>
        <v>0</v>
      </c>
    </row>
    <row r="633" spans="1:1">
      <c r="A633">
        <f>ICS4Master!H634</f>
        <v>0</v>
      </c>
    </row>
    <row r="634" spans="1:1">
      <c r="A634">
        <f>ICS4Master!H635</f>
        <v>0</v>
      </c>
    </row>
    <row r="635" spans="1:1">
      <c r="A635">
        <f>ICS4Master!H636</f>
        <v>0</v>
      </c>
    </row>
    <row r="636" spans="1:1">
      <c r="A636">
        <f>ICS4Master!H637</f>
        <v>0</v>
      </c>
    </row>
    <row r="637" spans="1:1">
      <c r="A637">
        <f>ICS4Master!H638</f>
        <v>0</v>
      </c>
    </row>
    <row r="638" spans="1:1">
      <c r="A638">
        <f>ICS4Master!H639</f>
        <v>0</v>
      </c>
    </row>
    <row r="639" spans="1:1">
      <c r="A639">
        <f>ICS4Master!H640</f>
        <v>0</v>
      </c>
    </row>
    <row r="640" spans="1:1">
      <c r="A640">
        <f>ICS4Master!H641</f>
        <v>0</v>
      </c>
    </row>
    <row r="641" spans="1:1">
      <c r="A641">
        <f>ICS4Master!H642</f>
        <v>0</v>
      </c>
    </row>
    <row r="642" spans="1:1">
      <c r="A642">
        <f>ICS4Master!H643</f>
        <v>0</v>
      </c>
    </row>
    <row r="643" spans="1:1">
      <c r="A643">
        <f>ICS4Master!H644</f>
        <v>0</v>
      </c>
    </row>
    <row r="644" spans="1:1">
      <c r="A644">
        <f>ICS4Master!H645</f>
        <v>0</v>
      </c>
    </row>
    <row r="645" spans="1:1">
      <c r="A645">
        <f>ICS4Master!H646</f>
        <v>0</v>
      </c>
    </row>
    <row r="646" spans="1:1">
      <c r="A646">
        <f>ICS4Master!H647</f>
        <v>0</v>
      </c>
    </row>
    <row r="647" spans="1:1">
      <c r="A647">
        <f>ICS4Master!H648</f>
        <v>0</v>
      </c>
    </row>
    <row r="648" spans="1:1">
      <c r="A648">
        <f>ICS4Master!H649</f>
        <v>0</v>
      </c>
    </row>
    <row r="649" spans="1:1">
      <c r="A649">
        <f>ICS4Master!H650</f>
        <v>0</v>
      </c>
    </row>
    <row r="650" spans="1:1">
      <c r="A650">
        <f>ICS4Master!H651</f>
        <v>0</v>
      </c>
    </row>
    <row r="651" spans="1:1">
      <c r="A651">
        <f>ICS4Master!H652</f>
        <v>0</v>
      </c>
    </row>
    <row r="652" spans="1:1">
      <c r="A652">
        <f>ICS4Master!H653</f>
        <v>0</v>
      </c>
    </row>
    <row r="653" spans="1:1">
      <c r="A653">
        <f>ICS4Master!H654</f>
        <v>0</v>
      </c>
    </row>
    <row r="654" spans="1:1">
      <c r="A654">
        <f>ICS4Master!H655</f>
        <v>0</v>
      </c>
    </row>
    <row r="655" spans="1:1">
      <c r="A655">
        <f>ICS4Master!H656</f>
        <v>0</v>
      </c>
    </row>
    <row r="656" spans="1:1">
      <c r="A656">
        <f>ICS4Master!H657</f>
        <v>0</v>
      </c>
    </row>
    <row r="657" spans="1:1">
      <c r="A657">
        <f>ICS4Master!H658</f>
        <v>0</v>
      </c>
    </row>
    <row r="658" spans="1:1">
      <c r="A658">
        <f>ICS4Master!H659</f>
        <v>0</v>
      </c>
    </row>
    <row r="659" spans="1:1">
      <c r="A659">
        <f>ICS4Master!H660</f>
        <v>0</v>
      </c>
    </row>
    <row r="660" spans="1:1">
      <c r="A660">
        <f>ICS4Master!H661</f>
        <v>0</v>
      </c>
    </row>
    <row r="661" spans="1:1">
      <c r="A661">
        <f>ICS4Master!H662</f>
        <v>0</v>
      </c>
    </row>
    <row r="662" spans="1:1">
      <c r="A662">
        <f>ICS4Master!H663</f>
        <v>0</v>
      </c>
    </row>
    <row r="663" spans="1:1">
      <c r="A663">
        <f>ICS4Master!H664</f>
        <v>0</v>
      </c>
    </row>
    <row r="664" spans="1:1">
      <c r="A664">
        <f>ICS4Master!H665</f>
        <v>0</v>
      </c>
    </row>
    <row r="665" spans="1:1">
      <c r="A665">
        <f>ICS4Master!H666</f>
        <v>0</v>
      </c>
    </row>
    <row r="666" spans="1:1">
      <c r="A666">
        <f>ICS4Master!H667</f>
        <v>0</v>
      </c>
    </row>
    <row r="667" spans="1:1">
      <c r="A667">
        <f>ICS4Master!H668</f>
        <v>0</v>
      </c>
    </row>
    <row r="668" spans="1:1">
      <c r="A668">
        <f>ICS4Master!H669</f>
        <v>0</v>
      </c>
    </row>
    <row r="669" spans="1:1">
      <c r="A669">
        <f>ICS4Master!H670</f>
        <v>0</v>
      </c>
    </row>
    <row r="670" spans="1:1">
      <c r="A670">
        <f>ICS4Master!H671</f>
        <v>0</v>
      </c>
    </row>
    <row r="671" spans="1:1">
      <c r="A671">
        <f>ICS4Master!H672</f>
        <v>0</v>
      </c>
    </row>
    <row r="672" spans="1:1">
      <c r="A672">
        <f>ICS4Master!H673</f>
        <v>0</v>
      </c>
    </row>
    <row r="673" spans="1:1">
      <c r="A673">
        <f>ICS4Master!H674</f>
        <v>0</v>
      </c>
    </row>
    <row r="674" spans="1:1">
      <c r="A674">
        <f>ICS4Master!H675</f>
        <v>0</v>
      </c>
    </row>
    <row r="675" spans="1:1">
      <c r="A675">
        <f>ICS4Master!H676</f>
        <v>0</v>
      </c>
    </row>
    <row r="676" spans="1:1">
      <c r="A676">
        <f>ICS4Master!H677</f>
        <v>0</v>
      </c>
    </row>
    <row r="677" spans="1:1">
      <c r="A677">
        <f>ICS4Master!H678</f>
        <v>0</v>
      </c>
    </row>
    <row r="678" spans="1:1">
      <c r="A678">
        <f>ICS4Master!H679</f>
        <v>0</v>
      </c>
    </row>
    <row r="679" spans="1:1">
      <c r="A679">
        <f>ICS4Master!H680</f>
        <v>0</v>
      </c>
    </row>
    <row r="680" spans="1:1">
      <c r="A680">
        <f>ICS4Master!H681</f>
        <v>0</v>
      </c>
    </row>
    <row r="681" spans="1:1">
      <c r="A681">
        <f>ICS4Master!H682</f>
        <v>0</v>
      </c>
    </row>
    <row r="682" spans="1:1">
      <c r="A682">
        <f>ICS4Master!H683</f>
        <v>0</v>
      </c>
    </row>
    <row r="683" spans="1:1">
      <c r="A683">
        <f>ICS4Master!H684</f>
        <v>0</v>
      </c>
    </row>
    <row r="684" spans="1:1">
      <c r="A684">
        <f>ICS4Master!H685</f>
        <v>0</v>
      </c>
    </row>
    <row r="685" spans="1:1">
      <c r="A685">
        <f>ICS4Master!H686</f>
        <v>0</v>
      </c>
    </row>
    <row r="686" spans="1:1">
      <c r="A686">
        <f>ICS4Master!H687</f>
        <v>0</v>
      </c>
    </row>
    <row r="687" spans="1:1">
      <c r="A687">
        <f>ICS4Master!H688</f>
        <v>0</v>
      </c>
    </row>
    <row r="688" spans="1:1">
      <c r="A688">
        <f>ICS4Master!H689</f>
        <v>0</v>
      </c>
    </row>
    <row r="689" spans="1:1">
      <c r="A689">
        <f>ICS4Master!H690</f>
        <v>0</v>
      </c>
    </row>
    <row r="690" spans="1:1">
      <c r="A690">
        <f>ICS4Master!H691</f>
        <v>0</v>
      </c>
    </row>
    <row r="691" spans="1:1">
      <c r="A691">
        <f>ICS4Master!H692</f>
        <v>0</v>
      </c>
    </row>
    <row r="692" spans="1:1">
      <c r="A692">
        <f>ICS4Master!H693</f>
        <v>0</v>
      </c>
    </row>
    <row r="693" spans="1:1">
      <c r="A693">
        <f>ICS4Master!H694</f>
        <v>0</v>
      </c>
    </row>
    <row r="694" spans="1:1">
      <c r="A694">
        <f>ICS4Master!H695</f>
        <v>0</v>
      </c>
    </row>
    <row r="695" spans="1:1">
      <c r="A695">
        <f>ICS4Master!H696</f>
        <v>0</v>
      </c>
    </row>
    <row r="696" spans="1:1">
      <c r="A696">
        <f>ICS4Master!H697</f>
        <v>0</v>
      </c>
    </row>
    <row r="697" spans="1:1">
      <c r="A697">
        <f>ICS4Master!H698</f>
        <v>0</v>
      </c>
    </row>
    <row r="698" spans="1:1">
      <c r="A698">
        <f>ICS4Master!H699</f>
        <v>0</v>
      </c>
    </row>
    <row r="699" spans="1:1">
      <c r="A699">
        <f>ICS4Master!H700</f>
        <v>0</v>
      </c>
    </row>
    <row r="700" spans="1:1">
      <c r="A700">
        <f>ICS4Master!H701</f>
        <v>0</v>
      </c>
    </row>
    <row r="701" spans="1:1">
      <c r="A701">
        <f>ICS4Master!H702</f>
        <v>0</v>
      </c>
    </row>
    <row r="702" spans="1:1">
      <c r="A702">
        <f>ICS4Master!H703</f>
        <v>0</v>
      </c>
    </row>
    <row r="703" spans="1:1">
      <c r="A703">
        <f>ICS4Master!H704</f>
        <v>0</v>
      </c>
    </row>
    <row r="704" spans="1:1">
      <c r="A704">
        <f>ICS4Master!H705</f>
        <v>0</v>
      </c>
    </row>
    <row r="705" spans="1:1">
      <c r="A705">
        <f>ICS4Master!H706</f>
        <v>0</v>
      </c>
    </row>
    <row r="706" spans="1:1">
      <c r="A706">
        <f>ICS4Master!H707</f>
        <v>0</v>
      </c>
    </row>
    <row r="707" spans="1:1">
      <c r="A707">
        <f>ICS4Master!H708</f>
        <v>0</v>
      </c>
    </row>
    <row r="708" spans="1:1">
      <c r="A708">
        <f>ICS4Master!H709</f>
        <v>0</v>
      </c>
    </row>
    <row r="709" spans="1:1">
      <c r="A709">
        <f>ICS4Master!H710</f>
        <v>0</v>
      </c>
    </row>
    <row r="710" spans="1:1">
      <c r="A710">
        <f>ICS4Master!H711</f>
        <v>0</v>
      </c>
    </row>
    <row r="711" spans="1:1">
      <c r="A711">
        <f>ICS4Master!H712</f>
        <v>0</v>
      </c>
    </row>
    <row r="712" spans="1:1">
      <c r="A712">
        <f>ICS4Master!H713</f>
        <v>0</v>
      </c>
    </row>
    <row r="713" spans="1:1">
      <c r="A713">
        <f>ICS4Master!H714</f>
        <v>0</v>
      </c>
    </row>
    <row r="714" spans="1:1">
      <c r="A714">
        <f>ICS4Master!H715</f>
        <v>0</v>
      </c>
    </row>
    <row r="715" spans="1:1">
      <c r="A715">
        <f>ICS4Master!H716</f>
        <v>0</v>
      </c>
    </row>
    <row r="716" spans="1:1">
      <c r="A716">
        <f>ICS4Master!H717</f>
        <v>0</v>
      </c>
    </row>
    <row r="717" spans="1:1">
      <c r="A717">
        <f>ICS4Master!H718</f>
        <v>0</v>
      </c>
    </row>
    <row r="718" spans="1:1">
      <c r="A718">
        <f>ICS4Master!H719</f>
        <v>0</v>
      </c>
    </row>
    <row r="719" spans="1:1">
      <c r="A719">
        <f>ICS4Master!H720</f>
        <v>0</v>
      </c>
    </row>
    <row r="720" spans="1:1">
      <c r="A720">
        <f>ICS4Master!H721</f>
        <v>0</v>
      </c>
    </row>
    <row r="721" spans="1:1">
      <c r="A721">
        <f>ICS4Master!H722</f>
        <v>0</v>
      </c>
    </row>
    <row r="722" spans="1:1">
      <c r="A722">
        <f>ICS4Master!H723</f>
        <v>0</v>
      </c>
    </row>
    <row r="723" spans="1:1">
      <c r="A723">
        <f>ICS4Master!H724</f>
        <v>0</v>
      </c>
    </row>
    <row r="724" spans="1:1">
      <c r="A724">
        <f>ICS4Master!H725</f>
        <v>0</v>
      </c>
    </row>
    <row r="725" spans="1:1">
      <c r="A725">
        <f>ICS4Master!H726</f>
        <v>0</v>
      </c>
    </row>
    <row r="726" spans="1:1">
      <c r="A726">
        <f>ICS4Master!H727</f>
        <v>0</v>
      </c>
    </row>
    <row r="727" spans="1:1">
      <c r="A727">
        <f>ICS4Master!H728</f>
        <v>0</v>
      </c>
    </row>
    <row r="728" spans="1:1">
      <c r="A728">
        <f>ICS4Master!H729</f>
        <v>0</v>
      </c>
    </row>
    <row r="729" spans="1:1">
      <c r="A729">
        <f>ICS4Master!H730</f>
        <v>0</v>
      </c>
    </row>
    <row r="730" spans="1:1">
      <c r="A730">
        <f>ICS4Master!H731</f>
        <v>0</v>
      </c>
    </row>
    <row r="731" spans="1:1">
      <c r="A731">
        <f>ICS4Master!H732</f>
        <v>0</v>
      </c>
    </row>
    <row r="732" spans="1:1">
      <c r="A732">
        <f>ICS4Master!H733</f>
        <v>0</v>
      </c>
    </row>
    <row r="733" spans="1:1">
      <c r="A733">
        <f>ICS4Master!H734</f>
        <v>0</v>
      </c>
    </row>
    <row r="734" spans="1:1">
      <c r="A734">
        <f>ICS4Master!H735</f>
        <v>0</v>
      </c>
    </row>
    <row r="735" spans="1:1">
      <c r="A735">
        <f>ICS4Master!H736</f>
        <v>0</v>
      </c>
    </row>
    <row r="736" spans="1:1">
      <c r="A736">
        <f>ICS4Master!H737</f>
        <v>0</v>
      </c>
    </row>
    <row r="737" spans="1:1">
      <c r="A737">
        <f>ICS4Master!H738</f>
        <v>0</v>
      </c>
    </row>
    <row r="738" spans="1:1">
      <c r="A738">
        <f>ICS4Master!H739</f>
        <v>0</v>
      </c>
    </row>
    <row r="739" spans="1:1">
      <c r="A739">
        <f>ICS4Master!H740</f>
        <v>0</v>
      </c>
    </row>
    <row r="740" spans="1:1">
      <c r="A740">
        <f>ICS4Master!H741</f>
        <v>0</v>
      </c>
    </row>
    <row r="741" spans="1:1">
      <c r="A741">
        <f>ICS4Master!H742</f>
        <v>0</v>
      </c>
    </row>
    <row r="742" spans="1:1">
      <c r="A742">
        <f>ICS4Master!H743</f>
        <v>0</v>
      </c>
    </row>
    <row r="743" spans="1:1">
      <c r="A743">
        <f>ICS4Master!H744</f>
        <v>0</v>
      </c>
    </row>
    <row r="744" spans="1:1">
      <c r="A744">
        <f>ICS4Master!H745</f>
        <v>0</v>
      </c>
    </row>
    <row r="745" spans="1:1">
      <c r="A745">
        <f>ICS4Master!H746</f>
        <v>0</v>
      </c>
    </row>
    <row r="746" spans="1:1">
      <c r="A746">
        <f>ICS4Master!H747</f>
        <v>0</v>
      </c>
    </row>
    <row r="747" spans="1:1">
      <c r="A747">
        <f>ICS4Master!H748</f>
        <v>0</v>
      </c>
    </row>
    <row r="748" spans="1:1">
      <c r="A748">
        <f>ICS4Master!H749</f>
        <v>0</v>
      </c>
    </row>
    <row r="749" spans="1:1">
      <c r="A749">
        <f>ICS4Master!H750</f>
        <v>0</v>
      </c>
    </row>
    <row r="750" spans="1:1">
      <c r="A750">
        <f>ICS4Master!H751</f>
        <v>0</v>
      </c>
    </row>
    <row r="751" spans="1:1">
      <c r="A751">
        <f>ICS4Master!H752</f>
        <v>0</v>
      </c>
    </row>
    <row r="752" spans="1:1">
      <c r="A752">
        <f>ICS4Master!H753</f>
        <v>0</v>
      </c>
    </row>
    <row r="753" spans="1:1">
      <c r="A753">
        <f>ICS4Master!H754</f>
        <v>0</v>
      </c>
    </row>
    <row r="754" spans="1:1">
      <c r="A754">
        <f>ICS4Master!H755</f>
        <v>0</v>
      </c>
    </row>
    <row r="755" spans="1:1">
      <c r="A755">
        <f>ICS4Master!H756</f>
        <v>0</v>
      </c>
    </row>
    <row r="756" spans="1:1">
      <c r="A756">
        <f>ICS4Master!H757</f>
        <v>0</v>
      </c>
    </row>
    <row r="757" spans="1:1">
      <c r="A757">
        <f>ICS4Master!H758</f>
        <v>0</v>
      </c>
    </row>
    <row r="758" spans="1:1">
      <c r="A758">
        <f>ICS4Master!H759</f>
        <v>0</v>
      </c>
    </row>
    <row r="759" spans="1:1">
      <c r="A759">
        <f>ICS4Master!H760</f>
        <v>0</v>
      </c>
    </row>
    <row r="760" spans="1:1">
      <c r="A760">
        <f>ICS4Master!H761</f>
        <v>0</v>
      </c>
    </row>
    <row r="761" spans="1:1">
      <c r="A761">
        <f>ICS4Master!H762</f>
        <v>0</v>
      </c>
    </row>
    <row r="762" spans="1:1">
      <c r="A762">
        <f>ICS4Master!H763</f>
        <v>0</v>
      </c>
    </row>
    <row r="763" spans="1:1">
      <c r="A763">
        <f>ICS4Master!H764</f>
        <v>0</v>
      </c>
    </row>
    <row r="764" spans="1:1">
      <c r="A764">
        <f>ICS4Master!H765</f>
        <v>0</v>
      </c>
    </row>
    <row r="765" spans="1:1">
      <c r="A765">
        <f>ICS4Master!H766</f>
        <v>0</v>
      </c>
    </row>
    <row r="766" spans="1:1">
      <c r="A766">
        <f>ICS4Master!H767</f>
        <v>0</v>
      </c>
    </row>
    <row r="767" spans="1:1">
      <c r="A767">
        <f>ICS4Master!H768</f>
        <v>0</v>
      </c>
    </row>
    <row r="768" spans="1:1">
      <c r="A768">
        <f>ICS4Master!H769</f>
        <v>0</v>
      </c>
    </row>
    <row r="769" spans="1:1">
      <c r="A769">
        <f>ICS4Master!H770</f>
        <v>0</v>
      </c>
    </row>
    <row r="770" spans="1:1">
      <c r="A770">
        <f>ICS4Master!H771</f>
        <v>0</v>
      </c>
    </row>
    <row r="771" spans="1:1">
      <c r="A771">
        <f>ICS4Master!H772</f>
        <v>0</v>
      </c>
    </row>
    <row r="772" spans="1:1">
      <c r="A772">
        <f>ICS4Master!H773</f>
        <v>0</v>
      </c>
    </row>
    <row r="773" spans="1:1">
      <c r="A773">
        <f>ICS4Master!H774</f>
        <v>0</v>
      </c>
    </row>
    <row r="774" spans="1:1">
      <c r="A774">
        <f>ICS4Master!H775</f>
        <v>0</v>
      </c>
    </row>
    <row r="775" spans="1:1">
      <c r="A775">
        <f>ICS4Master!H776</f>
        <v>0</v>
      </c>
    </row>
    <row r="776" spans="1:1">
      <c r="A776">
        <f>ICS4Master!H777</f>
        <v>0</v>
      </c>
    </row>
    <row r="777" spans="1:1">
      <c r="A777">
        <f>ICS4Master!H778</f>
        <v>0</v>
      </c>
    </row>
    <row r="778" spans="1:1">
      <c r="A778">
        <f>ICS4Master!H779</f>
        <v>0</v>
      </c>
    </row>
    <row r="779" spans="1:1">
      <c r="A779">
        <f>ICS4Master!H780</f>
        <v>0</v>
      </c>
    </row>
    <row r="780" spans="1:1">
      <c r="A780">
        <f>ICS4Master!H781</f>
        <v>0</v>
      </c>
    </row>
    <row r="781" spans="1:1">
      <c r="A781">
        <f>ICS4Master!H782</f>
        <v>0</v>
      </c>
    </row>
    <row r="782" spans="1:1">
      <c r="A782">
        <f>ICS4Master!H783</f>
        <v>0</v>
      </c>
    </row>
    <row r="783" spans="1:1">
      <c r="A783">
        <f>ICS4Master!H784</f>
        <v>0</v>
      </c>
    </row>
    <row r="784" spans="1:1">
      <c r="A784">
        <f>ICS4Master!H785</f>
        <v>0</v>
      </c>
    </row>
    <row r="785" spans="1:1">
      <c r="A785">
        <f>ICS4Master!H786</f>
        <v>0</v>
      </c>
    </row>
    <row r="786" spans="1:1">
      <c r="A786">
        <f>ICS4Master!H787</f>
        <v>0</v>
      </c>
    </row>
    <row r="787" spans="1:1">
      <c r="A787">
        <f>ICS4Master!H788</f>
        <v>0</v>
      </c>
    </row>
    <row r="788" spans="1:1">
      <c r="A788">
        <f>ICS4Master!H789</f>
        <v>0</v>
      </c>
    </row>
    <row r="789" spans="1:1">
      <c r="A789">
        <f>ICS4Master!H790</f>
        <v>0</v>
      </c>
    </row>
    <row r="790" spans="1:1">
      <c r="A790">
        <f>ICS4Master!H791</f>
        <v>0</v>
      </c>
    </row>
    <row r="791" spans="1:1">
      <c r="A791">
        <f>ICS4Master!H792</f>
        <v>0</v>
      </c>
    </row>
    <row r="792" spans="1:1">
      <c r="A792">
        <f>ICS4Master!H793</f>
        <v>0</v>
      </c>
    </row>
    <row r="793" spans="1:1">
      <c r="A793">
        <f>ICS4Master!H794</f>
        <v>0</v>
      </c>
    </row>
    <row r="794" spans="1:1">
      <c r="A794">
        <f>ICS4Master!H795</f>
        <v>0</v>
      </c>
    </row>
    <row r="795" spans="1:1">
      <c r="A795">
        <f>ICS4Master!H796</f>
        <v>0</v>
      </c>
    </row>
    <row r="796" spans="1:1">
      <c r="A796">
        <f>ICS4Master!H797</f>
        <v>0</v>
      </c>
    </row>
    <row r="797" spans="1:1">
      <c r="A797">
        <f>ICS4Master!H798</f>
        <v>0</v>
      </c>
    </row>
    <row r="798" spans="1:1">
      <c r="A798">
        <f>ICS4Master!H799</f>
        <v>0</v>
      </c>
    </row>
    <row r="799" spans="1:1">
      <c r="A799">
        <f>ICS4Master!H800</f>
        <v>0</v>
      </c>
    </row>
    <row r="800" spans="1:1">
      <c r="A800">
        <f>ICS4Master!H801</f>
        <v>0</v>
      </c>
    </row>
    <row r="801" spans="1:1">
      <c r="A801">
        <f>ICS4Master!H802</f>
        <v>0</v>
      </c>
    </row>
    <row r="802" spans="1:1">
      <c r="A802">
        <f>ICS4Master!H803</f>
        <v>0</v>
      </c>
    </row>
    <row r="803" spans="1:1">
      <c r="A803">
        <f>ICS4Master!H804</f>
        <v>0</v>
      </c>
    </row>
    <row r="804" spans="1:1">
      <c r="A804">
        <f>ICS4Master!H805</f>
        <v>0</v>
      </c>
    </row>
    <row r="805" spans="1:1">
      <c r="A805">
        <f>ICS4Master!H806</f>
        <v>0</v>
      </c>
    </row>
    <row r="806" spans="1:1">
      <c r="A806">
        <f>ICS4Master!H807</f>
        <v>0</v>
      </c>
    </row>
    <row r="807" spans="1:1">
      <c r="A807">
        <f>ICS4Master!H808</f>
        <v>0</v>
      </c>
    </row>
    <row r="808" spans="1:1">
      <c r="A808">
        <f>ICS4Master!H809</f>
        <v>0</v>
      </c>
    </row>
    <row r="809" spans="1:1">
      <c r="A809">
        <f>ICS4Master!H810</f>
        <v>0</v>
      </c>
    </row>
    <row r="810" spans="1:1">
      <c r="A810">
        <f>ICS4Master!H811</f>
        <v>0</v>
      </c>
    </row>
    <row r="811" spans="1:1">
      <c r="A811">
        <f>ICS4Master!H812</f>
        <v>0</v>
      </c>
    </row>
    <row r="812" spans="1:1">
      <c r="A812">
        <f>ICS4Master!H813</f>
        <v>0</v>
      </c>
    </row>
    <row r="813" spans="1:1">
      <c r="A813">
        <f>ICS4Master!H814</f>
        <v>0</v>
      </c>
    </row>
    <row r="814" spans="1:1">
      <c r="A814">
        <f>ICS4Master!H815</f>
        <v>0</v>
      </c>
    </row>
    <row r="815" spans="1:1">
      <c r="A815">
        <f>ICS4Master!H816</f>
        <v>0</v>
      </c>
    </row>
    <row r="816" spans="1:1">
      <c r="A816">
        <f>ICS4Master!H817</f>
        <v>0</v>
      </c>
    </row>
    <row r="817" spans="1:1">
      <c r="A817">
        <f>ICS4Master!H818</f>
        <v>0</v>
      </c>
    </row>
    <row r="818" spans="1:1">
      <c r="A818">
        <f>ICS4Master!H819</f>
        <v>0</v>
      </c>
    </row>
    <row r="819" spans="1:1">
      <c r="A819">
        <f>ICS4Master!H820</f>
        <v>0</v>
      </c>
    </row>
    <row r="820" spans="1:1">
      <c r="A820">
        <f>ICS4Master!H821</f>
        <v>0</v>
      </c>
    </row>
    <row r="821" spans="1:1">
      <c r="A821">
        <f>ICS4Master!H822</f>
        <v>0</v>
      </c>
    </row>
    <row r="822" spans="1:1">
      <c r="A822">
        <f>ICS4Master!H823</f>
        <v>0</v>
      </c>
    </row>
    <row r="823" spans="1:1">
      <c r="A823">
        <f>ICS4Master!H824</f>
        <v>0</v>
      </c>
    </row>
    <row r="824" spans="1:1">
      <c r="A824">
        <f>ICS4Master!H825</f>
        <v>0</v>
      </c>
    </row>
    <row r="825" spans="1:1">
      <c r="A825">
        <f>ICS4Master!H826</f>
        <v>0</v>
      </c>
    </row>
    <row r="826" spans="1:1">
      <c r="A826">
        <f>ICS4Master!H827</f>
        <v>0</v>
      </c>
    </row>
    <row r="827" spans="1:1">
      <c r="A827">
        <f>ICS4Master!H828</f>
        <v>0</v>
      </c>
    </row>
    <row r="828" spans="1:1">
      <c r="A828">
        <f>ICS4Master!H829</f>
        <v>0</v>
      </c>
    </row>
    <row r="829" spans="1:1">
      <c r="A829">
        <f>ICS4Master!H830</f>
        <v>0</v>
      </c>
    </row>
    <row r="830" spans="1:1">
      <c r="A830">
        <f>ICS4Master!H831</f>
        <v>0</v>
      </c>
    </row>
    <row r="831" spans="1:1">
      <c r="A831">
        <f>ICS4Master!H832</f>
        <v>0</v>
      </c>
    </row>
    <row r="832" spans="1:1">
      <c r="A832">
        <f>ICS4Master!H833</f>
        <v>0</v>
      </c>
    </row>
    <row r="833" spans="1:1">
      <c r="A833">
        <f>ICS4Master!H834</f>
        <v>0</v>
      </c>
    </row>
    <row r="834" spans="1:1">
      <c r="A834">
        <f>ICS4Master!H835</f>
        <v>0</v>
      </c>
    </row>
    <row r="835" spans="1:1">
      <c r="A835">
        <f>ICS4Master!H836</f>
        <v>0</v>
      </c>
    </row>
    <row r="836" spans="1:1">
      <c r="A836">
        <f>ICS4Master!H837</f>
        <v>0</v>
      </c>
    </row>
    <row r="837" spans="1:1">
      <c r="A837">
        <f>ICS4Master!H838</f>
        <v>0</v>
      </c>
    </row>
    <row r="838" spans="1:1">
      <c r="A838">
        <f>ICS4Master!H839</f>
        <v>0</v>
      </c>
    </row>
    <row r="839" spans="1:1">
      <c r="A839">
        <f>ICS4Master!H840</f>
        <v>0</v>
      </c>
    </row>
    <row r="840" spans="1:1">
      <c r="A840">
        <f>ICS4Master!H841</f>
        <v>0</v>
      </c>
    </row>
    <row r="841" spans="1:1">
      <c r="A841">
        <f>ICS4Master!H842</f>
        <v>0</v>
      </c>
    </row>
    <row r="842" spans="1:1">
      <c r="A842">
        <f>ICS4Master!H843</f>
        <v>0</v>
      </c>
    </row>
    <row r="843" spans="1:1">
      <c r="A843">
        <f>ICS4Master!H844</f>
        <v>0</v>
      </c>
    </row>
    <row r="844" spans="1:1">
      <c r="A844">
        <f>ICS4Master!H845</f>
        <v>0</v>
      </c>
    </row>
    <row r="845" spans="1:1">
      <c r="A845">
        <f>ICS4Master!H846</f>
        <v>0</v>
      </c>
    </row>
    <row r="846" spans="1:1">
      <c r="A846">
        <f>ICS4Master!H847</f>
        <v>0</v>
      </c>
    </row>
    <row r="847" spans="1:1">
      <c r="A847">
        <f>ICS4Master!H848</f>
        <v>0</v>
      </c>
    </row>
    <row r="848" spans="1:1">
      <c r="A848">
        <f>ICS4Master!H849</f>
        <v>0</v>
      </c>
    </row>
    <row r="849" spans="1:1">
      <c r="A849">
        <f>ICS4Master!H850</f>
        <v>0</v>
      </c>
    </row>
    <row r="850" spans="1:1">
      <c r="A850">
        <f>ICS4Master!H851</f>
        <v>0</v>
      </c>
    </row>
    <row r="851" spans="1:1">
      <c r="A851">
        <f>ICS4Master!H852</f>
        <v>0</v>
      </c>
    </row>
    <row r="852" spans="1:1">
      <c r="A852">
        <f>ICS4Master!H853</f>
        <v>0</v>
      </c>
    </row>
    <row r="853" spans="1:1">
      <c r="A853">
        <f>ICS4Master!H854</f>
        <v>0</v>
      </c>
    </row>
    <row r="854" spans="1:1">
      <c r="A854">
        <f>ICS4Master!H855</f>
        <v>0</v>
      </c>
    </row>
    <row r="855" spans="1:1">
      <c r="A855">
        <f>ICS4Master!H856</f>
        <v>0</v>
      </c>
    </row>
    <row r="856" spans="1:1">
      <c r="A856">
        <f>ICS4Master!H857</f>
        <v>0</v>
      </c>
    </row>
    <row r="857" spans="1:1">
      <c r="A857">
        <f>ICS4Master!H858</f>
        <v>0</v>
      </c>
    </row>
    <row r="858" spans="1:1">
      <c r="A858">
        <f>ICS4Master!H859</f>
        <v>0</v>
      </c>
    </row>
    <row r="859" spans="1:1">
      <c r="A859">
        <f>ICS4Master!H860</f>
        <v>0</v>
      </c>
    </row>
    <row r="860" spans="1:1">
      <c r="A860">
        <f>ICS4Master!H861</f>
        <v>0</v>
      </c>
    </row>
    <row r="861" spans="1:1">
      <c r="A861">
        <f>ICS4Master!H862</f>
        <v>0</v>
      </c>
    </row>
    <row r="862" spans="1:1">
      <c r="A862">
        <f>ICS4Master!H863</f>
        <v>0</v>
      </c>
    </row>
    <row r="863" spans="1:1">
      <c r="A863">
        <f>ICS4Master!H864</f>
        <v>0</v>
      </c>
    </row>
    <row r="864" spans="1:1">
      <c r="A864">
        <f>ICS4Master!H865</f>
        <v>0</v>
      </c>
    </row>
    <row r="865" spans="1:1">
      <c r="A865">
        <f>ICS4Master!H866</f>
        <v>0</v>
      </c>
    </row>
    <row r="866" spans="1:1">
      <c r="A866">
        <f>ICS4Master!H867</f>
        <v>0</v>
      </c>
    </row>
    <row r="867" spans="1:1">
      <c r="A867">
        <f>ICS4Master!H868</f>
        <v>0</v>
      </c>
    </row>
    <row r="868" spans="1:1">
      <c r="A868">
        <f>ICS4Master!H869</f>
        <v>0</v>
      </c>
    </row>
    <row r="869" spans="1:1">
      <c r="A869">
        <f>ICS4Master!H870</f>
        <v>0</v>
      </c>
    </row>
    <row r="870" spans="1:1">
      <c r="A870">
        <f>ICS4Master!H871</f>
        <v>0</v>
      </c>
    </row>
    <row r="871" spans="1:1">
      <c r="A871">
        <f>ICS4Master!H872</f>
        <v>0</v>
      </c>
    </row>
    <row r="872" spans="1:1">
      <c r="A872">
        <f>ICS4Master!H873</f>
        <v>0</v>
      </c>
    </row>
    <row r="873" spans="1:1">
      <c r="A873">
        <f>ICS4Master!H874</f>
        <v>0</v>
      </c>
    </row>
    <row r="874" spans="1:1">
      <c r="A874">
        <f>ICS4Master!H875</f>
        <v>0</v>
      </c>
    </row>
    <row r="875" spans="1:1">
      <c r="A875">
        <f>ICS4Master!H876</f>
        <v>0</v>
      </c>
    </row>
    <row r="876" spans="1:1">
      <c r="A876">
        <f>ICS4Master!H877</f>
        <v>0</v>
      </c>
    </row>
    <row r="877" spans="1:1">
      <c r="A877">
        <f>ICS4Master!H878</f>
        <v>0</v>
      </c>
    </row>
    <row r="878" spans="1:1">
      <c r="A878">
        <f>ICS4Master!H879</f>
        <v>0</v>
      </c>
    </row>
    <row r="879" spans="1:1">
      <c r="A879">
        <f>ICS4Master!H880</f>
        <v>0</v>
      </c>
    </row>
    <row r="880" spans="1:1">
      <c r="A880">
        <f>ICS4Master!H881</f>
        <v>0</v>
      </c>
    </row>
    <row r="881" spans="1:1">
      <c r="A881">
        <f>ICS4Master!H882</f>
        <v>0</v>
      </c>
    </row>
    <row r="882" spans="1:1">
      <c r="A882">
        <f>ICS4Master!H883</f>
        <v>0</v>
      </c>
    </row>
    <row r="883" spans="1:1">
      <c r="A883">
        <f>ICS4Master!H884</f>
        <v>0</v>
      </c>
    </row>
    <row r="884" spans="1:1">
      <c r="A884">
        <f>ICS4Master!H885</f>
        <v>0</v>
      </c>
    </row>
    <row r="885" spans="1:1">
      <c r="A885">
        <f>ICS4Master!H886</f>
        <v>0</v>
      </c>
    </row>
    <row r="886" spans="1:1">
      <c r="A886">
        <f>ICS4Master!H887</f>
        <v>0</v>
      </c>
    </row>
    <row r="887" spans="1:1">
      <c r="A887">
        <f>ICS4Master!H888</f>
        <v>0</v>
      </c>
    </row>
    <row r="888" spans="1:1">
      <c r="A888">
        <f>ICS4Master!H889</f>
        <v>0</v>
      </c>
    </row>
    <row r="889" spans="1:1">
      <c r="A889">
        <f>ICS4Master!H890</f>
        <v>0</v>
      </c>
    </row>
    <row r="890" spans="1:1">
      <c r="A890">
        <f>ICS4Master!H891</f>
        <v>0</v>
      </c>
    </row>
    <row r="891" spans="1:1">
      <c r="A891">
        <f>ICS4Master!H892</f>
        <v>0</v>
      </c>
    </row>
    <row r="892" spans="1:1">
      <c r="A892">
        <f>ICS4Master!H893</f>
        <v>0</v>
      </c>
    </row>
    <row r="893" spans="1:1">
      <c r="A893">
        <f>ICS4Master!H894</f>
        <v>0</v>
      </c>
    </row>
    <row r="894" spans="1:1">
      <c r="A894">
        <f>ICS4Master!H895</f>
        <v>0</v>
      </c>
    </row>
    <row r="895" spans="1:1">
      <c r="A895">
        <f>ICS4Master!H896</f>
        <v>0</v>
      </c>
    </row>
    <row r="896" spans="1:1">
      <c r="A896">
        <f>ICS4Master!H897</f>
        <v>0</v>
      </c>
    </row>
    <row r="897" spans="1:1">
      <c r="A897">
        <f>ICS4Master!H898</f>
        <v>0</v>
      </c>
    </row>
    <row r="898" spans="1:1">
      <c r="A898">
        <f>ICS4Master!H899</f>
        <v>0</v>
      </c>
    </row>
    <row r="899" spans="1:1">
      <c r="A899">
        <f>ICS4Master!H900</f>
        <v>0</v>
      </c>
    </row>
    <row r="900" spans="1:1">
      <c r="A900">
        <f>ICS4Master!H901</f>
        <v>0</v>
      </c>
    </row>
    <row r="901" spans="1:1">
      <c r="A901">
        <f>ICS4Master!H902</f>
        <v>0</v>
      </c>
    </row>
    <row r="902" spans="1:1">
      <c r="A902">
        <f>ICS4Master!H903</f>
        <v>0</v>
      </c>
    </row>
    <row r="903" spans="1:1">
      <c r="A903">
        <f>ICS4Master!H904</f>
        <v>0</v>
      </c>
    </row>
    <row r="904" spans="1:1">
      <c r="A904">
        <f>ICS4Master!H905</f>
        <v>0</v>
      </c>
    </row>
    <row r="905" spans="1:1">
      <c r="A905">
        <f>ICS4Master!H906</f>
        <v>0</v>
      </c>
    </row>
    <row r="906" spans="1:1">
      <c r="A906">
        <f>ICS4Master!H907</f>
        <v>0</v>
      </c>
    </row>
    <row r="907" spans="1:1">
      <c r="A907">
        <f>ICS4Master!H908</f>
        <v>0</v>
      </c>
    </row>
    <row r="908" spans="1:1">
      <c r="A908">
        <f>ICS4Master!H909</f>
        <v>0</v>
      </c>
    </row>
    <row r="909" spans="1:1">
      <c r="A909">
        <f>ICS4Master!H910</f>
        <v>0</v>
      </c>
    </row>
    <row r="910" spans="1:1">
      <c r="A910">
        <f>ICS4Master!H911</f>
        <v>0</v>
      </c>
    </row>
    <row r="911" spans="1:1">
      <c r="A911">
        <f>ICS4Master!H912</f>
        <v>0</v>
      </c>
    </row>
    <row r="912" spans="1:1">
      <c r="A912">
        <f>ICS4Master!H913</f>
        <v>0</v>
      </c>
    </row>
    <row r="913" spans="1:1">
      <c r="A913">
        <f>ICS4Master!H914</f>
        <v>0</v>
      </c>
    </row>
    <row r="914" spans="1:1">
      <c r="A914">
        <f>ICS4Master!H915</f>
        <v>0</v>
      </c>
    </row>
    <row r="915" spans="1:1">
      <c r="A915">
        <f>ICS4Master!H916</f>
        <v>0</v>
      </c>
    </row>
    <row r="916" spans="1:1">
      <c r="A916">
        <f>ICS4Master!H917</f>
        <v>0</v>
      </c>
    </row>
    <row r="917" spans="1:1">
      <c r="A917">
        <f>ICS4Master!H918</f>
        <v>0</v>
      </c>
    </row>
    <row r="918" spans="1:1">
      <c r="A918">
        <f>ICS4Master!H919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0C3EBAE9AF0A849AF70ACB461825F72" ma:contentTypeVersion="15" ma:contentTypeDescription="Create a new document." ma:contentTypeScope="" ma:versionID="67ddc7042f3ae604639904fd0976789e">
  <xsd:schema xmlns:xsd="http://www.w3.org/2001/XMLSchema" xmlns:xs="http://www.w3.org/2001/XMLSchema" xmlns:p="http://schemas.microsoft.com/office/2006/metadata/properties" xmlns:ns2="3426e302-ea2e-443c-aebc-c7dc85042ec9" xmlns:ns3="28b8ba0d-cdc0-4e2a-a50e-ed600bdc9e9c" targetNamespace="http://schemas.microsoft.com/office/2006/metadata/properties" ma:root="true" ma:fieldsID="7f45ca4b115d34f0fc5fa180e2eca45b" ns2:_="" ns3:_="">
    <xsd:import namespace="3426e302-ea2e-443c-aebc-c7dc85042ec9"/>
    <xsd:import namespace="28b8ba0d-cdc0-4e2a-a50e-ed600bdc9e9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26e302-ea2e-443c-aebc-c7dc85042e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063b0c97-1190-4673-800d-68426655107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b8ba0d-cdc0-4e2a-a50e-ed600bdc9e9c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58517e55-abf5-4f1a-8ca4-b1233a2591b3}" ma:internalName="TaxCatchAll" ma:showField="CatchAllData" ma:web="28b8ba0d-cdc0-4e2a-a50e-ed600bdc9e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426e302-ea2e-443c-aebc-c7dc85042ec9">
      <Terms xmlns="http://schemas.microsoft.com/office/infopath/2007/PartnerControls"/>
    </lcf76f155ced4ddcb4097134ff3c332f>
    <TaxCatchAll xmlns="28b8ba0d-cdc0-4e2a-a50e-ed600bdc9e9c" xsi:nil="true"/>
  </documentManagement>
</p:properties>
</file>

<file path=customXml/itemProps1.xml><?xml version="1.0" encoding="utf-8"?>
<ds:datastoreItem xmlns:ds="http://schemas.openxmlformats.org/officeDocument/2006/customXml" ds:itemID="{9A2F9998-573B-48A5-9B14-540E20B83D37}"/>
</file>

<file path=customXml/itemProps2.xml><?xml version="1.0" encoding="utf-8"?>
<ds:datastoreItem xmlns:ds="http://schemas.openxmlformats.org/officeDocument/2006/customXml" ds:itemID="{81AF495E-E9A6-4D3F-90B2-BB6B8D90BFFA}"/>
</file>

<file path=customXml/itemProps3.xml><?xml version="1.0" encoding="utf-8"?>
<ds:datastoreItem xmlns:ds="http://schemas.openxmlformats.org/officeDocument/2006/customXml" ds:itemID="{2F7F495C-B4F3-4835-96DB-7D1D615B696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Freitas</dc:creator>
  <cp:keywords/>
  <dc:description/>
  <cp:lastModifiedBy>Arjan Faber | VAR</cp:lastModifiedBy>
  <cp:revision/>
  <dcterms:created xsi:type="dcterms:W3CDTF">2020-04-13T11:00:09Z</dcterms:created>
  <dcterms:modified xsi:type="dcterms:W3CDTF">2026-05-19T07:56:02Z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0x01010050C3EBAE9AF0A849AF70ACB461825F72</vt:lpwstr>
  </property>
  <property fmtid="{D5CDD505-2E9C-101B-9397-08002B2CF9AE}" pid="3" name="MediaServiceImageTags">
    <vt:lpwstr/>
  </property>
</Properties>
</file>